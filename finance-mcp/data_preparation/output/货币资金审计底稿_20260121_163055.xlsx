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4.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5.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comments/comment6.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3040" windowHeight="9180" tabRatio="774" firstSheet="28" activeTab="31" autoFilterDateGrouping="1"/>
  </bookViews>
  <sheets>
    <sheet name="备忘录" sheetId="1" state="visible" r:id="rId1"/>
    <sheet name="实际执行程序表（资产负债）" sheetId="2" state="hidden" r:id="rId2"/>
    <sheet name="实际执行程序表（利润）" sheetId="3" state="hidden" r:id="rId3"/>
    <sheet name="细节测试汇总" sheetId="4" state="visible" r:id="rId4"/>
    <sheet name="货币资金" sheetId="5" state="visible" r:id="rId5"/>
    <sheet name="流水分析-银行1" sheetId="6" state="visible" r:id="rId6"/>
    <sheet name="流水分析-银行2" sheetId="7" state="visible" r:id="rId7"/>
    <sheet name="流水分析-银行3" sheetId="8" state="visible" r:id="rId8"/>
    <sheet name="开户清单核对" sheetId="9" state="visible" r:id="rId9"/>
    <sheet name="库存商品" sheetId="10" state="visible" r:id="rId10"/>
    <sheet name="库存商品分析表" sheetId="11" state="visible" r:id="rId11"/>
    <sheet name="固定资产" sheetId="12" state="hidden" r:id="rId12"/>
    <sheet name="固定资产测算表" sheetId="13" state="hidden" r:id="rId13"/>
    <sheet name="无形资产" sheetId="14" state="hidden" r:id="rId14"/>
    <sheet name="无形资产测算表" sheetId="15" state="hidden" r:id="rId15"/>
    <sheet name="应收账款" sheetId="16" state="visible" r:id="rId16"/>
    <sheet name="预付账款" sheetId="17" state="visible" r:id="rId17"/>
    <sheet name="其他应收款" sheetId="18" state="visible" r:id="rId18"/>
    <sheet name="关联方交易核对" sheetId="19" state="visible" r:id="rId19"/>
    <sheet name="应付账款" sheetId="20" state="visible" r:id="rId20"/>
    <sheet name="预收账款" sheetId="21" state="visible" r:id="rId21"/>
    <sheet name="其他应付款" sheetId="22" state="visible" r:id="rId22"/>
    <sheet name="长期股权投资" sheetId="23" state="visible" r:id="rId23"/>
    <sheet name="长期股权投资明细表" sheetId="24" state="visible" r:id="rId24"/>
    <sheet name="应付职工薪酬" sheetId="25" state="visible" r:id="rId25"/>
    <sheet name="应付职工薪酬检查表" sheetId="26" state="visible" r:id="rId26"/>
    <sheet name="应交税费" sheetId="27" state="visible" r:id="rId27"/>
    <sheet name="应交增值税明细表" sheetId="28" state="visible" r:id="rId28"/>
    <sheet name="短期借款" sheetId="29" state="visible" r:id="rId29"/>
    <sheet name="营业收入" sheetId="30" state="visible" r:id="rId30"/>
    <sheet name="营业成本" sheetId="31" state="visible" r:id="rId31"/>
    <sheet name="毛利率分析表" sheetId="32" state="visible" r:id="rId32"/>
    <sheet name="销售费用" sheetId="33" state="visible" r:id="rId33"/>
    <sheet name="销售费用比例分析" sheetId="34" state="visible" r:id="rId34"/>
    <sheet name="管理费用" sheetId="35" state="visible" r:id="rId35"/>
    <sheet name="管理费用比例分析" sheetId="36" state="visible" r:id="rId36"/>
    <sheet name="财务费用" sheetId="37" state="visible" r:id="rId37"/>
    <sheet name="营业外收入" sheetId="38" state="visible" r:id="rId38"/>
    <sheet name="营业外支出" sheetId="39" state="visible" r:id="rId39"/>
  </sheets>
  <definedNames>
    <definedName name="_xlnm._FilterDatabase" localSheetId="1" hidden="1">'实际执行程序表（资产负债）'!$A$2:$I$54</definedName>
    <definedName name="_xlnm._FilterDatabase" localSheetId="2" hidden="1">'实际执行程序表（利润）'!$A$2:$J$36</definedName>
    <definedName name="_xlnm._FilterDatabase" localSheetId="15" hidden="1">'应收账款'!$B$5:$AE$35</definedName>
    <definedName name="_xlnm._FilterDatabase" localSheetId="16" hidden="1">'预付账款'!$B$5:$AE$33</definedName>
    <definedName name="_xlnm._FilterDatabase" localSheetId="17" hidden="1">'其他应收款'!$A$5:$AE$148</definedName>
    <definedName name="_xlnm._FilterDatabase" localSheetId="19" hidden="1">'应付账款'!$B$5:$AE$20</definedName>
    <definedName name="_xlnm._FilterDatabase" localSheetId="20" hidden="1">'预收账款'!$B$5:$AE$26</definedName>
    <definedName name="_xlnm._FilterDatabase" localSheetId="26" hidden="1">'应交税费'!$A$5:$E$20</definedName>
    <definedName name="_xlnm._FilterDatabase" localSheetId="29" hidden="1">'营业收入'!$A$5:$D$24</definedName>
    <definedName name="_xlnm._FilterDatabase" localSheetId="32" hidden="1">'销售费用'!$A$5:$C$87</definedName>
  </definedNames>
  <calcPr calcId="191029" fullCalcOnLoad="1"/>
</workbook>
</file>

<file path=xl/styles.xml><?xml version="1.0" encoding="utf-8"?>
<styleSheet xmlns="http://schemas.openxmlformats.org/spreadsheetml/2006/main">
  <numFmts count="9">
    <numFmt numFmtId="164" formatCode="0.0%"/>
    <numFmt numFmtId="165" formatCode="_ * #,##0.00_ ;_ * \-#,##0.00_ ;_ * &quot;-&quot;??_ ;_ @_ "/>
    <numFmt numFmtId="166" formatCode="#,##0.00_ "/>
    <numFmt numFmtId="167" formatCode="0.00_);[Red]\(0.00\)"/>
    <numFmt numFmtId="168" formatCode="0.00_ "/>
    <numFmt numFmtId="169" formatCode="[$-F800]dddd\,\ mmmm\ dd\,\ yyyy"/>
    <numFmt numFmtId="170" formatCode="yyyy&quot;年&quot;m&quot;月&quot;;@"/>
    <numFmt numFmtId="171" formatCode="0_);[Red]\(0\)"/>
    <numFmt numFmtId="172" formatCode="#,##0_ "/>
  </numFmts>
  <fonts count="68">
    <font>
      <name val="宋体"/>
      <charset val="134"/>
      <color indexed="8"/>
      <sz val="11"/>
      <scheme val="minor"/>
    </font>
    <font>
      <name val="宋体"/>
      <charset val="134"/>
      <b val="1"/>
      <color indexed="8"/>
      <sz val="16"/>
      <scheme val="minor"/>
    </font>
    <font>
      <name val="宋体"/>
      <charset val="134"/>
      <color indexed="8"/>
      <sz val="10"/>
      <scheme val="minor"/>
    </font>
    <font>
      <name val="宋体"/>
      <charset val="134"/>
      <color indexed="8"/>
      <sz val="9"/>
      <scheme val="minor"/>
    </font>
    <font>
      <name val="宋体"/>
      <charset val="134"/>
      <color rgb="FF000000"/>
      <sz val="9"/>
    </font>
    <font>
      <name val="Dialog.plain"/>
      <charset val="134"/>
      <color rgb="FF000000"/>
      <sz val="9"/>
    </font>
    <font>
      <name val="宋体"/>
      <charset val="134"/>
      <color rgb="FF000000"/>
      <sz val="10"/>
    </font>
    <font>
      <name val="宋体"/>
      <charset val="134"/>
      <sz val="10"/>
    </font>
    <font>
      <name val="宋体"/>
      <charset val="134"/>
      <sz val="9"/>
    </font>
    <font>
      <name val="Dialog.plain"/>
      <charset val="134"/>
      <color rgb="FF000000"/>
      <sz val="10"/>
    </font>
    <font>
      <name val="Arial Narrow"/>
      <charset val="134"/>
      <sz val="10"/>
    </font>
    <font>
      <name val="Arial Narrow"/>
      <charset val="134"/>
      <sz val="9"/>
    </font>
    <font>
      <name val="Arial"/>
      <charset val="134"/>
      <color rgb="FF000000"/>
      <sz val="9"/>
    </font>
    <font>
      <name val="Arial"/>
      <charset val="134"/>
      <sz val="9"/>
    </font>
    <font>
      <name val="宋体"/>
      <charset val="134"/>
      <b val="1"/>
      <color rgb="FF000000"/>
      <sz val="9"/>
    </font>
    <font>
      <name val="Arial"/>
      <charset val="134"/>
      <b val="1"/>
      <color rgb="FF000000"/>
      <sz val="9"/>
    </font>
    <font>
      <name val="Arial"/>
      <charset val="134"/>
      <b val="1"/>
      <color indexed="8"/>
      <sz val="9"/>
    </font>
    <font>
      <name val="宋体"/>
      <charset val="134"/>
      <b val="1"/>
      <color indexed="8"/>
      <sz val="11"/>
      <scheme val="minor"/>
    </font>
    <font>
      <name val="宋体"/>
      <charset val="134"/>
      <color theme="1"/>
      <sz val="10"/>
    </font>
    <font>
      <name val="Arial Narrow"/>
      <charset val="134"/>
      <color theme="1"/>
      <sz val="10"/>
    </font>
    <font>
      <name val="Arial"/>
      <charset val="134"/>
      <color indexed="8"/>
      <sz val="9"/>
    </font>
    <font>
      <name val="Arial"/>
      <charset val="134"/>
      <color rgb="FF000000"/>
      <sz val="10"/>
    </font>
    <font>
      <name val="宋体"/>
      <charset val="134"/>
      <color indexed="8"/>
      <sz val="10"/>
    </font>
    <font>
      <name val="Arial Narrow"/>
      <charset val="134"/>
      <color indexed="8"/>
      <sz val="10"/>
    </font>
    <font>
      <name val="宋体"/>
      <charset val="134"/>
      <b val="1"/>
      <sz val="9"/>
    </font>
    <font>
      <name val="Arial Narrow"/>
      <charset val="134"/>
      <b val="1"/>
      <color indexed="8"/>
      <sz val="10"/>
    </font>
    <font>
      <name val="Dialog.plain"/>
      <charset val="134"/>
      <b val="1"/>
      <color rgb="FF000000"/>
      <sz val="9"/>
    </font>
    <font>
      <name val="宋体"/>
      <charset val="134"/>
      <b val="1"/>
      <color indexed="8"/>
      <sz val="9"/>
      <scheme val="minor"/>
    </font>
    <font>
      <name val="宋体"/>
      <charset val="134"/>
      <b val="1"/>
      <sz val="10"/>
    </font>
    <font>
      <name val="宋体"/>
      <charset val="134"/>
      <color theme="1"/>
      <sz val="11"/>
      <scheme val="minor"/>
    </font>
    <font>
      <name val="Arial Narrow"/>
      <charset val="134"/>
      <b val="1"/>
      <sz val="10"/>
    </font>
    <font>
      <name val="Arial Narrow"/>
      <charset val="134"/>
      <b val="1"/>
      <color rgb="FFFF0000"/>
      <sz val="10"/>
    </font>
    <font>
      <name val="宋体"/>
      <charset val="134"/>
      <b val="1"/>
      <color indexed="8"/>
      <sz val="10"/>
    </font>
    <font>
      <name val="宋体"/>
      <charset val="134"/>
      <b val="1"/>
      <color indexed="8"/>
      <sz val="10"/>
      <scheme val="minor"/>
    </font>
    <font>
      <name val="Arial"/>
      <charset val="134"/>
      <sz val="10"/>
    </font>
    <font>
      <name val="宋体"/>
      <charset val="134"/>
      <sz val="9"/>
      <scheme val="minor"/>
    </font>
    <font>
      <name val="宋体"/>
      <charset val="134"/>
      <color theme="1"/>
      <sz val="9"/>
      <scheme val="minor"/>
    </font>
    <font>
      <name val="宋体"/>
      <charset val="134"/>
      <color indexed="8"/>
      <sz val="9"/>
    </font>
    <font>
      <name val="Arial Narrow"/>
      <charset val="134"/>
      <sz val="10"/>
      <u val="single"/>
    </font>
    <font>
      <name val="宋体"/>
      <charset val="134"/>
      <color rgb="FFFF0000"/>
      <sz val="10"/>
    </font>
    <font>
      <name val="宋体"/>
      <charset val="134"/>
      <color theme="1"/>
      <sz val="9"/>
    </font>
    <font>
      <name val="宋体"/>
      <charset val="134"/>
      <b val="1"/>
      <color indexed="8"/>
      <sz val="9"/>
    </font>
    <font>
      <name val="Arial Narrow"/>
      <charset val="134"/>
      <color theme="1"/>
      <sz val="9"/>
    </font>
    <font>
      <name val="Arial Narrow"/>
      <charset val="134"/>
      <color rgb="FFFF0000"/>
      <sz val="9"/>
    </font>
    <font>
      <name val="宋体"/>
      <charset val="134"/>
      <b val="1"/>
      <color rgb="FFFF0000"/>
      <sz val="11"/>
      <scheme val="minor"/>
    </font>
    <font>
      <name val="Arial Narrow"/>
      <charset val="134"/>
      <sz val="12"/>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b val="1"/>
      <sz val="9"/>
    </font>
    <font>
      <name val="宋体"/>
      <charset val="134"/>
      <sz val="9"/>
    </font>
    <font>
      <name val="宋体"/>
      <charset val="134"/>
      <b val="1"/>
      <color rgb="FF000000"/>
      <sz val="9"/>
    </font>
  </fonts>
  <fills count="48">
    <fill>
      <patternFill/>
    </fill>
    <fill>
      <patternFill patternType="gray125"/>
    </fill>
    <fill>
      <patternFill patternType="solid">
        <fgColor theme="0" tint="-0.15"/>
        <bgColor indexed="64"/>
      </patternFill>
    </fill>
    <fill>
      <patternFill patternType="solid">
        <fgColor theme="4" tint="0.599993896298105"/>
        <bgColor indexed="64"/>
      </patternFill>
    </fill>
    <fill>
      <patternFill patternType="solid">
        <fgColor theme="4" tint="0.6"/>
        <bgColor indexed="64"/>
      </patternFill>
    </fill>
    <fill>
      <patternFill patternType="solid">
        <fgColor theme="0" tint="-0.149937437055574"/>
        <bgColor indexed="64"/>
      </patternFill>
    </fill>
    <fill>
      <patternFill patternType="solid">
        <fgColor theme="6" tint="0.6"/>
        <bgColor indexed="64"/>
      </patternFill>
    </fill>
    <fill>
      <patternFill patternType="solid">
        <fgColor theme="0" tint="-0.14996795556505"/>
        <bgColor indexed="64"/>
      </patternFill>
    </fill>
    <fill>
      <patternFill patternType="solid">
        <fgColor theme="0"/>
        <bgColor indexed="64"/>
      </patternFill>
    </fill>
    <fill>
      <patternFill patternType="solid">
        <fgColor theme="4" tint="0.8"/>
        <bgColor indexed="64"/>
      </patternFill>
    </fill>
    <fill>
      <patternFill patternType="solid">
        <fgColor theme="0" tint="-0.149876400036622"/>
        <bgColor indexed="64"/>
      </patternFill>
    </fill>
    <fill>
      <patternFill patternType="solid">
        <fgColor theme="6" tint="0.8"/>
        <bgColor indexed="64"/>
      </patternFill>
    </fill>
    <fill>
      <patternFill patternType="solid">
        <fgColor theme="0" tint="-0.149845881527146"/>
        <bgColor indexed="64"/>
      </patternFill>
    </fill>
    <fill>
      <patternFill patternType="solid">
        <fgColor rgb="FFD9D9D9"/>
        <bgColor rgb="FF000000"/>
      </patternFill>
    </fill>
    <fill>
      <patternFill patternType="solid">
        <fgColor theme="0" tint="-0.149906918546098"/>
        <bgColor indexed="64"/>
      </patternFill>
    </fill>
    <fill>
      <patternFill patternType="solid">
        <fgColor theme="0" tint="-0.149723807489242"/>
        <bgColor indexed="64"/>
      </patternFill>
    </fill>
    <fill>
      <patternFill patternType="solid">
        <fgColor theme="8" tint="0.799981688894314"/>
        <bgColor indexed="64"/>
      </patternFill>
    </fill>
    <fill>
      <patternFill patternType="solid">
        <fgColor theme="5" tint="0.799890133365886"/>
        <bgColor indexed="64"/>
      </patternFill>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49">
    <xf numFmtId="0" fontId="0" fillId="0" borderId="0" applyAlignment="1">
      <alignment vertical="center"/>
    </xf>
    <xf numFmtId="43" fontId="29" fillId="0" borderId="0" applyAlignment="1">
      <alignment vertical="center"/>
    </xf>
    <xf numFmtId="44" fontId="29" fillId="0" borderId="0" applyAlignment="1">
      <alignment vertical="center"/>
    </xf>
    <xf numFmtId="9" fontId="29" fillId="0" borderId="0" applyAlignment="1">
      <alignment vertical="center"/>
    </xf>
    <xf numFmtId="41" fontId="29" fillId="0" borderId="0" applyAlignment="1">
      <alignment vertical="center"/>
    </xf>
    <xf numFmtId="42" fontId="29" fillId="0" borderId="0" applyAlignment="1">
      <alignment vertical="center"/>
    </xf>
    <xf numFmtId="0" fontId="47" fillId="0" borderId="0" applyAlignment="1">
      <alignment vertical="center"/>
    </xf>
    <xf numFmtId="0" fontId="46" fillId="0" borderId="0" applyAlignment="1">
      <alignment vertical="center"/>
    </xf>
    <xf numFmtId="0" fontId="29" fillId="19" borderId="15" applyAlignment="1">
      <alignment vertical="center"/>
    </xf>
    <xf numFmtId="0" fontId="48" fillId="0" borderId="0" applyAlignment="1">
      <alignment vertical="center"/>
    </xf>
    <xf numFmtId="0" fontId="49" fillId="0" borderId="0" applyAlignment="1">
      <alignment vertical="center"/>
    </xf>
    <xf numFmtId="0" fontId="50" fillId="0" borderId="0" applyAlignment="1">
      <alignment vertical="center"/>
    </xf>
    <xf numFmtId="0" fontId="51" fillId="0" borderId="16" applyAlignment="1">
      <alignment vertical="center"/>
    </xf>
    <xf numFmtId="0" fontId="52" fillId="0" borderId="16" applyAlignment="1">
      <alignment vertical="center"/>
    </xf>
    <xf numFmtId="0" fontId="53" fillId="0" borderId="17" applyAlignment="1">
      <alignment vertical="center"/>
    </xf>
    <xf numFmtId="0" fontId="53" fillId="0" borderId="0" applyAlignment="1">
      <alignment vertical="center"/>
    </xf>
    <xf numFmtId="0" fontId="54" fillId="20" borderId="18" applyAlignment="1">
      <alignment vertical="center"/>
    </xf>
    <xf numFmtId="0" fontId="55" fillId="21" borderId="19" applyAlignment="1">
      <alignment vertical="center"/>
    </xf>
    <xf numFmtId="0" fontId="56" fillId="21" borderId="18" applyAlignment="1">
      <alignment vertical="center"/>
    </xf>
    <xf numFmtId="0" fontId="57" fillId="22" borderId="20" applyAlignment="1">
      <alignment vertical="center"/>
    </xf>
    <xf numFmtId="0" fontId="58" fillId="0" borderId="21" applyAlignment="1">
      <alignment vertical="center"/>
    </xf>
    <xf numFmtId="0" fontId="59" fillId="0" borderId="22" applyAlignment="1">
      <alignment vertical="center"/>
    </xf>
    <xf numFmtId="0" fontId="60" fillId="23" borderId="0" applyAlignment="1">
      <alignment vertical="center"/>
    </xf>
    <xf numFmtId="0" fontId="61" fillId="24" borderId="0" applyAlignment="1">
      <alignment vertical="center"/>
    </xf>
    <xf numFmtId="0" fontId="62" fillId="25" borderId="0" applyAlignment="1">
      <alignment vertical="center"/>
    </xf>
    <xf numFmtId="0" fontId="63" fillId="26" borderId="0" applyAlignment="1">
      <alignment vertical="center"/>
    </xf>
    <xf numFmtId="0" fontId="64" fillId="27" borderId="0" applyAlignment="1">
      <alignment vertical="center"/>
    </xf>
    <xf numFmtId="0" fontId="64" fillId="3" borderId="0" applyAlignment="1">
      <alignment vertical="center"/>
    </xf>
    <xf numFmtId="0" fontId="63" fillId="28" borderId="0" applyAlignment="1">
      <alignment vertical="center"/>
    </xf>
    <xf numFmtId="0" fontId="63" fillId="29" borderId="0" applyAlignment="1">
      <alignment vertical="center"/>
    </xf>
    <xf numFmtId="0" fontId="64" fillId="30" borderId="0" applyAlignment="1">
      <alignment vertical="center"/>
    </xf>
    <xf numFmtId="0" fontId="64" fillId="31" borderId="0" applyAlignment="1">
      <alignment vertical="center"/>
    </xf>
    <xf numFmtId="0" fontId="63" fillId="32" borderId="0" applyAlignment="1">
      <alignment vertical="center"/>
    </xf>
    <xf numFmtId="0" fontId="63" fillId="33" borderId="0" applyAlignment="1">
      <alignment vertical="center"/>
    </xf>
    <xf numFmtId="0" fontId="64" fillId="34" borderId="0" applyAlignment="1">
      <alignment vertical="center"/>
    </xf>
    <xf numFmtId="0" fontId="64" fillId="35" borderId="0" applyAlignment="1">
      <alignment vertical="center"/>
    </xf>
    <xf numFmtId="0" fontId="63" fillId="36" borderId="0" applyAlignment="1">
      <alignment vertical="center"/>
    </xf>
    <xf numFmtId="0" fontId="63" fillId="37" borderId="0" applyAlignment="1">
      <alignment vertical="center"/>
    </xf>
    <xf numFmtId="0" fontId="64" fillId="38" borderId="0" applyAlignment="1">
      <alignment vertical="center"/>
    </xf>
    <xf numFmtId="0" fontId="64" fillId="39" borderId="0" applyAlignment="1">
      <alignment vertical="center"/>
    </xf>
    <xf numFmtId="0" fontId="63" fillId="40" borderId="0" applyAlignment="1">
      <alignment vertical="center"/>
    </xf>
    <xf numFmtId="0" fontId="63" fillId="41" borderId="0" applyAlignment="1">
      <alignment vertical="center"/>
    </xf>
    <xf numFmtId="0" fontId="64" fillId="16" borderId="0" applyAlignment="1">
      <alignment vertical="center"/>
    </xf>
    <xf numFmtId="0" fontId="64" fillId="42" borderId="0" applyAlignment="1">
      <alignment vertical="center"/>
    </xf>
    <xf numFmtId="0" fontId="63" fillId="43" borderId="0" applyAlignment="1">
      <alignment vertical="center"/>
    </xf>
    <xf numFmtId="0" fontId="63" fillId="44" borderId="0" applyAlignment="1">
      <alignment vertical="center"/>
    </xf>
    <xf numFmtId="0" fontId="64" fillId="45" borderId="0" applyAlignment="1">
      <alignment vertical="center"/>
    </xf>
    <xf numFmtId="0" fontId="64" fillId="46" borderId="0" applyAlignment="1">
      <alignment vertical="center"/>
    </xf>
    <xf numFmtId="0" fontId="63" fillId="47" borderId="0" applyAlignment="1">
      <alignment vertical="center"/>
    </xf>
  </cellStyleXfs>
  <cellXfs count="726">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5" fillId="2" borderId="2" applyAlignment="1" pivotButton="0" quotePrefix="0" xfId="0">
      <alignment horizontal="center" vertical="center"/>
    </xf>
    <xf numFmtId="0" fontId="6" fillId="2" borderId="2" applyAlignment="1" pivotButton="0" quotePrefix="0" xfId="0">
      <alignment horizontal="center" vertical="center"/>
    </xf>
    <xf numFmtId="0" fontId="7" fillId="2" borderId="1" applyAlignment="1" applyProtection="1" pivotButton="0" quotePrefix="0" xfId="0">
      <alignment horizontal="center" vertical="center" wrapText="1"/>
      <protection locked="0" hidden="0"/>
    </xf>
    <xf numFmtId="0" fontId="8" fillId="2" borderId="1" applyAlignment="1" applyProtection="1" pivotButton="0" quotePrefix="0" xfId="0">
      <alignment horizontal="center" vertical="center" wrapText="1"/>
      <protection locked="0" hidden="0"/>
    </xf>
    <xf numFmtId="0" fontId="5" fillId="2" borderId="1" applyAlignment="1" pivotButton="0" quotePrefix="0" xfId="0">
      <alignment horizontal="center" vertical="center"/>
    </xf>
    <xf numFmtId="0" fontId="5" fillId="2" borderId="3" applyAlignment="1" pivotButton="0" quotePrefix="0" xfId="0">
      <alignment horizontal="center" vertical="center"/>
    </xf>
    <xf numFmtId="0" fontId="9" fillId="2" borderId="3" applyAlignment="1" pivotButton="0" quotePrefix="0" xfId="0">
      <alignment horizontal="center" vertical="center"/>
    </xf>
    <xf numFmtId="0" fontId="6" fillId="2" borderId="3" applyAlignment="1" pivotButton="0" quotePrefix="0" xfId="0">
      <alignment horizontal="center" vertical="center"/>
    </xf>
    <xf numFmtId="0" fontId="10" fillId="2" borderId="1" applyAlignment="1" applyProtection="1" pivotButton="0" quotePrefix="0" xfId="0">
      <alignment horizontal="center" vertical="center" wrapText="1"/>
      <protection locked="0" hidden="0"/>
    </xf>
    <xf numFmtId="0" fontId="11" fillId="2" borderId="1" applyAlignment="1" applyProtection="1" pivotButton="0" quotePrefix="0" xfId="0">
      <alignment horizontal="center" vertical="center" wrapText="1"/>
      <protection locked="0" hidden="0"/>
    </xf>
    <xf numFmtId="0" fontId="10" fillId="0" borderId="4" applyAlignment="1" pivotButton="0" quotePrefix="0" xfId="0">
      <alignment vertical="center" shrinkToFit="1"/>
    </xf>
    <xf numFmtId="39" fontId="12" fillId="0" borderId="1" applyAlignment="1" pivotButton="0" quotePrefix="0" xfId="0">
      <alignment horizontal="right" vertical="center"/>
    </xf>
    <xf numFmtId="164" fontId="13" fillId="3" borderId="1" applyAlignment="1" pivotButton="0" quotePrefix="0" xfId="0">
      <alignment horizontal="center" vertical="center"/>
    </xf>
    <xf numFmtId="39" fontId="12" fillId="4" borderId="1" applyAlignment="1" pivotButton="0" quotePrefix="0" xfId="0">
      <alignment horizontal="right" vertical="center"/>
    </xf>
    <xf numFmtId="10" fontId="12" fillId="4" borderId="1" applyAlignment="1" pivotButton="0" quotePrefix="0" xfId="3">
      <alignment horizontal="right" vertical="center"/>
    </xf>
    <xf numFmtId="0" fontId="0" fillId="0" borderId="1" applyAlignment="1" pivotButton="0" quotePrefix="0" xfId="0">
      <alignment vertical="center"/>
    </xf>
    <xf numFmtId="0" fontId="7" fillId="0" borderId="4" applyAlignment="1" pivotButton="0" quotePrefix="0" xfId="0">
      <alignment vertical="center" shrinkToFit="1"/>
    </xf>
    <xf numFmtId="0" fontId="14" fillId="2" borderId="1" applyAlignment="1" pivotButton="0" quotePrefix="0" xfId="0">
      <alignment horizontal="center" vertical="center"/>
    </xf>
    <xf numFmtId="165" fontId="13" fillId="3" borderId="1" applyAlignment="1" pivotButton="0" quotePrefix="0" xfId="0">
      <alignment vertical="center"/>
    </xf>
    <xf numFmtId="39" fontId="15" fillId="4" borderId="1" applyAlignment="1" pivotButton="0" quotePrefix="0" xfId="0">
      <alignment horizontal="center" vertical="center"/>
    </xf>
    <xf numFmtId="39" fontId="15" fillId="4" borderId="1" applyAlignment="1" pivotButton="0" quotePrefix="0" xfId="0">
      <alignment horizontal="right"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165" fontId="17"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xf>
    <xf numFmtId="0" fontId="17" fillId="0" borderId="0" applyAlignment="1" pivotButton="0" quotePrefix="0" xfId="0">
      <alignment horizontal="center" vertical="center"/>
    </xf>
    <xf numFmtId="0" fontId="10" fillId="5" borderId="4" applyAlignment="1" pivotButton="0" quotePrefix="0" xfId="0">
      <alignment vertical="center" shrinkToFit="1"/>
    </xf>
    <xf numFmtId="0" fontId="7" fillId="5" borderId="4" applyAlignment="1" pivotButton="0" quotePrefix="0" xfId="0">
      <alignment vertical="center" shrinkToFit="1"/>
    </xf>
    <xf numFmtId="0" fontId="2" fillId="6" borderId="2" applyAlignment="1" pivotButton="0" quotePrefix="0" xfId="0">
      <alignment horizontal="center" vertical="center"/>
    </xf>
    <xf numFmtId="0" fontId="18" fillId="7" borderId="1" applyAlignment="1" pivotButton="0" quotePrefix="0" xfId="0">
      <alignment horizontal="center" vertical="center"/>
    </xf>
    <xf numFmtId="0" fontId="19" fillId="7" borderId="1" applyAlignment="1" pivotButton="0" quotePrefix="0" xfId="0">
      <alignment horizontal="center" vertical="center"/>
    </xf>
    <xf numFmtId="0" fontId="10" fillId="7" borderId="1" applyAlignment="1" applyProtection="1" pivotButton="0" quotePrefix="0" xfId="0">
      <alignment horizontal="center" vertical="center" wrapText="1"/>
      <protection locked="0" hidden="0"/>
    </xf>
    <xf numFmtId="0" fontId="2" fillId="6" borderId="3" applyAlignment="1" pivotButton="0" quotePrefix="0" xfId="0">
      <alignment horizontal="center" vertical="center"/>
    </xf>
    <xf numFmtId="166" fontId="10" fillId="7" borderId="1" applyAlignment="1" pivotButton="0" quotePrefix="0" xfId="0">
      <alignment horizontal="center" vertical="center" wrapText="1"/>
    </xf>
    <xf numFmtId="0" fontId="10" fillId="7" borderId="1" applyAlignment="1" pivotButton="0" quotePrefix="0" xfId="0">
      <alignment horizontal="center" vertical="center" wrapText="1"/>
    </xf>
    <xf numFmtId="0" fontId="0" fillId="6" borderId="1" applyAlignment="1" pivotButton="0" quotePrefix="0" xfId="0">
      <alignment vertical="center"/>
    </xf>
    <xf numFmtId="0" fontId="19" fillId="7" borderId="1" applyAlignment="1" pivotButton="0" quotePrefix="0" xfId="0">
      <alignment vertical="center"/>
    </xf>
    <xf numFmtId="165" fontId="19" fillId="8" borderId="1" applyAlignment="1" pivotButton="0" quotePrefix="0" xfId="0">
      <alignment vertical="center"/>
    </xf>
    <xf numFmtId="165" fontId="19" fillId="7" borderId="1" applyAlignment="1" pivotButton="0" quotePrefix="0" xfId="0">
      <alignment vertical="center"/>
    </xf>
    <xf numFmtId="0" fontId="20" fillId="6" borderId="1" applyAlignment="1" pivotButton="0" quotePrefix="0" xfId="0">
      <alignment horizontal="center" vertical="center"/>
    </xf>
    <xf numFmtId="0" fontId="0" fillId="4" borderId="1" applyAlignment="1" pivotButton="0" quotePrefix="0" xfId="0">
      <alignment vertical="center"/>
    </xf>
    <xf numFmtId="165" fontId="19" fillId="3" borderId="1" applyAlignment="1" pivotButton="0" quotePrefix="0" xfId="0">
      <alignment vertical="center"/>
    </xf>
    <xf numFmtId="10" fontId="19" fillId="3" borderId="1" applyAlignment="1" pivotButton="0" quotePrefix="0" xfId="0">
      <alignment vertical="center"/>
    </xf>
    <xf numFmtId="0" fontId="0" fillId="0" borderId="1" applyAlignment="1" pivotButton="0" quotePrefix="0" xfId="0">
      <alignment vertical="center"/>
    </xf>
    <xf numFmtId="0" fontId="19" fillId="7" borderId="5" applyAlignment="1" pivotButton="0" quotePrefix="0" xfId="0">
      <alignment horizontal="center" vertical="center"/>
    </xf>
    <xf numFmtId="0" fontId="19" fillId="7" borderId="4" applyAlignment="1" pivotButton="0" quotePrefix="0" xfId="0">
      <alignment horizontal="center" vertical="center"/>
    </xf>
    <xf numFmtId="10" fontId="0" fillId="0" borderId="0" applyAlignment="1" pivotButton="0" quotePrefix="0" xfId="3">
      <alignment vertical="center"/>
    </xf>
    <xf numFmtId="0" fontId="12" fillId="0" borderId="1" applyAlignment="1" pivotButton="0" quotePrefix="0" xfId="0">
      <alignment horizontal="center" vertical="center"/>
    </xf>
    <xf numFmtId="0" fontId="4" fillId="0" borderId="1" applyAlignment="1" pivotButton="0" quotePrefix="0" xfId="0">
      <alignment horizontal="left" vertical="center"/>
    </xf>
    <xf numFmtId="0" fontId="20" fillId="0" borderId="1" applyAlignment="1" pivotButton="0" quotePrefix="0" xfId="0">
      <alignment vertical="center"/>
    </xf>
    <xf numFmtId="0" fontId="12" fillId="0" borderId="1" applyAlignment="1" pivotButton="0" quotePrefix="0" xfId="0">
      <alignment horizontal="left" vertical="center"/>
    </xf>
    <xf numFmtId="0" fontId="15" fillId="2" borderId="1" applyAlignment="1" pivotButton="0" quotePrefix="0" xfId="0">
      <alignment horizontal="center" vertical="center"/>
    </xf>
    <xf numFmtId="0" fontId="16" fillId="0" borderId="1" applyAlignment="1" pivotButton="0" quotePrefix="0" xfId="0">
      <alignment horizontal="center" vertical="center"/>
    </xf>
    <xf numFmtId="0" fontId="10" fillId="7" borderId="1" applyAlignment="1" pivotButton="0" quotePrefix="0" xfId="0">
      <alignment horizontal="center" vertical="center"/>
    </xf>
    <xf numFmtId="0" fontId="18" fillId="7" borderId="1" applyAlignment="1" pivotButton="0" quotePrefix="0" xfId="0">
      <alignment vertical="center"/>
    </xf>
    <xf numFmtId="0" fontId="6" fillId="0" borderId="1" applyAlignment="1" pivotButton="0" quotePrefix="0" xfId="0">
      <alignment horizontal="left" vertical="center"/>
    </xf>
    <xf numFmtId="0" fontId="21" fillId="0" borderId="1" applyAlignment="1" pivotButton="0" quotePrefix="0" xfId="0">
      <alignment horizontal="left" vertical="center"/>
    </xf>
    <xf numFmtId="39" fontId="15" fillId="2" borderId="1" applyAlignment="1" pivotButton="0" quotePrefix="0" xfId="0">
      <alignment horizontal="center" vertical="center"/>
    </xf>
    <xf numFmtId="0" fontId="16" fillId="2" borderId="1" applyAlignment="1" pivotButton="0" quotePrefix="0" xfId="0">
      <alignment horizontal="center" vertical="center"/>
    </xf>
    <xf numFmtId="0" fontId="0" fillId="2" borderId="5" applyAlignment="1" pivotButton="0" quotePrefix="0" xfId="0">
      <alignment horizontal="center" vertical="center"/>
    </xf>
    <xf numFmtId="0" fontId="0" fillId="2" borderId="6" applyAlignment="1" pivotButton="0" quotePrefix="0" xfId="0">
      <alignment horizontal="center" vertical="center"/>
    </xf>
    <xf numFmtId="0" fontId="22" fillId="7" borderId="5" applyAlignment="1" pivotButton="0" quotePrefix="0" xfId="0">
      <alignment horizontal="center" vertical="center" wrapText="1"/>
    </xf>
    <xf numFmtId="0" fontId="23" fillId="7" borderId="6" applyAlignment="1" pivotButton="0" quotePrefix="0" xfId="0">
      <alignment horizontal="center" vertical="center" wrapText="1"/>
    </xf>
    <xf numFmtId="0" fontId="23" fillId="7" borderId="4" applyAlignment="1" pivotButton="0" quotePrefix="0" xfId="0">
      <alignment horizontal="center" vertical="center" wrapText="1"/>
    </xf>
    <xf numFmtId="0" fontId="23" fillId="7" borderId="2" applyAlignment="1" pivotButton="0" quotePrefix="0" xfId="0">
      <alignment horizontal="center" vertical="center" wrapText="1"/>
    </xf>
    <xf numFmtId="0" fontId="23" fillId="7" borderId="1" applyAlignment="1" pivotButton="0" quotePrefix="0" xfId="0">
      <alignment horizontal="center" vertical="center" wrapText="1"/>
    </xf>
    <xf numFmtId="0" fontId="22" fillId="7" borderId="1" applyAlignment="1" pivotButton="0" quotePrefix="0" xfId="0">
      <alignment horizontal="center" vertical="center" wrapText="1"/>
    </xf>
    <xf numFmtId="0" fontId="22" fillId="7" borderId="2" applyAlignment="1" pivotButton="0" quotePrefix="0" xfId="0">
      <alignment horizontal="center" vertical="center" wrapText="1"/>
    </xf>
    <xf numFmtId="0" fontId="23" fillId="7" borderId="7" applyAlignment="1" pivotButton="0" quotePrefix="0" xfId="0">
      <alignment horizontal="center" vertical="center" wrapText="1"/>
    </xf>
    <xf numFmtId="165" fontId="12" fillId="0" borderId="1" applyAlignment="1" pivotButton="0" quotePrefix="0" xfId="0">
      <alignment horizontal="left" vertical="center"/>
    </xf>
    <xf numFmtId="165" fontId="12" fillId="0" borderId="1" applyAlignment="1" pivotButton="0" quotePrefix="0" xfId="0">
      <alignment horizontal="right" vertical="center"/>
    </xf>
    <xf numFmtId="10" fontId="13" fillId="3" borderId="1" applyAlignment="1" pivotButton="0" quotePrefix="0" xfId="0">
      <alignment horizontal="center" vertical="center" shrinkToFit="1"/>
    </xf>
    <xf numFmtId="165" fontId="13" fillId="3" borderId="1" applyAlignment="1" pivotButton="0" quotePrefix="0" xfId="0">
      <alignment horizontal="right" vertical="center"/>
    </xf>
    <xf numFmtId="0" fontId="20" fillId="0" borderId="1" applyAlignment="1" pivotButton="0" quotePrefix="0" xfId="0">
      <alignment vertical="center"/>
    </xf>
    <xf numFmtId="165" fontId="13" fillId="3" borderId="1" applyAlignment="1" pivotButton="0" quotePrefix="0" xfId="0">
      <alignment horizontal="right" vertical="center" shrinkToFit="1"/>
    </xf>
    <xf numFmtId="165" fontId="20" fillId="4" borderId="1" applyAlignment="1" pivotButton="0" quotePrefix="0" xfId="0">
      <alignment horizontal="center" vertical="center"/>
    </xf>
    <xf numFmtId="10" fontId="13" fillId="3" borderId="1" applyAlignment="1" pivotButton="0" quotePrefix="0" xfId="1">
      <alignment horizontal="center" vertical="center" shrinkToFit="1"/>
    </xf>
    <xf numFmtId="0" fontId="24" fillId="7" borderId="1" applyAlignment="1" pivotButton="0" quotePrefix="0" xfId="0">
      <alignment horizontal="center" vertical="center" wrapText="1"/>
    </xf>
    <xf numFmtId="165" fontId="15" fillId="4" borderId="1" applyAlignment="1" pivotButton="0" quotePrefix="0" xfId="0">
      <alignment horizontal="center" vertical="center"/>
    </xf>
    <xf numFmtId="39" fontId="15" fillId="2" borderId="1" applyAlignment="1" pivotButton="0" quotePrefix="0" xfId="0">
      <alignment horizontal="right" vertical="center"/>
    </xf>
    <xf numFmtId="0" fontId="16" fillId="2" borderId="1" applyAlignment="1" pivotButton="0" quotePrefix="0" xfId="0">
      <alignment vertical="center"/>
    </xf>
    <xf numFmtId="10" fontId="13" fillId="7" borderId="1" applyAlignment="1" pivotButton="0" quotePrefix="0" xfId="0">
      <alignment horizontal="center" vertical="center" shrinkToFit="1"/>
    </xf>
    <xf numFmtId="0" fontId="6" fillId="2" borderId="1" applyAlignment="1" pivotButton="0" quotePrefix="0" xfId="0">
      <alignment horizontal="center" vertical="center"/>
    </xf>
    <xf numFmtId="0" fontId="7" fillId="2" borderId="1" applyAlignment="1" pivotButton="0" quotePrefix="0" xfId="0">
      <alignment horizontal="center" vertical="center"/>
    </xf>
    <xf numFmtId="0" fontId="10" fillId="2" borderId="1" applyAlignment="1" pivotButton="0" quotePrefix="0" xfId="0">
      <alignment horizontal="center" vertical="center"/>
    </xf>
    <xf numFmtId="0" fontId="3" fillId="0" borderId="2" applyAlignment="1" pivotButton="0" quotePrefix="0" xfId="0">
      <alignment horizontal="center" vertical="center"/>
    </xf>
    <xf numFmtId="0" fontId="9" fillId="2" borderId="1" applyAlignment="1" pivotButton="0" quotePrefix="0" xfId="0">
      <alignment horizontal="center" vertical="center"/>
    </xf>
    <xf numFmtId="0" fontId="7" fillId="2" borderId="1" applyAlignment="1" pivotButton="0" quotePrefix="0" xfId="0">
      <alignment horizontal="center" vertical="center" wrapText="1"/>
    </xf>
    <xf numFmtId="0" fontId="3" fillId="0" borderId="3" applyAlignment="1" pivotButton="0" quotePrefix="0" xfId="0">
      <alignment horizontal="center" vertical="center"/>
    </xf>
    <xf numFmtId="0" fontId="6" fillId="2" borderId="5" applyAlignment="1" pivotButton="0" quotePrefix="0" xfId="0">
      <alignment horizontal="left" vertical="center"/>
    </xf>
    <xf numFmtId="0" fontId="6" fillId="2" borderId="6" applyAlignment="1" pivotButton="0" quotePrefix="0" xfId="0">
      <alignment horizontal="left" vertical="center"/>
    </xf>
    <xf numFmtId="0" fontId="9" fillId="2" borderId="6" applyAlignment="1" pivotButton="0" quotePrefix="0" xfId="0">
      <alignment horizontal="left" vertical="center"/>
    </xf>
    <xf numFmtId="0" fontId="9" fillId="2" borderId="4" applyAlignment="1" pivotButton="0" quotePrefix="0" xfId="0">
      <alignment horizontal="left" vertical="center"/>
    </xf>
    <xf numFmtId="0" fontId="3" fillId="0" borderId="1" applyAlignment="1" pivotButton="0" quotePrefix="0" xfId="0">
      <alignment horizontal="center" vertical="center"/>
    </xf>
    <xf numFmtId="0" fontId="5" fillId="0" borderId="1" applyAlignment="1" pivotButton="0" quotePrefix="0" xfId="0">
      <alignment horizontal="left" vertical="center"/>
    </xf>
    <xf numFmtId="39" fontId="5" fillId="0" borderId="1" applyAlignment="1" pivotButton="0" quotePrefix="0" xfId="0">
      <alignment horizontal="right" vertical="center"/>
    </xf>
    <xf numFmtId="39" fontId="5" fillId="4" borderId="1" applyAlignment="1" pivotButton="0" quotePrefix="0" xfId="0">
      <alignment horizontal="right" vertical="center"/>
    </xf>
    <xf numFmtId="10" fontId="10" fillId="3" borderId="1" applyAlignment="1" pivotButton="0" quotePrefix="0" xfId="0">
      <alignment horizontal="center" vertical="center"/>
    </xf>
    <xf numFmtId="0" fontId="3" fillId="0" borderId="1" applyAlignment="1" pivotButton="0" quotePrefix="0" xfId="0">
      <alignment horizontal="left" vertical="center" wrapText="1"/>
    </xf>
    <xf numFmtId="0" fontId="25" fillId="7" borderId="1" applyAlignment="1" pivotButton="0" quotePrefix="0" xfId="0">
      <alignment horizontal="center" vertical="center" wrapText="1"/>
    </xf>
    <xf numFmtId="0" fontId="26" fillId="2" borderId="1" applyAlignment="1" pivotButton="0" quotePrefix="0" xfId="0">
      <alignment horizontal="left" vertical="center"/>
    </xf>
    <xf numFmtId="39" fontId="26" fillId="4" borderId="1" applyAlignment="1" pivotButton="0" quotePrefix="0" xfId="0">
      <alignment horizontal="right" vertical="center"/>
    </xf>
    <xf numFmtId="0" fontId="17" fillId="2" borderId="1" applyAlignment="1" pivotButton="0" quotePrefix="0" xfId="0">
      <alignment vertical="center"/>
    </xf>
    <xf numFmtId="0" fontId="27" fillId="0" borderId="1" applyAlignment="1" pivotButton="0" quotePrefix="0" xfId="0">
      <alignment horizontal="center" vertical="center"/>
    </xf>
    <xf numFmtId="0" fontId="6" fillId="2" borderId="1" applyAlignment="1" pivotButton="0" quotePrefix="0" xfId="0">
      <alignment horizontal="left" vertical="center"/>
    </xf>
    <xf numFmtId="0" fontId="9" fillId="2" borderId="1" applyAlignment="1" pivotButton="0" quotePrefix="0" xfId="0">
      <alignment horizontal="left" vertical="center"/>
    </xf>
    <xf numFmtId="0" fontId="3" fillId="0" borderId="1" applyAlignment="1" pivotButton="0" quotePrefix="0" xfId="0">
      <alignment horizontal="center" vertical="center"/>
    </xf>
    <xf numFmtId="0" fontId="5" fillId="2" borderId="1" applyAlignment="1" pivotButton="0" quotePrefix="0" xfId="0">
      <alignment horizontal="left" vertical="center"/>
    </xf>
    <xf numFmtId="0" fontId="28" fillId="7" borderId="1" applyAlignment="1" pivotButton="0" quotePrefix="0" xfId="0">
      <alignment horizontal="center" vertical="center" wrapText="1"/>
    </xf>
    <xf numFmtId="0" fontId="17" fillId="0" borderId="0" applyAlignment="1" pivotButton="0" quotePrefix="0" xfId="0">
      <alignment vertical="center"/>
    </xf>
    <xf numFmtId="0" fontId="2" fillId="0" borderId="2" applyAlignment="1" pivotButton="0" quotePrefix="0" xfId="0">
      <alignment horizontal="center" vertical="center"/>
    </xf>
    <xf numFmtId="0" fontId="2" fillId="0" borderId="3" applyAlignment="1" pivotButton="0" quotePrefix="0" xfId="0">
      <alignment horizontal="center" vertical="center"/>
    </xf>
    <xf numFmtId="0" fontId="8" fillId="0" borderId="1" applyAlignment="1" pivotButton="0" quotePrefix="0" xfId="0">
      <alignment horizontal="left" vertical="center"/>
    </xf>
    <xf numFmtId="14" fontId="11" fillId="0" borderId="1" applyAlignment="1" pivotButton="0" quotePrefix="0" xfId="0">
      <alignment horizontal="center" vertical="center"/>
    </xf>
    <xf numFmtId="166" fontId="7" fillId="5" borderId="2" applyAlignment="1" pivotButton="0" quotePrefix="0" xfId="0">
      <alignment horizontal="center" vertical="center" wrapText="1"/>
    </xf>
    <xf numFmtId="166" fontId="7" fillId="5" borderId="5" applyAlignment="1" pivotButton="0" quotePrefix="0" xfId="0">
      <alignment horizontal="center" vertical="center" wrapText="1"/>
    </xf>
    <xf numFmtId="166" fontId="10" fillId="5" borderId="6" applyAlignment="1" pivotButton="0" quotePrefix="0" xfId="0">
      <alignment horizontal="center" vertical="center" wrapText="1"/>
    </xf>
    <xf numFmtId="166" fontId="7" fillId="7" borderId="1" applyAlignment="1" pivotButton="0" quotePrefix="0" xfId="0">
      <alignment horizontal="center" vertical="center" wrapText="1"/>
    </xf>
    <xf numFmtId="166" fontId="7" fillId="5" borderId="1" applyAlignment="1" pivotButton="0" quotePrefix="0" xfId="0">
      <alignment horizontal="center" vertical="center"/>
    </xf>
    <xf numFmtId="166" fontId="10" fillId="5" borderId="3"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5" applyAlignment="1" pivotButton="0" quotePrefix="0" xfId="0">
      <alignment horizontal="center" vertical="center" shrinkToFit="1"/>
    </xf>
    <xf numFmtId="166" fontId="7" fillId="5" borderId="3" applyAlignment="1" pivotButton="0" quotePrefix="0" xfId="0">
      <alignment horizontal="center" vertical="center" wrapText="1"/>
    </xf>
    <xf numFmtId="0" fontId="20" fillId="0" borderId="1" applyAlignment="1" pivotButton="0" quotePrefix="0" xfId="0">
      <alignment horizontal="center" vertical="center"/>
    </xf>
    <xf numFmtId="0" fontId="7" fillId="0" borderId="1" applyAlignment="1" pivotButton="0" quotePrefix="0" xfId="0">
      <alignment horizontal="center" vertical="center" wrapText="1" shrinkToFit="1"/>
    </xf>
    <xf numFmtId="14" fontId="13" fillId="0" borderId="1" applyAlignment="1" pivotButton="0" quotePrefix="0" xfId="0">
      <alignment horizontal="center" vertical="center" wrapText="1"/>
    </xf>
    <xf numFmtId="166" fontId="13" fillId="0" borderId="1" applyAlignment="1" pivotButton="0" quotePrefix="0" xfId="0">
      <alignment horizontal="center" vertical="center" wrapText="1"/>
    </xf>
    <xf numFmtId="165" fontId="20" fillId="0" borderId="1" applyAlignment="1" pivotButton="0" quotePrefix="0" xfId="0">
      <alignment vertical="center"/>
    </xf>
    <xf numFmtId="14" fontId="11" fillId="3" borderId="1" applyAlignment="1" pivotButton="0" quotePrefix="0" xfId="0">
      <alignment horizontal="center" vertical="center" wrapText="1"/>
    </xf>
    <xf numFmtId="166" fontId="11" fillId="3" borderId="1" applyAlignment="1" pivotButton="0" quotePrefix="0" xfId="0">
      <alignment horizontal="center" vertical="center" shrinkToFit="1"/>
    </xf>
    <xf numFmtId="166" fontId="10" fillId="0" borderId="1" applyAlignment="1" pivotButton="0" quotePrefix="0" xfId="0">
      <alignment vertical="center" shrinkToFi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1" fillId="0" borderId="0" applyAlignment="1" pivotButton="0" quotePrefix="0" xfId="0">
      <alignment vertical="center"/>
    </xf>
    <xf numFmtId="0" fontId="29" fillId="9" borderId="1" applyAlignment="1" pivotButton="0" quotePrefix="0" xfId="0">
      <alignment horizontal="center" vertical="center"/>
    </xf>
    <xf numFmtId="0" fontId="23" fillId="10" borderId="1" applyAlignment="1" pivotButton="0" quotePrefix="0" xfId="0">
      <alignment horizontal="center" vertical="center" wrapText="1"/>
    </xf>
    <xf numFmtId="0" fontId="22"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center" vertical="center"/>
    </xf>
    <xf numFmtId="0" fontId="23" fillId="10" borderId="1" applyAlignment="1" pivotButton="0" quotePrefix="0" xfId="0">
      <alignment horizontal="justify" vertical="center" wrapText="1"/>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0" fontId="23" fillId="0" borderId="1" applyAlignment="1" pivotButton="0" quotePrefix="0" xfId="0">
      <alignment horizontal="justify" vertical="center" wrapText="1"/>
    </xf>
    <xf numFmtId="165" fontId="11" fillId="3" borderId="2" applyAlignment="1" pivotButton="0" quotePrefix="0" xfId="0">
      <alignment vertical="center" shrinkToFit="1"/>
    </xf>
    <xf numFmtId="0" fontId="29" fillId="11" borderId="1" applyAlignment="1" pivotButton="0" quotePrefix="0" xfId="0">
      <alignment horizontal="center" vertical="center"/>
    </xf>
    <xf numFmtId="166" fontId="11" fillId="0" borderId="1" applyAlignment="1" pivotButton="0" quotePrefix="0" xfId="0">
      <alignment vertical="center" shrinkToFit="1"/>
    </xf>
    <xf numFmtId="0" fontId="22" fillId="0" borderId="1" applyAlignment="1" pivotButton="0" quotePrefix="0" xfId="0">
      <alignment horizontal="justify" vertical="center" wrapText="1"/>
    </xf>
    <xf numFmtId="0" fontId="29" fillId="0" borderId="1" applyAlignment="1" pivotButton="0" quotePrefix="0" xfId="0">
      <alignment horizontal="center" vertical="center"/>
    </xf>
    <xf numFmtId="165" fontId="11" fillId="12" borderId="1" applyAlignment="1" pivotButton="0" quotePrefix="0" xfId="0">
      <alignment horizontal="center" vertical="center" shrinkToFit="1"/>
    </xf>
    <xf numFmtId="0" fontId="23" fillId="0" borderId="2" applyAlignment="1" pivotButton="0" quotePrefix="0" xfId="0">
      <alignment horizontal="justify" vertical="center" wrapText="1"/>
    </xf>
    <xf numFmtId="0" fontId="22" fillId="12" borderId="1" applyAlignment="1" pivotButton="0" quotePrefix="0" xfId="0">
      <alignment horizontal="justify" vertical="center" wrapText="1"/>
    </xf>
    <xf numFmtId="165" fontId="6" fillId="2" borderId="1" applyAlignment="1" pivotButton="0" quotePrefix="0" xfId="0">
      <alignment horizontal="center" vertical="center"/>
    </xf>
    <xf numFmtId="0" fontId="6" fillId="2" borderId="5" applyAlignment="1" pivotButton="0" quotePrefix="0" xfId="0">
      <alignment horizontal="center" vertical="center"/>
    </xf>
    <xf numFmtId="0" fontId="6" fillId="2" borderId="6" applyAlignment="1" pivotButton="0" quotePrefix="0" xfId="0">
      <alignment horizontal="center" vertical="center"/>
    </xf>
    <xf numFmtId="0" fontId="6" fillId="2" borderId="4" applyAlignment="1" pivotButton="0" quotePrefix="0" xfId="0">
      <alignment horizontal="center" vertical="center"/>
    </xf>
    <xf numFmtId="0" fontId="7" fillId="13" borderId="5" applyAlignment="1" pivotButton="0" quotePrefix="0" xfId="0">
      <alignment horizontal="center" vertical="center"/>
    </xf>
    <xf numFmtId="0" fontId="7" fillId="13" borderId="4" applyAlignment="1" pivotButton="0" quotePrefix="0" xfId="0">
      <alignment horizontal="center" vertical="center"/>
    </xf>
    <xf numFmtId="166" fontId="7" fillId="10" borderId="5" applyAlignment="1" pivotButton="0" quotePrefix="0" xfId="0">
      <alignment horizontal="center" vertical="center" wrapText="1"/>
    </xf>
    <xf numFmtId="166" fontId="7" fillId="10" borderId="6" applyAlignment="1" pivotButton="0" quotePrefix="0" xfId="0">
      <alignment horizontal="center" vertical="center" wrapText="1"/>
    </xf>
    <xf numFmtId="166" fontId="7" fillId="10" borderId="4" applyAlignment="1" pivotButton="0" quotePrefix="0" xfId="0">
      <alignment horizontal="center" vertical="center" wrapText="1"/>
    </xf>
    <xf numFmtId="165" fontId="9" fillId="2" borderId="2" applyAlignment="1" pivotButton="0" quotePrefix="0" xfId="0">
      <alignment horizontal="center" vertical="center"/>
    </xf>
    <xf numFmtId="0" fontId="7" fillId="5" borderId="1" applyAlignment="1" pivotButton="0" quotePrefix="0" xfId="0">
      <alignment horizontal="center" vertical="center" wrapText="1"/>
    </xf>
    <xf numFmtId="0" fontId="7" fillId="10" borderId="1" applyAlignment="1" pivotButton="0" quotePrefix="0" xfId="0">
      <alignment horizontal="center" vertical="center"/>
    </xf>
    <xf numFmtId="166" fontId="7" fillId="10"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3" fillId="4" borderId="1" applyAlignment="1" pivotButton="0" quotePrefix="0" xfId="0">
      <alignment horizontal="center" vertical="center"/>
    </xf>
    <xf numFmtId="165" fontId="20" fillId="0" borderId="1" applyAlignment="1" pivotButton="0" quotePrefix="0" xfId="0">
      <alignment vertical="center"/>
    </xf>
    <xf numFmtId="0" fontId="29" fillId="0" borderId="1" applyAlignment="1" pivotButton="0" quotePrefix="0" xfId="0">
      <alignment vertical="center"/>
    </xf>
    <xf numFmtId="0" fontId="10" fillId="12" borderId="1" applyAlignment="1" pivotButton="0" quotePrefix="0" xfId="0">
      <alignment horizontal="center" vertical="center" shrinkToFit="1"/>
    </xf>
    <xf numFmtId="0" fontId="29" fillId="0" borderId="0" applyAlignment="1" pivotButton="0" quotePrefix="0" xfId="0">
      <alignment vertical="center"/>
    </xf>
    <xf numFmtId="166" fontId="7" fillId="7" borderId="2" applyAlignment="1" pivotButton="0" quotePrefix="0" xfId="0">
      <alignment horizontal="center" vertical="center" wrapText="1"/>
    </xf>
    <xf numFmtId="166" fontId="10" fillId="7" borderId="3" applyAlignment="1" pivotButton="0" quotePrefix="0" xfId="0">
      <alignment horizontal="center" vertical="center" wrapText="1"/>
    </xf>
    <xf numFmtId="166" fontId="7" fillId="7" borderId="7" applyAlignment="1" pivotButton="0" quotePrefix="0" xfId="0">
      <alignment horizontal="center" vertical="center" wrapText="1"/>
    </xf>
    <xf numFmtId="166" fontId="10" fillId="7" borderId="7" applyAlignment="1" pivotButton="0" quotePrefix="0" xfId="0">
      <alignment horizontal="center" vertical="center" wrapText="1"/>
    </xf>
    <xf numFmtId="0" fontId="22" fillId="5" borderId="1" applyAlignment="1" pivotButton="0" quotePrefix="0" xfId="0">
      <alignment vertical="center" wrapText="1"/>
    </xf>
    <xf numFmtId="165" fontId="11" fillId="3" borderId="1"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0" fontId="22" fillId="0" borderId="1" applyAlignment="1" pivotButton="0" quotePrefix="0" xfId="0">
      <alignment vertical="center"/>
    </xf>
    <xf numFmtId="165" fontId="11" fillId="8" borderId="1" applyAlignment="1" pivotButton="0" quotePrefix="0" xfId="0">
      <alignment horizontal="center" vertical="center"/>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0" fontId="22" fillId="8" borderId="1" applyAlignment="1" pivotButton="0" quotePrefix="0" xfId="0">
      <alignment vertical="center"/>
    </xf>
    <xf numFmtId="0" fontId="22" fillId="5" borderId="1" applyAlignment="1" pivotButton="0" quotePrefix="0" xfId="0">
      <alignment vertical="center"/>
    </xf>
    <xf numFmtId="165" fontId="11" fillId="8" borderId="1" applyAlignment="1" pivotButton="0" quotePrefix="0" xfId="0">
      <alignment horizontal="left" vertical="center"/>
    </xf>
    <xf numFmtId="0" fontId="7" fillId="5" borderId="1" applyAlignment="1" pivotButton="0" quotePrefix="0" xfId="0">
      <alignment horizontal="left" vertical="center" wrapText="1"/>
    </xf>
    <xf numFmtId="0" fontId="30" fillId="7" borderId="1" applyAlignment="1" pivotButton="0" quotePrefix="0" xfId="0">
      <alignment horizontal="center" vertical="center"/>
    </xf>
    <xf numFmtId="165" fontId="11" fillId="3" borderId="1"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6" fontId="10" fillId="7" borderId="5" applyAlignment="1" pivotButton="0" quotePrefix="0" xfId="0">
      <alignment horizontal="center" vertical="center" wrapText="1"/>
    </xf>
    <xf numFmtId="166" fontId="10" fillId="7" borderId="6" applyAlignment="1" pivotButton="0" quotePrefix="0" xfId="0">
      <alignment horizontal="center" vertical="center" wrapText="1"/>
    </xf>
    <xf numFmtId="166" fontId="10" fillId="7" borderId="4" applyAlignment="1" pivotButton="0" quotePrefix="0" xfId="0">
      <alignment horizontal="center" vertical="center" wrapText="1"/>
    </xf>
    <xf numFmtId="165" fontId="13" fillId="3" borderId="1" applyAlignment="1" pivotButton="0" quotePrefix="0" xfId="0">
      <alignment horizontal="center" vertical="center" wrapText="1"/>
    </xf>
    <xf numFmtId="165" fontId="11" fillId="8" borderId="1" applyAlignment="1" pivotButton="0" quotePrefix="0" xfId="0">
      <alignment vertical="center" shrinkToFit="1"/>
    </xf>
    <xf numFmtId="0" fontId="22" fillId="7" borderId="1" applyAlignment="1" pivotButton="0" quotePrefix="0" xfId="0">
      <alignment vertical="center"/>
    </xf>
    <xf numFmtId="0" fontId="22" fillId="7" borderId="1" applyAlignment="1" pivotButton="0" quotePrefix="0" xfId="0">
      <alignment horizontal="left" vertical="center" indent="3"/>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0" fontId="1"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center" vertical="center"/>
    </xf>
    <xf numFmtId="0" fontId="28" fillId="0" borderId="0"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xf>
    <xf numFmtId="0" fontId="31" fillId="0" borderId="0" applyAlignment="1" pivotButton="0" quotePrefix="0" xfId="0">
      <alignment vertical="center"/>
    </xf>
    <xf numFmtId="0" fontId="10" fillId="0" borderId="0" applyAlignment="1" pivotButton="0" quotePrefix="0" xfId="0">
      <alignment horizontal="right" vertical="center"/>
    </xf>
    <xf numFmtId="165" fontId="10" fillId="0" borderId="1" applyAlignment="1" pivotButton="0" quotePrefix="0" xfId="0">
      <alignment vertical="center"/>
    </xf>
    <xf numFmtId="0" fontId="10" fillId="0" borderId="5" applyAlignment="1" pivotButton="0" quotePrefix="0" xfId="0">
      <alignment vertical="center"/>
    </xf>
    <xf numFmtId="0" fontId="10" fillId="0" borderId="6" applyAlignment="1" pivotButton="0" quotePrefix="0" xfId="0">
      <alignment vertical="center"/>
    </xf>
    <xf numFmtId="0" fontId="10" fillId="0" borderId="4" applyAlignment="1" pivotButton="0" quotePrefix="0" xfId="0">
      <alignment vertical="center"/>
    </xf>
    <xf numFmtId="0" fontId="8" fillId="7" borderId="2" applyAlignment="1" pivotButton="0" quotePrefix="0" xfId="0">
      <alignment horizontal="center" vertical="center" wrapText="1"/>
    </xf>
    <xf numFmtId="0" fontId="8" fillId="7" borderId="5" applyAlignment="1" pivotButton="0" quotePrefix="0" xfId="0">
      <alignment horizontal="center" vertical="center" wrapText="1"/>
    </xf>
    <xf numFmtId="0" fontId="11" fillId="7" borderId="4" applyAlignment="1" pivotButton="0" quotePrefix="0" xfId="0">
      <alignment horizontal="center" vertical="center" wrapText="1"/>
    </xf>
    <xf numFmtId="0" fontId="11" fillId="7" borderId="3" applyAlignment="1" pivotButton="0" quotePrefix="0" xfId="0">
      <alignment horizontal="center" vertical="center" wrapText="1"/>
    </xf>
    <xf numFmtId="166" fontId="8" fillId="7" borderId="1" applyAlignment="1" pivotButton="0" quotePrefix="0" xfId="0">
      <alignment horizontal="center" vertical="center" wrapText="1"/>
    </xf>
    <xf numFmtId="0" fontId="8" fillId="7" borderId="3" applyAlignment="1" pivotButton="0" quotePrefix="0" xfId="0">
      <alignment horizontal="center" vertical="center" wrapText="1"/>
    </xf>
    <xf numFmtId="0" fontId="7" fillId="0" borderId="1" applyAlignment="1" pivotButton="0" quotePrefix="0" xfId="0">
      <alignment horizontal="justify" vertical="center" wrapText="1"/>
    </xf>
    <xf numFmtId="0" fontId="7" fillId="0" borderId="1" applyAlignment="1" pivotButton="0" quotePrefix="0" xfId="0">
      <alignment horizontal="center" vertical="center" wrapText="1"/>
    </xf>
    <xf numFmtId="9" fontId="10" fillId="0" borderId="1" applyAlignment="1" pivotButton="0" quotePrefix="0" xfId="3">
      <alignment horizontal="center" vertical="center" wrapText="1"/>
    </xf>
    <xf numFmtId="168" fontId="10" fillId="0" borderId="1" applyAlignment="1" pivotButton="0" quotePrefix="0" xfId="0">
      <alignment horizontal="center" vertical="center" wrapText="1"/>
    </xf>
    <xf numFmtId="9" fontId="13" fillId="3" borderId="1" applyAlignment="1" pivotButton="0" quotePrefix="0" xfId="3">
      <alignment horizontal="center" vertical="center" wrapText="1"/>
    </xf>
    <xf numFmtId="168" fontId="13" fillId="3" borderId="1" applyAlignment="1" pivotButton="0" quotePrefix="0" xfId="0">
      <alignment horizontal="center" vertical="center" wrapText="1"/>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7" fillId="0" borderId="1" applyAlignment="1" pivotButton="0" quotePrefix="0" xfId="0">
      <alignment vertical="center"/>
    </xf>
    <xf numFmtId="165" fontId="7" fillId="0" borderId="1" applyAlignment="1" pivotButton="0" quotePrefix="0" xfId="0">
      <alignment vertical="center"/>
    </xf>
    <xf numFmtId="166" fontId="10" fillId="14" borderId="1" applyAlignment="1" pivotButton="0" quotePrefix="0" xfId="0">
      <alignment horizontal="center" vertical="center" wrapText="1"/>
    </xf>
    <xf numFmtId="166" fontId="7" fillId="7" borderId="5" applyAlignment="1" pivotButton="0" quotePrefix="0" xfId="0">
      <alignment horizontal="center" vertical="center" wrapText="1"/>
    </xf>
    <xf numFmtId="166" fontId="7" fillId="7" borderId="1" applyAlignment="1" pivotButton="0" quotePrefix="0" xfId="0">
      <alignment horizontal="center" vertical="center" shrinkToFit="1"/>
    </xf>
    <xf numFmtId="0" fontId="32" fillId="14" borderId="1" applyAlignment="1" pivotButton="0" quotePrefix="0" xfId="0">
      <alignment horizontal="left" vertical="center" shrinkToFit="1"/>
    </xf>
    <xf numFmtId="165" fontId="13" fillId="3" borderId="1" applyAlignment="1" pivotButton="0" quotePrefix="0" xfId="0">
      <alignment vertical="center" shrinkToFit="1"/>
    </xf>
    <xf numFmtId="0" fontId="23" fillId="7" borderId="1" applyAlignment="1" pivotButton="0" quotePrefix="0" xfId="0">
      <alignment vertical="center" shrinkToFit="1"/>
    </xf>
    <xf numFmtId="165" fontId="13" fillId="0" borderId="1" applyAlignment="1" pivotButton="0" quotePrefix="0" xfId="0">
      <alignment horizontal="right" vertical="center" shrinkToFit="1"/>
    </xf>
    <xf numFmtId="165" fontId="13" fillId="0" borderId="1" applyAlignment="1" pivotButton="0" quotePrefix="0" xfId="0">
      <alignment vertical="center" shrinkToFit="1"/>
    </xf>
    <xf numFmtId="165" fontId="13" fillId="3" borderId="1" applyAlignment="1" pivotButton="0" quotePrefix="0" xfId="0">
      <alignment horizontal="left" vertical="center"/>
    </xf>
    <xf numFmtId="0" fontId="1" fillId="0" borderId="0" applyAlignment="1" pivotButton="0" quotePrefix="0" xfId="0">
      <alignment horizontal="center" vertical="center" wrapText="1"/>
    </xf>
    <xf numFmtId="0" fontId="2" fillId="2" borderId="2" applyAlignment="1" pivotButton="0" quotePrefix="0" xfId="0">
      <alignment horizontal="center" vertical="center"/>
    </xf>
    <xf numFmtId="0" fontId="7" fillId="5" borderId="2" applyAlignment="1" pivotButton="0" quotePrefix="0" xfId="0">
      <alignment horizontal="center" vertical="center" wrapText="1"/>
    </xf>
    <xf numFmtId="0" fontId="2" fillId="2" borderId="2" applyAlignment="1" pivotButton="0" quotePrefix="0" xfId="0">
      <alignment horizontal="center" vertical="center" wrapText="1"/>
    </xf>
    <xf numFmtId="0" fontId="17" fillId="0" borderId="1" applyAlignment="1" pivotButton="0" quotePrefix="0" xfId="0">
      <alignment horizontal="left" vertical="center"/>
    </xf>
    <xf numFmtId="0" fontId="9" fillId="2" borderId="2" applyAlignment="1" pivotButton="0" quotePrefix="0" xfId="0">
      <alignment horizontal="center" vertical="center"/>
    </xf>
    <xf numFmtId="0" fontId="2" fillId="2" borderId="7" applyAlignment="1" pivotButton="0" quotePrefix="0" xfId="0">
      <alignment horizontal="center" vertical="center"/>
    </xf>
    <xf numFmtId="0" fontId="10" fillId="5" borderId="3" applyAlignment="1" pivotButton="0" quotePrefix="0" xfId="0">
      <alignment horizontal="center" vertical="center" wrapText="1"/>
    </xf>
    <xf numFmtId="0" fontId="2" fillId="2" borderId="7" applyAlignment="1" pivotButton="0" quotePrefix="0" xfId="0">
      <alignment horizontal="center" vertical="center" wrapText="1"/>
    </xf>
    <xf numFmtId="0" fontId="2" fillId="2" borderId="3" applyAlignment="1" pivotButton="0" quotePrefix="0" xfId="0">
      <alignment horizontal="center" vertical="center" wrapText="1"/>
    </xf>
    <xf numFmtId="0" fontId="33" fillId="0" borderId="2"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center" vertical="center"/>
    </xf>
    <xf numFmtId="165" fontId="34" fillId="0" borderId="4" applyAlignment="1" pivotButton="0" quotePrefix="0" xfId="0">
      <alignment horizontal="center" vertical="center"/>
    </xf>
    <xf numFmtId="0" fontId="0" fillId="0" borderId="1" applyAlignment="1" pivotButton="0" quotePrefix="0" xfId="0">
      <alignment vertical="center"/>
    </xf>
    <xf numFmtId="0" fontId="11" fillId="5" borderId="1" applyAlignment="1" pivotButton="0" quotePrefix="0" xfId="0">
      <alignment horizontal="center" vertical="center"/>
    </xf>
    <xf numFmtId="39" fontId="26" fillId="4" borderId="1" applyAlignment="1" pivotButton="0" quotePrefix="0" xfId="0">
      <alignment horizontal="center" vertical="center"/>
    </xf>
    <xf numFmtId="165" fontId="34" fillId="4" borderId="1" applyAlignment="1" pivotButton="0" quotePrefix="0" xfId="0">
      <alignment horizontal="center" vertical="center"/>
    </xf>
    <xf numFmtId="0" fontId="17" fillId="4" borderId="1" applyAlignment="1" pivotButton="0" quotePrefix="0" xfId="0">
      <alignment horizontal="center" vertical="center"/>
    </xf>
    <xf numFmtId="0" fontId="17" fillId="0" borderId="0" applyAlignment="1" pivotButton="0" quotePrefix="0" xfId="0">
      <alignment horizontal="center" vertical="center"/>
    </xf>
    <xf numFmtId="0" fontId="5" fillId="0" borderId="1" applyAlignment="1" pivotButton="0" quotePrefix="0" xfId="0">
      <alignment horizontal="center" vertical="center"/>
    </xf>
    <xf numFmtId="167" fontId="12" fillId="0" borderId="1" applyAlignment="1" pivotButton="0" quotePrefix="0" xfId="0">
      <alignment horizontal="right" vertical="center"/>
    </xf>
    <xf numFmtId="165" fontId="13" fillId="0" borderId="4" applyAlignment="1" pivotButton="0" quotePrefix="0" xfId="0">
      <alignment horizontal="center" vertical="center"/>
    </xf>
    <xf numFmtId="0" fontId="2" fillId="0" borderId="1" applyAlignment="1" pivotButton="0" quotePrefix="0" xfId="0">
      <alignment horizontal="center" vertical="center"/>
    </xf>
    <xf numFmtId="0" fontId="35" fillId="0" borderId="1" applyAlignment="1" pivotButton="0" quotePrefix="0" xfId="0">
      <alignment horizontal="center" vertical="center" wrapText="1"/>
    </xf>
    <xf numFmtId="0" fontId="36" fillId="0" borderId="1" applyAlignment="1" pivotButton="0" quotePrefix="0" xfId="0">
      <alignment vertical="center" wrapText="1"/>
    </xf>
    <xf numFmtId="14" fontId="36" fillId="0" borderId="1" applyAlignment="1" pivotButton="0" quotePrefix="0" xfId="0">
      <alignment horizontal="center" vertical="center"/>
    </xf>
    <xf numFmtId="0" fontId="36" fillId="0" borderId="1" applyAlignment="1" pivotButton="0" quotePrefix="0" xfId="0">
      <alignment horizontal="center" vertical="center"/>
    </xf>
    <xf numFmtId="0" fontId="36" fillId="0" borderId="1" applyAlignment="1" pivotButton="0" quotePrefix="0" xfId="0">
      <alignment horizontal="center" vertical="center" wrapText="1"/>
    </xf>
    <xf numFmtId="0" fontId="23" fillId="15" borderId="1" applyAlignment="1" applyProtection="1" pivotButton="0" quotePrefix="0" xfId="0">
      <alignment horizontal="center" vertical="center"/>
      <protection locked="0" hidden="0"/>
    </xf>
    <xf numFmtId="169" fontId="23" fillId="15" borderId="1" applyAlignment="1" applyProtection="1" pivotButton="0" quotePrefix="0" xfId="0">
      <alignment horizontal="center" vertical="center"/>
      <protection locked="0" hidden="0"/>
    </xf>
    <xf numFmtId="0" fontId="19" fillId="15" borderId="2" applyAlignment="1" pivotButton="0" quotePrefix="0" xfId="0">
      <alignment horizontal="center" vertical="center" wrapText="1"/>
    </xf>
    <xf numFmtId="0" fontId="7" fillId="15" borderId="1" applyAlignment="1" pivotButton="0" quotePrefix="0" xfId="0">
      <alignment horizontal="center" vertical="center"/>
    </xf>
    <xf numFmtId="0" fontId="18" fillId="5" borderId="1" applyAlignment="1" pivotButton="0" quotePrefix="0" xfId="0">
      <alignment horizontal="center" vertical="center"/>
    </xf>
    <xf numFmtId="0" fontId="19" fillId="15" borderId="3" applyAlignment="1" pivotButton="0" quotePrefix="0" xfId="0">
      <alignment horizontal="center" vertical="center" wrapText="1"/>
    </xf>
    <xf numFmtId="0" fontId="10" fillId="15" borderId="1" applyAlignment="1" pivotButton="0" quotePrefix="0" xfId="0">
      <alignment horizontal="center" vertical="center"/>
    </xf>
    <xf numFmtId="0" fontId="2" fillId="0" borderId="1" applyAlignment="1" pivotButton="0" quotePrefix="0" xfId="0">
      <alignment horizontal="center" vertical="center"/>
    </xf>
    <xf numFmtId="165" fontId="10" fillId="3" borderId="1" applyAlignment="1" applyProtection="1" pivotButton="0" quotePrefix="0" xfId="0">
      <alignment horizontal="right" vertical="center" shrinkToFit="1"/>
      <protection locked="0" hidden="0"/>
    </xf>
    <xf numFmtId="0" fontId="2" fillId="0" borderId="1" applyAlignment="1" pivotButton="0" quotePrefix="0" xfId="0">
      <alignment vertical="center"/>
    </xf>
    <xf numFmtId="0" fontId="2" fillId="4" borderId="1" applyAlignment="1" pivotButton="0" quotePrefix="0" xfId="0">
      <alignment horizontal="center" vertical="center"/>
    </xf>
    <xf numFmtId="0" fontId="0" fillId="2" borderId="1" applyAlignment="1" pivotButton="0" quotePrefix="0" xfId="0">
      <alignment vertical="center"/>
    </xf>
    <xf numFmtId="0" fontId="0" fillId="0" borderId="0" applyAlignment="1" pivotButton="0" quotePrefix="0" xfId="0">
      <alignment horizontal="right" vertical="center"/>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1" fillId="0" borderId="0" applyAlignment="1" pivotButton="0" quotePrefix="0" xfId="0">
      <alignment horizontal="right" vertical="center" wrapText="1"/>
    </xf>
    <xf numFmtId="0" fontId="0" fillId="0" borderId="0" applyAlignment="1" pivotButton="0" quotePrefix="0" xfId="0">
      <alignment horizontal="center" vertical="center" wrapText="1"/>
    </xf>
    <xf numFmtId="0" fontId="6" fillId="2" borderId="5" applyAlignment="1" pivotButton="0" quotePrefix="0" xfId="0">
      <alignment horizontal="center" vertical="center" wrapText="1"/>
    </xf>
    <xf numFmtId="0" fontId="5" fillId="0"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13" fillId="4" borderId="4"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4" fontId="3" fillId="0" borderId="1" applyAlignment="1" pivotButton="0" quotePrefix="0" xfId="0">
      <alignment horizontal="center" vertical="center" wrapText="1"/>
    </xf>
    <xf numFmtId="0" fontId="10" fillId="5" borderId="5" applyAlignment="1" pivotButton="0" quotePrefix="0" xfId="0">
      <alignment horizontal="center" vertical="center" shrinkToFit="1"/>
    </xf>
    <xf numFmtId="0" fontId="10" fillId="5" borderId="4" applyAlignment="1" pivotButton="0" quotePrefix="0" xfId="0">
      <alignment horizontal="center" vertical="center" shrinkToFit="1"/>
    </xf>
    <xf numFmtId="0" fontId="17" fillId="0" borderId="4" applyAlignment="1" pivotButton="0" quotePrefix="0" xfId="0">
      <alignment horizontal="center" vertical="center"/>
    </xf>
    <xf numFmtId="165" fontId="20" fillId="4" borderId="1" applyAlignment="1" pivotButton="0" quotePrefix="0" xfId="0">
      <alignment horizontal="right" vertical="center"/>
    </xf>
    <xf numFmtId="165" fontId="20" fillId="0" borderId="1" applyAlignment="1" pivotButton="0" quotePrefix="0" xfId="0">
      <alignment horizontal="center" vertical="center"/>
    </xf>
    <xf numFmtId="0" fontId="6" fillId="2" borderId="8" applyAlignment="1" pivotButton="0" quotePrefix="0" xfId="0">
      <alignment horizontal="center" vertical="center"/>
    </xf>
    <xf numFmtId="165" fontId="7" fillId="5" borderId="5" applyAlignment="1" pivotButton="0" quotePrefix="0" xfId="0">
      <alignment horizontal="center" vertical="center" wrapText="1"/>
    </xf>
    <xf numFmtId="0" fontId="6" fillId="2" borderId="9" applyAlignment="1" pivotButton="0" quotePrefix="0" xfId="0">
      <alignment horizontal="center" vertical="center"/>
    </xf>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4" fillId="0" borderId="1" applyAlignment="1" pivotButton="0" quotePrefix="0" xfId="0">
      <alignment horizontal="center" vertical="center"/>
    </xf>
    <xf numFmtId="165" fontId="34" fillId="0" borderId="0" applyAlignment="1" pivotButton="0" quotePrefix="0" xfId="0">
      <alignment horizontal="center" vertical="center"/>
    </xf>
    <xf numFmtId="165" fontId="20" fillId="4" borderId="1" applyAlignment="1" pivotButton="0" quotePrefix="0" xfId="0">
      <alignment vertical="center"/>
    </xf>
    <xf numFmtId="0" fontId="20" fillId="4" borderId="1"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xf>
    <xf numFmtId="165" fontId="0" fillId="0" borderId="0" applyAlignment="1" pivotButton="0" quotePrefix="0" xfId="0">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5" applyAlignment="1" pivotButton="0" quotePrefix="0" xfId="0">
      <alignment horizontal="center" vertical="center"/>
    </xf>
    <xf numFmtId="165" fontId="6" fillId="2" borderId="6" applyAlignment="1" pivotButton="0" quotePrefix="0" xfId="0">
      <alignment horizontal="center" vertical="center"/>
    </xf>
    <xf numFmtId="165" fontId="6" fillId="2" borderId="2" applyAlignment="1" pivotButton="0" quotePrefix="0" xfId="0">
      <alignment horizontal="center" vertical="center"/>
    </xf>
    <xf numFmtId="165" fontId="2" fillId="2" borderId="2" applyAlignment="1" pivotButton="0" quotePrefix="0" xfId="0">
      <alignment horizontal="center" vertical="center"/>
    </xf>
    <xf numFmtId="165" fontId="7" fillId="5" borderId="2" applyAlignment="1" pivotButton="0" quotePrefix="0" xfId="0">
      <alignment horizontal="center" vertical="center" wrapText="1"/>
    </xf>
    <xf numFmtId="165" fontId="2" fillId="2" borderId="2"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6" fillId="2" borderId="3" applyAlignment="1" pivotButton="0" quotePrefix="0" xfId="0">
      <alignment horizontal="center" vertical="center"/>
    </xf>
    <xf numFmtId="165" fontId="2" fillId="2" borderId="7" applyAlignment="1" pivotButton="0" quotePrefix="0" xfId="0">
      <alignment horizontal="center" vertical="center"/>
    </xf>
    <xf numFmtId="165" fontId="10" fillId="5" borderId="3" applyAlignment="1" pivotButton="0" quotePrefix="0" xfId="0">
      <alignment horizontal="center" vertical="center" wrapText="1"/>
    </xf>
    <xf numFmtId="165" fontId="2" fillId="2" borderId="7" applyAlignment="1" pivotButton="0" quotePrefix="0" xfId="0">
      <alignment horizontal="center" vertical="center" wrapText="1"/>
    </xf>
    <xf numFmtId="165" fontId="2" fillId="2" borderId="3"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5"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17" fillId="0" borderId="0" applyAlignment="1" pivotButton="0" quotePrefix="0" xfId="0">
      <alignment horizontal="center" vertical="center"/>
    </xf>
    <xf numFmtId="165" fontId="13" fillId="4" borderId="1" applyAlignment="1" pivotButton="0" quotePrefix="0" xfId="0">
      <alignment vertical="center"/>
    </xf>
    <xf numFmtId="165" fontId="13" fillId="0" borderId="1" applyAlignment="1" pivotButton="0" quotePrefix="0" xfId="0">
      <alignment vertical="center"/>
    </xf>
    <xf numFmtId="165" fontId="3" fillId="0" borderId="1" applyAlignment="1" pivotButton="0" quotePrefix="0" xfId="0">
      <alignment vertical="center"/>
    </xf>
    <xf numFmtId="0" fontId="20" fillId="0" borderId="0" applyAlignment="1" pivotButton="0" quotePrefix="0" xfId="0">
      <alignment vertical="center"/>
    </xf>
    <xf numFmtId="0" fontId="22" fillId="0" borderId="1" applyAlignment="1" pivotButton="0" quotePrefix="0" xfId="0">
      <alignment horizontal="center" vertical="center"/>
    </xf>
    <xf numFmtId="14" fontId="23" fillId="16" borderId="1" applyAlignment="1" pivotButton="0" quotePrefix="0" xfId="0">
      <alignment horizontal="center" vertical="center"/>
    </xf>
    <xf numFmtId="14" fontId="23" fillId="3" borderId="1" applyAlignment="1" pivotButton="0" quotePrefix="0" xfId="0">
      <alignment horizontal="center" vertical="center"/>
    </xf>
    <xf numFmtId="0" fontId="7" fillId="14" borderId="1" applyAlignment="1" pivotButton="0" quotePrefix="0" xfId="0">
      <alignment horizontal="center" vertical="center" wrapText="1"/>
    </xf>
    <xf numFmtId="0" fontId="13" fillId="0" borderId="1" applyAlignment="1" pivotButton="0" quotePrefix="0" xfId="0">
      <alignment horizontal="center" vertical="center" wrapText="1"/>
    </xf>
    <xf numFmtId="165" fontId="20" fillId="0" borderId="1" applyAlignment="1" pivotButton="0" quotePrefix="0" xfId="1">
      <alignment vertical="center"/>
    </xf>
    <xf numFmtId="170" fontId="20" fillId="0" borderId="1" applyAlignment="1" pivotButton="0" quotePrefix="0" xfId="0">
      <alignment horizontal="center" vertical="center"/>
    </xf>
    <xf numFmtId="0" fontId="20" fillId="0" borderId="1" applyAlignment="1" pivotButton="0" quotePrefix="0" xfId="0">
      <alignment horizontal="center" vertical="center"/>
    </xf>
    <xf numFmtId="0" fontId="20" fillId="3"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0" fontId="37" fillId="5" borderId="1" applyAlignment="1" pivotButton="0" quotePrefix="0" xfId="0">
      <alignment horizontal="center" vertical="center"/>
    </xf>
    <xf numFmtId="0" fontId="20" fillId="5" borderId="1" applyAlignment="1" pivotButton="0" quotePrefix="0" xfId="0">
      <alignment horizontal="center" vertical="center"/>
    </xf>
    <xf numFmtId="0" fontId="7" fillId="0" borderId="0" applyAlignment="1" pivotButton="0" quotePrefix="0" xfId="0">
      <alignment horizontal="center" vertical="center"/>
    </xf>
    <xf numFmtId="0" fontId="28" fillId="0" borderId="0" applyAlignment="1" pivotButton="0" quotePrefix="0" xfId="0">
      <alignment horizontal="left" vertical="center"/>
    </xf>
    <xf numFmtId="0" fontId="10" fillId="0" borderId="0" applyAlignment="1" pivotButton="0" quotePrefix="0" xfId="0">
      <alignment horizontal="left" vertical="center"/>
    </xf>
    <xf numFmtId="0" fontId="38" fillId="0" borderId="0" applyAlignment="1" pivotButton="0" quotePrefix="0" xfId="0">
      <alignment vertical="center"/>
    </xf>
    <xf numFmtId="14" fontId="10" fillId="0" borderId="0" applyAlignment="1" pivotButton="0" quotePrefix="0" xfId="0">
      <alignment horizontal="left" vertical="center"/>
    </xf>
    <xf numFmtId="0" fontId="39" fillId="0" borderId="0" applyAlignment="1" pivotButton="0" quotePrefix="0" xfId="0">
      <alignment vertical="center"/>
    </xf>
    <xf numFmtId="0" fontId="10" fillId="12" borderId="2" applyAlignment="1" pivotButton="0" quotePrefix="0" xfId="0">
      <alignment horizontal="center" vertical="center"/>
    </xf>
    <xf numFmtId="0" fontId="7" fillId="12" borderId="2" applyAlignment="1" pivotButton="0" quotePrefix="0" xfId="0">
      <alignment horizontal="center" vertical="center" wrapText="1"/>
    </xf>
    <xf numFmtId="166" fontId="10" fillId="14" borderId="5" applyAlignment="1" pivotButton="0" quotePrefix="0" xfId="0">
      <alignment horizontal="center" vertical="center" wrapText="1"/>
    </xf>
    <xf numFmtId="166" fontId="10" fillId="14" borderId="6" applyAlignment="1" pivotButton="0" quotePrefix="0" xfId="0">
      <alignment horizontal="center" vertical="center" wrapText="1"/>
    </xf>
    <xf numFmtId="166" fontId="10" fillId="14" borderId="4" applyAlignment="1" pivotButton="0" quotePrefix="0" xfId="0">
      <alignment horizontal="center" vertical="center" wrapText="1"/>
    </xf>
    <xf numFmtId="166" fontId="7" fillId="13" borderId="2" applyAlignment="1" pivotButton="0" quotePrefix="0" xfId="0">
      <alignment horizontal="center" vertical="center" wrapText="1"/>
    </xf>
    <xf numFmtId="0" fontId="10" fillId="12" borderId="3" applyAlignment="1" pivotButton="0" quotePrefix="0" xfId="0">
      <alignment horizontal="center" vertical="center"/>
    </xf>
    <xf numFmtId="0" fontId="10" fillId="12" borderId="3" applyAlignment="1" pivotButton="0" quotePrefix="0" xfId="0">
      <alignment horizontal="center" vertical="center" wrapText="1"/>
    </xf>
    <xf numFmtId="166" fontId="7" fillId="14" borderId="1" applyAlignment="1" pivotButton="0" quotePrefix="0" xfId="0">
      <alignment horizontal="center" vertical="center" wrapText="1"/>
    </xf>
    <xf numFmtId="166" fontId="10" fillId="5" borderId="1" applyAlignment="1" pivotButton="0" quotePrefix="0" xfId="0">
      <alignment horizontal="center" vertical="center" wrapText="1"/>
    </xf>
    <xf numFmtId="166" fontId="7" fillId="13" borderId="3" applyAlignment="1" pivotButton="0" quotePrefix="0" xfId="0">
      <alignment horizontal="center" vertical="center" wrapText="1"/>
    </xf>
    <xf numFmtId="0" fontId="11" fillId="0" borderId="1" applyAlignment="1" pivotButton="0" quotePrefix="0" xfId="0">
      <alignment horizontal="center" vertical="center" shrinkToFit="1"/>
    </xf>
    <xf numFmtId="165" fontId="7" fillId="0" borderId="1" applyAlignment="1" pivotButton="0" quotePrefix="0" xfId="0">
      <alignment horizontal="center" vertical="center"/>
    </xf>
    <xf numFmtId="49" fontId="22" fillId="0" borderId="1" applyAlignment="1" pivotButton="0" quotePrefix="0" xfId="0">
      <alignment horizontal="center" vertical="center" shrinkToFit="1"/>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49" fontId="7" fillId="12" borderId="1" applyAlignment="1" pivotButton="0" quotePrefix="0" xfId="0">
      <alignment horizontal="center" vertical="center" shrinkToFit="1"/>
    </xf>
    <xf numFmtId="49" fontId="10" fillId="12" borderId="1" applyAlignment="1" pivotButton="0" quotePrefix="0" xfId="0">
      <alignment horizontal="center" vertical="center" shrinkToFit="1"/>
    </xf>
    <xf numFmtId="165" fontId="11" fillId="3" borderId="1" applyAlignment="1" pivotButton="0" quotePrefix="0" xfId="0">
      <alignment vertical="center" shrinkToFit="1"/>
    </xf>
    <xf numFmtId="0" fontId="10" fillId="0" borderId="10" applyAlignment="1" pivotButton="0" quotePrefix="0" xfId="0">
      <alignment horizontal="center" vertical="center"/>
    </xf>
    <xf numFmtId="0" fontId="39" fillId="0" borderId="0" pivotButton="0" quotePrefix="0" xfId="0"/>
    <xf numFmtId="0" fontId="10" fillId="0" borderId="1" applyAlignment="1" pivotButton="0" quotePrefix="0" xfId="0">
      <alignment horizontal="center" vertical="center" shrinkToFit="1"/>
    </xf>
    <xf numFmtId="165" fontId="10" fillId="0" borderId="1" applyAlignment="1" pivotButton="0" quotePrefix="0" xfId="0">
      <alignment horizontal="center" vertical="center"/>
    </xf>
    <xf numFmtId="165" fontId="11" fillId="0" borderId="1" applyAlignment="1" pivotButton="0" quotePrefix="0" xfId="1">
      <alignment horizontal="right" vertical="center"/>
    </xf>
    <xf numFmtId="165" fontId="11" fillId="3" borderId="1" applyAlignment="1" pivotButton="0" quotePrefix="0" xfId="1">
      <alignment horizontal="center" vertical="center" shrinkToFit="1"/>
    </xf>
    <xf numFmtId="165" fontId="11" fillId="0" borderId="1" applyAlignment="1" pivotButton="0" quotePrefix="0" xfId="1">
      <alignment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0" fontId="10" fillId="12" borderId="1" applyAlignment="1" pivotButton="0" quotePrefix="0" xfId="0">
      <alignment horizontal="center" vertical="center" shrinkToFit="1"/>
    </xf>
    <xf numFmtId="165" fontId="11" fillId="3" borderId="1" applyAlignment="1" pivotButton="0" quotePrefix="0" xfId="1">
      <alignment horizontal="right" vertical="center" shrinkToFit="1"/>
    </xf>
    <xf numFmtId="0" fontId="10" fillId="0" borderId="0" applyAlignment="1" pivotButton="0" quotePrefix="0" xfId="0">
      <alignment vertical="center"/>
    </xf>
    <xf numFmtId="0" fontId="7" fillId="12" borderId="2" applyAlignment="1" pivotButton="0" quotePrefix="0" xfId="0">
      <alignment horizontal="center" vertical="center" wrapText="1"/>
    </xf>
    <xf numFmtId="0" fontId="10" fillId="12" borderId="3" applyAlignment="1" pivotButton="0" quotePrefix="0" xfId="0">
      <alignment horizontal="center" vertical="center" wrapTex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0" fontId="28" fillId="5" borderId="1" applyAlignment="1" pivotButton="0" quotePrefix="0" xfId="0">
      <alignment horizontal="center" vertical="center"/>
    </xf>
    <xf numFmtId="0" fontId="30" fillId="5" borderId="1" applyAlignment="1" pivotButton="0" quotePrefix="0" xfId="0">
      <alignment horizontal="center" vertical="center"/>
    </xf>
    <xf numFmtId="0" fontId="10" fillId="5" borderId="1" applyAlignment="1" pivotButton="0" quotePrefix="0" xfId="0">
      <alignment vertical="center"/>
    </xf>
    <xf numFmtId="165" fontId="10" fillId="3" borderId="1" applyAlignment="1" pivotButton="0" quotePrefix="0" xfId="0">
      <alignment vertical="center"/>
    </xf>
    <xf numFmtId="0" fontId="40" fillId="0" borderId="1" applyAlignment="1" pivotButton="0" quotePrefix="0" xfId="0">
      <alignment horizontal="left" vertical="center" wrapText="1"/>
    </xf>
    <xf numFmtId="0" fontId="37" fillId="0" borderId="1" applyAlignment="1" pivotButton="0" quotePrefix="0" xfId="0">
      <alignment horizontal="left" vertical="center" shrinkToFit="1"/>
    </xf>
    <xf numFmtId="0" fontId="7" fillId="5" borderId="2" applyAlignment="1" pivotButton="0" quotePrefix="0" xfId="0">
      <alignment horizontal="center" vertical="center"/>
    </xf>
    <xf numFmtId="0" fontId="10" fillId="5" borderId="2" applyAlignment="1" pivotButton="0" quotePrefix="0" xfId="0">
      <alignment horizontal="center" vertical="center"/>
    </xf>
    <xf numFmtId="14" fontId="10" fillId="17" borderId="2" applyAlignment="1" pivotButton="0" quotePrefix="0" xfId="0">
      <alignment horizontal="center" vertical="center" shrinkToFit="1"/>
    </xf>
    <xf numFmtId="0" fontId="10" fillId="14"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8" borderId="1" applyAlignment="1" pivotButton="0" quotePrefix="0" xfId="0">
      <alignment horizontal="center" vertical="center" wrapText="1"/>
    </xf>
    <xf numFmtId="14" fontId="7" fillId="14" borderId="1" applyAlignment="1" pivotButton="0" quotePrefix="0" xfId="0">
      <alignment horizontal="center" vertical="center" wrapText="1"/>
    </xf>
    <xf numFmtId="14" fontId="10" fillId="14" borderId="1" applyAlignment="1" pivotButton="0" quotePrefix="0" xfId="0">
      <alignment horizontal="center" vertical="center" wrapText="1"/>
    </xf>
    <xf numFmtId="0" fontId="13" fillId="0" borderId="1" applyAlignment="1" pivotButton="0" quotePrefix="0" xfId="0">
      <alignment horizontal="center" vertical="center"/>
    </xf>
    <xf numFmtId="165" fontId="13" fillId="0" borderId="1" applyAlignment="1" pivotButton="0" quotePrefix="0" xfId="0">
      <alignment horizontal="left" vertical="center"/>
    </xf>
    <xf numFmtId="165" fontId="13" fillId="0" borderId="1" applyAlignment="1" pivotButton="0" quotePrefix="0" xfId="0">
      <alignment horizontal="right" vertical="center"/>
    </xf>
    <xf numFmtId="165" fontId="13" fillId="0" borderId="1" applyAlignment="1" pivotButton="0" quotePrefix="0" xfId="0">
      <alignment vertical="center"/>
    </xf>
    <xf numFmtId="10" fontId="13" fillId="0" borderId="1" applyAlignment="1" pivotButton="0" quotePrefix="0" xfId="0">
      <alignment horizontal="center" vertical="center"/>
    </xf>
    <xf numFmtId="0" fontId="13" fillId="3" borderId="1" applyAlignment="1" pivotButton="0" quotePrefix="0" xfId="0">
      <alignment horizontal="center" vertical="center"/>
    </xf>
    <xf numFmtId="14" fontId="13" fillId="3" borderId="1" applyAlignment="1" pivotButton="0" quotePrefix="0" xfId="0">
      <alignment horizontal="center" vertical="center"/>
    </xf>
    <xf numFmtId="171" fontId="13" fillId="3" borderId="1" applyAlignment="1" pivotButton="0" quotePrefix="0" xfId="0">
      <alignment horizontal="center" vertical="center"/>
    </xf>
    <xf numFmtId="0" fontId="13" fillId="0" borderId="2" applyAlignment="1" pivotButton="0" quotePrefix="0" xfId="0">
      <alignment horizontal="center" vertical="center"/>
    </xf>
    <xf numFmtId="0" fontId="37" fillId="2" borderId="5" applyAlignment="1" pivotButton="0" quotePrefix="0" xfId="0">
      <alignment horizontal="center" vertical="center"/>
    </xf>
    <xf numFmtId="0" fontId="20" fillId="2" borderId="6" applyAlignment="1" pivotButton="0" quotePrefix="0" xfId="0">
      <alignment horizontal="center" vertical="center"/>
    </xf>
    <xf numFmtId="0" fontId="20" fillId="2" borderId="4" applyAlignment="1" pivotButton="0" quotePrefix="0" xfId="0">
      <alignment horizontal="center" vertical="center"/>
    </xf>
    <xf numFmtId="165" fontId="20" fillId="2" borderId="1" applyAlignment="1" pivotButton="0" quotePrefix="0" xfId="0">
      <alignment vertical="center"/>
    </xf>
    <xf numFmtId="0" fontId="33" fillId="0" borderId="0" applyAlignment="1" pivotButton="0" quotePrefix="0" xfId="0">
      <alignment vertical="center"/>
    </xf>
    <xf numFmtId="0" fontId="11" fillId="18" borderId="1" applyAlignment="1" pivotButton="0" quotePrefix="0" xfId="0">
      <alignment horizontal="center" vertical="center" wrapText="1"/>
    </xf>
    <xf numFmtId="0" fontId="11" fillId="18" borderId="2" applyAlignment="1" pivotButton="0" quotePrefix="0" xfId="0">
      <alignment horizontal="center" vertical="center" wrapText="1"/>
    </xf>
    <xf numFmtId="0" fontId="11" fillId="18" borderId="1" applyAlignment="1" pivotButton="0" quotePrefix="0" xfId="0">
      <alignment horizontal="center" vertical="center" wrapText="1"/>
    </xf>
    <xf numFmtId="0" fontId="11" fillId="18" borderId="1" applyAlignment="1" pivotButton="0" quotePrefix="0" xfId="0">
      <alignment horizontal="center" vertical="center"/>
    </xf>
    <xf numFmtId="0" fontId="11" fillId="18" borderId="5" applyAlignment="1" pivotButton="0" quotePrefix="0" xfId="0">
      <alignment horizontal="center" vertical="center"/>
    </xf>
    <xf numFmtId="0" fontId="11" fillId="18" borderId="6" applyAlignment="1" pivotButton="0" quotePrefix="0" xfId="0">
      <alignment horizontal="center" vertical="center"/>
    </xf>
    <xf numFmtId="0" fontId="11" fillId="18" borderId="4" applyAlignment="1" pivotButton="0" quotePrefix="0" xfId="0">
      <alignment horizontal="center" vertical="center"/>
    </xf>
    <xf numFmtId="0" fontId="3" fillId="2" borderId="1" applyAlignment="1" pivotButton="0" quotePrefix="0" xfId="0">
      <alignment horizontal="center" vertical="center"/>
    </xf>
    <xf numFmtId="0" fontId="11" fillId="18" borderId="3" applyAlignment="1" pivotButton="0" quotePrefix="0" xfId="0">
      <alignment horizontal="center" vertical="center" wrapText="1"/>
    </xf>
    <xf numFmtId="166" fontId="13" fillId="0" borderId="1" applyAlignment="1" pivotButton="0" quotePrefix="0" xfId="0">
      <alignment vertical="center" shrinkToFit="1"/>
    </xf>
    <xf numFmtId="14" fontId="11" fillId="0" borderId="1" applyAlignment="1" pivotButton="0" quotePrefix="0" xfId="0">
      <alignment horizontal="center" vertical="center"/>
    </xf>
    <xf numFmtId="172" fontId="11" fillId="0" borderId="1" applyAlignment="1" pivotButton="0" quotePrefix="0" xfId="0">
      <alignment horizontal="center" vertical="center"/>
    </xf>
    <xf numFmtId="0" fontId="4" fillId="2" borderId="5" applyAlignment="1" pivotButton="0" quotePrefix="0" xfId="0">
      <alignment horizontal="center" vertical="center"/>
    </xf>
    <xf numFmtId="0" fontId="20" fillId="2" borderId="1"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10" fillId="5" borderId="1" applyAlignment="1" pivotButton="0" quotePrefix="0" xfId="0">
      <alignment horizontal="center" vertical="center"/>
    </xf>
    <xf numFmtId="0" fontId="10" fillId="5" borderId="1" applyAlignment="1" pivotButton="0" quotePrefix="0" xfId="0">
      <alignment horizontal="centerContinuous" vertical="center"/>
    </xf>
    <xf numFmtId="0" fontId="7" fillId="5" borderId="1" applyAlignment="1" pivotButton="0" quotePrefix="0" xfId="0">
      <alignment horizontal="center" vertical="center"/>
    </xf>
    <xf numFmtId="166" fontId="10" fillId="0" borderId="1" applyAlignment="1" pivotButton="0" quotePrefix="0" xfId="0">
      <alignment vertical="center"/>
    </xf>
    <xf numFmtId="0" fontId="13" fillId="5" borderId="1" applyAlignment="1" pivotButton="0" quotePrefix="0" xfId="0">
      <alignment horizontal="center"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6" fontId="7" fillId="10" borderId="2" applyAlignment="1" pivotButton="0" quotePrefix="0" xfId="0">
      <alignment horizontal="center" vertical="center" wrapText="1"/>
    </xf>
    <xf numFmtId="0" fontId="2" fillId="2" borderId="1" applyAlignment="1" pivotButton="0" quotePrefix="0" xfId="0">
      <alignment horizontal="center" vertical="center"/>
    </xf>
    <xf numFmtId="166" fontId="7" fillId="10" borderId="3" applyAlignment="1" pivotButton="0" quotePrefix="0" xfId="0">
      <alignment horizontal="center" vertical="center" wrapText="1"/>
    </xf>
    <xf numFmtId="0" fontId="2" fillId="2" borderId="3" applyAlignment="1" pivotButton="0" quotePrefix="0" xfId="0">
      <alignment horizontal="center" vertical="center"/>
    </xf>
    <xf numFmtId="0" fontId="33" fillId="2" borderId="1" applyAlignment="1" pivotButton="0" quotePrefix="0" xfId="0">
      <alignment vertical="center"/>
    </xf>
    <xf numFmtId="165" fontId="20" fillId="4" borderId="1" applyAlignment="1" pivotButton="0" quotePrefix="0" xfId="0">
      <alignment vertical="center"/>
    </xf>
    <xf numFmtId="0" fontId="41" fillId="2" borderId="5" applyAlignment="1" pivotButton="0" quotePrefix="0" xfId="0">
      <alignment horizontal="center" vertical="center"/>
    </xf>
    <xf numFmtId="0" fontId="16" fillId="2" borderId="4" applyAlignment="1" pivotButton="0" quotePrefix="0" xfId="0">
      <alignment horizontal="center" vertical="center"/>
    </xf>
    <xf numFmtId="0" fontId="10" fillId="18" borderId="1" applyAlignment="1" pivotButton="0" quotePrefix="0" xfId="0">
      <alignment horizontal="center" vertical="center"/>
    </xf>
    <xf numFmtId="0" fontId="18" fillId="18" borderId="1" applyAlignment="1" pivotButton="0" quotePrefix="0" xfId="0">
      <alignment horizontal="center" vertical="center"/>
    </xf>
    <xf numFmtId="0" fontId="19" fillId="18" borderId="1" applyAlignment="1" pivotButton="0" quotePrefix="0" xfId="0">
      <alignment horizontal="center" vertical="center"/>
    </xf>
    <xf numFmtId="0" fontId="18" fillId="18" borderId="5" applyAlignment="1" pivotButton="0" quotePrefix="0" xfId="0">
      <alignment horizontal="center" vertical="center"/>
    </xf>
    <xf numFmtId="0" fontId="18" fillId="18" borderId="6" applyAlignment="1" pivotButton="0" quotePrefix="0" xfId="0">
      <alignment horizontal="center" vertical="center"/>
    </xf>
    <xf numFmtId="0" fontId="7" fillId="18" borderId="2" applyAlignment="1" pivotButton="0" quotePrefix="0" xfId="0">
      <alignment horizontal="center" vertical="center" wrapText="1"/>
    </xf>
    <xf numFmtId="0" fontId="7" fillId="18" borderId="1" applyAlignment="1" pivotButton="0" quotePrefix="0" xfId="0">
      <alignment horizontal="center" vertical="center"/>
    </xf>
    <xf numFmtId="0" fontId="7" fillId="18" borderId="1" applyAlignment="1" pivotButton="0" quotePrefix="0" xfId="0">
      <alignment horizontal="center" vertical="center" wrapText="1"/>
    </xf>
    <xf numFmtId="0" fontId="7" fillId="18" borderId="3" applyAlignment="1" pivotButton="0" quotePrefix="0" xfId="0">
      <alignment horizontal="center" vertical="center" wrapText="1"/>
    </xf>
    <xf numFmtId="0" fontId="7" fillId="7" borderId="1" applyAlignment="1" pivotButton="0" quotePrefix="0" xfId="0">
      <alignment horizontal="left" vertical="center"/>
    </xf>
    <xf numFmtId="0" fontId="10" fillId="7" borderId="1" applyAlignment="1" pivotButton="0" quotePrefix="0" xfId="0">
      <alignment horizontal="center" vertical="center"/>
    </xf>
    <xf numFmtId="49" fontId="10" fillId="7" borderId="1" applyAlignment="1" pivotButton="0" quotePrefix="0" xfId="0">
      <alignment horizontal="center" vertical="center"/>
    </xf>
    <xf numFmtId="14" fontId="10" fillId="7" borderId="1" applyAlignment="1" pivotButton="0" quotePrefix="0" xfId="0">
      <alignment horizontal="center" vertical="center"/>
    </xf>
    <xf numFmtId="165" fontId="20" fillId="0" borderId="1" applyAlignment="1" pivotButton="0" quotePrefix="0" xfId="0">
      <alignment horizontal="center" vertical="center"/>
    </xf>
    <xf numFmtId="0" fontId="10" fillId="0" borderId="1" applyAlignment="1" pivotButton="0" quotePrefix="0" xfId="0">
      <alignment horizontal="center" vertical="center"/>
    </xf>
    <xf numFmtId="0" fontId="30" fillId="0" borderId="11" applyAlignment="1" pivotButton="0" quotePrefix="0" xfId="0">
      <alignment horizontal="left" vertical="center"/>
    </xf>
    <xf numFmtId="0" fontId="10" fillId="0" borderId="12" applyAlignment="1" pivotButton="0" quotePrefix="0" xfId="0">
      <alignment horizontal="center" vertical="center"/>
    </xf>
    <xf numFmtId="49" fontId="10" fillId="0" borderId="12" applyAlignment="1" pivotButton="0" quotePrefix="0" xfId="0">
      <alignment horizontal="center" vertical="center"/>
    </xf>
    <xf numFmtId="0" fontId="30" fillId="0" borderId="10" applyAlignment="1" pivotButton="0" quotePrefix="0" xfId="0">
      <alignment vertical="center"/>
    </xf>
    <xf numFmtId="0" fontId="19" fillId="0" borderId="0" applyAlignment="1" pivotButton="0" quotePrefix="0" xfId="0">
      <alignment vertical="center"/>
    </xf>
    <xf numFmtId="0" fontId="10" fillId="0" borderId="0" applyAlignment="1" pivotButton="0" quotePrefix="0" xfId="0">
      <alignment horizontal="center" vertical="center"/>
    </xf>
    <xf numFmtId="0" fontId="10" fillId="7" borderId="5" applyAlignment="1" pivotButton="0" quotePrefix="0" xfId="0">
      <alignment horizontal="center" vertical="center"/>
    </xf>
    <xf numFmtId="0" fontId="10" fillId="7" borderId="6" applyAlignment="1" pivotButton="0" quotePrefix="0" xfId="0">
      <alignment horizontal="center" vertical="center"/>
    </xf>
    <xf numFmtId="0" fontId="10" fillId="7" borderId="4" applyAlignment="1" pivotButton="0" quotePrefix="0" xfId="0">
      <alignment horizontal="center" vertical="center"/>
    </xf>
    <xf numFmtId="0" fontId="7" fillId="0" borderId="1" applyAlignment="1" pivotButton="0" quotePrefix="0" xfId="0">
      <alignment horizontal="center" vertical="center"/>
    </xf>
    <xf numFmtId="49" fontId="10" fillId="0" borderId="1" applyAlignment="1" pivotButton="0" quotePrefix="0" xfId="0">
      <alignment horizontal="center" vertical="center"/>
    </xf>
    <xf numFmtId="0" fontId="18" fillId="0" borderId="1" applyAlignment="1" pivotButton="0" quotePrefix="0" xfId="0">
      <alignment vertical="center"/>
    </xf>
    <xf numFmtId="49" fontId="7" fillId="0" borderId="1" applyAlignment="1" pivotButton="0" quotePrefix="0" xfId="0">
      <alignment vertical="center" wrapText="1"/>
    </xf>
    <xf numFmtId="49" fontId="7" fillId="0" borderId="1" applyAlignment="1" pivotButton="0" quotePrefix="0" xfId="0">
      <alignment horizontal="center" vertical="center" wrapText="1"/>
    </xf>
    <xf numFmtId="49" fontId="7" fillId="0" borderId="5" applyAlignment="1" pivotButton="0" quotePrefix="0" xfId="0">
      <alignment horizontal="left" vertical="center" wrapText="1"/>
    </xf>
    <xf numFmtId="49" fontId="7" fillId="0" borderId="6" applyAlignment="1" pivotButton="0" quotePrefix="0" xfId="0">
      <alignment horizontal="left" vertical="center" wrapText="1"/>
    </xf>
    <xf numFmtId="49" fontId="7" fillId="0" borderId="4" applyAlignment="1" pivotButton="0" quotePrefix="0" xfId="0">
      <alignment horizontal="left" vertical="center" wrapText="1"/>
    </xf>
    <xf numFmtId="0" fontId="33" fillId="0" borderId="0" applyAlignment="1" pivotButton="0" quotePrefix="0" xfId="0">
      <alignment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66" fontId="11"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0" fontId="8" fillId="5" borderId="1" applyAlignment="1" pivotButton="0" quotePrefix="0" xfId="0">
      <alignment horizontal="center" vertical="center"/>
    </xf>
    <xf numFmtId="0" fontId="8" fillId="5" borderId="1" applyAlignment="1" pivotButton="0" quotePrefix="0" xfId="0">
      <alignment horizontal="center"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0" fontId="11" fillId="0" borderId="1" applyAlignment="1" pivotButton="0" quotePrefix="0" xfId="1">
      <alignment horizontal="right" vertical="center"/>
    </xf>
    <xf numFmtId="0" fontId="42" fillId="0" borderId="0" applyAlignment="1" pivotButton="0" quotePrefix="0" xfId="0">
      <alignment vertical="center"/>
    </xf>
    <xf numFmtId="0" fontId="40" fillId="0" borderId="6" applyAlignment="1" pivotButton="0" quotePrefix="0" xfId="0">
      <alignment horizontal="center" vertical="center"/>
    </xf>
    <xf numFmtId="0" fontId="40" fillId="0" borderId="6" applyAlignment="1" pivotButton="0" quotePrefix="0" xfId="0">
      <alignment vertical="center"/>
    </xf>
    <xf numFmtId="0" fontId="42" fillId="0" borderId="6" applyAlignment="1" pivotButton="0" quotePrefix="0" xfId="0">
      <alignment vertical="center"/>
    </xf>
    <xf numFmtId="166" fontId="43" fillId="0" borderId="6" applyAlignment="1" pivotButton="0" quotePrefix="0" xfId="0">
      <alignment vertical="center"/>
    </xf>
    <xf numFmtId="0" fontId="17" fillId="0" borderId="0" applyAlignment="1" pivotButton="0" quotePrefix="0" xfId="0">
      <alignment horizontal="center" vertical="center"/>
    </xf>
    <xf numFmtId="0" fontId="33" fillId="2" borderId="1" applyAlignment="1" pivotButton="0" quotePrefix="0" xfId="0">
      <alignment horizontal="center" vertical="center"/>
    </xf>
    <xf numFmtId="0" fontId="3" fillId="0" borderId="1" applyAlignment="1" pivotButton="0" quotePrefix="0" xfId="0">
      <alignment vertical="center"/>
    </xf>
    <xf numFmtId="0" fontId="5" fillId="0" borderId="1" applyAlignment="1" pivotButton="0" quotePrefix="0" xfId="0">
      <alignment horizontal="left" vertical="center" wrapText="1"/>
    </xf>
    <xf numFmtId="0" fontId="17" fillId="0" borderId="1" applyAlignment="1" pivotButton="0" quotePrefix="0" xfId="0">
      <alignment horizontal="center" vertical="center"/>
    </xf>
    <xf numFmtId="0" fontId="7" fillId="5" borderId="1" applyAlignment="1" pivotButton="0" quotePrefix="0" xfId="0">
      <alignment horizontal="center" vertical="center" wrapText="1"/>
    </xf>
    <xf numFmtId="0" fontId="39" fillId="5" borderId="2" applyAlignment="1" pivotButton="0" quotePrefix="0" xfId="0">
      <alignment horizontal="center" vertical="center" wrapText="1"/>
    </xf>
    <xf numFmtId="0" fontId="7" fillId="5" borderId="2" applyAlignment="1" pivotButton="0" quotePrefix="0" xfId="0">
      <alignment horizontal="center" vertical="center" wrapText="1"/>
    </xf>
    <xf numFmtId="0" fontId="39" fillId="5" borderId="3" applyAlignment="1" pivotButton="0" quotePrefix="0" xfId="0">
      <alignment horizontal="center" vertical="center" wrapText="1"/>
    </xf>
    <xf numFmtId="0" fontId="7" fillId="5" borderId="3" applyAlignment="1" pivotButton="0" quotePrefix="0" xfId="0">
      <alignment horizontal="center" vertical="center" wrapText="1"/>
    </xf>
    <xf numFmtId="0" fontId="19" fillId="0" borderId="1" applyAlignment="1" pivotButton="0" quotePrefix="0" xfId="0">
      <alignment horizontal="center" vertical="center"/>
    </xf>
    <xf numFmtId="0" fontId="18" fillId="0" borderId="1" applyAlignment="1" pivotButton="0" quotePrefix="0" xfId="0">
      <alignment vertical="center" wrapText="1"/>
    </xf>
    <xf numFmtId="166" fontId="19" fillId="0" borderId="1" applyAlignment="1" pivotButton="0" quotePrefix="0" xfId="0">
      <alignment vertical="center"/>
    </xf>
    <xf numFmtId="0" fontId="7" fillId="0" borderId="1" applyAlignment="1" pivotButton="0" quotePrefix="0" xfId="0">
      <alignment horizontal="left" vertical="center" wrapText="1"/>
    </xf>
    <xf numFmtId="0" fontId="2" fillId="2" borderId="5" applyAlignment="1" pivotButton="0" quotePrefix="0" xfId="0">
      <alignment horizontal="center" vertical="center"/>
    </xf>
    <xf numFmtId="0" fontId="2" fillId="2" borderId="4" applyAlignment="1" pivotButton="0" quotePrefix="0" xfId="0">
      <alignment horizontal="center" vertical="center"/>
    </xf>
    <xf numFmtId="0" fontId="44" fillId="0" borderId="0" applyAlignment="1" pivotButton="0" quotePrefix="0" xfId="0">
      <alignment vertical="center"/>
    </xf>
    <xf numFmtId="0" fontId="8" fillId="5" borderId="1" applyAlignment="1" pivotButton="0" quotePrefix="0" xfId="0">
      <alignment horizontal="center" vertical="center"/>
    </xf>
    <xf numFmtId="0" fontId="3" fillId="0" borderId="5" applyAlignment="1" pivotButton="0" quotePrefix="0" xfId="0">
      <alignment horizontal="center" vertical="center"/>
    </xf>
    <xf numFmtId="0" fontId="3" fillId="0" borderId="1" applyAlignment="1" pivotButton="0" quotePrefix="0" xfId="0">
      <alignment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xf>
    <xf numFmtId="0" fontId="11" fillId="0" borderId="1" applyAlignment="1" pivotButton="0" quotePrefix="0" xfId="0">
      <alignment vertical="center" wrapText="1"/>
    </xf>
    <xf numFmtId="0" fontId="10" fillId="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23" fillId="0" borderId="1" applyAlignment="1" pivotButton="0" quotePrefix="0" xfId="0">
      <alignment horizontal="center" vertical="center"/>
    </xf>
    <xf numFmtId="0" fontId="8" fillId="5" borderId="1" applyAlignment="1" pivotButton="0" quotePrefix="0" xfId="0">
      <alignment horizontal="center" vertical="center" wrapText="1"/>
    </xf>
    <xf numFmtId="0" fontId="8"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5" fillId="0" borderId="1" pivotButton="0" quotePrefix="0" xfId="0"/>
    <xf numFmtId="0" fontId="0" fillId="0" borderId="0" applyAlignment="1" pivotButton="0" quotePrefix="0" xfId="0">
      <alignment vertical="center" wrapText="1"/>
    </xf>
    <xf numFmtId="0" fontId="2" fillId="2" borderId="1" applyAlignment="1" pivotButton="0" quotePrefix="0" xfId="0">
      <alignment vertical="center" wrapText="1"/>
    </xf>
    <xf numFmtId="0" fontId="2" fillId="0" borderId="1" applyAlignment="1" pivotButton="0" quotePrefix="0" xfId="0">
      <alignment vertical="center" wrapText="1"/>
    </xf>
    <xf numFmtId="0" fontId="46" fillId="0" borderId="1" applyAlignment="1" pivotButton="0" quotePrefix="0" xfId="6">
      <alignment horizontal="center" vertical="center"/>
    </xf>
    <xf numFmtId="0" fontId="47" fillId="0" borderId="1" applyAlignment="1" pivotButton="0" quotePrefix="0" xfId="6">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 pivotButton="0" quotePrefix="0" xfId="0"/>
    <xf numFmtId="0" fontId="0" fillId="0" borderId="6" pivotButton="0" quotePrefix="0" xfId="0"/>
    <xf numFmtId="0" fontId="0" fillId="0" borderId="4" pivotButton="0" quotePrefix="0" xfId="0"/>
    <xf numFmtId="0" fontId="39" fillId="5" borderId="1" applyAlignment="1" pivotButton="0" quotePrefix="0" xfId="0">
      <alignment horizontal="center" vertical="center" wrapText="1"/>
    </xf>
    <xf numFmtId="166" fontId="19" fillId="0" borderId="1" applyAlignment="1" pivotButton="0" quotePrefix="0" xfId="0">
      <alignment vertical="center"/>
    </xf>
    <xf numFmtId="166" fontId="10" fillId="0" borderId="1" applyAlignment="1" pivotButton="0" quotePrefix="0" xfId="0">
      <alignment vertical="center" shrinkToFit="1"/>
    </xf>
    <xf numFmtId="166" fontId="7" fillId="10" borderId="1" applyAlignment="1" pivotButton="0" quotePrefix="0" xfId="0">
      <alignment horizontal="center" vertical="center" wrapText="1"/>
    </xf>
    <xf numFmtId="166" fontId="7" fillId="7" borderId="1" applyAlignment="1" pivotButton="0" quotePrefix="0" xfId="0">
      <alignment horizontal="center" vertical="center" wrapText="1"/>
    </xf>
    <xf numFmtId="165" fontId="12" fillId="0" borderId="1" applyAlignment="1" pivotButton="0" quotePrefix="0" xfId="0">
      <alignment horizontal="right" vertical="center"/>
    </xf>
    <xf numFmtId="165" fontId="17" fillId="0" borderId="0" applyAlignment="1" pivotButton="0" quotePrefix="0" xfId="0">
      <alignment horizontal="center" vertical="center"/>
    </xf>
    <xf numFmtId="166" fontId="8" fillId="5" borderId="1" applyAlignment="1" pivotButton="0" quotePrefix="0" xfId="0">
      <alignment horizontal="center" vertical="center" wrapText="1"/>
    </xf>
    <xf numFmtId="166" fontId="8" fillId="0" borderId="1" applyAlignment="1" pivotButton="0" quotePrefix="0" xfId="0">
      <alignment horizontal="center" vertical="center" wrapText="1"/>
    </xf>
    <xf numFmtId="172" fontId="11" fillId="0" borderId="1" applyAlignment="1" pivotButton="0" quotePrefix="0" xfId="0">
      <alignment horizontal="center" vertical="center" wrapText="1"/>
    </xf>
    <xf numFmtId="166" fontId="11" fillId="0" borderId="13" applyAlignment="1" pivotButton="0" quotePrefix="0" xfId="0">
      <alignment vertical="center" wrapText="1"/>
    </xf>
    <xf numFmtId="166" fontId="11" fillId="0" borderId="14" applyAlignment="1" pivotButton="0" quotePrefix="0" xfId="0">
      <alignment vertical="center" wrapText="1"/>
    </xf>
    <xf numFmtId="165" fontId="11" fillId="0" borderId="1" applyAlignment="1" pivotButton="0" quotePrefix="0" xfId="1">
      <alignment horizontal="right" vertical="center"/>
    </xf>
    <xf numFmtId="165" fontId="11" fillId="3" borderId="1" applyAlignment="1" pivotButton="0" quotePrefix="0" xfId="1">
      <alignment horizontal="right" vertical="center"/>
    </xf>
    <xf numFmtId="166" fontId="43" fillId="0" borderId="6" applyAlignment="1" pivotButton="0" quotePrefix="0" xfId="0">
      <alignment vertical="center"/>
    </xf>
    <xf numFmtId="165" fontId="20" fillId="0" borderId="1" applyAlignment="1" pivotButton="0" quotePrefix="0" xfId="0">
      <alignment horizontal="center" vertical="center"/>
    </xf>
    <xf numFmtId="49" fontId="7" fillId="0" borderId="1" applyAlignment="1" pivotButton="0" quotePrefix="0" xfId="0">
      <alignment horizontal="left" vertical="center" wrapText="1"/>
    </xf>
    <xf numFmtId="166" fontId="10" fillId="5" borderId="1" applyAlignment="1" pivotButton="0" quotePrefix="0" xfId="0">
      <alignment horizontal="center" vertical="center" wrapText="1"/>
    </xf>
    <xf numFmtId="165" fontId="20" fillId="0" borderId="1" applyAlignment="1" pivotButton="0" quotePrefix="0" xfId="0">
      <alignment vertical="center"/>
    </xf>
    <xf numFmtId="165" fontId="20" fillId="4" borderId="1" applyAlignment="1" pivotButton="0" quotePrefix="0" xfId="0">
      <alignment vertical="center"/>
    </xf>
    <xf numFmtId="0" fontId="41" fillId="2" borderId="1" applyAlignment="1" pivotButton="0" quotePrefix="0" xfId="0">
      <alignment horizontal="center" vertical="center"/>
    </xf>
    <xf numFmtId="166" fontId="10" fillId="0" borderId="1" applyAlignment="1" pivotButton="0" quotePrefix="0" xfId="0">
      <alignment vertical="center"/>
    </xf>
    <xf numFmtId="165" fontId="13" fillId="0" borderId="1" applyAlignment="1" pivotButton="0" quotePrefix="0" xfId="0">
      <alignment horizontal="right" vertical="center"/>
    </xf>
    <xf numFmtId="165" fontId="13" fillId="3" borderId="1" applyAlignment="1" pivotButton="0" quotePrefix="0" xfId="1">
      <alignment horizontal="right" vertical="center"/>
    </xf>
    <xf numFmtId="165" fontId="13" fillId="5" borderId="1" applyAlignment="1" pivotButton="0" quotePrefix="0" xfId="0">
      <alignment horizontal="center" vertical="center"/>
    </xf>
    <xf numFmtId="165" fontId="13" fillId="3" borderId="1" applyAlignment="1" pivotButton="0" quotePrefix="0" xfId="0">
      <alignment vertical="center" shrinkToFit="1"/>
    </xf>
    <xf numFmtId="165" fontId="13" fillId="0" borderId="1" applyAlignment="1" pivotButton="0" quotePrefix="0" xfId="0">
      <alignment vertical="center"/>
    </xf>
    <xf numFmtId="166" fontId="13" fillId="0" borderId="1" applyAlignment="1" pivotButton="0" quotePrefix="0" xfId="0">
      <alignment vertical="center" shrinkToFit="1"/>
    </xf>
    <xf numFmtId="165" fontId="13" fillId="0" borderId="1" applyAlignment="1" pivotButton="0" quotePrefix="0" xfId="0">
      <alignment vertical="center" shrinkToFit="1"/>
    </xf>
    <xf numFmtId="165" fontId="13" fillId="3" borderId="1" applyAlignment="1" pivotButton="0" quotePrefix="0" xfId="0">
      <alignment vertical="center"/>
    </xf>
    <xf numFmtId="172" fontId="11" fillId="0" borderId="1" applyAlignment="1" pivotButton="0" quotePrefix="0" xfId="0">
      <alignment horizontal="center" vertical="center"/>
    </xf>
    <xf numFmtId="0" fontId="0" fillId="0" borderId="8" pivotButton="0" quotePrefix="0" xfId="0"/>
    <xf numFmtId="165" fontId="13" fillId="0" borderId="1" applyAlignment="1" pivotButton="0" quotePrefix="0" xfId="0">
      <alignment horizontal="left" vertical="center"/>
    </xf>
    <xf numFmtId="165" fontId="13" fillId="0" borderId="1" applyAlignment="1" pivotButton="0" quotePrefix="0" xfId="0">
      <alignment horizontal="center" vertical="center"/>
    </xf>
    <xf numFmtId="171" fontId="13" fillId="3" borderId="1" applyAlignment="1" pivotButton="0" quotePrefix="0" xfId="0">
      <alignment horizontal="center" vertical="center"/>
    </xf>
    <xf numFmtId="0" fontId="37" fillId="2" borderId="1" applyAlignment="1" pivotButton="0" quotePrefix="0" xfId="0">
      <alignment horizontal="center" vertical="center"/>
    </xf>
    <xf numFmtId="165" fontId="20" fillId="2" borderId="1" applyAlignment="1" pivotButton="0" quotePrefix="0" xfId="0">
      <alignment vertical="center"/>
    </xf>
    <xf numFmtId="0" fontId="10" fillId="12" borderId="1" applyAlignment="1" pivotButton="0" quotePrefix="0" xfId="0">
      <alignment horizontal="center" vertical="center"/>
    </xf>
    <xf numFmtId="0" fontId="7" fillId="12" borderId="1" applyAlignment="1" pivotButton="0" quotePrefix="0" xfId="0">
      <alignment horizontal="center" vertical="center" wrapText="1"/>
    </xf>
    <xf numFmtId="166" fontId="10" fillId="14" borderId="1" applyAlignment="1" pivotButton="0" quotePrefix="0" xfId="0">
      <alignment horizontal="center" vertical="center" wrapText="1"/>
    </xf>
    <xf numFmtId="166" fontId="7" fillId="13" borderId="1" applyAlignment="1" pivotButton="0" quotePrefix="0" xfId="0">
      <alignment horizontal="center" vertical="center" wrapText="1"/>
    </xf>
    <xf numFmtId="0" fontId="7" fillId="13" borderId="1" applyAlignment="1" pivotButton="0" quotePrefix="0" xfId="0">
      <alignment horizontal="center" vertical="center"/>
    </xf>
    <xf numFmtId="166" fontId="7" fillId="14" borderId="1" applyAlignment="1" pivotButton="0" quotePrefix="0" xfId="0">
      <alignment horizontal="center" vertical="center" wrapText="1"/>
    </xf>
    <xf numFmtId="165" fontId="7" fillId="0" borderId="1" applyAlignment="1" pivotButton="0" quotePrefix="0" xfId="0">
      <alignment horizontal="center" vertical="center"/>
    </xf>
    <xf numFmtId="165" fontId="11" fillId="0" borderId="1" applyAlignment="1" pivotButton="0" quotePrefix="0" xfId="1">
      <alignment vertical="center"/>
    </xf>
    <xf numFmtId="165" fontId="11" fillId="3" borderId="1" applyAlignment="1" pivotButton="0" quotePrefix="0" xfId="1">
      <alignment vertical="center" shrinkToFit="1"/>
    </xf>
    <xf numFmtId="165" fontId="11" fillId="0" borderId="1" applyAlignment="1" pivotButton="0" quotePrefix="0" xfId="1">
      <alignment vertical="center" shrinkToFit="1"/>
    </xf>
    <xf numFmtId="165" fontId="11" fillId="3" borderId="1" applyAlignment="1" pivotButton="0" quotePrefix="0" xfId="1">
      <alignment vertical="center"/>
    </xf>
    <xf numFmtId="165" fontId="11" fillId="3" borderId="1" applyAlignment="1" pivotButton="0" quotePrefix="0" xfId="0">
      <alignment vertical="center" shrinkToFit="1"/>
    </xf>
    <xf numFmtId="165" fontId="10" fillId="0" borderId="1" applyAlignment="1" pivotButton="0" quotePrefix="0" xfId="0">
      <alignment horizontal="center" vertical="center"/>
    </xf>
    <xf numFmtId="165" fontId="11" fillId="3" borderId="1" applyAlignment="1" pivotButton="0" quotePrefix="0" xfId="1">
      <alignment horizontal="center" vertical="center" shrinkToFit="1"/>
    </xf>
    <xf numFmtId="165" fontId="11" fillId="3" borderId="1" applyAlignment="1" pivotButton="0" quotePrefix="0" xfId="1">
      <alignment horizontal="center" vertical="center"/>
    </xf>
    <xf numFmtId="165" fontId="11" fillId="0" borderId="1" applyAlignment="1" pivotButton="0" quotePrefix="0" xfId="1">
      <alignment horizontal="center" vertical="center" shrinkToFit="1"/>
    </xf>
    <xf numFmtId="165" fontId="11" fillId="3" borderId="1" applyAlignment="1" pivotButton="0" quotePrefix="0" xfId="1">
      <alignment horizontal="right" vertical="center" shrinkToFit="1"/>
    </xf>
    <xf numFmtId="165" fontId="10" fillId="0" borderId="1" applyAlignment="1" pivotButton="0" quotePrefix="0" xfId="1">
      <alignment vertical="center"/>
    </xf>
    <xf numFmtId="165" fontId="10" fillId="3" borderId="1" applyAlignment="1" pivotButton="0" quotePrefix="0" xfId="1">
      <alignment vertical="center" shrinkToFit="1"/>
    </xf>
    <xf numFmtId="165" fontId="10" fillId="0" borderId="1" applyAlignment="1" pivotButton="0" quotePrefix="0" xfId="1">
      <alignment vertical="center" shrinkToFit="1"/>
    </xf>
    <xf numFmtId="165" fontId="10" fillId="3" borderId="1" applyAlignment="1" pivotButton="0" quotePrefix="0" xfId="1">
      <alignment vertical="center"/>
    </xf>
    <xf numFmtId="165" fontId="10" fillId="3" borderId="1" applyAlignment="1" pivotButton="0" quotePrefix="0" xfId="0">
      <alignment vertical="center"/>
    </xf>
    <xf numFmtId="165" fontId="20" fillId="0" borderId="1" applyAlignment="1" pivotButton="0" quotePrefix="0" xfId="1">
      <alignment vertical="center"/>
    </xf>
    <xf numFmtId="170" fontId="20" fillId="0" borderId="1" applyAlignment="1" pivotButton="0" quotePrefix="0" xfId="0">
      <alignment horizontal="center" vertical="center"/>
    </xf>
    <xf numFmtId="170" fontId="20" fillId="3" borderId="1" applyAlignment="1" pivotButton="0" quotePrefix="0" xfId="0">
      <alignment horizontal="center" vertical="center"/>
    </xf>
    <xf numFmtId="165" fontId="20" fillId="3" borderId="1" applyAlignment="1" pivotButton="0" quotePrefix="0" xfId="1">
      <alignment horizontal="center" vertical="center"/>
    </xf>
    <xf numFmtId="165" fontId="20" fillId="3" borderId="1" applyAlignment="1" pivotButton="0" quotePrefix="0" xfId="1">
      <alignment vertical="center"/>
    </xf>
    <xf numFmtId="165" fontId="0" fillId="0" borderId="0" applyAlignment="1" pivotButton="0" quotePrefix="0" xfId="0">
      <alignment vertical="center"/>
    </xf>
    <xf numFmtId="165" fontId="1" fillId="0" borderId="0" applyAlignment="1" pivotButton="0" quotePrefix="0" xfId="0">
      <alignment horizontal="center" vertical="center" wrapText="1"/>
    </xf>
    <xf numFmtId="165" fontId="2" fillId="0" borderId="0" applyAlignment="1" pivotButton="0" quotePrefix="0" xfId="0">
      <alignment horizontal="left" vertical="center"/>
    </xf>
    <xf numFmtId="165" fontId="2" fillId="0" borderId="0" applyAlignment="1" pivotButton="0" quotePrefix="0" xfId="0">
      <alignment vertical="center"/>
    </xf>
    <xf numFmtId="165" fontId="0" fillId="0" borderId="0" applyAlignment="1" pivotButton="0" quotePrefix="0" xfId="0">
      <alignment horizontal="center" vertical="center"/>
    </xf>
    <xf numFmtId="165" fontId="6" fillId="2" borderId="1" applyAlignment="1" pivotButton="0" quotePrefix="0" xfId="0">
      <alignment horizontal="center" vertical="center"/>
    </xf>
    <xf numFmtId="165" fontId="6" fillId="2" borderId="5" applyAlignment="1" pivotButton="0" quotePrefix="0" xfId="0">
      <alignment horizontal="center" vertical="center"/>
    </xf>
    <xf numFmtId="165" fontId="2" fillId="2" borderId="2" applyAlignment="1" pivotButton="0" quotePrefix="0" xfId="0">
      <alignment horizontal="center" vertical="center"/>
    </xf>
    <xf numFmtId="165" fontId="7" fillId="5" borderId="1" applyAlignment="1" pivotButton="0" quotePrefix="0" xfId="0">
      <alignment horizontal="center" vertical="center" wrapText="1"/>
    </xf>
    <xf numFmtId="165" fontId="2" fillId="2" borderId="2" applyAlignment="1" pivotButton="0" quotePrefix="0" xfId="0">
      <alignment horizontal="center" vertical="center" wrapText="1"/>
    </xf>
    <xf numFmtId="165" fontId="2" fillId="2" borderId="1" applyAlignment="1" pivotButton="0" quotePrefix="0" xfId="0">
      <alignment horizontal="center" vertical="center" wrapText="1"/>
    </xf>
    <xf numFmtId="165" fontId="17" fillId="0" borderId="1" applyAlignment="1" pivotButton="0" quotePrefix="0" xfId="0">
      <alignment horizontal="left" vertical="center"/>
    </xf>
    <xf numFmtId="165" fontId="10" fillId="5" borderId="1" applyAlignment="1" pivotButton="0" quotePrefix="0" xfId="0">
      <alignment horizontal="center" vertical="center" wrapText="1"/>
    </xf>
    <xf numFmtId="165" fontId="7" fillId="5" borderId="5" applyAlignment="1" pivotButton="0" quotePrefix="0" xfId="0">
      <alignment horizontal="center" vertical="center" wrapText="1"/>
    </xf>
    <xf numFmtId="165" fontId="33" fillId="0" borderId="2" applyAlignment="1" pivotButton="0" quotePrefix="0" xfId="0">
      <alignment horizontal="center" vertical="center" wrapText="1"/>
    </xf>
    <xf numFmtId="165" fontId="5" fillId="0" borderId="1" applyAlignment="1" pivotButton="0" quotePrefix="0" xfId="0">
      <alignment horizontal="left" vertical="center"/>
    </xf>
    <xf numFmtId="165" fontId="4" fillId="0" borderId="1" applyAlignment="1" pivotButton="0" quotePrefix="0" xfId="0">
      <alignment horizontal="center" vertical="center"/>
    </xf>
    <xf numFmtId="165" fontId="13" fillId="4" borderId="1" applyAlignment="1" pivotButton="0" quotePrefix="0" xfId="0">
      <alignment horizontal="center" vertical="center"/>
    </xf>
    <xf numFmtId="165" fontId="13" fillId="4" borderId="1" applyAlignment="1" pivotButton="0" quotePrefix="0" xfId="0">
      <alignment vertical="center"/>
    </xf>
    <xf numFmtId="165" fontId="13" fillId="0" borderId="4" applyAlignment="1" pivotButton="0" quotePrefix="0" xfId="0">
      <alignment horizontal="center" vertical="center"/>
    </xf>
    <xf numFmtId="165" fontId="13" fillId="4" borderId="4" applyAlignment="1" pivotButton="0" quotePrefix="0" xfId="0">
      <alignment horizontal="center" vertical="center"/>
    </xf>
    <xf numFmtId="165" fontId="34" fillId="0" borderId="4" applyAlignment="1" pivotButton="0" quotePrefix="0" xfId="0">
      <alignment horizontal="center" vertical="center"/>
    </xf>
    <xf numFmtId="165" fontId="0" fillId="0" borderId="4" applyAlignment="1" pivotButton="0" quotePrefix="0" xfId="0">
      <alignment vertical="center"/>
    </xf>
    <xf numFmtId="165" fontId="0" fillId="0" borderId="1" applyAlignment="1" pivotButton="0" quotePrefix="0" xfId="0">
      <alignment vertical="center"/>
    </xf>
    <xf numFmtId="165" fontId="10" fillId="5" borderId="1" applyAlignment="1" pivotButton="0" quotePrefix="0" xfId="0">
      <alignment horizontal="center" vertical="center" shrinkToFit="1"/>
    </xf>
    <xf numFmtId="165" fontId="10" fillId="5" borderId="4" applyAlignment="1" pivotButton="0" quotePrefix="0" xfId="0">
      <alignment horizontal="center" vertical="center" shrinkToFit="1"/>
    </xf>
    <xf numFmtId="165" fontId="11" fillId="5" borderId="1" applyAlignment="1" pivotButton="0" quotePrefix="0" xfId="0">
      <alignment horizontal="center" vertical="center"/>
    </xf>
    <xf numFmtId="165" fontId="34" fillId="0" borderId="1" applyAlignment="1" pivotButton="0" quotePrefix="0" xfId="0">
      <alignment horizontal="center" vertical="center"/>
    </xf>
    <xf numFmtId="165" fontId="3" fillId="0" borderId="1" applyAlignment="1" pivotButton="0" quotePrefix="0" xfId="0">
      <alignment vertical="center"/>
    </xf>
    <xf numFmtId="165" fontId="34" fillId="4"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9" pivotButton="0" quotePrefix="0" xfId="0"/>
    <xf numFmtId="166" fontId="13" fillId="3" borderId="1" applyAlignment="1" pivotButton="0" quotePrefix="0" xfId="1">
      <alignment horizontal="right" vertical="center" shrinkToFit="1"/>
    </xf>
    <xf numFmtId="166" fontId="13" fillId="0" borderId="1" applyAlignment="1" pivotButton="0" quotePrefix="0" xfId="1">
      <alignment horizontal="right" vertical="center" shrinkToFit="1"/>
    </xf>
    <xf numFmtId="0" fontId="10" fillId="5" borderId="1" applyAlignment="1" pivotButton="0" quotePrefix="0" xfId="0">
      <alignment horizontal="center" vertical="center" shrinkToFit="1"/>
    </xf>
    <xf numFmtId="165" fontId="34" fillId="0" borderId="0" applyAlignment="1" pivotButton="0" quotePrefix="0" xfId="0">
      <alignment horizontal="center" vertical="center"/>
    </xf>
    <xf numFmtId="0" fontId="6" fillId="2" borderId="1" applyAlignment="1" pivotButton="0" quotePrefix="0" xfId="0">
      <alignment horizontal="center" vertical="center" wrapText="1"/>
    </xf>
    <xf numFmtId="165" fontId="13" fillId="0" borderId="1" applyAlignment="1" pivotButton="0" quotePrefix="0" xfId="1">
      <alignment horizontal="right" vertical="center" shrinkToFit="1"/>
    </xf>
    <xf numFmtId="165" fontId="13" fillId="0" borderId="1" applyAlignment="1" pivotButton="0" quotePrefix="0" xfId="1">
      <alignment vertical="center" shrinkToFit="1"/>
    </xf>
    <xf numFmtId="165" fontId="13" fillId="4" borderId="1" applyAlignment="1" pivotButton="0" quotePrefix="0" xfId="0">
      <alignment horizontal="right" vertical="center"/>
    </xf>
    <xf numFmtId="165" fontId="20" fillId="4" borderId="1" applyAlignment="1" pivotButton="0" quotePrefix="0" xfId="0">
      <alignment horizontal="right" vertical="center"/>
    </xf>
    <xf numFmtId="165" fontId="20" fillId="4" borderId="1" applyAlignment="1" pivotButton="0" quotePrefix="0" xfId="0">
      <alignment horizontal="center" vertical="center"/>
    </xf>
    <xf numFmtId="169" fontId="23" fillId="15" borderId="1" applyAlignment="1" applyProtection="1" pivotButton="0" quotePrefix="0" xfId="0">
      <alignment horizontal="center" vertical="center"/>
      <protection locked="0" hidden="0"/>
    </xf>
    <xf numFmtId="0" fontId="19" fillId="15" borderId="1" applyAlignment="1" pivotButton="0" quotePrefix="0" xfId="0">
      <alignment horizontal="center" vertical="center" wrapText="1"/>
    </xf>
    <xf numFmtId="0" fontId="0" fillId="0" borderId="3" applyProtection="1" pivotButton="0" quotePrefix="0" xfId="0">
      <protection locked="0" hidden="0"/>
    </xf>
    <xf numFmtId="165" fontId="10" fillId="3" borderId="1" applyAlignment="1" applyProtection="1" pivotButton="0" quotePrefix="0" xfId="0">
      <alignment horizontal="right" vertical="center" shrinkToFit="1"/>
      <protection locked="0" hidden="0"/>
    </xf>
    <xf numFmtId="0" fontId="0" fillId="0" borderId="6" applyProtection="1" pivotButton="0" quotePrefix="0" xfId="0">
      <protection locked="0" hidden="0"/>
    </xf>
    <xf numFmtId="0" fontId="0" fillId="0" borderId="4" applyProtection="1" pivotButton="0" quotePrefix="0" xfId="0">
      <protection locked="0" hidden="0"/>
    </xf>
    <xf numFmtId="167" fontId="12" fillId="0" borderId="1" applyAlignment="1" pivotButton="0" quotePrefix="0" xfId="0">
      <alignment horizontal="right" vertical="center"/>
    </xf>
    <xf numFmtId="166" fontId="7" fillId="7" borderId="1" applyAlignment="1" pivotButton="0" quotePrefix="0" xfId="0">
      <alignment horizontal="center" vertical="center" shrinkToFit="1"/>
    </xf>
    <xf numFmtId="165" fontId="13" fillId="3" borderId="1" applyAlignment="1" pivotButton="0" quotePrefix="0" xfId="0">
      <alignment horizontal="right" vertical="center" shrinkToFit="1"/>
    </xf>
    <xf numFmtId="165" fontId="13" fillId="0" borderId="1" applyAlignment="1" pivotButton="0" quotePrefix="0" xfId="0">
      <alignment horizontal="right" vertical="center" shrinkToFit="1"/>
    </xf>
    <xf numFmtId="165" fontId="13" fillId="3" borderId="1" applyAlignment="1" pivotButton="0" quotePrefix="0" xfId="0">
      <alignment horizontal="right" vertical="center"/>
    </xf>
    <xf numFmtId="165" fontId="13" fillId="3" borderId="1" applyAlignment="1" pivotButton="0" quotePrefix="0" xfId="0">
      <alignment horizontal="left" vertical="center"/>
    </xf>
    <xf numFmtId="165" fontId="10" fillId="0" borderId="1" applyAlignment="1" pivotButton="0" quotePrefix="0" xfId="0">
      <alignment vertical="center"/>
    </xf>
    <xf numFmtId="0" fontId="8" fillId="7" borderId="1" applyAlignment="1" pivotButton="0" quotePrefix="0" xfId="0">
      <alignment horizontal="center" vertical="center" wrapText="1"/>
    </xf>
    <xf numFmtId="166" fontId="8" fillId="7" borderId="1" applyAlignment="1" pivotButton="0" quotePrefix="0" xfId="0">
      <alignment horizontal="center" vertical="center" wrapText="1"/>
    </xf>
    <xf numFmtId="168" fontId="10" fillId="0" borderId="1" applyAlignment="1" pivotButton="0" quotePrefix="0" xfId="0">
      <alignment horizontal="center" vertical="center" wrapText="1"/>
    </xf>
    <xf numFmtId="168" fontId="13" fillId="3"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3" fillId="3" borderId="1" applyAlignment="1" pivotButton="0" quotePrefix="0" xfId="0">
      <alignment horizontal="center" vertical="center" wrapText="1"/>
    </xf>
    <xf numFmtId="165" fontId="7" fillId="0" borderId="1" applyAlignment="1" pivotButton="0" quotePrefix="0" xfId="0">
      <alignment vertical="center"/>
    </xf>
    <xf numFmtId="166" fontId="7" fillId="5" borderId="1" applyAlignment="1" pivotButton="0" quotePrefix="0" xfId="0">
      <alignment horizontal="center" vertical="center" wrapText="1"/>
    </xf>
    <xf numFmtId="166" fontId="10" fillId="7" borderId="1" applyAlignment="1" pivotButton="0" quotePrefix="0" xfId="0">
      <alignment horizontal="center" vertical="center" wrapText="1"/>
    </xf>
    <xf numFmtId="166" fontId="10" fillId="10" borderId="1" applyAlignment="1" pivotButton="0" quotePrefix="0" xfId="0">
      <alignment horizontal="center" vertical="center" wrapText="1"/>
    </xf>
    <xf numFmtId="165" fontId="11" fillId="3" borderId="1" applyAlignment="1" pivotButton="0" quotePrefix="0" xfId="0">
      <alignment horizontal="center" vertical="center" wrapText="1"/>
    </xf>
    <xf numFmtId="165" fontId="11" fillId="8" borderId="1" applyAlignment="1" pivotButton="0" quotePrefix="0" xfId="0">
      <alignment vertical="center" shrinkToFit="1"/>
    </xf>
    <xf numFmtId="165" fontId="11" fillId="8" borderId="1" applyAlignment="1" pivotButton="0" quotePrefix="0" xfId="0">
      <alignment horizontal="center" vertical="center"/>
    </xf>
    <xf numFmtId="165" fontId="11" fillId="3" borderId="1" applyAlignment="1" pivotButton="0" quotePrefix="0" xfId="0">
      <alignment horizontal="center" vertical="center"/>
    </xf>
    <xf numFmtId="165" fontId="11" fillId="8" borderId="1" applyAlignment="1" pivotButton="0" quotePrefix="0" xfId="0">
      <alignment horizontal="left" vertical="center"/>
    </xf>
    <xf numFmtId="165" fontId="11" fillId="3" borderId="1" applyAlignment="1" pivotButton="0" quotePrefix="0" xfId="0">
      <alignment vertical="center"/>
    </xf>
    <xf numFmtId="165" fontId="2" fillId="4" borderId="1" applyAlignment="1" pivotButton="0" quotePrefix="0" xfId="0">
      <alignment vertical="center"/>
    </xf>
    <xf numFmtId="165" fontId="13" fillId="3" borderId="1" applyAlignment="1" pivotButton="0" quotePrefix="0" xfId="0">
      <alignment horizontal="center" vertical="center"/>
    </xf>
    <xf numFmtId="166" fontId="7" fillId="7" borderId="2" applyAlignment="1" pivotButton="0" quotePrefix="0" xfId="0">
      <alignment horizontal="center" vertical="center" wrapText="1"/>
    </xf>
    <xf numFmtId="165" fontId="11" fillId="3" borderId="5" applyAlignment="1" pivotButton="0" quotePrefix="0" xfId="0">
      <alignment horizontal="center" vertical="center" wrapText="1"/>
    </xf>
    <xf numFmtId="165" fontId="11" fillId="0" borderId="5" applyAlignment="1" pivotButton="0" quotePrefix="0" xfId="0">
      <alignment horizontal="center" vertical="center" wrapText="1"/>
    </xf>
    <xf numFmtId="165" fontId="11" fillId="0" borderId="1" applyAlignment="1" pivotButton="0" quotePrefix="0" xfId="0">
      <alignment horizontal="center" vertical="center"/>
    </xf>
    <xf numFmtId="165" fontId="11" fillId="4" borderId="5" applyAlignment="1" pivotButton="0" quotePrefix="0" xfId="0">
      <alignment horizontal="center" vertical="center"/>
    </xf>
    <xf numFmtId="165" fontId="11" fillId="0" borderId="5" applyAlignment="1" pivotButton="0" quotePrefix="0" xfId="0">
      <alignment horizontal="center" vertical="center"/>
    </xf>
    <xf numFmtId="165" fontId="11" fillId="3" borderId="5" applyAlignment="1" pivotButton="0" quotePrefix="0" xfId="0">
      <alignment vertical="center"/>
    </xf>
    <xf numFmtId="165" fontId="11" fillId="0" borderId="5" applyAlignment="1" pivotButton="0" quotePrefix="0" xfId="0">
      <alignment vertical="center"/>
    </xf>
    <xf numFmtId="165" fontId="11" fillId="0" borderId="1" applyAlignment="1" pivotButton="0" quotePrefix="0" xfId="0">
      <alignment vertical="center" shrinkToFit="1"/>
    </xf>
    <xf numFmtId="165" fontId="11" fillId="10" borderId="1" applyAlignment="1" pivotButton="0" quotePrefix="0" xfId="0">
      <alignment horizontal="center" vertical="center" shrinkToFit="1"/>
    </xf>
    <xf numFmtId="165" fontId="11" fillId="3" borderId="2" applyAlignment="1" pivotButton="0" quotePrefix="0" xfId="0">
      <alignment vertical="center" shrinkToFit="1"/>
    </xf>
    <xf numFmtId="166" fontId="11" fillId="0" borderId="1" applyAlignment="1" pivotButton="0" quotePrefix="0" xfId="0">
      <alignment vertical="center" shrinkToFit="1"/>
    </xf>
    <xf numFmtId="165" fontId="11" fillId="12" borderId="1" applyAlignment="1" pivotButton="0" quotePrefix="0" xfId="0">
      <alignment horizontal="center" vertical="center" shrinkToFit="1"/>
    </xf>
    <xf numFmtId="166" fontId="7" fillId="5" borderId="5" applyAlignment="1" pivotButton="0" quotePrefix="0" xfId="0">
      <alignment horizontal="center" vertical="center" wrapText="1"/>
    </xf>
    <xf numFmtId="166" fontId="7" fillId="5" borderId="1" applyAlignment="1" pivotButton="0" quotePrefix="0" xfId="0">
      <alignment horizontal="center" vertical="center"/>
    </xf>
    <xf numFmtId="167" fontId="7" fillId="5" borderId="5" applyAlignment="1" pivotButton="0" quotePrefix="0" xfId="0">
      <alignment horizontal="center" vertical="center" shrinkToFit="1"/>
    </xf>
    <xf numFmtId="166" fontId="13" fillId="0" borderId="1" applyAlignment="1" pivotButton="0" quotePrefix="0" xfId="0">
      <alignment horizontal="center" vertical="center" wrapText="1"/>
    </xf>
    <xf numFmtId="166" fontId="11" fillId="3" borderId="1" applyAlignment="1" pivotButton="0" quotePrefix="0" xfId="0">
      <alignment horizontal="center" vertical="center" shrinkToFit="1"/>
    </xf>
    <xf numFmtId="165" fontId="12" fillId="0" borderId="1" applyAlignment="1" pivotButton="0" quotePrefix="0" xfId="0">
      <alignment horizontal="left" vertical="center"/>
    </xf>
    <xf numFmtId="165" fontId="15" fillId="4" borderId="1" applyAlignment="1" pivotButton="0" quotePrefix="0" xfId="0">
      <alignment horizontal="center" vertical="center"/>
    </xf>
    <xf numFmtId="164" fontId="13" fillId="3" borderId="1" applyAlignment="1" pivotButton="0" quotePrefix="0" xfId="0">
      <alignment horizontal="center" vertical="center"/>
    </xf>
    <xf numFmtId="165" fontId="19" fillId="8" borderId="1" applyAlignment="1" pivotButton="0" quotePrefix="0" xfId="0">
      <alignment vertical="center"/>
    </xf>
    <xf numFmtId="165" fontId="19" fillId="7" borderId="1" applyAlignment="1" pivotButton="0" quotePrefix="0" xfId="0">
      <alignment vertical="center"/>
    </xf>
    <xf numFmtId="165" fontId="19" fillId="3" borderId="1" applyAlignment="1" pivotButton="0" quotePrefix="0" xfId="0">
      <alignment vertical="center"/>
    </xf>
    <xf numFmtId="0" fontId="2" fillId="6" borderId="1"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b val="1"/>
        <color rgb="FFFF0000"/>
      </font>
    </dxf>
    <dxf>
      <font>
        <color indexed="12"/>
      </font>
    </dxf>
    <dxf>
      <font>
        <color indexed="1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comments/comment1.xml><?xml version="1.0" encoding="utf-8"?>
<comments xmlns="http://schemas.openxmlformats.org/spreadsheetml/2006/main">
  <authors>
    <author>twq</author>
  </authors>
  <commentList>
    <comment ref="D5" authorId="0" shapeId="0">
      <text>
        <t>存在外币情况下适用</t>
      </text>
    </comment>
  </commentList>
</comments>
</file>

<file path=xl/comments/comment2.xml><?xml version="1.0" encoding="utf-8"?>
<comments xmlns="http://schemas.openxmlformats.org/spreadsheetml/2006/main">
  <authors>
    <author>作者</author>
  </authors>
  <commentList>
    <comment ref="E5" authorId="0" shapeId="0">
      <text>
        <t>说明:
必须是“数值型”</t>
      </text>
    </comment>
    <comment ref="I5" authorId="0" shapeId="0">
      <text>
        <t xml:space="preserve">说明:
必须是“数值型”
</t>
      </text>
    </comment>
    <comment ref="J5" authorId="0" shapeId="0">
      <text>
        <t>说明:可选项，与测算无直接联系。
目的：当测算差异较大时核对卡片月折旧额与测算折旧额的差异。</t>
      </text>
    </comment>
  </commentList>
</comments>
</file>

<file path=xl/comments/comment3.xml><?xml version="1.0" encoding="utf-8"?>
<comments xmlns="http://schemas.openxmlformats.org/spreadsheetml/2006/main">
  <authors>
    <author>作者</author>
  </authors>
  <commentList>
    <comment ref="J5" authorId="0" shapeId="0">
      <text>
        <t>调整金额包括上年审计调整企业未调整金额、列报调整金额、以及本期会计政策变更、会计差错更正追溯调整金额等多项原因。</t>
      </text>
    </comment>
    <comment ref="K5" authorId="0" shapeId="0">
      <text>
        <t>快思维公式目前无法区分借方和贷方调整分分别读取数据，因此将所有调整读取在贷方，如果涉及有借方发生额调整，请自行填列数据</t>
      </text>
    </comment>
    <comment ref="H6" authorId="0" shapeId="0">
      <text>
        <t>企业调整含进场后企业未审期末金额的调整，也包括报表列报调整</t>
      </text>
    </comment>
    <comment ref="J12" authorId="0" shapeId="0">
      <text>
        <t>调整金额包括上年审计调整企业未调整金额、列报调整金额、以及本期会计政策变更、会计差错更正追溯调整金额等多项原因。</t>
      </text>
    </comment>
    <comment ref="K12" authorId="0" shapeId="0">
      <text>
        <t>快思维公式目前无法区分借方和贷方调整分分别读取数据，因此将所有调整读取在贷方，如果涉及有借方发生额调整，请自行填列数据</t>
      </text>
    </comment>
    <comment ref="H13" authorId="0" shapeId="0">
      <text>
        <t>企业调整含进场后企业未审期末金额的调整，也包括报表列报调整</t>
      </text>
    </comment>
    <comment ref="J19" authorId="0" shapeId="0">
      <text>
        <t>调整金额包括上年审计调整企业未调整金额、列报调整金额、以及本期会计政策变更、会计差错更正追溯调整金额等多项原因。</t>
      </text>
    </comment>
    <comment ref="K19" authorId="0" shapeId="0">
      <text>
        <t>快思维公式目前无法区分借方和贷方调整分分别读取数据，因此将所有调整读取在贷方，如果涉及有借方发生额调整，请自行填列数据</t>
      </text>
    </comment>
    <comment ref="H20" authorId="0" shapeId="0">
      <text>
        <t>企业调整含进场后企业未审期末金额的调整，也包括报表列报调整</t>
      </text>
    </comment>
  </commentList>
</comments>
</file>

<file path=xl/comments/comment4.xml><?xml version="1.0" encoding="utf-8"?>
<comments xmlns="http://schemas.openxmlformats.org/spreadsheetml/2006/main">
  <authors>
    <author>作者</author>
  </authors>
  <commentList>
    <comment ref="B4" authorId="0" shapeId="0">
      <text>
        <t>该数取自企业账面数，与未审报表数的核对程序详见审计说明1</t>
      </text>
    </comment>
    <comment ref="F5" authorId="0" shapeId="0">
      <text>
        <t>企业调整含进场后企业未审期末金额的调整，也包括报表列报调整</t>
      </text>
    </comment>
  </commentList>
</comments>
</file>

<file path=xl/comments/comment5.xml><?xml version="1.0" encoding="utf-8"?>
<comments xmlns="http://schemas.openxmlformats.org/spreadsheetml/2006/main">
  <authors>
    <author>作者</author>
  </authors>
  <commentList>
    <comment ref="F5" authorId="0" shapeId="0">
      <text>
        <t>企业调整含进场后企业未审期末金额的调整，也包括报表列报调整</t>
      </text>
    </comment>
  </commentList>
</comments>
</file>

<file path=xl/comments/comment6.xml><?xml version="1.0" encoding="utf-8"?>
<comments xmlns="http://schemas.openxmlformats.org/spreadsheetml/2006/main">
  <authors>
    <author>作者</author>
  </authors>
  <commentList>
    <comment ref="S6" authorId="0" shapeId="0">
      <text>
        <t>若不符，请详细说明</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2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2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1">
    <outlinePr summaryBelow="1" summaryRight="1"/>
    <pageSetUpPr/>
  </sheetPr>
  <dimension ref="A1:L29"/>
  <sheetViews>
    <sheetView zoomScale="90" zoomScaleNormal="90" workbookViewId="0">
      <pane ySplit="1" topLeftCell="A2" activePane="bottomLeft" state="frozen"/>
      <selection activeCell="A1" sqref="A1"/>
      <selection pane="bottomLeft" activeCell="A8" sqref="A8"/>
    </sheetView>
  </sheetViews>
  <sheetFormatPr baseColWidth="8" defaultColWidth="8.731481481481479" defaultRowHeight="14.4"/>
  <cols>
    <col width="19.3611111111111" customWidth="1" style="552" min="1" max="1"/>
    <col width="3.43518518518518" customWidth="1" style="559" min="2" max="2"/>
    <col width="10.4537037037037" customWidth="1" style="552" min="3" max="3"/>
    <col width="4.03703703703704" customWidth="1" style="559" min="4" max="4"/>
    <col width="12.5277777777778" customWidth="1" style="211" min="5" max="5"/>
    <col width="17.9722222222222" customWidth="1" style="211" min="6" max="6"/>
    <col width="14.4351851851852" customWidth="1" style="211" min="7" max="7"/>
    <col width="51.4537037037037" customWidth="1" style="211" min="8" max="8"/>
    <col width="22.7314814814815" customWidth="1" style="211" min="9" max="9"/>
    <col width="13.9074074074074" customWidth="1" style="211" min="10" max="10"/>
    <col width="19.6388888888889" customWidth="1" style="211" min="11" max="11"/>
    <col width="22.9074074074074" customWidth="1" style="211" min="12" max="12"/>
  </cols>
  <sheetData>
    <row r="1" ht="31" customHeight="1" s="559">
      <c r="A1" s="553" t="inlineStr">
        <is>
          <t>被审计单位：福禄福擎网络科技有限公司</t>
        </is>
      </c>
      <c r="B1" s="285" t="n"/>
      <c r="C1" s="554" t="n"/>
      <c r="E1" s="283" t="inlineStr">
        <is>
          <t>项目</t>
        </is>
      </c>
      <c r="F1" s="283" t="inlineStr">
        <is>
          <t>名称</t>
        </is>
      </c>
      <c r="G1" s="283" t="inlineStr">
        <is>
          <t>链接</t>
        </is>
      </c>
      <c r="H1" s="283" t="inlineStr">
        <is>
          <t>问题描述</t>
        </is>
      </c>
      <c r="I1" s="283" t="inlineStr">
        <is>
          <t>相关支撑资料</t>
        </is>
      </c>
      <c r="J1" s="283" t="inlineStr">
        <is>
          <t>问题定性</t>
        </is>
      </c>
      <c r="K1" s="283" t="inlineStr">
        <is>
          <t>管理层回应/整改措施</t>
        </is>
      </c>
      <c r="L1" s="283" t="inlineStr">
        <is>
          <t>状态(已解决/持续监控)</t>
        </is>
      </c>
    </row>
    <row r="2" ht="29" customHeight="1" s="559">
      <c r="A2" s="553" t="inlineStr">
        <is>
          <t>财务报表截止日：2025/9/30</t>
        </is>
      </c>
      <c r="B2" s="285" t="n"/>
      <c r="C2" s="553" t="inlineStr">
        <is>
          <t>日期：2025/10/30</t>
        </is>
      </c>
      <c r="E2" s="283" t="inlineStr">
        <is>
          <t>货币资金</t>
        </is>
      </c>
      <c r="F2" s="283" t="inlineStr">
        <is>
          <t>货币资金明细表</t>
        </is>
      </c>
      <c r="G2" s="555" t="inlineStr">
        <is>
          <t>HBZJ-1</t>
        </is>
      </c>
      <c r="H2" s="283" t="n"/>
      <c r="I2" s="283" t="n"/>
      <c r="J2" s="283" t="n"/>
      <c r="K2" s="283" t="n"/>
      <c r="L2" s="283" t="n"/>
    </row>
    <row r="3" ht="29" customHeight="1" s="559">
      <c r="A3" s="553" t="inlineStr">
        <is>
          <t>财务报表期间：2025.1-2025.9</t>
        </is>
      </c>
      <c r="B3" s="285" t="n"/>
      <c r="C3" s="553" t="inlineStr">
        <is>
          <t>日期：2025/10/31</t>
        </is>
      </c>
      <c r="E3" s="560" t="n"/>
      <c r="F3" s="283" t="inlineStr">
        <is>
          <t>流水分析</t>
        </is>
      </c>
      <c r="G3" s="555" t="inlineStr">
        <is>
          <t>LSFX-1</t>
        </is>
      </c>
      <c r="H3" s="283" t="n"/>
      <c r="I3" s="283" t="n"/>
      <c r="J3" s="283" t="n"/>
      <c r="K3" s="283" t="n"/>
      <c r="L3" s="283" t="n"/>
    </row>
    <row r="4" ht="29" customHeight="1" s="559">
      <c r="E4" s="283" t="inlineStr">
        <is>
          <t>库存商品</t>
        </is>
      </c>
      <c r="F4" s="283" t="inlineStr">
        <is>
          <t>库存商品明细表</t>
        </is>
      </c>
      <c r="G4" s="555" t="inlineStr">
        <is>
          <t>KCSP-1</t>
        </is>
      </c>
      <c r="H4" s="283" t="n"/>
      <c r="I4" s="283" t="n"/>
      <c r="J4" s="283" t="n"/>
      <c r="K4" s="283" t="n"/>
      <c r="L4" s="283" t="n"/>
    </row>
    <row r="5" ht="29" customHeight="1" s="559">
      <c r="A5" s="552" t="n"/>
      <c r="B5" s="455" t="n"/>
      <c r="C5" s="552" t="n"/>
      <c r="E5" s="560" t="n"/>
      <c r="F5" s="283" t="inlineStr">
        <is>
          <t>库存商品分析表</t>
        </is>
      </c>
      <c r="G5" s="556" t="inlineStr">
        <is>
          <t>KCSPFX-1</t>
        </is>
      </c>
      <c r="H5" s="283" t="n"/>
      <c r="I5" s="283" t="n"/>
      <c r="J5" s="283" t="n"/>
      <c r="K5" s="283" t="n"/>
      <c r="L5" s="283" t="n"/>
    </row>
    <row r="6" ht="29" customHeight="1" s="559">
      <c r="A6" s="552" t="n"/>
      <c r="B6" s="455" t="n"/>
      <c r="C6" s="552" t="n"/>
      <c r="E6" s="283" t="inlineStr">
        <is>
          <t>固定资产</t>
        </is>
      </c>
      <c r="F6" s="283" t="inlineStr">
        <is>
          <t>固定资产明细表</t>
        </is>
      </c>
      <c r="G6" s="556" t="inlineStr">
        <is>
          <t>GDZC-1</t>
        </is>
      </c>
      <c r="H6" s="283" t="n"/>
      <c r="I6" s="283" t="n"/>
      <c r="J6" s="283" t="n"/>
      <c r="K6" s="283" t="n"/>
      <c r="L6" s="283" t="n"/>
    </row>
    <row r="7" ht="29" customHeight="1" s="559">
      <c r="A7" s="552" t="n"/>
      <c r="B7" s="455" t="n"/>
      <c r="C7" s="552" t="n"/>
      <c r="E7" s="560" t="n"/>
      <c r="F7" s="283" t="inlineStr">
        <is>
          <t>固定资产测算表</t>
        </is>
      </c>
      <c r="G7" s="556" t="inlineStr">
        <is>
          <t>GDZCCS-1</t>
        </is>
      </c>
      <c r="H7" s="283" t="n"/>
      <c r="I7" s="283" t="n"/>
      <c r="J7" s="283" t="n"/>
      <c r="K7" s="283" t="n"/>
      <c r="L7" s="283" t="n"/>
    </row>
    <row r="8" ht="29" customHeight="1" s="559">
      <c r="A8" s="552" t="n"/>
      <c r="B8" s="455" t="n"/>
      <c r="C8" s="552" t="n"/>
      <c r="E8" s="557" t="inlineStr">
        <is>
          <t>无形资产</t>
        </is>
      </c>
      <c r="F8" s="283" t="inlineStr">
        <is>
          <t>无形资产明细表</t>
        </is>
      </c>
      <c r="G8" s="556" t="inlineStr">
        <is>
          <t>WXZC-1</t>
        </is>
      </c>
      <c r="H8" s="283" t="n"/>
      <c r="I8" s="283" t="n"/>
      <c r="J8" s="283" t="n"/>
      <c r="K8" s="283" t="n"/>
      <c r="L8" s="283" t="n"/>
    </row>
    <row r="9" ht="29" customHeight="1" s="559">
      <c r="A9" s="552" t="n"/>
      <c r="B9" s="455" t="n"/>
      <c r="C9" s="552" t="n"/>
      <c r="E9" s="561" t="n"/>
      <c r="F9" s="283" t="inlineStr">
        <is>
          <t>无形资产测算表</t>
        </is>
      </c>
      <c r="G9" s="556" t="inlineStr">
        <is>
          <t>WXZCCS-1</t>
        </is>
      </c>
      <c r="H9" s="283" t="n"/>
      <c r="I9" s="283" t="n"/>
      <c r="J9" s="283" t="n"/>
      <c r="K9" s="283" t="n"/>
      <c r="L9" s="283" t="n"/>
    </row>
    <row r="10" ht="29" customHeight="1" s="559">
      <c r="A10" s="552" t="n"/>
      <c r="B10" s="455" t="n"/>
      <c r="C10" s="552" t="n"/>
      <c r="E10" s="283" t="inlineStr">
        <is>
          <t>其他流动资产</t>
        </is>
      </c>
      <c r="F10" s="283" t="inlineStr">
        <is>
          <t>其他流动资产明细表</t>
        </is>
      </c>
      <c r="G10" s="555" t="inlineStr">
        <is>
          <t>QTLDZC-1</t>
        </is>
      </c>
      <c r="H10" s="283" t="n"/>
      <c r="I10" s="283" t="n"/>
      <c r="J10" s="283" t="n"/>
      <c r="K10" s="283" t="n"/>
      <c r="L10" s="283" t="n"/>
    </row>
    <row r="11" ht="25" customHeight="1" s="559">
      <c r="A11" s="552" t="n"/>
      <c r="B11" s="455" t="n"/>
      <c r="C11" s="552" t="n"/>
      <c r="E11" s="283" t="inlineStr">
        <is>
          <t>往来</t>
        </is>
      </c>
      <c r="F11" s="283" t="inlineStr">
        <is>
          <t>应收账款明细表</t>
        </is>
      </c>
      <c r="G11" s="555" t="inlineStr">
        <is>
          <t>YSZK-1</t>
        </is>
      </c>
      <c r="H11" s="283" t="n"/>
      <c r="I11" s="283" t="n"/>
      <c r="J11" s="283" t="n"/>
      <c r="K11" s="283" t="n"/>
      <c r="L11" s="283" t="n"/>
    </row>
    <row r="12" ht="25" customHeight="1" s="559">
      <c r="E12" s="561" t="n"/>
      <c r="F12" s="283" t="inlineStr">
        <is>
          <t>预付账款明细表</t>
        </is>
      </c>
      <c r="G12" s="556" t="inlineStr">
        <is>
          <t>YFZK-1</t>
        </is>
      </c>
      <c r="H12" s="283" t="n"/>
      <c r="I12" s="283" t="n"/>
      <c r="J12" s="283" t="n"/>
      <c r="K12" s="283" t="n"/>
      <c r="L12" s="283" t="n"/>
    </row>
    <row r="13" ht="25" customHeight="1" s="559">
      <c r="A13" s="552" t="n"/>
      <c r="B13" s="455" t="n"/>
      <c r="C13" s="552" t="n"/>
      <c r="E13" s="561" t="n"/>
      <c r="F13" s="283" t="inlineStr">
        <is>
          <t>其他应收款明细表</t>
        </is>
      </c>
      <c r="G13" s="555" t="inlineStr">
        <is>
          <t>QTYSK-1</t>
        </is>
      </c>
      <c r="H13" s="283" t="n"/>
      <c r="I13" s="283" t="n"/>
      <c r="J13" s="283" t="n"/>
      <c r="K13" s="283" t="n"/>
      <c r="L13" s="283" t="n"/>
    </row>
    <row r="14" ht="25" customHeight="1" s="559">
      <c r="E14" s="561" t="n"/>
      <c r="F14" s="283" t="inlineStr">
        <is>
          <t>应付账款明细表</t>
        </is>
      </c>
      <c r="G14" s="556" t="inlineStr">
        <is>
          <t>YFZK-1</t>
        </is>
      </c>
      <c r="H14" s="283" t="n"/>
      <c r="I14" s="283" t="n"/>
      <c r="J14" s="283" t="n"/>
      <c r="K14" s="283" t="n"/>
      <c r="L14" s="283" t="n"/>
    </row>
    <row r="15" ht="25" customHeight="1" s="559">
      <c r="E15" s="561" t="n"/>
      <c r="F15" s="283" t="inlineStr">
        <is>
          <t>预收账款明细表</t>
        </is>
      </c>
      <c r="G15" s="556" t="inlineStr">
        <is>
          <t>YSZK-1</t>
        </is>
      </c>
      <c r="H15" s="283" t="n"/>
      <c r="I15" s="283" t="n"/>
      <c r="J15" s="283" t="n"/>
      <c r="K15" s="283" t="n"/>
      <c r="L15" s="283" t="n"/>
    </row>
    <row r="16" ht="25" customHeight="1" s="559">
      <c r="E16" s="561" t="n"/>
      <c r="F16" s="283" t="inlineStr">
        <is>
          <t>其他应付款明细表</t>
        </is>
      </c>
      <c r="G16" s="556" t="inlineStr">
        <is>
          <t>QTYFK-1</t>
        </is>
      </c>
      <c r="H16" s="283" t="n"/>
      <c r="I16" s="283" t="n"/>
      <c r="J16" s="283" t="n"/>
      <c r="K16" s="283" t="n"/>
      <c r="L16" s="283" t="n"/>
    </row>
    <row r="17" ht="25" customHeight="1" s="559">
      <c r="E17" s="560" t="n"/>
      <c r="F17" s="283" t="inlineStr">
        <is>
          <t>关联方交易核对</t>
        </is>
      </c>
      <c r="G17" s="556" t="inlineStr">
        <is>
          <t>GLFJY-1</t>
        </is>
      </c>
      <c r="H17" s="283" t="n"/>
      <c r="I17" s="283" t="n"/>
      <c r="J17" s="283" t="n"/>
      <c r="K17" s="283" t="n"/>
      <c r="L17" s="283" t="n"/>
    </row>
    <row r="18" ht="25" customHeight="1" s="559">
      <c r="E18" s="558" t="inlineStr">
        <is>
          <t>应付职工薪酬</t>
        </is>
      </c>
      <c r="F18" s="283" t="inlineStr">
        <is>
          <t>应付职工薪酬明细表</t>
        </is>
      </c>
      <c r="G18" s="556" t="inlineStr">
        <is>
          <t>YFZGXCMX-1</t>
        </is>
      </c>
      <c r="H18" s="283" t="n"/>
      <c r="I18" s="283" t="n"/>
      <c r="J18" s="283" t="n"/>
      <c r="K18" s="283" t="n"/>
      <c r="L18" s="283" t="n"/>
    </row>
    <row r="19" ht="25" customHeight="1" s="559">
      <c r="E19" s="561" t="n"/>
      <c r="F19" s="283" t="inlineStr">
        <is>
          <t>应付职工薪酬检查表</t>
        </is>
      </c>
      <c r="G19" s="555" t="inlineStr">
        <is>
          <t>YFZGXCJC-1</t>
        </is>
      </c>
      <c r="H19" s="283" t="n"/>
      <c r="I19" s="283" t="n"/>
      <c r="J19" s="283" t="n"/>
      <c r="K19" s="283" t="n"/>
      <c r="L19" s="283" t="n"/>
    </row>
    <row r="20" ht="25" customHeight="1" s="559">
      <c r="E20" s="283" t="inlineStr">
        <is>
          <t>应交税费</t>
        </is>
      </c>
      <c r="F20" s="283" t="inlineStr">
        <is>
          <t>应交税费明细表</t>
        </is>
      </c>
      <c r="G20" s="556" t="inlineStr">
        <is>
          <t>YJSF-1</t>
        </is>
      </c>
      <c r="H20" s="283" t="n"/>
      <c r="I20" s="283" t="n"/>
      <c r="J20" s="283" t="n"/>
      <c r="K20" s="283" t="n"/>
      <c r="L20" s="283" t="n"/>
    </row>
    <row r="21" ht="25" customHeight="1" s="559">
      <c r="E21" s="560" t="n"/>
      <c r="F21" s="283" t="inlineStr">
        <is>
          <t>应交增值税明细表</t>
        </is>
      </c>
      <c r="G21" s="555" t="inlineStr">
        <is>
          <t>YJSF-2</t>
        </is>
      </c>
      <c r="H21" s="283" t="n"/>
      <c r="I21" s="283" t="n"/>
      <c r="J21" s="283" t="n"/>
      <c r="K21" s="283" t="n"/>
      <c r="L21" s="283" t="n"/>
    </row>
    <row r="22" ht="25" customHeight="1" s="559">
      <c r="E22" s="283" t="inlineStr">
        <is>
          <t>收入、成本</t>
        </is>
      </c>
      <c r="F22" s="283" t="inlineStr">
        <is>
          <t>营业收入明细表</t>
        </is>
      </c>
      <c r="G22" s="556" t="inlineStr">
        <is>
          <t>YYSR-1</t>
        </is>
      </c>
      <c r="H22" s="283" t="n"/>
      <c r="I22" s="283" t="n"/>
      <c r="J22" s="283" t="n"/>
      <c r="K22" s="283" t="n"/>
      <c r="L22" s="283" t="n"/>
    </row>
    <row r="23" ht="25" customHeight="1" s="559">
      <c r="E23" s="561" t="n"/>
      <c r="F23" s="283" t="inlineStr">
        <is>
          <t>营业成本明细表</t>
        </is>
      </c>
      <c r="G23" s="556" t="inlineStr">
        <is>
          <t>YYCB-1</t>
        </is>
      </c>
      <c r="H23" s="283" t="n"/>
      <c r="I23" s="283" t="n"/>
      <c r="J23" s="283" t="n"/>
      <c r="K23" s="283" t="n"/>
      <c r="L23" s="283" t="n"/>
    </row>
    <row r="24" ht="25" customHeight="1" s="559">
      <c r="E24" s="560" t="n"/>
      <c r="F24" s="283" t="inlineStr">
        <is>
          <t>毛利率分析表</t>
        </is>
      </c>
      <c r="G24" s="556" t="inlineStr">
        <is>
          <t>MLLFX-1</t>
        </is>
      </c>
      <c r="H24" s="283" t="n"/>
      <c r="I24" s="283" t="n"/>
      <c r="J24" s="283" t="n"/>
      <c r="K24" s="283" t="n"/>
      <c r="L24" s="283" t="n"/>
    </row>
    <row r="25" ht="25" customHeight="1" s="559">
      <c r="E25" s="283" t="inlineStr">
        <is>
          <t>费用</t>
        </is>
      </c>
      <c r="F25" s="283" t="inlineStr">
        <is>
          <t>销售费用明细表</t>
        </is>
      </c>
      <c r="G25" s="556" t="inlineStr">
        <is>
          <t>XSFY-1</t>
        </is>
      </c>
      <c r="H25" s="283" t="n"/>
      <c r="I25" s="283" t="n"/>
      <c r="J25" s="283" t="n"/>
      <c r="K25" s="283" t="n"/>
      <c r="L25" s="283" t="n"/>
    </row>
    <row r="26" ht="25" customHeight="1" s="559">
      <c r="E26" s="561" t="n"/>
      <c r="F26" s="283" t="inlineStr">
        <is>
          <t>销售费用比例分析</t>
        </is>
      </c>
      <c r="G26" s="556" t="inlineStr">
        <is>
          <t>XSFY-2</t>
        </is>
      </c>
      <c r="H26" s="283" t="n"/>
      <c r="I26" s="283" t="n"/>
      <c r="J26" s="283" t="n"/>
      <c r="K26" s="283" t="n"/>
      <c r="L26" s="283" t="n"/>
    </row>
    <row r="27" ht="25" customHeight="1" s="559">
      <c r="E27" s="561" t="n"/>
      <c r="F27" s="283" t="inlineStr">
        <is>
          <t>管理费用明细表</t>
        </is>
      </c>
      <c r="G27" s="556" t="inlineStr">
        <is>
          <t>GLFY-1</t>
        </is>
      </c>
      <c r="H27" s="283" t="n"/>
      <c r="I27" s="283" t="n"/>
      <c r="J27" s="283" t="n"/>
      <c r="K27" s="283" t="n"/>
      <c r="L27" s="283" t="n"/>
    </row>
    <row r="28" ht="25" customHeight="1" s="559">
      <c r="E28" s="561" t="n"/>
      <c r="F28" s="283" t="inlineStr">
        <is>
          <t>管理费用比例分析</t>
        </is>
      </c>
      <c r="G28" s="556" t="inlineStr">
        <is>
          <t>GLFY-2</t>
        </is>
      </c>
      <c r="H28" s="283" t="n"/>
      <c r="I28" s="283" t="n"/>
      <c r="J28" s="283" t="n"/>
      <c r="K28" s="283" t="n"/>
      <c r="L28" s="283" t="n"/>
    </row>
    <row r="29" ht="25" customHeight="1" s="559">
      <c r="E29" s="560" t="n"/>
      <c r="F29" s="283" t="inlineStr">
        <is>
          <t>财务费用明细表</t>
        </is>
      </c>
      <c r="G29" s="556" t="inlineStr">
        <is>
          <t>CWFY-1</t>
        </is>
      </c>
      <c r="H29" s="283" t="n"/>
      <c r="I29" s="283" t="n"/>
      <c r="J29" s="283" t="n"/>
      <c r="K29" s="283" t="n"/>
      <c r="L29" s="283" t="n"/>
    </row>
  </sheetData>
  <mergeCells count="9">
    <mergeCell ref="E22:E24"/>
    <mergeCell ref="E8:E9"/>
    <mergeCell ref="E18:E19"/>
    <mergeCell ref="E4:E5"/>
    <mergeCell ref="E25:E29"/>
    <mergeCell ref="E20:E21"/>
    <mergeCell ref="E6:E7"/>
    <mergeCell ref="E11:E17"/>
    <mergeCell ref="E2:E3"/>
  </mergeCells>
  <hyperlinks>
    <hyperlink ref="G2" location="货币资金!A1" display="HBZJ-1"/>
    <hyperlink ref="G3" location="流水分析!A1" display="LSFX-1"/>
    <hyperlink ref="G4" location="库存商品!A1" display="KCSP-1"/>
    <hyperlink ref="G5" location="库存商品分析表!A1" display="KCSPFX-1"/>
    <hyperlink ref="G6" location="固定资产!A1" display="GDZC-1"/>
    <hyperlink ref="G7" location="固定资产测算表!A1" display="GDZCCS-1"/>
    <hyperlink ref="G8" location="无形资产!A1" display="WXZC-1"/>
    <hyperlink ref="G9" location="无形资产测算表!A1" display="WXZCCS-1"/>
    <hyperlink ref="G10" location="其他流动资产!A1" display="QTLDZC-1"/>
    <hyperlink ref="G11" location="应收账款!A1" display="YSZK-1"/>
    <hyperlink ref="G12" location="预付账款!A1" display="YFZK-1"/>
    <hyperlink ref="G13" location="其他应收款!A1" display="QTYSK-1"/>
    <hyperlink ref="G14" location="应付账款!A1" display="YFZK-1"/>
    <hyperlink ref="G15" location="预收账款!A1" display="YSZK-1"/>
    <hyperlink ref="G16" location="其他应付款!A1" display="QTYFK-1"/>
    <hyperlink ref="G17" location="关联方交易核对!A1" display="GLFJY-1"/>
    <hyperlink ref="G18" location="应付职工薪酬!A1" display="YFZGXCMX-1"/>
    <hyperlink ref="G19" location="应付职工薪酬检查表!A1" display="YFZGXCJC-1"/>
    <hyperlink ref="G20" location="应交税费!A1" display="YJSF-1"/>
    <hyperlink ref="G21" location="应交增值税明细表!A1" display="YJSF-2"/>
    <hyperlink ref="G22" location="营业收入!A1" display="YYSR-1"/>
    <hyperlink ref="G23" location="营业成本!A1" display="YYCB-1"/>
    <hyperlink ref="G24" location="毛利率分析表!A1" display="MLLFX-1"/>
    <hyperlink ref="G25" location="销售费用!A1" display="XSFY-1"/>
    <hyperlink ref="G26" location="销售费用比例分析!A1" display="XSFY-2"/>
    <hyperlink ref="G27" location="管理费用!A1" display="GLFY-1"/>
    <hyperlink ref="G28" location="管理费用比例分析!A1" display="GLFY-2"/>
    <hyperlink ref="G29" location="财务费用!A1" display="CWFY-1"/>
  </hyperlinks>
  <pageMargins left="0.75" right="0.75" top="1" bottom="1" header="0.5" footer="0.5"/>
</worksheet>
</file>

<file path=xl/worksheets/sheet2.xml><?xml version="1.0" encoding="utf-8"?>
<worksheet xmlns="http://schemas.openxmlformats.org/spreadsheetml/2006/main">
  <sheetPr codeName="Sheet2">
    <outlinePr summaryBelow="1" summaryRight="1"/>
    <pageSetUpPr/>
  </sheetPr>
  <dimension ref="A1:I54"/>
  <sheetViews>
    <sheetView workbookViewId="0">
      <pane ySplit="2" topLeftCell="A10" activePane="bottomLeft" state="frozen"/>
      <selection activeCell="A1" sqref="A1"/>
      <selection pane="bottomLeft" activeCell="D3" sqref="D3"/>
    </sheetView>
  </sheetViews>
  <sheetFormatPr baseColWidth="8" defaultColWidth="8.731481481481479" defaultRowHeight="14.4"/>
  <cols>
    <col width="5.18518518518519" customWidth="1" style="289" min="1" max="1"/>
    <col width="12.0925925925926" customWidth="1" style="289" min="2" max="2"/>
    <col width="85.5462962962963" customWidth="1" style="289" min="3" max="3"/>
    <col width="17.6388888888889" customWidth="1" style="289" min="4" max="4"/>
    <col width="4.81481481481481" customWidth="1" style="559" min="5" max="9"/>
  </cols>
  <sheetData>
    <row r="1" ht="21" customHeight="1" s="559">
      <c r="A1" s="448" t="inlineStr">
        <is>
          <t>序号</t>
        </is>
      </c>
      <c r="B1" s="448" t="inlineStr">
        <is>
          <t>科目名称</t>
        </is>
      </c>
      <c r="C1" s="538" t="inlineStr">
        <is>
          <t>计划实施的实质性程序</t>
        </is>
      </c>
      <c r="D1" s="538" t="inlineStr">
        <is>
          <t>审计结论</t>
        </is>
      </c>
      <c r="E1" s="459" t="inlineStr">
        <is>
          <t>财务报表认定</t>
        </is>
      </c>
      <c r="F1" s="562" t="n"/>
      <c r="G1" s="562" t="n"/>
      <c r="H1" s="562" t="n"/>
      <c r="I1" s="563" t="n"/>
    </row>
    <row r="2" ht="23" customFormat="1" customHeight="1" s="3">
      <c r="A2" s="560" t="n"/>
      <c r="B2" s="560" t="n"/>
      <c r="C2" s="560" t="n"/>
      <c r="D2" s="560" t="n"/>
      <c r="E2" s="548" t="inlineStr">
        <is>
          <t>存在/发生</t>
        </is>
      </c>
      <c r="F2" s="548" t="inlineStr">
        <is>
          <t>完整性</t>
        </is>
      </c>
      <c r="G2" s="548" t="inlineStr">
        <is>
          <t>权利/义务</t>
        </is>
      </c>
      <c r="H2" s="548" t="inlineStr">
        <is>
          <t>计价</t>
        </is>
      </c>
      <c r="I2" s="548" t="inlineStr">
        <is>
          <t>列报</t>
        </is>
      </c>
    </row>
    <row r="3" ht="29" customFormat="1" customHeight="1" s="3">
      <c r="A3" s="113" t="n">
        <v>1</v>
      </c>
      <c r="B3" s="113" t="inlineStr">
        <is>
          <t>货币资金</t>
        </is>
      </c>
      <c r="C3" s="119" t="inlineStr">
        <is>
          <t>获取或编制货币资金明细表</t>
        </is>
      </c>
      <c r="D3" s="541" t="n"/>
      <c r="E3" s="523" t="n"/>
      <c r="F3" s="523" t="n"/>
      <c r="G3" s="523" t="n"/>
      <c r="H3" s="544" t="inlineStr">
        <is>
          <t>√</t>
        </is>
      </c>
      <c r="I3" s="523" t="n"/>
    </row>
    <row r="4" ht="32" customFormat="1" customHeight="1" s="3">
      <c r="A4" s="113" t="n">
        <v>2</v>
      </c>
      <c r="B4" s="113" t="inlineStr">
        <is>
          <t>货币资金</t>
        </is>
      </c>
      <c r="C4" s="105" t="inlineStr">
        <is>
          <t>取得被审计单位银行存款及其他货币资金的银行余额对账单，检查被审计单位提供的银行对账单是否存在涂改或修改的情况，确定银行对账单金额的正确性，并与账面余额核对，确认是否一致；</t>
        </is>
      </c>
      <c r="D4" s="541" t="n"/>
      <c r="E4" s="544" t="inlineStr">
        <is>
          <t>√</t>
        </is>
      </c>
      <c r="F4" s="544" t="inlineStr">
        <is>
          <t>√</t>
        </is>
      </c>
      <c r="G4" s="544" t="n"/>
      <c r="H4" s="544" t="inlineStr">
        <is>
          <t>√</t>
        </is>
      </c>
      <c r="I4" s="544" t="n"/>
    </row>
    <row r="5" ht="29" customFormat="1" customHeight="1" s="3">
      <c r="A5" s="113" t="n">
        <v>3</v>
      </c>
      <c r="B5" s="113" t="inlineStr">
        <is>
          <t>货币资金</t>
        </is>
      </c>
      <c r="C5" s="105" t="inlineStr">
        <is>
          <t>抽查大额库存现金收支。检查原始凭证是否齐全、记账凭证与原始凭证是否相符、账务处理是否正确、是否记录于恰当的会计期间、是否经过授权批准等项内容。</t>
        </is>
      </c>
      <c r="D5" s="541" t="n"/>
      <c r="E5" s="544" t="inlineStr">
        <is>
          <t>√</t>
        </is>
      </c>
      <c r="F5" s="544" t="n"/>
      <c r="G5" s="544" t="n"/>
      <c r="H5" s="544" t="inlineStr">
        <is>
          <t>√</t>
        </is>
      </c>
      <c r="I5" s="523" t="n"/>
    </row>
    <row r="6" ht="55" customFormat="1" customHeight="1" s="3">
      <c r="A6" s="113" t="n">
        <v>4</v>
      </c>
      <c r="B6" s="113" t="inlineStr">
        <is>
          <t>货币资金</t>
        </is>
      </c>
      <c r="C6" s="105" t="inlineStr">
        <is>
          <t>抽查大额银行存款收支的原始凭证，检查原始凭证是否齐全、有无授权批准、记账凭证与原始凭证是否相符、账务处理是否正确、是否记录于恰当的会计期间等项内容。
检查是否存在非营业目的的大额货币资金转移，并核对相关账户的进账情况；如有与被审计单位生产经营无关的收支事项，应查明原因并作相应的记录。</t>
        </is>
      </c>
      <c r="D6" s="541" t="n"/>
      <c r="E6" s="544" t="inlineStr">
        <is>
          <t>√</t>
        </is>
      </c>
      <c r="F6" s="544" t="n"/>
      <c r="G6" s="544" t="n"/>
      <c r="H6" s="544" t="inlineStr">
        <is>
          <t>√</t>
        </is>
      </c>
      <c r="I6" s="523" t="n"/>
    </row>
    <row r="7" ht="29" customFormat="1" customHeight="1" s="3">
      <c r="A7" s="113" t="n">
        <v>5</v>
      </c>
      <c r="B7" s="113" t="inlineStr">
        <is>
          <t>货币资金</t>
        </is>
      </c>
      <c r="C7" s="105" t="inlineStr">
        <is>
          <t>抽查大额其他货币资金收付记录。检查原始凭证是否齐全、记账凭证与原始凭证是否相符、账务处理是否正确、是否记录于恰当的会计期间等项内容。</t>
        </is>
      </c>
      <c r="D7" s="541" t="n"/>
      <c r="E7" s="544" t="inlineStr">
        <is>
          <t>√</t>
        </is>
      </c>
      <c r="F7" s="544" t="n"/>
      <c r="G7" s="544" t="n"/>
      <c r="H7" s="544" t="inlineStr">
        <is>
          <t>√</t>
        </is>
      </c>
      <c r="I7" s="523" t="n"/>
    </row>
    <row r="8" ht="29" customFormat="1" customHeight="1" s="3">
      <c r="A8" s="113" t="n">
        <v>6</v>
      </c>
      <c r="B8" s="113" t="inlineStr">
        <is>
          <t>货币资金</t>
        </is>
      </c>
      <c r="C8" s="105" t="inlineStr">
        <is>
          <t>关注是否有质押、冻结等对变现有限制、或存放在境外、或有潜在回收风险的款项，并已恰当披露。</t>
        </is>
      </c>
      <c r="D8" s="541" t="n"/>
      <c r="E8" s="544" t="n"/>
      <c r="F8" s="544" t="n"/>
      <c r="G8" s="544" t="n"/>
      <c r="H8" s="544" t="n"/>
      <c r="I8" s="544" t="inlineStr">
        <is>
          <t>√</t>
        </is>
      </c>
    </row>
    <row r="9" ht="42" customFormat="1" customHeight="1" s="3">
      <c r="A9" s="113" t="n">
        <v>7</v>
      </c>
      <c r="B9" s="113" t="inlineStr">
        <is>
          <t>库存商品</t>
        </is>
      </c>
      <c r="C9" s="105" t="inlineStr">
        <is>
          <t>获取或编制库存商品的明细表，复核加计是否正确，并与总账数、明细账合计数核对是否相符。
检查库存商品明细表中是否有异常或负余额（包括数量为负或金额为负）的项目</t>
        </is>
      </c>
      <c r="D9" s="541" t="n"/>
      <c r="E9" s="228" t="inlineStr">
        <is>
          <t>√</t>
        </is>
      </c>
      <c r="F9" s="228" t="inlineStr">
        <is>
          <t>√</t>
        </is>
      </c>
      <c r="G9" s="228" t="n"/>
      <c r="H9" s="228" t="inlineStr">
        <is>
          <t>√</t>
        </is>
      </c>
      <c r="I9" s="228" t="n"/>
    </row>
    <row r="10" ht="48" customFormat="1" customHeight="1" s="3">
      <c r="A10" s="113" t="n">
        <v>8</v>
      </c>
      <c r="B10" s="113" t="inlineStr">
        <is>
          <t>库存商品</t>
        </is>
      </c>
      <c r="C10" s="105" t="inlineStr">
        <is>
          <t>如发生关联方交易：(1)了解交易的商业理由；(检查与关联方的购销业务是否正常)
(2)检查证实交易的支持性文件；（例如发票、合同、协议及入库单据等相关文件，并关注交易价格、交易金额的真实性及合理性)</t>
        </is>
      </c>
      <c r="D10" s="541" t="n"/>
      <c r="E10" s="542" t="inlineStr">
        <is>
          <t>√</t>
        </is>
      </c>
      <c r="F10" s="542" t="inlineStr">
        <is>
          <t>√</t>
        </is>
      </c>
      <c r="G10" s="542" t="inlineStr">
        <is>
          <t>√</t>
        </is>
      </c>
      <c r="H10" s="542" t="inlineStr">
        <is>
          <t>√</t>
        </is>
      </c>
      <c r="I10" s="542" t="n"/>
    </row>
    <row r="11" ht="29" customFormat="1" customHeight="1" s="3">
      <c r="A11" s="113" t="n">
        <v>9</v>
      </c>
      <c r="B11" s="113" t="inlineStr">
        <is>
          <t>库存商品</t>
        </is>
      </c>
      <c r="C11" s="105" t="inlineStr">
        <is>
          <t>审阅库存商品明细账，检查有无长期挂账的库存商品，如有，应查明原因并作适当处理。</t>
        </is>
      </c>
      <c r="D11" s="541" t="n"/>
      <c r="E11" s="542" t="inlineStr">
        <is>
          <t>√</t>
        </is>
      </c>
      <c r="F11" s="542" t="n"/>
      <c r="G11" s="542" t="n"/>
      <c r="H11" s="542" t="inlineStr">
        <is>
          <t>√</t>
        </is>
      </c>
      <c r="I11" s="542" t="n"/>
    </row>
    <row r="12" ht="29" customFormat="1" customHeight="1" s="3">
      <c r="A12" s="113" t="n">
        <v>10</v>
      </c>
      <c r="B12" s="113" t="inlineStr">
        <is>
          <t>固定资产</t>
        </is>
      </c>
      <c r="C12" s="105" t="inlineStr">
        <is>
          <t>获取或编制固定资产、累计折旧、减值准备明细表，复核加计是否正确，并与总账数和明细账合计数、报表数核对是否相符，结合累计折旧和固定资产减值准备与报表数核对是否相符。</t>
        </is>
      </c>
      <c r="D12" s="541" t="n"/>
      <c r="E12" s="236" t="n"/>
      <c r="F12" s="236" t="n"/>
      <c r="G12" s="236" t="n"/>
      <c r="H12" s="236" t="inlineStr">
        <is>
          <t>√</t>
        </is>
      </c>
      <c r="I12" s="236" t="n"/>
    </row>
    <row r="13" ht="50" customFormat="1" customHeight="1" s="3">
      <c r="A13" s="113" t="n">
        <v>11</v>
      </c>
      <c r="B13" s="113" t="inlineStr">
        <is>
          <t>固定资产</t>
        </is>
      </c>
      <c r="C13" s="105" t="inlineStr">
        <is>
          <t>检查固定资产的所有权或控制权：(1)对外购的机器设备等固定资产，审核采购发票、采购合同等；
(2)对于房地产类固定资产，查阅有关的合同、产权证明、财产税单、抵押借款的还款凭据、保险单等书面文件；
(3)对汽车等运输设备，检查有关运营证件等；</t>
        </is>
      </c>
      <c r="D13" s="541" t="n"/>
      <c r="E13" s="236" t="n"/>
      <c r="F13" s="236" t="n"/>
      <c r="G13" s="236" t="inlineStr">
        <is>
          <t>√</t>
        </is>
      </c>
      <c r="H13" s="236" t="n"/>
      <c r="I13" s="236" t="n"/>
    </row>
    <row r="14" ht="50" customFormat="1" customHeight="1" s="3">
      <c r="A14" s="113" t="n">
        <v>12</v>
      </c>
      <c r="B14" s="113" t="inlineStr">
        <is>
          <t>固定资产</t>
        </is>
      </c>
      <c r="C14" s="105" t="inlineStr">
        <is>
          <t>检查累计折旧：(1)获取或编制累计折旧分类汇总表，复核加计正确，并与总账数和明细合计数核对。
(2)复核本期折旧费用的计提是否正确
(3)检查累计折旧的减少是否合理，会计处理是否正确</t>
        </is>
      </c>
      <c r="D14" s="541" t="n"/>
      <c r="E14" s="236" t="n"/>
      <c r="F14" s="236" t="n"/>
      <c r="G14" s="236" t="n"/>
      <c r="H14" s="236" t="inlineStr">
        <is>
          <t>√</t>
        </is>
      </c>
      <c r="I14" s="236" t="n"/>
    </row>
    <row r="15" ht="38" customFormat="1" customHeight="1" s="3">
      <c r="A15" s="113" t="n">
        <v>13</v>
      </c>
      <c r="B15" s="113" t="inlineStr">
        <is>
          <t>无形资产</t>
        </is>
      </c>
      <c r="C15" s="105" t="inlineStr">
        <is>
          <t>获取或编制无形资产明细表，复核加计是否正确，并与总账数和明细账合计数核对是否相符；结合累计摊销、无形资产减值准备科目与报表数核对是否相符。</t>
        </is>
      </c>
      <c r="D15" s="541" t="n"/>
      <c r="E15" s="542" t="n"/>
      <c r="F15" s="542" t="n"/>
      <c r="G15" s="542" t="n"/>
      <c r="H15" s="542" t="inlineStr">
        <is>
          <t>√</t>
        </is>
      </c>
      <c r="I15" s="542" t="n"/>
    </row>
    <row r="16" ht="29" customFormat="1" customHeight="1" s="3">
      <c r="A16" s="113" t="n">
        <v>14</v>
      </c>
      <c r="B16" s="113" t="inlineStr">
        <is>
          <t>无形资产</t>
        </is>
      </c>
      <c r="C16" s="105" t="inlineStr">
        <is>
          <t>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is>
      </c>
      <c r="D16" s="541" t="n"/>
      <c r="E16" s="542" t="inlineStr">
        <is>
          <t>√</t>
        </is>
      </c>
      <c r="F16" s="542" t="n"/>
      <c r="G16" s="542" t="inlineStr">
        <is>
          <t>√</t>
        </is>
      </c>
      <c r="H16" s="542" t="n"/>
      <c r="I16" s="542" t="n"/>
    </row>
    <row r="17" ht="63" customFormat="1" customHeight="1" s="3">
      <c r="A17" s="113" t="n">
        <v>15</v>
      </c>
      <c r="B17" s="113" t="inlineStr">
        <is>
          <t>无形资产</t>
        </is>
      </c>
      <c r="C17" s="105" t="inlineStr">
        <is>
          <t>检查使用寿命有限的无形资产的摊销：(1)获取或编制无形资产累计摊销明细表，复核加计正确，并与总账数和明细账合计数核对相符。
(2)检查无形资产摊销政策是否符合有关规定，是否与上期一致，若改变摊销政策，检查其依据是否充分。
(3)复核本期摊销是否正确。</t>
        </is>
      </c>
      <c r="D17" s="541" t="n"/>
      <c r="E17" s="542" t="n"/>
      <c r="F17" s="542" t="n"/>
      <c r="G17" s="542" t="n"/>
      <c r="H17" s="542" t="inlineStr">
        <is>
          <t>√</t>
        </is>
      </c>
      <c r="I17" s="542" t="n"/>
    </row>
    <row r="18" ht="30" customFormat="1" customHeight="1" s="3">
      <c r="A18" s="113" t="n">
        <v>16</v>
      </c>
      <c r="B18" s="113" t="inlineStr">
        <is>
          <t>应收账款</t>
        </is>
      </c>
      <c r="C18" s="105" t="inlineStr">
        <is>
          <t>获取或编制应收账款明细表：复核加计是否正确，并与总账数和明细账合计数核对是否相符；结合坏账准备科目与报表数核对是否相符；分析有贷方余额的项目，查明原因，必要时，作重分类调整；</t>
        </is>
      </c>
      <c r="D18" s="541" t="n"/>
      <c r="E18" s="523" t="n"/>
      <c r="F18" s="523" t="n"/>
      <c r="G18" s="523" t="n"/>
      <c r="H18" s="542" t="inlineStr">
        <is>
          <t>√</t>
        </is>
      </c>
      <c r="I18" s="523" t="n"/>
    </row>
    <row r="19" ht="44" customFormat="1" customHeight="1" s="3">
      <c r="A19" s="113" t="n">
        <v>17</v>
      </c>
      <c r="B19" s="113" t="inlineStr">
        <is>
          <t>应收账款</t>
        </is>
      </c>
      <c r="C19" s="105" t="inlineStr">
        <is>
          <t>结合其他应收款、预收账款等往来项目的明细余额，调查有无同一客户多处挂账、异常余额或与销售无关的其他款项。如有，应做出记录，必要时作调整；</t>
        </is>
      </c>
      <c r="D19" s="541" t="n"/>
      <c r="E19" s="523" t="n"/>
      <c r="F19" s="523" t="n"/>
      <c r="G19" s="523" t="n"/>
      <c r="H19" s="542" t="inlineStr">
        <is>
          <t>√</t>
        </is>
      </c>
      <c r="I19" s="523" t="n"/>
    </row>
    <row r="20" ht="26" customFormat="1" customHeight="1" s="3">
      <c r="A20" s="113" t="n">
        <v>18</v>
      </c>
      <c r="B20" s="113" t="inlineStr">
        <is>
          <t>应收账款</t>
        </is>
      </c>
      <c r="C20" s="105" t="inlineStr">
        <is>
          <t>获取或编制应收账款账龄分析表，对重要客户的主要信息进行背景调查；</t>
        </is>
      </c>
      <c r="D20" s="541" t="n"/>
      <c r="E20" s="523" t="n"/>
      <c r="F20" s="523" t="n"/>
      <c r="G20" s="523" t="n"/>
      <c r="H20" s="542" t="inlineStr">
        <is>
          <t>√</t>
        </is>
      </c>
      <c r="I20" s="523" t="n"/>
    </row>
    <row r="21" ht="22" customHeight="1" s="559">
      <c r="A21" s="113" t="n">
        <v>19</v>
      </c>
      <c r="B21" s="113" t="inlineStr">
        <is>
          <t>应收账款</t>
        </is>
      </c>
      <c r="C21" s="105" t="inlineStr">
        <is>
          <t>对重大应收账款余额进行核对。</t>
        </is>
      </c>
      <c r="D21" s="541" t="n"/>
      <c r="E21" s="542" t="inlineStr">
        <is>
          <t>√</t>
        </is>
      </c>
      <c r="F21" s="544" t="n"/>
      <c r="G21" s="542" t="inlineStr">
        <is>
          <t>√</t>
        </is>
      </c>
      <c r="H21" s="542" t="inlineStr">
        <is>
          <t>√</t>
        </is>
      </c>
      <c r="I21" s="544" t="n"/>
    </row>
    <row r="22" ht="30" customHeight="1" s="559">
      <c r="A22" s="113" t="n">
        <v>20</v>
      </c>
      <c r="B22" s="113" t="inlineStr">
        <is>
          <t>预付账款</t>
        </is>
      </c>
      <c r="C22" s="105" t="inlineStr">
        <is>
          <t>获取或编制预付款项明细表：复核加计是否正确，并与总账数和明细账合计数核对是否相符，结合坏账准备科目与报表数核对是否相符；分析出现贷方余额的项目，查明原因，必要的建议进行重新分类调整；</t>
        </is>
      </c>
      <c r="D22" s="541" t="n"/>
      <c r="E22" s="105" t="n"/>
      <c r="F22" s="105" t="n"/>
      <c r="G22" s="261" t="n"/>
      <c r="H22" s="544" t="inlineStr">
        <is>
          <t>√</t>
        </is>
      </c>
      <c r="I22" s="261" t="n"/>
    </row>
    <row r="23" ht="39" customHeight="1" s="559">
      <c r="A23" s="113" t="n">
        <v>21</v>
      </c>
      <c r="B23" s="113" t="inlineStr">
        <is>
          <t>预付账款</t>
        </is>
      </c>
      <c r="C23" s="549" t="inlineStr">
        <is>
          <t>结合应付账款明细账审计，查核有无重复付款情况或在收到由预付款项购买的物资时未冲减预付款项而增加应付款项的情况（即在预付款项和应付账款两个科目中同时挂账)；</t>
        </is>
      </c>
      <c r="D23" s="541" t="n"/>
      <c r="E23" s="549" t="n"/>
      <c r="F23" s="549" t="n"/>
      <c r="G23" s="261" t="n"/>
      <c r="H23" s="544" t="inlineStr">
        <is>
          <t>√</t>
        </is>
      </c>
      <c r="I23" s="261" t="n"/>
    </row>
    <row r="24" ht="22" customHeight="1" s="559">
      <c r="A24" s="113" t="n">
        <v>22</v>
      </c>
      <c r="B24" s="113" t="inlineStr">
        <is>
          <t>预付账款</t>
        </is>
      </c>
      <c r="C24" s="105" t="inlineStr">
        <is>
          <t>获取或编制预付账款账龄分析表，对重要客户的主要信息进行背景调查；</t>
        </is>
      </c>
      <c r="D24" s="541" t="n"/>
      <c r="E24" s="523" t="n"/>
      <c r="F24" s="523" t="n"/>
      <c r="G24" s="523" t="n"/>
      <c r="H24" s="542" t="inlineStr">
        <is>
          <t>√</t>
        </is>
      </c>
      <c r="I24" s="523" t="n"/>
    </row>
    <row r="25" ht="22" customHeight="1" s="559">
      <c r="A25" s="113" t="n">
        <v>23</v>
      </c>
      <c r="B25" s="113" t="inlineStr">
        <is>
          <t>预付账款</t>
        </is>
      </c>
      <c r="C25" s="105" t="inlineStr">
        <is>
          <t>对重大预付账款余额进行核对。</t>
        </is>
      </c>
      <c r="D25" s="541" t="n"/>
      <c r="E25" s="542" t="inlineStr">
        <is>
          <t>√</t>
        </is>
      </c>
      <c r="F25" s="544" t="n"/>
      <c r="G25" s="542" t="inlineStr">
        <is>
          <t>√</t>
        </is>
      </c>
      <c r="H25" s="542" t="inlineStr">
        <is>
          <t>√</t>
        </is>
      </c>
      <c r="I25" s="544" t="n"/>
    </row>
    <row r="26" ht="34" customHeight="1" s="559">
      <c r="A26" s="113" t="n">
        <v>24</v>
      </c>
      <c r="B26" s="113" t="inlineStr">
        <is>
          <t>其他应收款</t>
        </is>
      </c>
      <c r="C26" s="105" t="inlineStr">
        <is>
          <t>获取或编制其他应收款明细表：复核加计正确，并与总账数和明细账合计数核对是否相符，结合坏账准备科目与报表数核对是否相符；分析有贷方余额的项目，查明原因，必要时，作重分类调整；</t>
        </is>
      </c>
      <c r="D26" s="541" t="n"/>
      <c r="E26" s="261" t="n"/>
      <c r="F26" s="261" t="n"/>
      <c r="G26" s="261" t="n"/>
      <c r="H26" s="544" t="inlineStr">
        <is>
          <t>√</t>
        </is>
      </c>
      <c r="I26" s="261" t="n"/>
    </row>
    <row r="27" ht="21" customHeight="1" s="559">
      <c r="A27" s="113" t="n">
        <v>25</v>
      </c>
      <c r="B27" s="113" t="inlineStr">
        <is>
          <t>其他应收款</t>
        </is>
      </c>
      <c r="C27" s="105" t="inlineStr">
        <is>
          <t>结合其他应收款、其他应付款等明细余额，检查是否有同时挂账的项目，核算内容是否重复，必要时作出适当调整；</t>
        </is>
      </c>
      <c r="D27" s="541" t="n"/>
      <c r="E27" s="261" t="n"/>
      <c r="F27" s="261" t="n"/>
      <c r="G27" s="261" t="n"/>
      <c r="H27" s="544" t="inlineStr">
        <is>
          <t>√</t>
        </is>
      </c>
      <c r="I27" s="261" t="n"/>
    </row>
    <row r="28" ht="24" customHeight="1" s="559">
      <c r="A28" s="113" t="n">
        <v>26</v>
      </c>
      <c r="B28" s="113" t="inlineStr">
        <is>
          <t>其他应收款</t>
        </is>
      </c>
      <c r="C28" s="105" t="inlineStr">
        <is>
          <t>获取或编制其他应收款账龄分析表，对重要客户的主要信息进行背景调查；</t>
        </is>
      </c>
      <c r="D28" s="541" t="n"/>
      <c r="E28" s="523" t="n"/>
      <c r="F28" s="523" t="n"/>
      <c r="G28" s="523" t="n"/>
      <c r="H28" s="542" t="inlineStr">
        <is>
          <t>√</t>
        </is>
      </c>
      <c r="I28" s="523" t="n"/>
    </row>
    <row r="29" ht="24" customHeight="1" s="559">
      <c r="A29" s="113" t="n">
        <v>27</v>
      </c>
      <c r="B29" s="113" t="inlineStr">
        <is>
          <t>其他应收款</t>
        </is>
      </c>
      <c r="C29" s="105" t="inlineStr">
        <is>
          <t>对重大其他应收款余额进行核对。</t>
        </is>
      </c>
      <c r="D29" s="541" t="n"/>
      <c r="E29" s="542" t="inlineStr">
        <is>
          <t>√</t>
        </is>
      </c>
      <c r="F29" s="544" t="n"/>
      <c r="G29" s="542" t="inlineStr">
        <is>
          <t>√</t>
        </is>
      </c>
      <c r="H29" s="542" t="inlineStr">
        <is>
          <t>√</t>
        </is>
      </c>
      <c r="I29" s="544" t="n"/>
    </row>
    <row r="30" ht="31" customHeight="1" s="559">
      <c r="A30" s="113" t="n">
        <v>28</v>
      </c>
      <c r="B30" s="113" t="inlineStr">
        <is>
          <t>应付账款</t>
        </is>
      </c>
      <c r="C30" s="105" t="inlineStr">
        <is>
          <t>获取或编制应付账款明细表：复核加计正确，并与报表数、总账数和明细账合计数核对是否相符；分析出现借方余额的项目，查明原因，必要时，作重分类调整；</t>
        </is>
      </c>
      <c r="D30" s="541" t="n"/>
      <c r="E30" s="105" t="n"/>
      <c r="F30" s="105" t="n"/>
      <c r="G30" s="261" t="n"/>
      <c r="H30" s="542" t="inlineStr">
        <is>
          <t>√</t>
        </is>
      </c>
      <c r="I30" s="261" t="n"/>
    </row>
    <row r="31" ht="29" customHeight="1" s="559">
      <c r="A31" s="113" t="n">
        <v>29</v>
      </c>
      <c r="B31" s="113" t="inlineStr">
        <is>
          <t>应付账款</t>
        </is>
      </c>
      <c r="C31" s="105" t="inlineStr">
        <is>
          <t>结合预付账款等往来项目的明细余额，调查有无同挂的项目、异常余额或与购货无关的其他款项（如关联方账户或雇员账户），如有，应做出记录，必要时作调整；</t>
        </is>
      </c>
      <c r="D31" s="541" t="n"/>
      <c r="E31" s="105" t="n"/>
      <c r="F31" s="105" t="n"/>
      <c r="G31" s="261" t="n"/>
      <c r="H31" s="542" t="inlineStr">
        <is>
          <t>√</t>
        </is>
      </c>
      <c r="I31" s="261" t="n"/>
    </row>
    <row r="32" ht="39" customHeight="1" s="559">
      <c r="A32" s="113" t="n">
        <v>30</v>
      </c>
      <c r="B32" s="113" t="inlineStr">
        <is>
          <t>应付账款</t>
        </is>
      </c>
      <c r="C32" s="105" t="inlineStr">
        <is>
          <t>获取被审计单位与其供应商之间的对账单，以及被审计单位编制的差异调节表，确定应付账款金额的正确性。
应考虑从非财务部门获取上述资料，如：采购部门。查找有无未入账的应付账款，确定是否表明存在错报。</t>
        </is>
      </c>
      <c r="D32" s="541" t="n"/>
      <c r="E32" s="105" t="n"/>
      <c r="F32" s="105" t="n"/>
      <c r="G32" s="261" t="n"/>
      <c r="H32" s="542" t="inlineStr">
        <is>
          <t>√</t>
        </is>
      </c>
      <c r="I32" s="261" t="n"/>
    </row>
    <row r="33" ht="31" customHeight="1" s="559">
      <c r="A33" s="113" t="n">
        <v>31</v>
      </c>
      <c r="B33" s="113" t="inlineStr">
        <is>
          <t>应付账款</t>
        </is>
      </c>
      <c r="C33" s="105" t="inlineStr">
        <is>
          <t>如存在应付关联方的款项：（1）了解交易的商业理由；（2）检查证实交易的支持性文件（例如发票、合同、协议及入库等相关文件）。</t>
        </is>
      </c>
      <c r="D33" s="541" t="n"/>
      <c r="E33" s="105" t="n"/>
      <c r="F33" s="105" t="n"/>
      <c r="G33" s="261" t="n"/>
      <c r="H33" s="542" t="inlineStr">
        <is>
          <t>√</t>
        </is>
      </c>
      <c r="I33" s="261" t="n"/>
    </row>
    <row r="34" ht="21" customHeight="1" s="559">
      <c r="A34" s="113" t="n">
        <v>32</v>
      </c>
      <c r="B34" s="113" t="inlineStr">
        <is>
          <t>应付账款</t>
        </is>
      </c>
      <c r="C34" s="105" t="inlineStr">
        <is>
          <t>获取或编制应付账款账龄分析表，对重要客户的主要信息进行背景调查；</t>
        </is>
      </c>
      <c r="D34" s="541" t="n"/>
      <c r="E34" s="105" t="n"/>
      <c r="F34" s="105" t="n"/>
      <c r="G34" s="261" t="n"/>
      <c r="H34" s="542" t="inlineStr">
        <is>
          <t>√</t>
        </is>
      </c>
      <c r="I34" s="261" t="n"/>
    </row>
    <row r="35" ht="21" customHeight="1" s="559">
      <c r="A35" s="113" t="n">
        <v>33</v>
      </c>
      <c r="B35" s="113" t="inlineStr">
        <is>
          <t>应付账款</t>
        </is>
      </c>
      <c r="C35" s="105" t="inlineStr">
        <is>
          <t>对重大应付账款余额进行核对。</t>
        </is>
      </c>
      <c r="D35" s="541" t="n"/>
      <c r="E35" s="542" t="inlineStr">
        <is>
          <t>√</t>
        </is>
      </c>
      <c r="F35" s="544" t="n"/>
      <c r="G35" s="542" t="inlineStr">
        <is>
          <t>√</t>
        </is>
      </c>
      <c r="H35" s="542" t="inlineStr">
        <is>
          <t>√</t>
        </is>
      </c>
      <c r="I35" s="544" t="n"/>
    </row>
    <row r="36" ht="39" customHeight="1" s="559">
      <c r="A36" s="113" t="n">
        <v>34</v>
      </c>
      <c r="B36" s="113" t="inlineStr">
        <is>
          <t>预收账款</t>
        </is>
      </c>
      <c r="C36" s="105" t="inlineStr">
        <is>
          <t>获取或编制预收款项明细表：复核加计是否正确，并与报表数、总账数和明细账合计数核对是否相符；比较期初、期末预收款项余额，分析其变动原因；检查是否存在借方余额，必要时进行重分类调整；</t>
        </is>
      </c>
      <c r="D36" s="541" t="n"/>
      <c r="E36" s="105" t="n"/>
      <c r="F36" s="105" t="n"/>
      <c r="G36" s="261" t="n"/>
      <c r="H36" s="542" t="inlineStr">
        <is>
          <t>√</t>
        </is>
      </c>
      <c r="I36" s="261" t="n"/>
    </row>
    <row r="37" ht="26" customHeight="1" s="559">
      <c r="A37" s="113" t="n">
        <v>35</v>
      </c>
      <c r="B37" s="113" t="inlineStr">
        <is>
          <t>预收账款</t>
        </is>
      </c>
      <c r="C37" s="105" t="inlineStr">
        <is>
          <t>结合应收账款等往来款项目的明细余额，检查是否存在应收、预收两方挂账的项目，必要时做出调整；</t>
        </is>
      </c>
      <c r="D37" s="541" t="n"/>
      <c r="E37" s="105" t="n"/>
      <c r="F37" s="105" t="n"/>
      <c r="G37" s="261" t="n"/>
      <c r="H37" s="542" t="inlineStr">
        <is>
          <t>√</t>
        </is>
      </c>
      <c r="I37" s="261" t="n"/>
    </row>
    <row r="38" ht="44" customHeight="1" s="559">
      <c r="A38" s="113" t="n">
        <v>36</v>
      </c>
      <c r="B38" s="113" t="inlineStr">
        <is>
          <t>预收账款</t>
        </is>
      </c>
      <c r="C38" s="105" t="inlineStr">
        <is>
          <t>获取或编制预收款项账龄分析表，并对期末账龄在上年账龄基础上递增的合理性进行分析，并检查预收款项长期挂账的原因，并作出记录，必要时提请被审计单位予以调整。</t>
        </is>
      </c>
      <c r="D38" s="541" t="n"/>
      <c r="E38" s="105" t="n"/>
      <c r="F38" s="105" t="n"/>
      <c r="G38" s="261" t="n"/>
      <c r="H38" s="542" t="inlineStr">
        <is>
          <t>√</t>
        </is>
      </c>
      <c r="I38" s="261" t="n"/>
    </row>
    <row r="39" ht="37" customHeight="1" s="559">
      <c r="A39" s="113" t="n">
        <v>37</v>
      </c>
      <c r="B39" s="113" t="inlineStr">
        <is>
          <t>预收账款</t>
        </is>
      </c>
      <c r="C39" s="105" t="inlineStr">
        <is>
          <t>如存在预收关联方[包括持股5%以上(含5%)股东]的款项：（1）了解交易的商业理由、交易类型、交易定价政策等，形成必要记录。（2）检查证实交易的支持性文件；例如发票、合同、协议、入库单等文件</t>
        </is>
      </c>
      <c r="D39" s="541" t="n"/>
      <c r="E39" s="105" t="n"/>
      <c r="F39" s="105" t="n"/>
      <c r="G39" s="261" t="n"/>
      <c r="H39" s="542" t="inlineStr">
        <is>
          <t>√</t>
        </is>
      </c>
      <c r="I39" s="261" t="n"/>
    </row>
    <row r="40" ht="27" customHeight="1" s="559">
      <c r="A40" s="113" t="n">
        <v>38</v>
      </c>
      <c r="B40" s="113" t="inlineStr">
        <is>
          <t>预收账款</t>
        </is>
      </c>
      <c r="C40" s="105" t="inlineStr">
        <is>
          <t>获取或编制预收账款账龄分析表，对重要客户的主要信息进行背景调查；</t>
        </is>
      </c>
      <c r="D40" s="541" t="n"/>
      <c r="E40" s="105" t="n"/>
      <c r="F40" s="105" t="n"/>
      <c r="G40" s="261" t="n"/>
      <c r="H40" s="542" t="inlineStr">
        <is>
          <t>√</t>
        </is>
      </c>
      <c r="I40" s="261" t="n"/>
    </row>
    <row r="41" ht="27" customHeight="1" s="559">
      <c r="A41" s="113" t="n">
        <v>39</v>
      </c>
      <c r="B41" s="113" t="inlineStr">
        <is>
          <t>预收账款</t>
        </is>
      </c>
      <c r="C41" s="105" t="inlineStr">
        <is>
          <t>对重大预收账款余额进行核对。</t>
        </is>
      </c>
      <c r="D41" s="541" t="n"/>
      <c r="E41" s="542" t="inlineStr">
        <is>
          <t>√</t>
        </is>
      </c>
      <c r="F41" s="544" t="n"/>
      <c r="G41" s="542" t="inlineStr">
        <is>
          <t>√</t>
        </is>
      </c>
      <c r="H41" s="542" t="inlineStr">
        <is>
          <t>√</t>
        </is>
      </c>
      <c r="I41" s="544" t="n"/>
    </row>
    <row r="42" ht="33" customHeight="1" s="559">
      <c r="A42" s="113" t="n">
        <v>40</v>
      </c>
      <c r="B42" s="113" t="inlineStr">
        <is>
          <t>其他应付款</t>
        </is>
      </c>
      <c r="C42" s="105" t="inlineStr">
        <is>
          <t>获取或编制其他应付款明细表：复核加计是否正确，并与总账数和明细账合计数核对是否相符；分析有借方余额的项目，查明原因，必要时，作重分类调整；</t>
        </is>
      </c>
      <c r="D42" s="541" t="n"/>
      <c r="E42" s="105" t="n"/>
      <c r="F42" s="105" t="n"/>
      <c r="G42" s="261" t="n"/>
      <c r="H42" s="542" t="inlineStr">
        <is>
          <t>√</t>
        </is>
      </c>
      <c r="I42" s="261" t="n"/>
    </row>
    <row r="43" ht="35" customHeight="1" s="559">
      <c r="A43" s="113" t="n">
        <v>41</v>
      </c>
      <c r="B43" s="113" t="inlineStr">
        <is>
          <t>其他应付款</t>
        </is>
      </c>
      <c r="C43" s="105" t="inlineStr">
        <is>
          <t>结合应付账款、其他应收款等往来项目的明细余额，调查有无同挂的项目、异常余额或与本科目核算无关的其他款项，如有，应做出记录，必要时作调整；</t>
        </is>
      </c>
      <c r="D43" s="541" t="n"/>
      <c r="E43" s="105" t="n"/>
      <c r="F43" s="105" t="n"/>
      <c r="G43" s="261" t="n"/>
      <c r="H43" s="542" t="inlineStr">
        <is>
          <t>√</t>
        </is>
      </c>
      <c r="I43" s="261" t="n"/>
    </row>
    <row r="44" ht="32" customHeight="1" s="559">
      <c r="A44" s="113" t="n">
        <v>42</v>
      </c>
      <c r="B44" s="113" t="inlineStr">
        <is>
          <t>其他应付款</t>
        </is>
      </c>
      <c r="C44" s="105" t="inlineStr">
        <is>
          <t>如存在应付关联方的款项：（1）了解交易的商业理由；（2）检查证实交易的支持性文件（例如发票、合同、协议及入库等相关文件）。</t>
        </is>
      </c>
      <c r="D44" s="541" t="n"/>
      <c r="E44" s="105" t="n"/>
      <c r="F44" s="105" t="n"/>
      <c r="G44" s="261" t="n"/>
      <c r="H44" s="542" t="inlineStr">
        <is>
          <t>√</t>
        </is>
      </c>
      <c r="I44" s="261" t="n"/>
    </row>
    <row r="45" ht="25" customHeight="1" s="559">
      <c r="A45" s="113" t="n">
        <v>43</v>
      </c>
      <c r="B45" s="113" t="inlineStr">
        <is>
          <t>其他应付款</t>
        </is>
      </c>
      <c r="C45" s="105" t="inlineStr">
        <is>
          <t>获取或编制其他应付款账龄分析表，对重要客户的主要信息进行背景调查；</t>
        </is>
      </c>
      <c r="D45" s="541" t="n"/>
      <c r="E45" s="105" t="n"/>
      <c r="F45" s="105" t="n"/>
      <c r="G45" s="261" t="n"/>
      <c r="H45" s="542" t="inlineStr">
        <is>
          <t>√</t>
        </is>
      </c>
      <c r="I45" s="261" t="n"/>
    </row>
    <row r="46" ht="25" customHeight="1" s="559">
      <c r="A46" s="113" t="n">
        <v>44</v>
      </c>
      <c r="B46" s="113" t="inlineStr">
        <is>
          <t>其他应付款</t>
        </is>
      </c>
      <c r="C46" s="105" t="inlineStr">
        <is>
          <t>对重大其他应付款余额进行核对。</t>
        </is>
      </c>
      <c r="D46" s="541" t="n"/>
      <c r="E46" s="542" t="inlineStr">
        <is>
          <t>√</t>
        </is>
      </c>
      <c r="F46" s="544" t="n"/>
      <c r="G46" s="542" t="inlineStr">
        <is>
          <t>√</t>
        </is>
      </c>
      <c r="H46" s="542" t="inlineStr">
        <is>
          <t>√</t>
        </is>
      </c>
      <c r="I46" s="544" t="n"/>
    </row>
    <row r="47" ht="33" customHeight="1" s="559">
      <c r="A47" s="113" t="n">
        <v>45</v>
      </c>
      <c r="B47" s="113" t="inlineStr">
        <is>
          <t>应交税费</t>
        </is>
      </c>
      <c r="C47" s="105" t="inlineStr">
        <is>
          <t>获取或编制应交税费明细表：复核加计是否正确，并与报表数、总账数和明细账合计数核对是否相符；分析存在借方余额的项目，查明原因，判断是否由被审计单位预缴税款引起；</t>
        </is>
      </c>
      <c r="D47" s="541" t="n"/>
      <c r="E47" s="105" t="n"/>
      <c r="F47" s="105" t="n"/>
      <c r="G47" s="261" t="n"/>
      <c r="H47" s="542" t="inlineStr">
        <is>
          <t>√</t>
        </is>
      </c>
      <c r="I47" s="261" t="n"/>
    </row>
    <row r="48" ht="39" customHeight="1" s="559">
      <c r="A48" s="113" t="n">
        <v>46</v>
      </c>
      <c r="B48" s="113" t="inlineStr">
        <is>
          <t>应交税费</t>
        </is>
      </c>
      <c r="C48" s="105" t="inlineStr">
        <is>
          <t>检查应交增值税：(1)获取或编制应交增值税明细表，加计复核其正确性，并与明细账核对相符；(2)将应交增值税明细表与被审计单位增值税纳税申报表进行核对，比较两者是否总体相符，并分析其差额的原因；(10)抽查本期已交增值税资料，确定已交款数的正确性。</t>
        </is>
      </c>
      <c r="D48" s="541" t="n"/>
      <c r="E48" s="544" t="inlineStr">
        <is>
          <t>√</t>
        </is>
      </c>
      <c r="F48" s="544" t="inlineStr">
        <is>
          <t>√</t>
        </is>
      </c>
      <c r="G48" s="544" t="n"/>
      <c r="H48" s="544" t="inlineStr">
        <is>
          <t>√</t>
        </is>
      </c>
      <c r="I48" s="544" t="n"/>
    </row>
    <row r="49" ht="29" customHeight="1" s="559">
      <c r="A49" s="113" t="n">
        <v>47</v>
      </c>
      <c r="B49" s="113" t="inlineStr">
        <is>
          <t>应付职工薪酬</t>
        </is>
      </c>
      <c r="C49" s="105" t="inlineStr">
        <is>
          <t>获取或编制应付职工薪酬明细表,复核加计是否正确,并与报表数、总账数和明细账合计数核对是否相符。</t>
        </is>
      </c>
      <c r="D49" s="541" t="n"/>
      <c r="E49" s="233" t="n"/>
      <c r="F49" s="233" t="n"/>
      <c r="G49" s="233" t="n"/>
      <c r="H49" s="544" t="inlineStr">
        <is>
          <t>√</t>
        </is>
      </c>
      <c r="I49" s="233" t="n"/>
    </row>
    <row r="50" ht="54" customHeight="1" s="559">
      <c r="A50" s="113" t="n">
        <v>48</v>
      </c>
      <c r="B50" s="113" t="inlineStr">
        <is>
          <t>应付职工薪酬</t>
        </is>
      </c>
      <c r="C50" s="105" t="inlineStr">
        <is>
          <t>检查应付职工薪酬本期的发生：
(1)对按照职工提供服务情况和工资标准计算的职工薪酬（如工资），获取工资计算表，将工资标准与有关规定进行核对，选取样本进行测试</t>
        </is>
      </c>
      <c r="D50" s="541" t="n"/>
      <c r="E50" s="233" t="n"/>
      <c r="F50" s="233" t="n"/>
      <c r="G50" s="233" t="n"/>
      <c r="H50" s="544" t="inlineStr">
        <is>
          <t>√</t>
        </is>
      </c>
      <c r="I50" s="233" t="n"/>
    </row>
    <row r="51" ht="70" customHeight="1" s="559">
      <c r="A51" s="113" t="n">
        <v>49</v>
      </c>
      <c r="B51" s="113" t="inlineStr">
        <is>
          <t>应付职工薪酬</t>
        </is>
      </c>
      <c r="C51" s="105" t="inlineStr">
        <is>
          <t>检查应付职工薪酬的确认，与生产成本、制造费用、在建工程等相关账项进行核对，确定会计处理是否符合企业会计准则的规定
1)应由生产产品、提供劳务负担的职工薪酬，计入产品成本或劳务成本；
2)应由在建工程、无形资产负担的职工薪酬，计入建造固定资产或无形资产；
4)其他职工薪酬，计入当期损益；</t>
        </is>
      </c>
      <c r="D51" s="541" t="n"/>
      <c r="E51" s="544" t="inlineStr">
        <is>
          <t>√</t>
        </is>
      </c>
      <c r="F51" s="544" t="inlineStr">
        <is>
          <t>√</t>
        </is>
      </c>
      <c r="G51" s="550" t="n"/>
      <c r="H51" s="544" t="inlineStr">
        <is>
          <t>√</t>
        </is>
      </c>
      <c r="I51" s="551" t="n"/>
    </row>
    <row r="52" ht="28" customHeight="1" s="559">
      <c r="A52" s="113" t="n">
        <v>50</v>
      </c>
      <c r="B52" s="113" t="inlineStr">
        <is>
          <t>其他流动资产</t>
        </is>
      </c>
      <c r="C52" s="105" t="inlineStr">
        <is>
          <t>获取或编制其他流动资产明细表，复核加计是否正确，并与总账数和明细账合计数核对是否相符，与报表数核对是否相符。</t>
        </is>
      </c>
      <c r="D52" s="541" t="n"/>
      <c r="E52" s="544" t="n"/>
      <c r="F52" s="544" t="n"/>
      <c r="G52" s="544" t="n"/>
      <c r="H52" s="542" t="inlineStr">
        <is>
          <t>√</t>
        </is>
      </c>
      <c r="I52" s="544" t="n"/>
    </row>
    <row r="53" ht="28" customHeight="1" s="559">
      <c r="A53" s="113" t="n">
        <v>51</v>
      </c>
      <c r="B53" s="113" t="inlineStr">
        <is>
          <t>其他流动资产</t>
        </is>
      </c>
      <c r="C53" s="105" t="inlineStr">
        <is>
          <t>分析明细账余额，对于出现贷方余额的项目，应查明原因。</t>
        </is>
      </c>
      <c r="D53" s="541" t="n"/>
      <c r="E53" s="544" t="n"/>
      <c r="F53" s="544" t="n"/>
      <c r="G53" s="544" t="n"/>
      <c r="H53" s="542" t="inlineStr">
        <is>
          <t>√</t>
        </is>
      </c>
      <c r="I53" s="544" t="n"/>
    </row>
    <row r="54" ht="28" customHeight="1" s="559">
      <c r="A54" s="113" t="n">
        <v>52</v>
      </c>
      <c r="B54" s="113" t="inlineStr">
        <is>
          <t>其他流动资产</t>
        </is>
      </c>
      <c r="C54" s="105" t="inlineStr">
        <is>
          <t>检查其他流动资产所核算内容的分类是否正确。</t>
        </is>
      </c>
      <c r="D54" s="541" t="n"/>
      <c r="E54" s="544" t="n"/>
      <c r="F54" s="544" t="n"/>
      <c r="G54" s="544" t="n"/>
      <c r="H54" s="544" t="n"/>
      <c r="I54" s="542" t="inlineStr">
        <is>
          <t>√</t>
        </is>
      </c>
    </row>
  </sheetData>
  <autoFilter ref="A2:I54"/>
  <mergeCells count="5">
    <mergeCell ref="E1:I1"/>
    <mergeCell ref="C1:C2"/>
    <mergeCell ref="B1:B2"/>
    <mergeCell ref="D1:D2"/>
    <mergeCell ref="A1:A2"/>
  </mergeCells>
  <dataValidations count="3">
    <dataValidation sqref="E4:I4 E5:H7 E8:I17 E48:I48 E52:I54 H3" showDropDown="0" showInputMessage="1" showErrorMessage="1" allowBlank="1" type="list">
      <formula1>"√"</formula1>
    </dataValidation>
    <dataValidation sqref="D3:D54" showDropDown="0" showInputMessage="1" showErrorMessage="1" allowBlank="1" type="list">
      <formula1>"已完成无异常,已完成但存在异常,没有做,无法完成,不适用"</formula1>
    </dataValidation>
    <dataValidation sqref="E49:I51" showDropDown="0" showInputMessage="1" showErrorMessage="1" allowBlank="1" type="list">
      <formula1>"√, "</formula1>
    </dataValidation>
  </dataValidations>
  <pageMargins left="0.75" right="0.75" top="1" bottom="1" header="0.5" footer="0.5"/>
</worksheet>
</file>

<file path=xl/worksheets/sheet3.xml><?xml version="1.0" encoding="utf-8"?>
<worksheet xmlns="http://schemas.openxmlformats.org/spreadsheetml/2006/main">
  <sheetPr codeName="Sheet3">
    <outlinePr summaryBelow="1" summaryRight="1"/>
    <pageSetUpPr/>
  </sheetPr>
  <dimension ref="A1:J36"/>
  <sheetViews>
    <sheetView workbookViewId="0">
      <pane ySplit="2" topLeftCell="A3" activePane="bottomLeft" state="frozen"/>
      <selection activeCell="A1" sqref="A1"/>
      <selection pane="bottomLeft" activeCell="D3" sqref="D3"/>
    </sheetView>
  </sheetViews>
  <sheetFormatPr baseColWidth="8" defaultColWidth="8.731481481481479" defaultRowHeight="14.4"/>
  <cols>
    <col width="5.81481481481481" customWidth="1" style="559" min="1" max="1"/>
    <col width="13" customWidth="1" style="559" min="2" max="2"/>
    <col width="78.0925925925926" customWidth="1" style="559" min="3" max="3"/>
    <col width="15.2685185185185" customWidth="1" style="559" min="4" max="4"/>
    <col width="4.36111111111111" customWidth="1" style="559" min="5" max="10"/>
  </cols>
  <sheetData>
    <row r="1">
      <c r="A1" s="448" t="inlineStr">
        <is>
          <t>序号</t>
        </is>
      </c>
      <c r="B1" s="448" t="inlineStr">
        <is>
          <t>科目名称</t>
        </is>
      </c>
      <c r="C1" s="538" t="inlineStr">
        <is>
          <t>计划实施的实质性程序</t>
        </is>
      </c>
      <c r="D1" s="538" t="inlineStr">
        <is>
          <t>审计结论</t>
        </is>
      </c>
      <c r="E1" s="482" t="inlineStr">
        <is>
          <t>财务报表认定</t>
        </is>
      </c>
      <c r="F1" s="562" t="n"/>
      <c r="G1" s="562" t="n"/>
      <c r="H1" s="562" t="n"/>
      <c r="I1" s="562" t="n"/>
      <c r="J1" s="563" t="n"/>
    </row>
    <row r="2" ht="36" customHeight="1" s="559">
      <c r="A2" s="560" t="n"/>
      <c r="B2" s="560" t="n"/>
      <c r="C2" s="560" t="n"/>
      <c r="D2" s="560" t="n"/>
      <c r="E2" s="41" t="inlineStr">
        <is>
          <t>发生</t>
        </is>
      </c>
      <c r="F2" s="41" t="inlineStr">
        <is>
          <t>完整性</t>
        </is>
      </c>
      <c r="G2" s="41" t="inlineStr">
        <is>
          <t>准确性</t>
        </is>
      </c>
      <c r="H2" s="41" t="inlineStr">
        <is>
          <t>截止</t>
        </is>
      </c>
      <c r="I2" s="41" t="inlineStr">
        <is>
          <t>分类</t>
        </is>
      </c>
      <c r="J2" s="41" t="inlineStr">
        <is>
          <t>列报</t>
        </is>
      </c>
    </row>
    <row r="3" ht="35" customHeight="1" s="559">
      <c r="A3" s="539" t="n">
        <v>1</v>
      </c>
      <c r="B3" s="113" t="inlineStr">
        <is>
          <t>营业收入</t>
        </is>
      </c>
      <c r="C3" s="540" t="inlineStr">
        <is>
          <t>获取或编制主营业务收入明细表：(1)复核加计是否正确，并与总账数和明细账合计数核对是否相符，结合其他业务收入科目与报表数核对是否相符；</t>
        </is>
      </c>
      <c r="D3" s="541" t="n"/>
      <c r="E3" s="261" t="n"/>
      <c r="F3" s="261" t="n"/>
      <c r="G3" s="542" t="inlineStr">
        <is>
          <t>√</t>
        </is>
      </c>
      <c r="H3" s="261" t="n"/>
      <c r="I3" s="261" t="n"/>
      <c r="J3" s="261" t="n"/>
    </row>
    <row r="4" ht="33" customHeight="1" s="559">
      <c r="A4" s="539" t="n">
        <v>2</v>
      </c>
      <c r="B4" s="113" t="inlineStr">
        <is>
          <t>营业收入</t>
        </is>
      </c>
      <c r="C4" s="543" t="inlineStr">
        <is>
          <t>(1)按收入类别或产品名称对销售数量、主营业务收入、毛利率等进行趋势分析、结构分析和价格变动分析，确定异常或应关注的领域或区间，并查明重大波动原因；</t>
        </is>
      </c>
      <c r="D4" s="541" t="n"/>
      <c r="E4" s="542" t="inlineStr">
        <is>
          <t>√</t>
        </is>
      </c>
      <c r="F4" s="542" t="inlineStr">
        <is>
          <t>√</t>
        </is>
      </c>
      <c r="G4" s="542" t="inlineStr">
        <is>
          <t>√</t>
        </is>
      </c>
      <c r="H4" s="261" t="n"/>
      <c r="I4" s="261" t="n"/>
      <c r="J4" s="261" t="n"/>
    </row>
    <row r="5" ht="36" customHeight="1" s="559">
      <c r="A5" s="539" t="n">
        <v>3</v>
      </c>
      <c r="B5" s="113" t="inlineStr">
        <is>
          <t>营业收入</t>
        </is>
      </c>
      <c r="C5" s="543" t="inlineStr">
        <is>
          <t>(2)按月度对本期和上期毛利率进行比较分析，检查是否存在异常，各期之间是否存在重大波动，查明原因；</t>
        </is>
      </c>
      <c r="D5" s="541" t="n"/>
      <c r="E5" s="542" t="inlineStr">
        <is>
          <t>√</t>
        </is>
      </c>
      <c r="F5" s="542" t="inlineStr">
        <is>
          <t>√</t>
        </is>
      </c>
      <c r="G5" s="542" t="inlineStr">
        <is>
          <t>√</t>
        </is>
      </c>
      <c r="H5" s="261" t="n"/>
      <c r="I5" s="261" t="n"/>
      <c r="J5" s="261" t="n"/>
    </row>
    <row r="6" ht="34" customHeight="1" s="559">
      <c r="A6" s="539" t="n">
        <v>4</v>
      </c>
      <c r="B6" s="113" t="inlineStr">
        <is>
          <t>营业收入</t>
        </is>
      </c>
      <c r="C6" s="543" t="inlineStr">
        <is>
          <t>(3)比较本期各月各类主营业务收入的波动情况，分析其变动趋势是否正常，是否符合被审计单位季节性、周期性的经营规律，查明异常现象和重大波动的原因；</t>
        </is>
      </c>
      <c r="D6" s="541" t="n"/>
      <c r="E6" s="542" t="inlineStr">
        <is>
          <t>√</t>
        </is>
      </c>
      <c r="F6" s="542" t="inlineStr">
        <is>
          <t>√</t>
        </is>
      </c>
      <c r="G6" s="542" t="inlineStr">
        <is>
          <t>√</t>
        </is>
      </c>
      <c r="H6" s="261" t="n"/>
      <c r="I6" s="261" t="n"/>
      <c r="J6" s="261" t="n"/>
    </row>
    <row r="7" ht="47" customHeight="1" s="559">
      <c r="A7" s="539" t="n">
        <v>5</v>
      </c>
      <c r="B7" s="113" t="inlineStr">
        <is>
          <t>营业收入</t>
        </is>
      </c>
      <c r="C7" s="540" t="inlineStr">
        <is>
          <t>检查收入确认会计政策及会计估计的判断是否恰当：(1)了解被审计单位的销售模式或经营模式，结合在了解被审计单位及其环境时获取的信息，并结合合同检查主营业务收入的确认条件、方法是否符合企业会计准则规定；前后期是否一致；</t>
        </is>
      </c>
      <c r="D7" s="541" t="n"/>
      <c r="E7" s="542" t="inlineStr">
        <is>
          <t>√</t>
        </is>
      </c>
      <c r="F7" s="542" t="inlineStr">
        <is>
          <t>√</t>
        </is>
      </c>
      <c r="G7" s="542" t="inlineStr">
        <is>
          <t>√</t>
        </is>
      </c>
      <c r="H7" s="542" t="inlineStr">
        <is>
          <t>√</t>
        </is>
      </c>
      <c r="I7" s="261" t="n"/>
      <c r="J7" s="261" t="n"/>
    </row>
    <row r="8" ht="37" customHeight="1" s="559">
      <c r="A8" s="539" t="n">
        <v>6</v>
      </c>
      <c r="B8" s="113" t="inlineStr">
        <is>
          <t>营业收入</t>
        </is>
      </c>
      <c r="C8" s="540" t="inlineStr">
        <is>
          <t>获取产品价格目录，抽查售价是否符合价格政策，并注意销售给关联方或关系密切的重要客户的产品价格是否合理，有无以低价或高价结算的方法，相互之间有无转移利润的现象。</t>
        </is>
      </c>
      <c r="D8" s="541" t="n"/>
      <c r="E8" s="261" t="n"/>
      <c r="F8" s="261" t="n"/>
      <c r="G8" s="542" t="inlineStr">
        <is>
          <t>√</t>
        </is>
      </c>
      <c r="H8" s="261" t="n"/>
      <c r="I8" s="261" t="n"/>
      <c r="J8" s="261" t="n"/>
    </row>
    <row r="9" ht="32.4" customHeight="1" s="559">
      <c r="A9" s="539" t="n">
        <v>7</v>
      </c>
      <c r="B9" s="113" t="inlineStr">
        <is>
          <t>营业收入</t>
        </is>
      </c>
      <c r="C9" s="540" t="inlineStr">
        <is>
          <t>如发生关联方交易：检查证实交易的支持性文件（例如发票、合同、协议及入库等相关文件）。
将关联方交易的频率、规模、价格和账款结算条件，与非关联方对比，确定关联交易价格是否远远高于或低于非关联方交易价格，分析被审计单位利用关联方交易虚构业务或调节利润或利益输送的可能性。</t>
        </is>
      </c>
      <c r="D9" s="541" t="n"/>
      <c r="E9" s="542" t="inlineStr">
        <is>
          <t>√</t>
        </is>
      </c>
      <c r="F9" s="544" t="n"/>
      <c r="G9" s="542" t="inlineStr">
        <is>
          <t>√</t>
        </is>
      </c>
      <c r="H9" s="261" t="n"/>
      <c r="I9" s="261" t="n"/>
      <c r="J9" s="261" t="n"/>
    </row>
    <row r="10" ht="37" customHeight="1" s="559">
      <c r="A10" s="539" t="n">
        <v>8</v>
      </c>
      <c r="B10" s="113" t="inlineStr">
        <is>
          <t>营业收入</t>
        </is>
      </c>
      <c r="C10" s="540" t="inlineStr">
        <is>
          <t>获取或编制其他业务收入明细表，复核加计是否正确，并与总账数和明细账合计数核对是否相符，结合主营业务收入科目与营业收入报表数核对是否相符。</t>
        </is>
      </c>
      <c r="D10" s="541" t="n"/>
      <c r="E10" s="261" t="n"/>
      <c r="F10" s="261" t="n"/>
      <c r="G10" s="542" t="inlineStr">
        <is>
          <t>√</t>
        </is>
      </c>
      <c r="H10" s="261" t="n"/>
      <c r="I10" s="261" t="n"/>
      <c r="J10" s="261" t="n"/>
    </row>
    <row r="11" ht="25" customHeight="1" s="559">
      <c r="A11" s="539" t="n">
        <v>9</v>
      </c>
      <c r="B11" s="113" t="inlineStr">
        <is>
          <t>营业收入</t>
        </is>
      </c>
      <c r="C11" s="540" t="inlineStr">
        <is>
          <t>检查营业收入是否已按照企业会计准则的规定在财务报表中作出恰当列报。</t>
        </is>
      </c>
      <c r="D11" s="541" t="n"/>
      <c r="E11" s="540" t="n"/>
      <c r="F11" s="261" t="n"/>
      <c r="G11" s="261" t="n"/>
      <c r="H11" s="261" t="n"/>
      <c r="I11" s="261" t="n"/>
      <c r="J11" s="542" t="inlineStr">
        <is>
          <t>√</t>
        </is>
      </c>
    </row>
    <row r="12" ht="33" customHeight="1" s="559">
      <c r="A12" s="539" t="n">
        <v>10</v>
      </c>
      <c r="B12" s="113" t="inlineStr">
        <is>
          <t>营业成本</t>
        </is>
      </c>
      <c r="C12" s="540" t="inlineStr">
        <is>
          <t>获取或编制主营业务成本明细表，复核加计是否正确，并与总账数和明细账合计数核对是否相符，结合其他业务成本科目与营业成本报表数核对是否相符。</t>
        </is>
      </c>
      <c r="D12" s="541" t="n"/>
      <c r="E12" s="542" t="inlineStr">
        <is>
          <t>√</t>
        </is>
      </c>
      <c r="F12" s="542" t="inlineStr">
        <is>
          <t>√</t>
        </is>
      </c>
      <c r="G12" s="542" t="inlineStr">
        <is>
          <t>√</t>
        </is>
      </c>
      <c r="H12" s="261" t="n"/>
      <c r="I12" s="261" t="n"/>
      <c r="J12" s="261" t="n"/>
    </row>
    <row r="13" ht="33" customHeight="1" s="559">
      <c r="A13" s="539" t="n">
        <v>11</v>
      </c>
      <c r="B13" s="113" t="inlineStr">
        <is>
          <t>营业成本</t>
        </is>
      </c>
      <c r="C13" s="540" t="inlineStr">
        <is>
          <t>对主营业务成本进行分析：（1）将本期和上期主营业务成本按月度进行比较分析 （2）将本期和上期的主要产品单位成本进行比较分析 （3）对异常情况的项目做进一步的调查</t>
        </is>
      </c>
      <c r="D13" s="541" t="n"/>
      <c r="E13" s="545" t="n"/>
      <c r="F13" s="542" t="inlineStr">
        <is>
          <t>√</t>
        </is>
      </c>
      <c r="G13" s="542" t="inlineStr">
        <is>
          <t>√</t>
        </is>
      </c>
      <c r="H13" s="542" t="inlineStr">
        <is>
          <t>√</t>
        </is>
      </c>
      <c r="I13" s="261" t="n"/>
      <c r="J13" s="261" t="n"/>
    </row>
    <row r="14" ht="33" customHeight="1" s="559">
      <c r="A14" s="539" t="n">
        <v>12</v>
      </c>
      <c r="B14" s="113" t="inlineStr">
        <is>
          <t>营业成本</t>
        </is>
      </c>
      <c r="C14" s="540" t="inlineStr">
        <is>
          <t>抽查月主营业务成本结转明细清单，比较计入主营业务成本的品种、规格、数量和主营业务收入的口径是否一致，是否符合配比原则。</t>
        </is>
      </c>
      <c r="D14" s="541" t="n"/>
      <c r="E14" s="542" t="inlineStr">
        <is>
          <t>√</t>
        </is>
      </c>
      <c r="F14" s="542" t="inlineStr">
        <is>
          <t>√</t>
        </is>
      </c>
      <c r="G14" s="542" t="n"/>
      <c r="H14" s="542" t="n"/>
      <c r="I14" s="261" t="n"/>
      <c r="J14" s="261" t="n"/>
    </row>
    <row r="15" ht="23" customHeight="1" s="559">
      <c r="A15" s="539" t="n">
        <v>13</v>
      </c>
      <c r="B15" s="113" t="inlineStr">
        <is>
          <t>营业成本</t>
        </is>
      </c>
      <c r="C15" s="540" t="inlineStr">
        <is>
          <t>检查营业成本是否已按照企业会计准则的规定在财务报表中作出恰当列报。</t>
        </is>
      </c>
      <c r="D15" s="541" t="n"/>
      <c r="E15" s="544" t="n"/>
      <c r="F15" s="542" t="n"/>
      <c r="G15" s="542" t="n"/>
      <c r="H15" s="542" t="n"/>
      <c r="I15" s="261" t="n"/>
      <c r="J15" s="542" t="inlineStr">
        <is>
          <t>√</t>
        </is>
      </c>
    </row>
    <row r="16" ht="45" customHeight="1" s="559">
      <c r="A16" s="539" t="n">
        <v>14</v>
      </c>
      <c r="B16" s="113" t="inlineStr">
        <is>
          <t>销售费用</t>
        </is>
      </c>
      <c r="C16" s="540" t="inlineStr">
        <is>
          <t>获取或编制销售费用明细表：  (1)复核其加计数是否正确，并与报表数、总账数和明细账合计数核对是否相符； (2)将销售费用中的工资、折旧等与相关的资产、负债科目核对，检查其勾稽关系的合理性。</t>
        </is>
      </c>
      <c r="D16" s="541" t="n"/>
      <c r="E16" s="540" t="n"/>
      <c r="F16" s="540" t="n"/>
      <c r="G16" s="261" t="n"/>
      <c r="H16" s="261" t="n"/>
      <c r="I16" s="261" t="n"/>
      <c r="J16" s="261" t="n"/>
    </row>
    <row r="17" ht="48" customHeight="1" s="559">
      <c r="A17" s="539" t="n">
        <v>15</v>
      </c>
      <c r="B17" s="113" t="inlineStr">
        <is>
          <t>销售费用</t>
        </is>
      </c>
      <c r="C17" s="546" t="inlineStr">
        <is>
          <t>对销售费用进行分析：(1)计算分析各个月份销售费用总额及主要项目金额占主营业务收入的比率，并与上一年度进行比较，判断变动的合理性；(2)计算分析各个月份销售费用中主要项目发生额及占销售费用总额的比率，并与上一年度进行比较，判断其变动的合理性。</t>
        </is>
      </c>
      <c r="D17" s="541" t="n"/>
      <c r="E17" s="540" t="n"/>
      <c r="F17" s="540" t="n"/>
      <c r="G17" s="261" t="n"/>
      <c r="H17" s="261" t="n"/>
      <c r="I17" s="261" t="n"/>
      <c r="J17" s="261" t="n"/>
    </row>
    <row r="18" ht="29" customHeight="1" s="559">
      <c r="A18" s="539" t="n">
        <v>16</v>
      </c>
      <c r="B18" s="113" t="inlineStr">
        <is>
          <t>销售费用</t>
        </is>
      </c>
      <c r="C18" s="540" t="inlineStr">
        <is>
          <t>对本期发生的销售费用，选取样本，检查其支付性文件，确定原始凭证是否齐全，记账凭证与原始凭证是否相符以及账务处理是否正确。</t>
        </is>
      </c>
      <c r="D18" s="541" t="n"/>
      <c r="E18" s="540" t="n"/>
      <c r="F18" s="540" t="n"/>
      <c r="G18" s="261" t="n"/>
      <c r="H18" s="261" t="n"/>
      <c r="I18" s="261" t="n"/>
      <c r="J18" s="261" t="n"/>
    </row>
    <row r="19" ht="31" customHeight="1" s="559">
      <c r="A19" s="539" t="n">
        <v>17</v>
      </c>
      <c r="B19" s="113" t="inlineStr">
        <is>
          <t>销售费用</t>
        </is>
      </c>
      <c r="C19" s="546" t="inlineStr">
        <is>
          <t>（1）检查销售佣金支出是否符合规定，审批手续是否健全，是否取得有效的原始凭证；如超过规定，是否按规定进行了纳税调整。</t>
        </is>
      </c>
      <c r="D19" s="541" t="n"/>
      <c r="E19" s="540" t="n"/>
      <c r="F19" s="540" t="n"/>
      <c r="G19" s="261" t="n"/>
      <c r="H19" s="261" t="n"/>
      <c r="I19" s="261" t="n"/>
      <c r="J19" s="261" t="n"/>
    </row>
    <row r="20" ht="38" customHeight="1" s="559">
      <c r="A20" s="539" t="n">
        <v>18</v>
      </c>
      <c r="B20" s="113" t="inlineStr">
        <is>
          <t>销售费用</t>
        </is>
      </c>
      <c r="C20" s="546" t="inlineStr">
        <is>
          <t>（2）检查广告费、宣传费、业务招待费的支出是否合理，审批手续是否健全，是否取得有效的原始凭证；如超过规定限额，应在计算应纳税所得额时调整。</t>
        </is>
      </c>
      <c r="D20" s="541" t="n"/>
      <c r="E20" s="540" t="n"/>
      <c r="F20" s="540" t="n"/>
      <c r="G20" s="261" t="n"/>
      <c r="H20" s="261" t="n"/>
      <c r="I20" s="261" t="n"/>
      <c r="J20" s="261" t="n"/>
    </row>
    <row r="21" ht="42" customHeight="1" s="559">
      <c r="A21" s="539" t="n">
        <v>19</v>
      </c>
      <c r="B21" s="113" t="inlineStr">
        <is>
          <t>销售费用</t>
        </is>
      </c>
      <c r="C21" s="546" t="inlineStr">
        <is>
          <t>（3）选择重要或异常的销售费用，检查销售费用各项目开支标准是否符合有关规定，开支内容是否与被审计单位的产品销售或专设销售机构的经费有关，计算是否正确，原始凭证是否合法，会计处理是否正确。</t>
        </is>
      </c>
      <c r="D21" s="541" t="n"/>
      <c r="E21" s="540" t="n"/>
      <c r="F21" s="540" t="n"/>
      <c r="G21" s="261" t="n"/>
      <c r="H21" s="261" t="n"/>
      <c r="I21" s="261" t="n"/>
      <c r="J21" s="261" t="n"/>
    </row>
    <row r="22" ht="26" customHeight="1" s="559">
      <c r="A22" s="539" t="n">
        <v>20</v>
      </c>
      <c r="B22" s="113" t="inlineStr">
        <is>
          <t>销售费用</t>
        </is>
      </c>
      <c r="C22" s="540" t="inlineStr">
        <is>
          <t>检查销售费用是否已按照企业会计准则在财务报表中作出恰当的列报和披露。</t>
        </is>
      </c>
      <c r="D22" s="541" t="n"/>
      <c r="E22" s="540" t="n"/>
      <c r="F22" s="540" t="n"/>
      <c r="G22" s="261" t="n"/>
      <c r="H22" s="261" t="n"/>
      <c r="I22" s="261" t="n"/>
      <c r="J22" s="261" t="n"/>
    </row>
    <row r="23" ht="44" customHeight="1" s="559">
      <c r="A23" s="539" t="n">
        <v>21</v>
      </c>
      <c r="B23" s="113" t="inlineStr">
        <is>
          <t>管理费用</t>
        </is>
      </c>
      <c r="C23" s="540" t="inlineStr">
        <is>
          <t>获取或编制管理费用明细表：(1)复核加计是否正确，并与报表数、总账数及明细账合计数核对是否相符。(2)将管理费用中的职工薪酬、无形资产摊销、长期待摊费用摊销额等项目与各有关账户进行核对，分析其勾稽关系的合理性，并作出相应记录。</t>
        </is>
      </c>
      <c r="D23" s="541" t="n"/>
      <c r="E23" s="540" t="n"/>
      <c r="F23" s="540" t="n"/>
      <c r="G23" s="233" t="inlineStr">
        <is>
          <t>√</t>
        </is>
      </c>
      <c r="H23" s="261" t="n"/>
      <c r="I23" s="261" t="n"/>
      <c r="J23" s="261" t="n"/>
    </row>
    <row r="24" ht="47" customHeight="1" s="559">
      <c r="A24" s="539" t="n">
        <v>22</v>
      </c>
      <c r="B24" s="113" t="inlineStr">
        <is>
          <t>管理费用</t>
        </is>
      </c>
      <c r="C24" s="540" t="inlineStr">
        <is>
          <t>对管理费用进行分析，并汇总并评价差异结果：(1)计算分析管理费用中各项目发生额及占费用总额的比率，将本期、上期管理费用各主要明细项目作比较分析，判断其变动的合理性。(2)比较本期各月份管理费用，对有重大波动和异常情况的项目应查明原因，必要时作适当处理。</t>
        </is>
      </c>
      <c r="D24" s="541" t="n"/>
      <c r="E24" s="233" t="inlineStr">
        <is>
          <t>√</t>
        </is>
      </c>
      <c r="F24" s="233" t="inlineStr">
        <is>
          <t>√</t>
        </is>
      </c>
      <c r="G24" s="233" t="inlineStr">
        <is>
          <t>√</t>
        </is>
      </c>
      <c r="H24" s="261" t="n"/>
      <c r="I24" s="261" t="n"/>
      <c r="J24" s="261" t="n"/>
    </row>
    <row r="25" ht="32" customHeight="1" s="559">
      <c r="A25" s="539" t="n">
        <v>23</v>
      </c>
      <c r="B25" s="113" t="inlineStr">
        <is>
          <t>管理费用</t>
        </is>
      </c>
      <c r="C25" s="540" t="inlineStr">
        <is>
          <t>对本期发生的管理费用，选取样本，检查其支付性文件，确定原始凭证是否齐全，记账凭证与原始凭证是否相符以及账务处理是否正确。</t>
        </is>
      </c>
      <c r="D25" s="541" t="n"/>
      <c r="E25" s="233" t="inlineStr">
        <is>
          <t>√</t>
        </is>
      </c>
      <c r="F25" s="233" t="n"/>
      <c r="G25" s="233" t="inlineStr">
        <is>
          <t>√</t>
        </is>
      </c>
      <c r="H25" s="233" t="inlineStr">
        <is>
          <t>√</t>
        </is>
      </c>
      <c r="I25" s="547" t="inlineStr">
        <is>
          <t>√</t>
        </is>
      </c>
      <c r="J25" s="261" t="n"/>
    </row>
    <row r="26" ht="36" customHeight="1" s="559">
      <c r="A26" s="539" t="n">
        <v>24</v>
      </c>
      <c r="B26" s="113" t="inlineStr">
        <is>
          <t>管理费用</t>
        </is>
      </c>
      <c r="C26" s="540" t="inlineStr">
        <is>
          <t>(1)检查公司经费(包括行政管理部门职工薪酬、物料消耗、低值易耗品摊销、办公费和差旅费)是否系经营管理中发生或应由公司统一负担，检查相关费用报销内部管理办法，是否有合法原始凭证支持。</t>
        </is>
      </c>
      <c r="D26" s="541" t="n"/>
      <c r="E26" s="233" t="inlineStr">
        <is>
          <t>√</t>
        </is>
      </c>
      <c r="F26" s="233" t="n"/>
      <c r="G26" s="233" t="inlineStr">
        <is>
          <t>√</t>
        </is>
      </c>
      <c r="H26" s="233" t="inlineStr">
        <is>
          <t>√</t>
        </is>
      </c>
      <c r="I26" s="547" t="inlineStr">
        <is>
          <t>√</t>
        </is>
      </c>
      <c r="J26" s="261" t="n"/>
    </row>
    <row r="27" ht="28" customHeight="1" s="559">
      <c r="A27" s="539" t="n">
        <v>25</v>
      </c>
      <c r="B27" s="113" t="inlineStr">
        <is>
          <t>管理费用</t>
        </is>
      </c>
      <c r="C27" s="540" t="inlineStr">
        <is>
          <t>(2)检查董事会费(包括董事会成员津贴、会议费和差旅费等)，检查相关董事会及股东会决议，是否在合规范围内开支费用。</t>
        </is>
      </c>
      <c r="D27" s="541" t="n"/>
      <c r="E27" s="233" t="inlineStr">
        <is>
          <t>√</t>
        </is>
      </c>
      <c r="F27" s="233" t="n"/>
      <c r="G27" s="233" t="inlineStr">
        <is>
          <t>√</t>
        </is>
      </c>
      <c r="H27" s="233" t="inlineStr">
        <is>
          <t>√</t>
        </is>
      </c>
      <c r="I27" s="547" t="inlineStr">
        <is>
          <t>√</t>
        </is>
      </c>
      <c r="J27" s="261" t="n"/>
    </row>
    <row r="28" ht="29" customHeight="1" s="559">
      <c r="A28" s="539" t="n">
        <v>26</v>
      </c>
      <c r="B28" s="113" t="inlineStr">
        <is>
          <t>管理费用</t>
        </is>
      </c>
      <c r="C28" s="540" t="inlineStr">
        <is>
          <t>(3)检查聘请中介机构费、咨询费(含顾问费)，检查是否按合同规定支付费用，有无涉及到诉讼及赔偿款项支出。</t>
        </is>
      </c>
      <c r="D28" s="541" t="n"/>
      <c r="E28" s="233" t="inlineStr">
        <is>
          <t>√</t>
        </is>
      </c>
      <c r="F28" s="233" t="n"/>
      <c r="G28" s="233" t="inlineStr">
        <is>
          <t>√</t>
        </is>
      </c>
      <c r="H28" s="233" t="inlineStr">
        <is>
          <t>√</t>
        </is>
      </c>
      <c r="I28" s="547" t="inlineStr">
        <is>
          <t>√</t>
        </is>
      </c>
      <c r="J28" s="261" t="n"/>
    </row>
    <row r="29" ht="24" customHeight="1" s="559">
      <c r="A29" s="539" t="n">
        <v>27</v>
      </c>
      <c r="B29" s="113" t="inlineStr">
        <is>
          <t>管理费用</t>
        </is>
      </c>
      <c r="C29" s="540" t="inlineStr">
        <is>
          <t>(4)检查业务招待费的支出是否合理，如超过规定限额，应在计算应纳税所得额时调整。</t>
        </is>
      </c>
      <c r="D29" s="541" t="n"/>
      <c r="E29" s="233" t="inlineStr">
        <is>
          <t>√</t>
        </is>
      </c>
      <c r="F29" s="233" t="n"/>
      <c r="G29" s="233" t="inlineStr">
        <is>
          <t>√</t>
        </is>
      </c>
      <c r="H29" s="233" t="inlineStr">
        <is>
          <t>√</t>
        </is>
      </c>
      <c r="I29" s="547" t="inlineStr">
        <is>
          <t>√</t>
        </is>
      </c>
      <c r="J29" s="261" t="n"/>
    </row>
    <row r="30" ht="49" customHeight="1" s="559">
      <c r="A30" s="539" t="n">
        <v>28</v>
      </c>
      <c r="B30" s="113" t="inlineStr">
        <is>
          <t>管理费用</t>
        </is>
      </c>
      <c r="C30" s="540" t="inlineStr">
        <is>
          <t>检查诉讼费用并结合或有事项审计,检查涉及的相关重大诉讼事项是否已在附注中进行披露，还需进一步关注诉讼状态，判断有无或有负债，或是否存在损失已发生而未入账的事项。如发生诉讼和索赔费用，完成“诉讼和索赔事项”工作底稿。</t>
        </is>
      </c>
      <c r="D30" s="541" t="n"/>
      <c r="E30" s="233" t="inlineStr">
        <is>
          <t>√</t>
        </is>
      </c>
      <c r="F30" s="233" t="inlineStr">
        <is>
          <t>√</t>
        </is>
      </c>
      <c r="G30" s="233" t="inlineStr">
        <is>
          <t>√</t>
        </is>
      </c>
      <c r="H30" s="261" t="n"/>
      <c r="I30" s="261" t="n"/>
      <c r="J30" s="261" t="n"/>
    </row>
    <row r="31" ht="34" customHeight="1" s="559">
      <c r="A31" s="539" t="n">
        <v>29</v>
      </c>
      <c r="B31" s="113" t="inlineStr">
        <is>
          <t>管理费用</t>
        </is>
      </c>
      <c r="C31" s="540" t="inlineStr">
        <is>
          <t>根据评估的舞弊风险等因素增加的其他审计程序。（1）检查大额或异常费用开支的适当性 （2）检查高层管理人员提交的费用报告的适当性和金额</t>
        </is>
      </c>
      <c r="D31" s="541" t="n"/>
      <c r="E31" s="233" t="inlineStr">
        <is>
          <t>√</t>
        </is>
      </c>
      <c r="F31" s="233" t="inlineStr">
        <is>
          <t>√</t>
        </is>
      </c>
      <c r="G31" s="233" t="inlineStr">
        <is>
          <t>√</t>
        </is>
      </c>
      <c r="H31" s="261" t="n"/>
      <c r="I31" s="261" t="n"/>
      <c r="J31" s="261" t="n"/>
    </row>
    <row r="32" ht="29" customHeight="1" s="559">
      <c r="A32" s="539" t="n">
        <v>30</v>
      </c>
      <c r="B32" s="113" t="inlineStr">
        <is>
          <t>管理费用</t>
        </is>
      </c>
      <c r="C32" s="540" t="inlineStr">
        <is>
          <t>确定管理费用是否已按照企业会计准则的规定在财务报表中作出恰当的列报和披露。</t>
        </is>
      </c>
      <c r="D32" s="541" t="n"/>
      <c r="E32" s="540" t="n"/>
      <c r="F32" s="540" t="n"/>
      <c r="G32" s="261" t="n"/>
      <c r="H32" s="261" t="n"/>
      <c r="I32" s="261" t="n"/>
      <c r="J32" s="233" t="inlineStr">
        <is>
          <t>√</t>
        </is>
      </c>
    </row>
    <row r="33" ht="38" customHeight="1" s="559">
      <c r="A33" s="539" t="n">
        <v>31</v>
      </c>
      <c r="B33" s="113" t="inlineStr">
        <is>
          <t>财务费用</t>
        </is>
      </c>
      <c r="C33" s="540" t="inlineStr">
        <is>
          <t>获取或编制财务费用明细表，复核其加计数是否正确，并与报表数、总账数和明细账合计数核对是否相符。</t>
        </is>
      </c>
      <c r="D33" s="541" t="n"/>
      <c r="E33" s="540" t="n"/>
      <c r="F33" s="540" t="n"/>
      <c r="G33" s="544" t="inlineStr">
        <is>
          <t>√</t>
        </is>
      </c>
      <c r="H33" s="261" t="n"/>
      <c r="I33" s="261" t="n"/>
      <c r="J33" s="261" t="n"/>
    </row>
    <row r="34" ht="33" customHeight="1" s="559">
      <c r="A34" s="539" t="n">
        <v>32</v>
      </c>
      <c r="B34" s="113" t="inlineStr">
        <is>
          <t>财务费用</t>
        </is>
      </c>
      <c r="C34" s="540" t="inlineStr">
        <is>
          <t>将本期财务费用各明细项目与上期进行对比，必要时比较本期各月份财务费用，如有重大波动和异常情况应追查原因；</t>
        </is>
      </c>
      <c r="D34" s="541" t="n"/>
      <c r="E34" s="544" t="inlineStr">
        <is>
          <t>√</t>
        </is>
      </c>
      <c r="F34" s="544" t="inlineStr">
        <is>
          <t>√</t>
        </is>
      </c>
      <c r="G34" s="544" t="inlineStr">
        <is>
          <t>√</t>
        </is>
      </c>
      <c r="H34" s="261" t="n"/>
      <c r="I34" s="261" t="n"/>
      <c r="J34" s="261" t="n"/>
    </row>
    <row r="35" ht="34" customHeight="1" s="559">
      <c r="A35" s="539" t="n">
        <v>33</v>
      </c>
      <c r="B35" s="113" t="inlineStr">
        <is>
          <t>财务费用</t>
        </is>
      </c>
      <c r="C35" s="540" t="inlineStr">
        <is>
          <t>检查财务费用明细项目的设置是否符合规定的核算内容与范围，是否划清财务费用与其他费用的界限。</t>
        </is>
      </c>
      <c r="D35" s="541" t="n"/>
      <c r="E35" s="540" t="n"/>
      <c r="F35" s="540" t="n"/>
      <c r="G35" s="261" t="n"/>
      <c r="H35" s="261" t="n"/>
      <c r="I35" s="261" t="n"/>
      <c r="J35" s="544" t="inlineStr">
        <is>
          <t>√</t>
        </is>
      </c>
    </row>
    <row r="36" ht="24" customHeight="1" s="559">
      <c r="A36" s="539" t="n">
        <v>34</v>
      </c>
      <c r="B36" s="113" t="inlineStr">
        <is>
          <t>财务费用</t>
        </is>
      </c>
      <c r="C36" s="540" t="inlineStr">
        <is>
          <t>检查财务费用是否已按照企业会计准则的规定在财务报表中作出恰当的列报。</t>
        </is>
      </c>
      <c r="D36" s="541" t="n"/>
      <c r="E36" s="540" t="n"/>
      <c r="F36" s="540" t="n"/>
      <c r="G36" s="261" t="n"/>
      <c r="H36" s="261" t="n"/>
      <c r="I36" s="261" t="n"/>
      <c r="J36" s="544" t="inlineStr">
        <is>
          <t>√</t>
        </is>
      </c>
    </row>
  </sheetData>
  <autoFilter ref="A2:J36"/>
  <mergeCells count="5">
    <mergeCell ref="E1:J1"/>
    <mergeCell ref="C1:C2"/>
    <mergeCell ref="B1:B2"/>
    <mergeCell ref="D1:D2"/>
    <mergeCell ref="A1:A2"/>
  </mergeCells>
  <dataValidations count="2">
    <dataValidation sqref="E4:G6 E7:H7 E9:G9 E12:G12 E14:H15 E24:G24 E25:I29 E30:G31 E34:G34 F13:H13 G3 G8 G10 G23 G33 J11 J15 J32 J35:J36" showDropDown="0" showInputMessage="1" showErrorMessage="1" allowBlank="1" type="list">
      <formula1>"√"</formula1>
    </dataValidation>
    <dataValidation sqref="D3:D36" showDropDown="0" showInputMessage="1" showErrorMessage="1" allowBlank="1" type="list">
      <formula1>"已完成无异常,已完成但存在异常,没有做,无法完成,不适用"</formula1>
    </dataValidation>
  </dataValidations>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K36"/>
  <sheetViews>
    <sheetView workbookViewId="0">
      <pane ySplit="5" topLeftCell="A6" activePane="bottomLeft" state="frozen"/>
      <selection activeCell="A1" sqref="A1"/>
      <selection pane="bottomLeft" activeCell="G7" sqref="G7"/>
    </sheetView>
  </sheetViews>
  <sheetFormatPr baseColWidth="8" defaultColWidth="8.731481481481479" defaultRowHeight="14.4"/>
  <cols>
    <col width="6.90740740740741" customWidth="1" style="559" min="1" max="1"/>
    <col width="12.6388888888889" customWidth="1" style="559" min="2" max="2"/>
    <col width="9.81481481481481" customWidth="1" style="559" min="3" max="3"/>
    <col width="22.0925925925926" customWidth="1" style="559" min="4" max="4"/>
    <col width="22.4537037037037" customWidth="1" style="559" min="5" max="5"/>
    <col width="13.8148148148148" customWidth="1" style="559" min="6" max="6"/>
    <col width="14.7314814814815" customWidth="1" style="559" min="7" max="9"/>
    <col width="19.8888888888889" customWidth="1" style="559" min="10" max="10"/>
    <col width="24.9074074074074" customWidth="1" style="559" min="11" max="11"/>
  </cols>
  <sheetData>
    <row r="1" ht="26" customHeight="1" s="559">
      <c r="A1" s="1" t="inlineStr">
        <is>
          <t>细节测试汇总表</t>
        </is>
      </c>
    </row>
    <row r="2">
      <c r="A2" s="2">
        <f>备忘录!$A$1</f>
        <v/>
      </c>
      <c r="D2" s="456" t="n"/>
      <c r="E2" s="456" t="n"/>
      <c r="F2" s="456" t="inlineStr">
        <is>
          <t>编制人：刘喜琴</t>
        </is>
      </c>
      <c r="G2" s="456" t="n"/>
      <c r="K2" s="456">
        <f>备忘录!$C$2</f>
        <v/>
      </c>
    </row>
    <row r="3">
      <c r="A3" s="2">
        <f>备忘录!$A$2</f>
        <v/>
      </c>
      <c r="D3" s="456" t="n"/>
      <c r="E3" s="456" t="n"/>
      <c r="F3" s="456" t="inlineStr">
        <is>
          <t>复核人：赵玮</t>
        </is>
      </c>
      <c r="G3" s="456" t="n"/>
      <c r="K3" s="456">
        <f>备忘录!$C$3</f>
        <v/>
      </c>
    </row>
    <row r="4" ht="14" customHeight="1" s="559">
      <c r="A4" s="526" t="inlineStr">
        <is>
          <t>序号</t>
        </is>
      </c>
      <c r="B4" s="526" t="inlineStr">
        <is>
          <t>记账日期</t>
        </is>
      </c>
      <c r="C4" s="526" t="inlineStr">
        <is>
          <t>凭证号</t>
        </is>
      </c>
      <c r="D4" s="526" t="inlineStr">
        <is>
          <t>摘要</t>
        </is>
      </c>
      <c r="E4" s="526" t="inlineStr">
        <is>
          <t>科目名称</t>
        </is>
      </c>
      <c r="F4" s="526" t="inlineStr">
        <is>
          <t>借方</t>
        </is>
      </c>
      <c r="G4" s="526" t="inlineStr">
        <is>
          <t>贷方</t>
        </is>
      </c>
      <c r="H4" s="564" t="inlineStr">
        <is>
          <t>对账单数据</t>
        </is>
      </c>
      <c r="I4" s="526" t="inlineStr">
        <is>
          <t>差异</t>
        </is>
      </c>
      <c r="J4" s="526" t="inlineStr">
        <is>
          <t>附件及支持性文件说明</t>
        </is>
      </c>
      <c r="K4" s="526" t="inlineStr">
        <is>
          <t>备注</t>
        </is>
      </c>
    </row>
    <row r="5" ht="14" customHeight="1" s="559">
      <c r="A5" s="560" t="n"/>
      <c r="B5" s="560" t="n"/>
      <c r="C5" s="560" t="n"/>
      <c r="D5" s="560" t="n"/>
      <c r="E5" s="560" t="n"/>
      <c r="F5" s="560" t="n"/>
      <c r="G5" s="560" t="n"/>
      <c r="H5" s="560" t="n"/>
      <c r="I5" s="560" t="n"/>
      <c r="J5" s="560" t="n"/>
      <c r="K5" s="560" t="n"/>
    </row>
    <row r="6">
      <c r="A6" s="360" t="n">
        <v>1</v>
      </c>
      <c r="B6" s="261" t="n"/>
      <c r="C6" s="531" t="n"/>
      <c r="D6" s="531" t="n"/>
      <c r="E6" s="532" t="n"/>
      <c r="F6" s="228" t="n"/>
      <c r="G6" s="565" t="n"/>
      <c r="H6" s="566" t="n"/>
      <c r="I6" s="566" t="n"/>
      <c r="J6" s="566" t="n"/>
      <c r="K6" s="534" t="n"/>
    </row>
    <row r="7">
      <c r="A7" s="360" t="n">
        <v>2</v>
      </c>
      <c r="B7" s="261" t="n"/>
      <c r="C7" s="531" t="n"/>
      <c r="D7" s="531" t="n"/>
      <c r="E7" s="532" t="n"/>
      <c r="F7" s="228" t="n"/>
      <c r="G7" s="565" t="n"/>
      <c r="H7" s="566" t="n"/>
      <c r="I7" s="566" t="n"/>
      <c r="J7" s="566" t="n"/>
      <c r="K7" s="534" t="n"/>
    </row>
    <row r="8">
      <c r="A8" s="360" t="n">
        <v>3</v>
      </c>
      <c r="B8" s="261" t="n"/>
      <c r="C8" s="531" t="n"/>
      <c r="D8" s="531" t="n"/>
      <c r="E8" s="532" t="n"/>
      <c r="F8" s="228" t="n"/>
      <c r="G8" s="565" t="n"/>
      <c r="H8" s="566" t="n"/>
      <c r="I8" s="566" t="n"/>
      <c r="J8" s="566" t="n"/>
      <c r="K8" s="236" t="n"/>
    </row>
    <row r="9">
      <c r="A9" s="360" t="n">
        <v>4</v>
      </c>
      <c r="B9" s="261" t="n"/>
      <c r="C9" s="531" t="n"/>
      <c r="D9" s="531" t="n"/>
      <c r="E9" s="532" t="n"/>
      <c r="F9" s="228" t="n"/>
      <c r="G9" s="565" t="n"/>
      <c r="H9" s="566" t="n"/>
      <c r="I9" s="566" t="n"/>
      <c r="J9" s="566" t="n"/>
      <c r="K9" s="534" t="n"/>
    </row>
    <row r="10">
      <c r="A10" s="360" t="n">
        <v>5</v>
      </c>
      <c r="B10" s="261" t="n"/>
      <c r="C10" s="261" t="n"/>
      <c r="D10" s="261" t="n"/>
      <c r="E10" s="261" t="n"/>
      <c r="F10" s="261" t="n"/>
      <c r="G10" s="261" t="n"/>
      <c r="H10" s="261" t="n"/>
      <c r="I10" s="261" t="n"/>
      <c r="J10" s="261" t="n"/>
      <c r="K10" s="261" t="n"/>
    </row>
    <row r="11">
      <c r="A11" s="360" t="n">
        <v>6</v>
      </c>
      <c r="B11" s="261" t="n"/>
      <c r="C11" s="261" t="n"/>
      <c r="D11" s="261" t="n"/>
      <c r="E11" s="261" t="n"/>
      <c r="F11" s="261" t="n"/>
      <c r="G11" s="261" t="n"/>
      <c r="H11" s="261" t="n"/>
      <c r="I11" s="261" t="n"/>
      <c r="J11" s="261" t="n"/>
      <c r="K11" s="261" t="n"/>
    </row>
    <row r="12">
      <c r="A12" s="360" t="n">
        <v>7</v>
      </c>
      <c r="B12" s="261" t="n"/>
      <c r="C12" s="261" t="n"/>
      <c r="D12" s="261" t="n"/>
      <c r="E12" s="261" t="n"/>
      <c r="F12" s="261" t="n"/>
      <c r="G12" s="261" t="n"/>
      <c r="H12" s="261" t="n"/>
      <c r="I12" s="261" t="n"/>
      <c r="J12" s="261" t="n"/>
      <c r="K12" s="261" t="n"/>
    </row>
    <row r="13">
      <c r="A13" s="360" t="n">
        <v>8</v>
      </c>
      <c r="B13" s="261" t="n"/>
      <c r="C13" s="261" t="n"/>
      <c r="D13" s="261" t="n"/>
      <c r="E13" s="261" t="n"/>
      <c r="F13" s="261" t="n"/>
      <c r="G13" s="261" t="n"/>
      <c r="H13" s="261" t="n"/>
      <c r="I13" s="261" t="n"/>
      <c r="J13" s="261" t="n"/>
      <c r="K13" s="261" t="n"/>
    </row>
    <row r="14">
      <c r="A14" s="360" t="n">
        <v>9</v>
      </c>
      <c r="B14" s="261" t="n"/>
      <c r="C14" s="261" t="n"/>
      <c r="D14" s="261" t="n"/>
      <c r="E14" s="261" t="n"/>
      <c r="F14" s="261" t="n"/>
      <c r="G14" s="261" t="n"/>
      <c r="H14" s="261" t="n"/>
      <c r="I14" s="261" t="n"/>
      <c r="J14" s="261" t="n"/>
      <c r="K14" s="261" t="n"/>
    </row>
    <row r="15">
      <c r="A15" s="360" t="n">
        <v>10</v>
      </c>
      <c r="B15" s="261" t="n"/>
      <c r="C15" s="261" t="n"/>
      <c r="D15" s="261" t="n"/>
      <c r="E15" s="261" t="n"/>
      <c r="F15" s="261" t="n"/>
      <c r="G15" s="261" t="n"/>
      <c r="H15" s="261" t="n"/>
      <c r="I15" s="261" t="n"/>
      <c r="J15" s="261" t="n"/>
      <c r="K15" s="261" t="n"/>
    </row>
    <row r="16">
      <c r="A16" s="360" t="n">
        <v>11</v>
      </c>
      <c r="B16" s="261" t="n"/>
      <c r="C16" s="261" t="n"/>
      <c r="D16" s="261" t="n"/>
      <c r="E16" s="261" t="n"/>
      <c r="F16" s="261" t="n"/>
      <c r="G16" s="261" t="n"/>
      <c r="H16" s="261" t="n"/>
      <c r="I16" s="261" t="n"/>
      <c r="J16" s="261" t="n"/>
      <c r="K16" s="261" t="n"/>
    </row>
    <row r="17">
      <c r="A17" s="360" t="n">
        <v>12</v>
      </c>
      <c r="B17" s="261" t="n"/>
      <c r="C17" s="261" t="n"/>
      <c r="D17" s="261" t="n"/>
      <c r="E17" s="261" t="n"/>
      <c r="F17" s="261" t="n"/>
      <c r="G17" s="261" t="n"/>
      <c r="H17" s="261" t="n"/>
      <c r="I17" s="261" t="n"/>
      <c r="J17" s="261" t="n"/>
      <c r="K17" s="261" t="n"/>
    </row>
    <row r="18">
      <c r="A18" s="360" t="n">
        <v>13</v>
      </c>
      <c r="B18" s="261" t="n"/>
      <c r="C18" s="261" t="n"/>
      <c r="D18" s="261" t="n"/>
      <c r="E18" s="261" t="n"/>
      <c r="F18" s="261" t="n"/>
      <c r="G18" s="261" t="n"/>
      <c r="H18" s="261" t="n"/>
      <c r="I18" s="261" t="n"/>
      <c r="J18" s="261" t="n"/>
      <c r="K18" s="261" t="n"/>
    </row>
    <row r="19">
      <c r="A19" s="360" t="n">
        <v>14</v>
      </c>
      <c r="B19" s="261" t="n"/>
      <c r="C19" s="261" t="n"/>
      <c r="D19" s="261" t="n"/>
      <c r="E19" s="261" t="n"/>
      <c r="F19" s="261" t="n"/>
      <c r="G19" s="261" t="n"/>
      <c r="H19" s="261" t="n"/>
      <c r="I19" s="261" t="n"/>
      <c r="J19" s="261" t="n"/>
      <c r="K19" s="261" t="n"/>
    </row>
    <row r="20">
      <c r="A20" s="360" t="n">
        <v>15</v>
      </c>
      <c r="B20" s="261" t="n"/>
      <c r="C20" s="261" t="n"/>
      <c r="D20" s="261" t="n"/>
      <c r="E20" s="261" t="n"/>
      <c r="F20" s="261" t="n"/>
      <c r="G20" s="261" t="n"/>
      <c r="H20" s="261" t="n"/>
      <c r="I20" s="261" t="n"/>
      <c r="J20" s="261" t="n"/>
      <c r="K20" s="261" t="n"/>
    </row>
    <row r="21">
      <c r="A21" s="360" t="n">
        <v>16</v>
      </c>
      <c r="B21" s="261" t="n"/>
      <c r="C21" s="261" t="n"/>
      <c r="D21" s="261" t="n"/>
      <c r="E21" s="261" t="n"/>
      <c r="F21" s="261" t="n"/>
      <c r="G21" s="261" t="n"/>
      <c r="H21" s="261" t="n"/>
      <c r="I21" s="261" t="n"/>
      <c r="J21" s="261" t="n"/>
      <c r="K21" s="261" t="n"/>
    </row>
    <row r="22">
      <c r="A22" s="360" t="n">
        <v>17</v>
      </c>
      <c r="B22" s="261" t="n"/>
      <c r="C22" s="261" t="n"/>
      <c r="D22" s="261" t="n"/>
      <c r="E22" s="261" t="n"/>
      <c r="F22" s="261" t="n"/>
      <c r="G22" s="261" t="n"/>
      <c r="H22" s="261" t="n"/>
      <c r="I22" s="261" t="n"/>
      <c r="J22" s="261" t="n"/>
      <c r="K22" s="261" t="n"/>
    </row>
    <row r="23">
      <c r="A23" s="360" t="n">
        <v>18</v>
      </c>
      <c r="B23" s="261" t="n"/>
      <c r="C23" s="261" t="n"/>
      <c r="D23" s="261" t="n"/>
      <c r="E23" s="261" t="n"/>
      <c r="F23" s="261" t="n"/>
      <c r="G23" s="261" t="n"/>
      <c r="H23" s="261" t="n"/>
      <c r="I23" s="261" t="n"/>
      <c r="J23" s="261" t="n"/>
      <c r="K23" s="261" t="n"/>
    </row>
    <row r="24">
      <c r="A24" s="360" t="n">
        <v>19</v>
      </c>
      <c r="B24" s="261" t="n"/>
      <c r="C24" s="261" t="n"/>
      <c r="D24" s="261" t="n"/>
      <c r="E24" s="261" t="n"/>
      <c r="F24" s="261" t="n"/>
      <c r="G24" s="261" t="n"/>
      <c r="H24" s="261" t="n"/>
      <c r="I24" s="261" t="n"/>
      <c r="J24" s="261" t="n"/>
      <c r="K24" s="261" t="n"/>
    </row>
    <row r="25">
      <c r="A25" s="360" t="n">
        <v>20</v>
      </c>
      <c r="B25" s="261" t="n"/>
      <c r="C25" s="261" t="n"/>
      <c r="D25" s="261" t="n"/>
      <c r="E25" s="261" t="n"/>
      <c r="F25" s="261" t="n"/>
      <c r="G25" s="261" t="n"/>
      <c r="H25" s="261" t="n"/>
      <c r="I25" s="261" t="n"/>
      <c r="J25" s="261" t="n"/>
      <c r="K25" s="261" t="n"/>
    </row>
    <row r="26">
      <c r="A26" s="360" t="n">
        <v>21</v>
      </c>
      <c r="B26" s="261" t="n"/>
      <c r="C26" s="261" t="n"/>
      <c r="D26" s="261" t="n"/>
      <c r="E26" s="261" t="n"/>
      <c r="F26" s="261" t="n"/>
      <c r="G26" s="261" t="n"/>
      <c r="H26" s="261" t="n"/>
      <c r="I26" s="261" t="n"/>
      <c r="J26" s="261" t="n"/>
      <c r="K26" s="261" t="n"/>
    </row>
    <row r="27">
      <c r="A27" s="360" t="n">
        <v>22</v>
      </c>
      <c r="B27" s="261" t="n"/>
      <c r="C27" s="261" t="n"/>
      <c r="D27" s="261" t="n"/>
      <c r="E27" s="261" t="n"/>
      <c r="F27" s="261" t="n"/>
      <c r="G27" s="261" t="n"/>
      <c r="H27" s="261" t="n"/>
      <c r="I27" s="261" t="n"/>
      <c r="J27" s="261" t="n"/>
      <c r="K27" s="261" t="n"/>
    </row>
    <row r="28">
      <c r="A28" s="360" t="n">
        <v>23</v>
      </c>
      <c r="B28" s="261" t="n"/>
      <c r="C28" s="261" t="n"/>
      <c r="D28" s="261" t="n"/>
      <c r="E28" s="261" t="n"/>
      <c r="F28" s="261" t="n"/>
      <c r="G28" s="261" t="n"/>
      <c r="H28" s="261" t="n"/>
      <c r="I28" s="261" t="n"/>
      <c r="J28" s="261" t="n"/>
      <c r="K28" s="261" t="n"/>
    </row>
    <row r="29">
      <c r="A29" s="360" t="n">
        <v>24</v>
      </c>
      <c r="B29" s="261" t="n"/>
      <c r="C29" s="261" t="n"/>
      <c r="D29" s="261" t="n"/>
      <c r="E29" s="261" t="n"/>
      <c r="F29" s="261" t="n"/>
      <c r="G29" s="261" t="n"/>
      <c r="H29" s="261" t="n"/>
      <c r="I29" s="261" t="n"/>
      <c r="J29" s="261" t="n"/>
      <c r="K29" s="261" t="n"/>
    </row>
    <row r="30">
      <c r="A30" s="360" t="n">
        <v>25</v>
      </c>
      <c r="B30" s="261" t="n"/>
      <c r="C30" s="261" t="n"/>
      <c r="D30" s="261" t="n"/>
      <c r="E30" s="261" t="n"/>
      <c r="F30" s="261" t="n"/>
      <c r="G30" s="261" t="n"/>
      <c r="H30" s="261" t="n"/>
      <c r="I30" s="261" t="n"/>
      <c r="J30" s="261" t="n"/>
      <c r="K30" s="261" t="n"/>
    </row>
    <row r="31">
      <c r="A31" s="465" t="inlineStr">
        <is>
          <t>测试金额小计</t>
        </is>
      </c>
      <c r="B31" s="563" t="n"/>
      <c r="C31" s="287" t="n"/>
      <c r="D31" s="287" t="n"/>
      <c r="E31" s="287" t="n"/>
      <c r="F31" s="287" t="n"/>
      <c r="G31" s="286">
        <f>SUM(G6:G30)</f>
        <v/>
      </c>
      <c r="H31" s="286">
        <f>SUM(H6:H30)</f>
        <v/>
      </c>
      <c r="I31" s="286">
        <f>SUM(I6:I30)</f>
        <v/>
      </c>
      <c r="J31" s="287" t="n"/>
      <c r="K31" s="287" t="n"/>
    </row>
    <row r="36">
      <c r="A36" s="537" t="inlineStr">
        <is>
          <t>备注：抽样明细内容来自序时账</t>
        </is>
      </c>
    </row>
  </sheetData>
  <mergeCells count="13">
    <mergeCell ref="B4:B5"/>
    <mergeCell ref="C4:C5"/>
    <mergeCell ref="A4:A5"/>
    <mergeCell ref="F4:F5"/>
    <mergeCell ref="D4:D5"/>
    <mergeCell ref="E4:E5"/>
    <mergeCell ref="G4:G5"/>
    <mergeCell ref="H4:H5"/>
    <mergeCell ref="I4:I5"/>
    <mergeCell ref="J4:J5"/>
    <mergeCell ref="K4:K5"/>
    <mergeCell ref="A31:B31"/>
    <mergeCell ref="A1:K1"/>
  </mergeCells>
  <pageMargins left="0.75" right="0.75" top="1" bottom="1" header="0.5" footer="0.5"/>
</worksheet>
</file>

<file path=xl/worksheets/sheet5.xml><?xml version="1.0" encoding="utf-8"?>
<worksheet xmlns="http://schemas.openxmlformats.org/spreadsheetml/2006/main">
  <sheetPr codeName="Sheet5">
    <outlinePr summaryBelow="1" summaryRight="1"/>
    <pageSetUpPr/>
  </sheetPr>
  <dimension ref="A1:K33"/>
  <sheetViews>
    <sheetView zoomScale="90" zoomScaleNormal="90" workbookViewId="0">
      <pane xSplit="2" ySplit="5" topLeftCell="C6" activePane="bottomRight" state="frozen"/>
      <selection activeCell="A1" sqref="A1"/>
      <selection pane="topRight" activeCell="A1" sqref="A1"/>
      <selection pane="bottomLeft" activeCell="A1" sqref="A1"/>
      <selection pane="bottomRight" activeCell="D5" sqref="D5"/>
    </sheetView>
  </sheetViews>
  <sheetFormatPr baseColWidth="8" defaultColWidth="8.731481481481479" defaultRowHeight="14.4"/>
  <cols>
    <col width="7.47222222222222" customWidth="1" style="289" min="1" max="1"/>
    <col width="27.4722222222222" customWidth="1" style="559" min="2" max="2"/>
    <col width="17.6759259259259" customWidth="1" style="559" min="3" max="3"/>
    <col width="13.9351851851852" customWidth="1" style="559" min="4" max="4"/>
    <col width="15.6481481481481" customWidth="1" style="559" min="5" max="5"/>
    <col width="18.8518518518519" customWidth="1" style="559" min="6" max="6"/>
    <col width="16.0185185185185" customWidth="1" style="559" min="7" max="7"/>
    <col width="16.4537037037037" customWidth="1" style="559" min="8" max="8"/>
    <col width="13.2314814814815" customWidth="1" style="559" min="9" max="9"/>
    <col width="11.712962962963" customWidth="1" style="559" min="10" max="10"/>
    <col width="25.25" customWidth="1" style="559" min="11" max="11"/>
  </cols>
  <sheetData>
    <row r="1" ht="26" customHeight="1" s="559">
      <c r="A1" s="1" t="inlineStr">
        <is>
          <t>货币资金明细表</t>
        </is>
      </c>
    </row>
    <row r="2" ht="17" customFormat="1" customHeight="1" s="456">
      <c r="A2" s="2">
        <f>备忘录!$A$1</f>
        <v/>
      </c>
      <c r="E2" s="456" t="inlineStr">
        <is>
          <t>编制人：刘喜琴</t>
        </is>
      </c>
      <c r="H2" s="456">
        <f>备忘录!$C$2</f>
        <v/>
      </c>
      <c r="I2" s="504" t="n"/>
    </row>
    <row r="3" ht="17" customFormat="1" customHeight="1" s="456">
      <c r="A3" s="2">
        <f>备忘录!$A$2</f>
        <v/>
      </c>
      <c r="E3" s="456" t="inlineStr">
        <is>
          <t>复核人：赵玮</t>
        </is>
      </c>
      <c r="H3" s="456">
        <f>备忘录!$C$3</f>
        <v/>
      </c>
    </row>
    <row r="4" ht="18" customFormat="1" customHeight="1" s="456">
      <c r="A4" s="567" t="inlineStr">
        <is>
          <t>序号</t>
        </is>
      </c>
      <c r="B4" s="567" t="inlineStr">
        <is>
          <t>科目名称</t>
        </is>
      </c>
      <c r="C4" s="567" t="inlineStr">
        <is>
          <t>核算项目</t>
        </is>
      </c>
      <c r="D4" s="89" t="inlineStr">
        <is>
          <t>账面数据</t>
        </is>
      </c>
      <c r="E4" s="562" t="n"/>
      <c r="F4" s="562" t="n"/>
      <c r="G4" s="563" t="n"/>
      <c r="H4" s="89" t="inlineStr">
        <is>
          <t>银行对账单金额</t>
        </is>
      </c>
      <c r="I4" s="89" t="inlineStr">
        <is>
          <t>差异</t>
        </is>
      </c>
      <c r="J4" s="89" t="inlineStr">
        <is>
          <t>账户性质</t>
        </is>
      </c>
      <c r="K4" s="465" t="inlineStr">
        <is>
          <t>备注</t>
        </is>
      </c>
    </row>
    <row r="5" ht="18" customFormat="1" customHeight="1" s="456">
      <c r="A5" s="560" t="n"/>
      <c r="B5" s="560" t="n"/>
      <c r="C5" s="560" t="n"/>
      <c r="D5" s="568" t="inlineStr">
        <is>
          <t>期初金额</t>
        </is>
      </c>
      <c r="E5" s="568" t="inlineStr">
        <is>
          <t>本期借方</t>
        </is>
      </c>
      <c r="F5" s="568" t="inlineStr">
        <is>
          <t>本期贷方</t>
        </is>
      </c>
      <c r="G5" s="568" t="inlineStr">
        <is>
          <t>期末金额</t>
        </is>
      </c>
      <c r="H5" s="560" t="n"/>
      <c r="I5" s="560" t="n"/>
      <c r="J5" s="560" t="n"/>
      <c r="K5" s="560" t="n"/>
    </row>
    <row r="6" ht="21" customHeight="1" s="559">
      <c r="A6" s="522" t="inlineStr">
        <is>
          <t>库存现金</t>
        </is>
      </c>
      <c r="B6" s="562" t="n"/>
      <c r="C6" s="563" t="n"/>
      <c r="D6" s="19">
        <f>ROUND(SUM(D7),2)</f>
        <v/>
      </c>
      <c r="E6" s="19">
        <f>ROUND(SUM(E7),2)</f>
        <v/>
      </c>
      <c r="F6" s="19">
        <f>ROUND(SUM(F7),2)</f>
        <v/>
      </c>
      <c r="G6" s="19">
        <f>ROUND(SUM(G7),2)</f>
        <v/>
      </c>
      <c r="H6" s="19">
        <f>ROUND(SUM(H7),2)</f>
        <v/>
      </c>
      <c r="I6" s="19" t="n"/>
      <c r="J6" s="261" t="n"/>
      <c r="K6" s="113" t="n"/>
    </row>
    <row r="7" ht="23" customHeight="1" s="559">
      <c r="A7" s="360" t="n">
        <v>1</v>
      </c>
      <c r="B7" s="523" t="n"/>
      <c r="C7" s="261" t="n"/>
      <c r="D7" s="17" t="n"/>
      <c r="E7" s="80" t="n"/>
      <c r="F7" s="17" t="n"/>
      <c r="G7" s="19">
        <f>ROUND(D7+E7-F7,2)</f>
        <v/>
      </c>
      <c r="H7" s="17" t="n"/>
      <c r="I7" s="19">
        <f>ROUND(G7-H7,2)</f>
        <v/>
      </c>
      <c r="J7" s="261" t="n"/>
      <c r="K7" s="261" t="n"/>
    </row>
    <row r="8" ht="27" customHeight="1" s="559">
      <c r="A8" s="522" t="inlineStr">
        <is>
          <t>银行存款_活期存款</t>
        </is>
      </c>
      <c r="B8" s="562" t="n"/>
      <c r="C8" s="563" t="n"/>
      <c r="D8" s="19">
        <f>ROUND(SUM(D9:D17),2)</f>
        <v/>
      </c>
      <c r="E8" s="19">
        <f>ROUND(SUM(E9:E17),2)</f>
        <v/>
      </c>
      <c r="F8" s="19">
        <f>ROUND(SUM(F9:F17),2)</f>
        <v/>
      </c>
      <c r="G8" s="19">
        <f>ROUND(SUM(G9:G17),2)</f>
        <v/>
      </c>
      <c r="H8" s="19">
        <f>ROUND(SUM(H9:H17),2)</f>
        <v/>
      </c>
      <c r="I8" s="19">
        <f>ROUND(SUM(I9:I17),2)</f>
        <v/>
      </c>
      <c r="J8" s="261" t="n"/>
      <c r="K8" s="261" t="n"/>
    </row>
    <row r="9" ht="19" customHeight="1" s="559">
      <c r="A9" s="360" t="n">
        <v>1</v>
      </c>
      <c r="B9" s="523" t="inlineStr">
        <is>
          <t>银行存款_活期存款</t>
        </is>
      </c>
      <c r="C9" s="261" t="inlineStr">
        <is>
          <t>银行账户:中国银行72515</t>
        </is>
      </c>
      <c r="D9" s="569" t="n">
        <v>962494.13</v>
      </c>
      <c r="E9" s="569" t="n">
        <v>13298649.85</v>
      </c>
      <c r="F9" s="569" t="n">
        <v>13218651.17</v>
      </c>
      <c r="G9" s="19">
        <f>ROUND(D9+E9-F9,2)</f>
        <v/>
      </c>
      <c r="H9" s="17" t="n">
        <v>431385.98</v>
      </c>
      <c r="I9" s="19">
        <f>ROUND(G9-H9,2)</f>
        <v/>
      </c>
      <c r="J9" s="261" t="n"/>
      <c r="K9" s="261" t="n"/>
    </row>
    <row r="10" ht="19" customHeight="1" s="559">
      <c r="A10" s="360" t="n">
        <v>2</v>
      </c>
      <c r="B10" s="523" t="inlineStr">
        <is>
          <t>银行存款_活期存款</t>
        </is>
      </c>
      <c r="C10" s="261" t="inlineStr">
        <is>
          <t>银行账户:招商银行10001</t>
        </is>
      </c>
      <c r="D10" s="569" t="n">
        <v>122354.15</v>
      </c>
      <c r="E10" s="569" t="n">
        <v>16734904.3</v>
      </c>
      <c r="F10" s="569" t="n">
        <v>16712094.44</v>
      </c>
      <c r="G10" s="19">
        <f>ROUND(D10+E10-F10,2)</f>
        <v/>
      </c>
      <c r="H10" s="17" t="n">
        <v>16801393.88</v>
      </c>
      <c r="I10" s="19">
        <f>ROUND(G10-H10,2)</f>
        <v/>
      </c>
      <c r="J10" s="261" t="n"/>
      <c r="K10" s="261" t="n"/>
    </row>
    <row r="11" ht="19" customHeight="1" s="559">
      <c r="A11" s="360" t="n">
        <v>3</v>
      </c>
      <c r="B11" s="523" t="inlineStr">
        <is>
          <t>银行存款_活期存款</t>
        </is>
      </c>
      <c r="C11" s="261" t="inlineStr">
        <is>
          <t>银行账户:兴业银行17420</t>
        </is>
      </c>
      <c r="D11" s="569" t="n"/>
      <c r="E11" s="569" t="n">
        <v>2000000</v>
      </c>
      <c r="F11" s="569" t="n"/>
      <c r="G11" s="19">
        <f>ROUND(D11+E11-F11,2)</f>
        <v/>
      </c>
      <c r="H11" s="17" t="n"/>
      <c r="I11" s="19">
        <f>ROUND(G11-H11,2)</f>
        <v/>
      </c>
      <c r="J11" s="261" t="n"/>
      <c r="K11" s="261" t="n"/>
    </row>
    <row r="12" ht="19" customHeight="1" s="559">
      <c r="A12" s="360" t="n">
        <v>4</v>
      </c>
      <c r="B12" s="523" t="n"/>
      <c r="C12" s="261" t="n"/>
      <c r="D12" s="569" t="n"/>
      <c r="E12" s="569" t="n"/>
      <c r="F12" s="569" t="n"/>
      <c r="G12" s="19">
        <f>ROUND(D12+E12-F12,2)</f>
        <v/>
      </c>
      <c r="H12" s="17" t="n"/>
      <c r="I12" s="19">
        <f>ROUND(G12-H12,2)</f>
        <v/>
      </c>
      <c r="J12" s="261" t="n"/>
      <c r="K12" s="261" t="n"/>
    </row>
    <row r="13" ht="19" customHeight="1" s="559">
      <c r="A13" s="360" t="n">
        <v>5</v>
      </c>
      <c r="B13" s="523" t="n"/>
      <c r="C13" s="261" t="n"/>
      <c r="D13" s="569" t="n"/>
      <c r="E13" s="569" t="n"/>
      <c r="F13" s="569" t="n"/>
      <c r="G13" s="19">
        <f>ROUND(D13+E13-F13,2)</f>
        <v/>
      </c>
      <c r="H13" s="17" t="n"/>
      <c r="I13" s="19">
        <f>ROUND(G13-H13,2)</f>
        <v/>
      </c>
      <c r="J13" s="261" t="n"/>
      <c r="K13" s="261" t="n"/>
    </row>
    <row r="14" ht="19" customHeight="1" s="559">
      <c r="A14" s="360" t="n">
        <v>6</v>
      </c>
      <c r="B14" s="523" t="n"/>
      <c r="C14" s="524" t="n"/>
      <c r="D14" s="569" t="n"/>
      <c r="E14" s="569" t="n"/>
      <c r="F14" s="569" t="n"/>
      <c r="G14" s="19">
        <f>ROUND(D14+E14-F14,2)</f>
        <v/>
      </c>
      <c r="H14" s="17" t="n"/>
      <c r="I14" s="19">
        <f>ROUND(G14-H14,2)</f>
        <v/>
      </c>
      <c r="J14" s="261" t="n"/>
      <c r="K14" s="261" t="n"/>
    </row>
    <row r="15" ht="19" customHeight="1" s="559">
      <c r="A15" s="360" t="n">
        <v>7</v>
      </c>
      <c r="B15" s="523" t="n"/>
      <c r="C15" s="524" t="n"/>
      <c r="D15" s="17" t="n"/>
      <c r="E15" s="80" t="n"/>
      <c r="F15" s="17" t="n"/>
      <c r="G15" s="19">
        <f>ROUND(D15+E15-F15,2)</f>
        <v/>
      </c>
      <c r="H15" s="17" t="n"/>
      <c r="I15" s="19">
        <f>ROUND(G15-H15,2)</f>
        <v/>
      </c>
      <c r="J15" s="261" t="n"/>
      <c r="K15" s="523" t="n"/>
    </row>
    <row r="16" ht="19" customHeight="1" s="559">
      <c r="A16" s="360" t="n">
        <v>8</v>
      </c>
      <c r="B16" s="523" t="n"/>
      <c r="C16" s="524" t="n"/>
      <c r="D16" s="17" t="n"/>
      <c r="E16" s="80" t="n"/>
      <c r="F16" s="17" t="n"/>
      <c r="G16" s="19">
        <f>ROUND(D16+E16-F16,2)</f>
        <v/>
      </c>
      <c r="H16" s="17" t="n"/>
      <c r="I16" s="19">
        <f>ROUND(G16-H16,2)</f>
        <v/>
      </c>
      <c r="J16" s="113" t="n"/>
      <c r="K16" s="523" t="n"/>
    </row>
    <row r="17" ht="19" customHeight="1" s="559">
      <c r="A17" s="360" t="n">
        <v>9</v>
      </c>
      <c r="B17" s="523" t="n"/>
      <c r="C17" s="524" t="n"/>
      <c r="D17" s="17" t="n"/>
      <c r="E17" s="80" t="n"/>
      <c r="F17" s="17" t="n"/>
      <c r="G17" s="19">
        <f>ROUND(D17+E17-F17,2)</f>
        <v/>
      </c>
      <c r="H17" s="17" t="n"/>
      <c r="I17" s="19">
        <f>ROUND(G17-H17,2)</f>
        <v/>
      </c>
      <c r="J17" s="113" t="n"/>
      <c r="K17" s="523" t="n"/>
    </row>
    <row r="18" ht="26" customHeight="1" s="559">
      <c r="A18" s="522" t="inlineStr">
        <is>
          <t>其他货币资金</t>
        </is>
      </c>
      <c r="B18" s="562" t="n"/>
      <c r="C18" s="563" t="n"/>
      <c r="D18" s="19">
        <f>ROUND(SUM(D19:D30),2)</f>
        <v/>
      </c>
      <c r="E18" s="19">
        <f>ROUND(SUM(E19:E30),2)</f>
        <v/>
      </c>
      <c r="F18" s="19">
        <f>ROUND(SUM(F19:F30),2)</f>
        <v/>
      </c>
      <c r="G18" s="19">
        <f>ROUND(SUM(G19:G30),2)</f>
        <v/>
      </c>
      <c r="H18" s="19">
        <f>ROUND(SUM(H19:H30),2)</f>
        <v/>
      </c>
      <c r="I18" s="19">
        <f>ROUND(SUM(I19:I30),2)</f>
        <v/>
      </c>
      <c r="J18" s="261" t="n"/>
      <c r="K18" s="261" t="n"/>
    </row>
    <row r="19" ht="17" customHeight="1" s="559">
      <c r="A19" s="360" t="n">
        <v>1</v>
      </c>
      <c r="B19" s="523" t="n"/>
      <c r="C19" s="261" t="n"/>
      <c r="D19" s="569" t="n"/>
      <c r="E19" s="569" t="n"/>
      <c r="F19" s="569" t="n"/>
      <c r="G19" s="19">
        <f>ROUND(D19+E19-F19,2)</f>
        <v/>
      </c>
      <c r="H19" s="17" t="n"/>
      <c r="I19" s="19">
        <f>ROUND(G19-H19,2)</f>
        <v/>
      </c>
      <c r="J19" s="261" t="n"/>
      <c r="K19" s="261" t="n"/>
    </row>
    <row r="20" ht="17" customHeight="1" s="559">
      <c r="A20" s="360" t="n">
        <v>2</v>
      </c>
      <c r="B20" s="523" t="n"/>
      <c r="C20" s="261" t="n"/>
      <c r="D20" s="569" t="n"/>
      <c r="E20" s="569" t="n"/>
      <c r="F20" s="569" t="n"/>
      <c r="G20" s="19">
        <f>ROUND(D20+E20-F20,2)</f>
        <v/>
      </c>
      <c r="H20" s="17" t="n"/>
      <c r="I20" s="19">
        <f>ROUND(G20-H20,2)</f>
        <v/>
      </c>
      <c r="J20" s="261" t="n"/>
      <c r="K20" s="261" t="n"/>
    </row>
    <row r="21" ht="17" customHeight="1" s="559">
      <c r="A21" s="360" t="n">
        <v>3</v>
      </c>
      <c r="B21" s="523" t="n"/>
      <c r="C21" s="261" t="n"/>
      <c r="D21" s="569" t="n"/>
      <c r="E21" s="569" t="n"/>
      <c r="F21" s="569" t="n"/>
      <c r="G21" s="19">
        <f>ROUND(D21+E21-F21,2)</f>
        <v/>
      </c>
      <c r="H21" s="17" t="n"/>
      <c r="I21" s="19">
        <f>ROUND(G21-H21,2)</f>
        <v/>
      </c>
      <c r="J21" s="261" t="n"/>
      <c r="K21" s="261" t="n"/>
    </row>
    <row r="22" ht="17" customHeight="1" s="559">
      <c r="A22" s="360" t="n">
        <v>4</v>
      </c>
      <c r="B22" s="523" t="n"/>
      <c r="C22" s="261" t="n"/>
      <c r="D22" s="569" t="n"/>
      <c r="E22" s="569" t="n"/>
      <c r="F22" s="569" t="n"/>
      <c r="G22" s="19">
        <f>ROUND(D22+E22-F22,2)</f>
        <v/>
      </c>
      <c r="H22" s="17" t="n"/>
      <c r="I22" s="19">
        <f>ROUND(G22-H22,2)</f>
        <v/>
      </c>
      <c r="J22" s="261" t="n"/>
      <c r="K22" s="261" t="n"/>
    </row>
    <row r="23" ht="17" customHeight="1" s="559">
      <c r="A23" s="360" t="n">
        <v>5</v>
      </c>
      <c r="B23" s="523" t="n"/>
      <c r="C23" s="261" t="n"/>
      <c r="D23" s="569" t="n"/>
      <c r="E23" s="569" t="n"/>
      <c r="F23" s="569" t="n"/>
      <c r="G23" s="19">
        <f>ROUND(D23+E23-F23,2)</f>
        <v/>
      </c>
      <c r="H23" s="17" t="n"/>
      <c r="I23" s="19">
        <f>ROUND(G23-H23,2)</f>
        <v/>
      </c>
      <c r="J23" s="261" t="n"/>
      <c r="K23" s="261" t="n"/>
    </row>
    <row r="24" ht="17" customHeight="1" s="559">
      <c r="A24" s="360" t="n">
        <v>6</v>
      </c>
      <c r="B24" s="523" t="n"/>
      <c r="C24" s="261" t="n"/>
      <c r="D24" s="569" t="n"/>
      <c r="E24" s="569" t="n"/>
      <c r="F24" s="569" t="n"/>
      <c r="G24" s="19">
        <f>ROUND(D24+E24-F24,2)</f>
        <v/>
      </c>
      <c r="H24" s="17" t="n"/>
      <c r="I24" s="19">
        <f>ROUND(G24-H24,2)</f>
        <v/>
      </c>
      <c r="J24" s="261" t="n"/>
      <c r="K24" s="261" t="n"/>
    </row>
    <row r="25" ht="17" customHeight="1" s="559">
      <c r="A25" s="360" t="n">
        <v>7</v>
      </c>
      <c r="B25" s="523" t="n"/>
      <c r="C25" s="261" t="n"/>
      <c r="D25" s="569" t="n"/>
      <c r="E25" s="569" t="n"/>
      <c r="F25" s="569" t="n"/>
      <c r="G25" s="19">
        <f>ROUND(D25+E25-F25,2)</f>
        <v/>
      </c>
      <c r="H25" s="17" t="n"/>
      <c r="I25" s="19">
        <f>ROUND(G25-H25,2)</f>
        <v/>
      </c>
      <c r="J25" s="261" t="n"/>
      <c r="K25" s="261" t="n"/>
    </row>
    <row r="26" ht="17" customHeight="1" s="559">
      <c r="A26" s="360" t="n">
        <v>8</v>
      </c>
      <c r="B26" s="523" t="n"/>
      <c r="C26" s="261" t="n"/>
      <c r="D26" s="569" t="n"/>
      <c r="E26" s="569" t="n"/>
      <c r="F26" s="569" t="n"/>
      <c r="G26" s="19">
        <f>ROUND(D26+E26-F26,2)</f>
        <v/>
      </c>
      <c r="H26" s="17" t="n"/>
      <c r="I26" s="19">
        <f>ROUND(G26-H26,2)</f>
        <v/>
      </c>
      <c r="J26" s="261" t="n"/>
      <c r="K26" s="261" t="n"/>
    </row>
    <row r="27" ht="17" customHeight="1" s="559">
      <c r="A27" s="360" t="n">
        <v>9</v>
      </c>
      <c r="B27" s="523" t="n"/>
      <c r="C27" s="261" t="n"/>
      <c r="D27" s="569" t="n"/>
      <c r="E27" s="569" t="n"/>
      <c r="F27" s="569" t="n"/>
      <c r="G27" s="19">
        <f>ROUND(D27+E27-F27,2)</f>
        <v/>
      </c>
      <c r="H27" s="17" t="n"/>
      <c r="I27" s="19">
        <f>ROUND(G27-H27,2)</f>
        <v/>
      </c>
      <c r="J27" s="261" t="n"/>
      <c r="K27" s="261" t="n"/>
    </row>
    <row r="28" ht="17" customHeight="1" s="559">
      <c r="A28" s="360" t="n">
        <v>10</v>
      </c>
      <c r="B28" s="523" t="n"/>
      <c r="C28" s="261" t="n"/>
      <c r="D28" s="569" t="n"/>
      <c r="E28" s="569" t="n"/>
      <c r="F28" s="569" t="n"/>
      <c r="G28" s="19">
        <f>ROUND(D28+E28-F28,2)</f>
        <v/>
      </c>
      <c r="H28" s="17" t="n"/>
      <c r="I28" s="19">
        <f>ROUND(G28-H28,2)</f>
        <v/>
      </c>
      <c r="J28" s="261" t="n"/>
      <c r="K28" s="261" t="n"/>
    </row>
    <row r="29" ht="17" customHeight="1" s="559">
      <c r="A29" s="360" t="n">
        <v>11</v>
      </c>
      <c r="B29" s="523" t="n"/>
      <c r="C29" s="261" t="n"/>
      <c r="D29" s="569" t="n"/>
      <c r="E29" s="569" t="n"/>
      <c r="F29" s="569" t="n"/>
      <c r="G29" s="19">
        <f>ROUND(D29+E29-F29,2)</f>
        <v/>
      </c>
      <c r="H29" s="17" t="n"/>
      <c r="I29" s="19">
        <f>ROUND(G29-H29,2)</f>
        <v/>
      </c>
      <c r="J29" s="261" t="n"/>
      <c r="K29" s="261" t="n"/>
    </row>
    <row r="30" ht="17" customHeight="1" s="559">
      <c r="A30" s="360" t="n">
        <v>12</v>
      </c>
      <c r="B30" s="523" t="n"/>
      <c r="C30" s="261" t="n"/>
      <c r="D30" s="569" t="n"/>
      <c r="E30" s="569" t="n"/>
      <c r="F30" s="569" t="n"/>
      <c r="G30" s="19">
        <f>ROUND(D30+E30-F30,2)</f>
        <v/>
      </c>
      <c r="H30" s="17" t="n"/>
      <c r="I30" s="19">
        <f>ROUND(G30-H30,2)</f>
        <v/>
      </c>
      <c r="J30" s="261" t="n"/>
      <c r="K30" s="261" t="n"/>
    </row>
    <row r="31" ht="22" customFormat="1" customHeight="1" s="521">
      <c r="A31" s="522" t="inlineStr">
        <is>
          <t>合计</t>
        </is>
      </c>
      <c r="B31" s="562" t="n"/>
      <c r="C31" s="563" t="n"/>
      <c r="D31" s="25">
        <f>ROUND(D6+D8+D18,2)</f>
        <v/>
      </c>
      <c r="E31" s="25">
        <f>ROUND(E6+E8+E18,2)</f>
        <v/>
      </c>
      <c r="F31" s="25">
        <f>ROUND(F6+F8+F18,2)</f>
        <v/>
      </c>
      <c r="G31" s="25">
        <f>ROUND(G6+G8+G18,2)</f>
        <v/>
      </c>
      <c r="H31" s="26">
        <f>ROUND(H6+H8+H18,2)</f>
        <v/>
      </c>
      <c r="I31" s="26">
        <f>ROUND(I6+I8+I18,2)</f>
        <v/>
      </c>
      <c r="J31" s="525" t="n"/>
      <c r="K31" s="525" t="n"/>
    </row>
    <row r="33" ht="19" customHeight="1" s="559">
      <c r="B33" s="570" t="inlineStr">
        <is>
          <t>审计说明：</t>
        </is>
      </c>
    </row>
    <row r="34" ht="19" customHeight="1" s="559"/>
    <row r="35" ht="19" customHeight="1" s="559"/>
    <row r="36" ht="19" customHeight="1" s="559"/>
    <row r="37" ht="19" customHeight="1" s="559"/>
  </sheetData>
  <mergeCells count="13">
    <mergeCell ref="B4:B5"/>
    <mergeCell ref="C4:C5"/>
    <mergeCell ref="A4:A5"/>
    <mergeCell ref="A31:C31"/>
    <mergeCell ref="A8:C8"/>
    <mergeCell ref="A6:C6"/>
    <mergeCell ref="H4:H5"/>
    <mergeCell ref="I4:I5"/>
    <mergeCell ref="A18:C18"/>
    <mergeCell ref="J4:J5"/>
    <mergeCell ref="K4:K5"/>
    <mergeCell ref="A1:K1"/>
    <mergeCell ref="D4: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selection activeCell="A1" sqref="$A1:$XFD1"/>
    </sheetView>
  </sheetViews>
  <sheetFormatPr baseColWidth="8" defaultColWidth="8.731481481481479" defaultRowHeight="14.4"/>
  <cols>
    <col width="12.2685185185185" customWidth="1" style="559" min="2" max="2"/>
    <col width="13.2685185185185" customWidth="1" style="559" min="3" max="3"/>
    <col width="14.0925925925926" customWidth="1" style="559" min="4" max="4"/>
    <col width="11.5462962962963" customWidth="1" style="559" min="5" max="5"/>
    <col width="12.2685185185185" customWidth="1" style="559" min="6" max="6"/>
    <col width="11.9074074074074" customWidth="1" style="559" min="7" max="7"/>
    <col width="11.7314814814815" customWidth="1" style="559" min="8" max="8"/>
    <col width="10.7314814814815" customWidth="1" style="559" min="9" max="9"/>
    <col width="11.8148148148148" customWidth="1" style="559" min="10" max="10"/>
    <col width="12.0925925925926" customWidth="1" style="559" min="11" max="11"/>
    <col width="16.2685185185185" customWidth="1" style="559" min="12" max="12"/>
  </cols>
  <sheetData>
    <row r="1" ht="21" customHeight="1" s="559">
      <c r="A1" s="1" t="inlineStr">
        <is>
          <t>对账单流水与银行日记账流水月度核对分析</t>
        </is>
      </c>
    </row>
    <row r="2" ht="15" customFormat="1" customHeight="1" s="456">
      <c r="A2" s="2">
        <f>备忘录!$A$1</f>
        <v/>
      </c>
      <c r="E2" s="456" t="inlineStr">
        <is>
          <t>编制人：刘喜琴</t>
        </is>
      </c>
      <c r="H2" s="456">
        <f>备忘录!$C$2</f>
        <v/>
      </c>
      <c r="I2" s="504" t="n"/>
    </row>
    <row r="3" ht="15"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6"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9"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0"/>
  <sheetViews>
    <sheetView workbookViewId="0">
      <selection activeCell="D10" sqref="D10"/>
    </sheetView>
  </sheetViews>
  <sheetFormatPr baseColWidth="8" defaultColWidth="8.731481481481479" defaultRowHeight="14.4"/>
  <cols>
    <col width="14.1851851851852"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7"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8"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0"/>
  <sheetViews>
    <sheetView workbookViewId="0">
      <selection activeCell="H21" sqref="H21"/>
    </sheetView>
  </sheetViews>
  <sheetFormatPr baseColWidth="8" defaultColWidth="8.731481481481479" defaultRowHeight="14.4"/>
  <cols>
    <col width="12.6388888888889" customWidth="1" style="559" min="2" max="2"/>
    <col width="14.4537037037037" customWidth="1" style="559" min="3" max="3"/>
    <col width="16.5462962962963" customWidth="1" style="559" min="4" max="4"/>
    <col width="10.7314814814815" customWidth="1" style="559" min="5" max="5"/>
    <col width="12.2685185185185" customWidth="1" style="559" min="6" max="6"/>
    <col width="13.2685185185185" customWidth="1" style="559" min="7" max="8"/>
    <col width="10.7314814814815" customWidth="1" style="559" min="9" max="9"/>
    <col width="11.8148148148148" customWidth="1" style="559" min="10" max="10"/>
    <col width="12.0925925925926" customWidth="1" style="559" min="11" max="11"/>
    <col width="18.0925925925926" customWidth="1" style="559" min="12" max="12"/>
  </cols>
  <sheetData>
    <row r="1" ht="21" customHeight="1" s="559">
      <c r="A1" s="1" t="inlineStr">
        <is>
          <t>对账单流水与银行日记账流水月度核对分析</t>
        </is>
      </c>
    </row>
    <row r="2" ht="14" customFormat="1" customHeight="1" s="456">
      <c r="A2" s="2">
        <f>备忘录!$A$1</f>
        <v/>
      </c>
      <c r="E2" s="456" t="inlineStr">
        <is>
          <t>编制人：刘喜琴</t>
        </is>
      </c>
      <c r="H2" s="456">
        <f>备忘录!$C$2</f>
        <v/>
      </c>
      <c r="I2" s="504" t="n"/>
    </row>
    <row r="3" ht="14" customFormat="1" customHeight="1" s="456">
      <c r="A3" s="2">
        <f>备忘录!$A$2</f>
        <v/>
      </c>
      <c r="E3" s="456" t="inlineStr">
        <is>
          <t>复核人：赵玮</t>
        </is>
      </c>
      <c r="H3" s="456">
        <f>备忘录!$C$3</f>
        <v/>
      </c>
    </row>
    <row r="4" ht="18" customFormat="1" customHeight="1" s="3">
      <c r="A4" s="571" t="inlineStr">
        <is>
          <t>开户行</t>
        </is>
      </c>
      <c r="B4" s="572" t="n"/>
      <c r="C4" s="563" t="n"/>
      <c r="D4" s="571" t="inlineStr">
        <is>
          <t>账号</t>
        </is>
      </c>
      <c r="E4" s="573" t="n"/>
      <c r="F4" s="563" t="n"/>
      <c r="G4" s="574" t="n"/>
      <c r="H4" s="575" t="n"/>
      <c r="I4" s="575" t="n"/>
      <c r="J4" s="575" t="n"/>
      <c r="K4" s="575" t="n"/>
      <c r="L4" s="575" t="n"/>
    </row>
    <row r="5" ht="16" customFormat="1" customHeight="1" s="3">
      <c r="A5" s="538" t="inlineStr">
        <is>
          <t>项目</t>
        </is>
      </c>
      <c r="B5" s="538" t="inlineStr">
        <is>
          <t>银行对账单</t>
        </is>
      </c>
      <c r="C5" s="562" t="n"/>
      <c r="D5" s="562" t="n"/>
      <c r="E5" s="563" t="n"/>
      <c r="F5" s="538" t="inlineStr">
        <is>
          <t>银行日记账</t>
        </is>
      </c>
      <c r="G5" s="562" t="n"/>
      <c r="H5" s="562" t="n"/>
      <c r="I5" s="563" t="n"/>
      <c r="J5" s="538" t="inlineStr">
        <is>
          <t>核对差异</t>
        </is>
      </c>
      <c r="K5" s="562" t="n"/>
      <c r="L5" s="563" t="n"/>
    </row>
    <row r="6" ht="25" customFormat="1" customHeight="1" s="3">
      <c r="A6" s="262" t="n"/>
      <c r="B6" s="538" t="inlineStr">
        <is>
          <t>月初金额</t>
        </is>
      </c>
      <c r="C6" s="548" t="inlineStr">
        <is>
          <t>借方发生额
本月汇总</t>
        </is>
      </c>
      <c r="D6" s="548" t="inlineStr">
        <is>
          <t>贷方发生额
本月汇总</t>
        </is>
      </c>
      <c r="E6" s="538" t="inlineStr">
        <is>
          <t>月末金额</t>
        </is>
      </c>
      <c r="F6" s="538" t="inlineStr">
        <is>
          <t>月初金额</t>
        </is>
      </c>
      <c r="G6" s="548" t="inlineStr">
        <is>
          <t>借方发生额</t>
        </is>
      </c>
      <c r="H6" s="548" t="inlineStr">
        <is>
          <t>贷方发生额</t>
        </is>
      </c>
      <c r="I6" s="538" t="inlineStr">
        <is>
          <t>月末金额</t>
        </is>
      </c>
      <c r="J6" s="548" t="inlineStr">
        <is>
          <t>借方发生额</t>
        </is>
      </c>
      <c r="K6" s="548" t="inlineStr">
        <is>
          <t>贷方发生额</t>
        </is>
      </c>
      <c r="L6" s="538" t="inlineStr">
        <is>
          <t>差异分析</t>
        </is>
      </c>
    </row>
    <row r="7" ht="11.4" customFormat="1" customHeight="1" s="3">
      <c r="A7" s="262" t="inlineStr">
        <is>
          <t>1月</t>
        </is>
      </c>
      <c r="B7" s="576" t="n"/>
      <c r="C7" s="576" t="n"/>
      <c r="D7" s="576" t="n"/>
      <c r="E7" s="577">
        <f>ROUND(B7+C7-D7,2)</f>
        <v/>
      </c>
      <c r="F7" s="576" t="n"/>
      <c r="G7" s="576" t="n"/>
      <c r="H7" s="576" t="n"/>
      <c r="I7" s="577">
        <f>ROUND(F7+G7-H7,2)</f>
        <v/>
      </c>
      <c r="J7" s="577">
        <f>C7-G7</f>
        <v/>
      </c>
      <c r="K7" s="577">
        <f>D7-H7</f>
        <v/>
      </c>
      <c r="L7" s="515" t="n"/>
    </row>
    <row r="8" ht="11.4" customFormat="1" customHeight="1" s="3">
      <c r="A8" s="262" t="inlineStr">
        <is>
          <t>2月</t>
        </is>
      </c>
      <c r="B8" s="577">
        <f>E7</f>
        <v/>
      </c>
      <c r="C8" s="576" t="n"/>
      <c r="D8" s="576" t="n"/>
      <c r="E8" s="577">
        <f>ROUND(B8+C8-D8,2)</f>
        <v/>
      </c>
      <c r="F8" s="577">
        <f>I7</f>
        <v/>
      </c>
      <c r="G8" s="576" t="n"/>
      <c r="H8" s="576" t="n"/>
      <c r="I8" s="577">
        <f>ROUND(F8+G8-H8,2)</f>
        <v/>
      </c>
      <c r="J8" s="577">
        <f>C8-G8</f>
        <v/>
      </c>
      <c r="K8" s="577">
        <f>D8-H8</f>
        <v/>
      </c>
      <c r="L8" s="515" t="n"/>
    </row>
    <row r="9" ht="11.4" customFormat="1" customHeight="1" s="3">
      <c r="A9" s="262" t="inlineStr">
        <is>
          <t>3月</t>
        </is>
      </c>
      <c r="B9" s="577">
        <f>E8</f>
        <v/>
      </c>
      <c r="C9" s="576" t="n"/>
      <c r="D9" s="576" t="n"/>
      <c r="E9" s="577">
        <f>ROUND(B9+C9-D9,2)</f>
        <v/>
      </c>
      <c r="F9" s="577">
        <f>I8</f>
        <v/>
      </c>
      <c r="G9" s="576" t="n"/>
      <c r="H9" s="576" t="n"/>
      <c r="I9" s="577">
        <f>ROUND(F9+G9-H9,2)</f>
        <v/>
      </c>
      <c r="J9" s="577">
        <f>C9-G9</f>
        <v/>
      </c>
      <c r="K9" s="577">
        <f>D9-H9</f>
        <v/>
      </c>
      <c r="L9" s="515" t="n"/>
    </row>
    <row r="10" ht="11.4" customFormat="1" customHeight="1" s="3">
      <c r="A10" s="262" t="inlineStr">
        <is>
          <t>4月</t>
        </is>
      </c>
      <c r="B10" s="577">
        <f>E9</f>
        <v/>
      </c>
      <c r="C10" s="576" t="n"/>
      <c r="D10" s="576" t="n"/>
      <c r="E10" s="577">
        <f>ROUND(B10+C10-D10,2)</f>
        <v/>
      </c>
      <c r="F10" s="577">
        <f>I9</f>
        <v/>
      </c>
      <c r="G10" s="576" t="n"/>
      <c r="H10" s="576" t="n"/>
      <c r="I10" s="577">
        <f>ROUND(F10+G10-H10,2)</f>
        <v/>
      </c>
      <c r="J10" s="577">
        <f>C10-G10</f>
        <v/>
      </c>
      <c r="K10" s="577">
        <f>D10-H10</f>
        <v/>
      </c>
      <c r="L10" s="515" t="n"/>
    </row>
    <row r="11" ht="11.4" customFormat="1" customHeight="1" s="3">
      <c r="A11" s="262" t="inlineStr">
        <is>
          <t>5月</t>
        </is>
      </c>
      <c r="B11" s="577">
        <f>E10</f>
        <v/>
      </c>
      <c r="C11" s="516" t="n"/>
      <c r="D11" s="576" t="n"/>
      <c r="E11" s="577">
        <f>ROUND(B11+C11-D11,2)</f>
        <v/>
      </c>
      <c r="F11" s="577">
        <f>I10</f>
        <v/>
      </c>
      <c r="G11" s="516" t="n"/>
      <c r="H11" s="576" t="n"/>
      <c r="I11" s="577">
        <f>ROUND(F11+G11-H11,2)</f>
        <v/>
      </c>
      <c r="J11" s="577">
        <f>C11-G11</f>
        <v/>
      </c>
      <c r="K11" s="577">
        <f>D11-H11</f>
        <v/>
      </c>
      <c r="L11" s="515" t="n"/>
    </row>
    <row r="12" ht="11.4" customFormat="1" customHeight="1" s="3">
      <c r="A12" s="262" t="inlineStr">
        <is>
          <t>6月</t>
        </is>
      </c>
      <c r="B12" s="577">
        <f>E11</f>
        <v/>
      </c>
      <c r="C12" s="576" t="n"/>
      <c r="D12" s="576" t="n"/>
      <c r="E12" s="577">
        <f>ROUND(B12+C12-D12,2)</f>
        <v/>
      </c>
      <c r="F12" s="577">
        <f>I11</f>
        <v/>
      </c>
      <c r="G12" s="576" t="n"/>
      <c r="H12" s="576" t="n"/>
      <c r="I12" s="577">
        <f>ROUND(F12+G12-H12,2)</f>
        <v/>
      </c>
      <c r="J12" s="577">
        <f>C12-G12</f>
        <v/>
      </c>
      <c r="K12" s="577">
        <f>D12-H12</f>
        <v/>
      </c>
      <c r="L12" s="515" t="n"/>
    </row>
    <row r="13" ht="11.4" customFormat="1" customHeight="1" s="3">
      <c r="A13" s="262" t="inlineStr">
        <is>
          <t>7月</t>
        </is>
      </c>
      <c r="B13" s="577">
        <f>E12</f>
        <v/>
      </c>
      <c r="C13" s="576" t="n"/>
      <c r="D13" s="576" t="n"/>
      <c r="E13" s="577">
        <f>ROUND(B13+C13-D13,2)</f>
        <v/>
      </c>
      <c r="F13" s="577">
        <f>I12</f>
        <v/>
      </c>
      <c r="G13" s="576" t="n"/>
      <c r="H13" s="576" t="n"/>
      <c r="I13" s="577">
        <f>ROUND(F13+G13-H13,2)</f>
        <v/>
      </c>
      <c r="J13" s="577">
        <f>C13-G13</f>
        <v/>
      </c>
      <c r="K13" s="577">
        <f>D13-H13</f>
        <v/>
      </c>
      <c r="L13" s="515" t="n"/>
    </row>
    <row r="14" ht="11.4" customFormat="1" customHeight="1" s="3">
      <c r="A14" s="262" t="inlineStr">
        <is>
          <t>8月</t>
        </is>
      </c>
      <c r="B14" s="577">
        <f>E13</f>
        <v/>
      </c>
      <c r="C14" s="576" t="n"/>
      <c r="D14" s="576" t="n"/>
      <c r="E14" s="577">
        <f>ROUND(B14+C14-D14,2)</f>
        <v/>
      </c>
      <c r="F14" s="577">
        <f>I13</f>
        <v/>
      </c>
      <c r="G14" s="576" t="n"/>
      <c r="H14" s="576" t="n"/>
      <c r="I14" s="577">
        <f>ROUND(F14+G14-H14,2)</f>
        <v/>
      </c>
      <c r="J14" s="577">
        <f>C14-G14</f>
        <v/>
      </c>
      <c r="K14" s="577">
        <f>D14-H14</f>
        <v/>
      </c>
      <c r="L14" s="515" t="n"/>
    </row>
    <row r="15" ht="11.4" customFormat="1" customHeight="1" s="3">
      <c r="A15" s="262" t="inlineStr">
        <is>
          <t>9月</t>
        </is>
      </c>
      <c r="B15" s="577">
        <f>E14</f>
        <v/>
      </c>
      <c r="C15" s="576" t="n"/>
      <c r="D15" s="576" t="n"/>
      <c r="E15" s="577">
        <f>ROUND(B15+C15-D15,2)</f>
        <v/>
      </c>
      <c r="F15" s="577">
        <f>I14</f>
        <v/>
      </c>
      <c r="G15" s="576" t="n"/>
      <c r="H15" s="576" t="n"/>
      <c r="I15" s="577">
        <f>ROUND(F15+G15-H15,2)</f>
        <v/>
      </c>
      <c r="J15" s="577">
        <f>C15-G15</f>
        <v/>
      </c>
      <c r="K15" s="577">
        <f>D15-H15</f>
        <v/>
      </c>
      <c r="L15" s="515" t="n"/>
    </row>
    <row r="16" ht="11.4" customFormat="1" customHeight="1" s="3">
      <c r="A16" s="262" t="inlineStr">
        <is>
          <t>10月</t>
        </is>
      </c>
      <c r="B16" s="577">
        <f>E15</f>
        <v/>
      </c>
      <c r="C16" s="576" t="n"/>
      <c r="D16" s="576" t="n"/>
      <c r="E16" s="577">
        <f>ROUND(B16+C16-D16,2)</f>
        <v/>
      </c>
      <c r="F16" s="577">
        <f>I15</f>
        <v/>
      </c>
      <c r="G16" s="576" t="n"/>
      <c r="H16" s="576" t="n"/>
      <c r="I16" s="577">
        <f>ROUND(F16+G16-H16,2)</f>
        <v/>
      </c>
      <c r="J16" s="577">
        <f>C16-G16</f>
        <v/>
      </c>
      <c r="K16" s="577">
        <f>D16-H16</f>
        <v/>
      </c>
      <c r="L16" s="515" t="n"/>
    </row>
    <row r="17" ht="11.4" customFormat="1" customHeight="1" s="3">
      <c r="A17" s="262" t="inlineStr">
        <is>
          <t>11月</t>
        </is>
      </c>
      <c r="B17" s="577">
        <f>E16</f>
        <v/>
      </c>
      <c r="C17" s="576" t="n"/>
      <c r="D17" s="576" t="n"/>
      <c r="E17" s="577">
        <f>ROUND(B17+C17-D17,2)</f>
        <v/>
      </c>
      <c r="F17" s="577">
        <f>I16</f>
        <v/>
      </c>
      <c r="G17" s="576" t="n"/>
      <c r="H17" s="576" t="n"/>
      <c r="I17" s="577">
        <f>ROUND(F17+G17-H17,2)</f>
        <v/>
      </c>
      <c r="J17" s="577">
        <f>C17-G17</f>
        <v/>
      </c>
      <c r="K17" s="577">
        <f>D17-H17</f>
        <v/>
      </c>
      <c r="L17" s="515" t="n"/>
    </row>
    <row r="18" ht="11.4" customFormat="1" customHeight="1" s="3">
      <c r="A18" s="262" t="inlineStr">
        <is>
          <t>12月</t>
        </is>
      </c>
      <c r="B18" s="577">
        <f>E17</f>
        <v/>
      </c>
      <c r="C18" s="576" t="n"/>
      <c r="D18" s="576" t="n"/>
      <c r="E18" s="577">
        <f>ROUND(B18+C18-D18,2)</f>
        <v/>
      </c>
      <c r="F18" s="577">
        <f>I17</f>
        <v/>
      </c>
      <c r="G18" s="576" t="n"/>
      <c r="H18" s="576" t="n"/>
      <c r="I18" s="577">
        <f>ROUND(F18+G18-H18,2)</f>
        <v/>
      </c>
      <c r="J18" s="577">
        <f>C18-G18</f>
        <v/>
      </c>
      <c r="K18" s="577">
        <f>D18-H18</f>
        <v/>
      </c>
      <c r="L18" s="515" t="n"/>
    </row>
    <row r="19" ht="11.4" customFormat="1" customHeight="1" s="3">
      <c r="A19" s="538" t="inlineStr">
        <is>
          <t>合计</t>
        </is>
      </c>
      <c r="B19" s="577">
        <f>B7</f>
        <v/>
      </c>
      <c r="C19" s="577">
        <f>SUM(C7:C18)</f>
        <v/>
      </c>
      <c r="D19" s="577">
        <f>SUM(D7:D18)</f>
        <v/>
      </c>
      <c r="E19" s="577">
        <f>ROUND(B19+C19-D19,2)</f>
        <v/>
      </c>
      <c r="F19" s="577">
        <f>F7</f>
        <v/>
      </c>
      <c r="G19" s="577">
        <f>SUM(G7:G18)</f>
        <v/>
      </c>
      <c r="H19" s="577">
        <f>SUM(H7:H18)</f>
        <v/>
      </c>
      <c r="I19" s="577">
        <f>ROUND(F19+G19-H19,2)</f>
        <v/>
      </c>
      <c r="J19" s="577">
        <f>SUM(J7:J18)</f>
        <v/>
      </c>
      <c r="K19" s="577">
        <f>SUM(K7:K18)</f>
        <v/>
      </c>
      <c r="L19" s="262" t="n"/>
    </row>
    <row r="20" ht="17" customFormat="1" customHeight="1" s="3">
      <c r="A20" s="517" t="inlineStr">
        <is>
          <t>核对差异</t>
        </is>
      </c>
      <c r="B20" s="518" t="n"/>
      <c r="C20" s="519" t="n"/>
      <c r="D20" s="519" t="n"/>
      <c r="E20" s="519" t="n"/>
      <c r="F20" s="519" t="n"/>
      <c r="G20" s="578">
        <f>C19-G19</f>
        <v/>
      </c>
      <c r="H20" s="578">
        <f>D19-H19</f>
        <v/>
      </c>
      <c r="I20" s="519" t="n"/>
      <c r="J20" s="519" t="n"/>
      <c r="K20" s="519" t="n"/>
      <c r="L20" s="519" t="n"/>
    </row>
  </sheetData>
  <mergeCells count="6">
    <mergeCell ref="J5:L5"/>
    <mergeCell ref="E4:F4"/>
    <mergeCell ref="B5:E5"/>
    <mergeCell ref="F5:I5"/>
    <mergeCell ref="A1:K1"/>
    <mergeCell ref="B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zoomScale="90" zoomScaleNormal="90" workbookViewId="0">
      <pane ySplit="5" topLeftCell="A6" activePane="bottomLeft" state="frozen"/>
      <selection activeCell="A1" sqref="A1"/>
      <selection pane="bottomLeft" activeCell="G4" sqref="G4:L15"/>
    </sheetView>
  </sheetViews>
  <sheetFormatPr baseColWidth="8" defaultColWidth="8.731481481481479" defaultRowHeight="14.4"/>
  <cols>
    <col width="19.6944444444444" customWidth="1" style="559" min="2" max="2"/>
    <col width="14.8148148148148" customWidth="1" style="559" min="3" max="3"/>
    <col width="9.99074074074074" customWidth="1" style="559" min="4" max="4"/>
    <col width="10.6018518518519" customWidth="1" style="559" min="5" max="5"/>
    <col width="9.28703703703704" customWidth="1" style="559" min="6" max="6"/>
    <col width="13.2314814814815" customWidth="1" style="559" min="7" max="7"/>
    <col width="12.6296296296296" customWidth="1" style="559" min="8" max="8"/>
    <col width="12.7314814814815" customWidth="1" style="559" min="9" max="9"/>
    <col width="12.212962962963" customWidth="1" style="559" min="10" max="10"/>
    <col width="10.3981481481481" customWidth="1" style="559" min="11" max="11"/>
    <col width="13.4259259259259" customWidth="1" style="559" min="13" max="13"/>
  </cols>
  <sheetData>
    <row r="1" ht="26" customHeight="1" s="559">
      <c r="A1" s="1" t="inlineStr">
        <is>
          <t>银行账户清单与已开立银行结算账户清单核对</t>
        </is>
      </c>
    </row>
    <row r="2" ht="17" customHeight="1" s="559">
      <c r="A2" s="2">
        <f>备忘录!$A$1</f>
        <v/>
      </c>
      <c r="B2" s="456" t="n"/>
      <c r="C2" s="456" t="n"/>
      <c r="D2" s="456" t="n"/>
      <c r="E2" s="456" t="inlineStr">
        <is>
          <t>编制人：刘喜琴</t>
        </is>
      </c>
      <c r="F2" s="456" t="n"/>
      <c r="G2" s="456" t="n"/>
      <c r="H2" s="456">
        <f>备忘录!$C$2</f>
        <v/>
      </c>
      <c r="I2" s="504" t="n"/>
      <c r="J2" s="456" t="n"/>
      <c r="K2" s="456" t="n"/>
    </row>
    <row r="3" ht="17" customHeight="1" s="559">
      <c r="A3" s="2">
        <f>备忘录!$A$2</f>
        <v/>
      </c>
      <c r="B3" s="456" t="n"/>
      <c r="C3" s="456" t="n"/>
      <c r="D3" s="456" t="n"/>
      <c r="E3" s="456" t="inlineStr">
        <is>
          <t>复核人：赵玮</t>
        </is>
      </c>
      <c r="F3" s="456" t="n"/>
      <c r="G3" s="456" t="n"/>
      <c r="H3" s="456">
        <f>备忘录!$C$3</f>
        <v/>
      </c>
      <c r="I3" s="456" t="n"/>
      <c r="J3" s="456" t="n"/>
      <c r="K3" s="456" t="n"/>
    </row>
    <row r="4" ht="18" customHeight="1" s="559">
      <c r="A4" s="472" t="inlineStr">
        <is>
          <t>序号</t>
        </is>
      </c>
      <c r="B4" s="473" t="inlineStr">
        <is>
          <t>企业提供的银行账户实际信息</t>
        </is>
      </c>
      <c r="C4" s="562" t="n"/>
      <c r="D4" s="562" t="n"/>
      <c r="E4" s="562" t="n"/>
      <c r="F4" s="563" t="n"/>
      <c r="G4" s="475" t="inlineStr">
        <is>
          <t>与已开立银行结算账户清单核对</t>
        </is>
      </c>
      <c r="H4" s="562" t="n"/>
      <c r="I4" s="562" t="n"/>
      <c r="J4" s="562" t="n"/>
      <c r="K4" s="562" t="n"/>
      <c r="L4" s="562" t="n"/>
      <c r="M4" s="479" t="inlineStr">
        <is>
          <t>是否由被审计单位实际使用</t>
        </is>
      </c>
      <c r="N4" s="472" t="inlineStr">
        <is>
          <t>备注</t>
        </is>
      </c>
    </row>
    <row r="5" ht="24" customHeight="1" s="559">
      <c r="A5" s="560" t="n"/>
      <c r="B5" s="472" t="inlineStr">
        <is>
          <t>开户银行</t>
        </is>
      </c>
      <c r="C5" s="472" t="inlineStr">
        <is>
          <t>银行账号</t>
        </is>
      </c>
      <c r="D5" s="478" t="inlineStr">
        <is>
          <t>币种</t>
        </is>
      </c>
      <c r="E5" s="478" t="inlineStr">
        <is>
          <t>账户性质</t>
        </is>
      </c>
      <c r="F5" s="478" t="inlineStr">
        <is>
          <t>账户状态</t>
        </is>
      </c>
      <c r="G5" s="479" t="inlineStr">
        <is>
          <t>开户银行是否相符</t>
        </is>
      </c>
      <c r="H5" s="479" t="inlineStr">
        <is>
          <t>银行账号是否相符</t>
        </is>
      </c>
      <c r="I5" s="479" t="inlineStr">
        <is>
          <t>账户性质是否相符</t>
        </is>
      </c>
      <c r="J5" s="479" t="inlineStr">
        <is>
          <t>账户状态是否相符</t>
        </is>
      </c>
      <c r="K5" s="479" t="inlineStr">
        <is>
          <t>销户日期</t>
        </is>
      </c>
      <c r="L5" s="479" t="inlineStr">
        <is>
          <t>久悬日期</t>
        </is>
      </c>
      <c r="M5" s="560" t="n"/>
      <c r="N5" s="560" t="n"/>
    </row>
    <row r="6" ht="18" customHeight="1" s="559">
      <c r="A6" s="481" t="inlineStr">
        <is>
          <t>一、银行存款账户</t>
        </is>
      </c>
      <c r="B6" s="482" t="n"/>
      <c r="C6" s="483" t="n"/>
      <c r="D6" s="482" t="n"/>
      <c r="E6" s="482" t="n"/>
      <c r="F6" s="482" t="n"/>
      <c r="G6" s="482" t="n"/>
      <c r="H6" s="482" t="n"/>
      <c r="I6" s="482" t="n"/>
      <c r="J6" s="482" t="n"/>
      <c r="K6" s="484" t="inlineStr">
        <is>
          <t> </t>
        </is>
      </c>
      <c r="L6" s="484" t="inlineStr">
        <is>
          <t> </t>
        </is>
      </c>
      <c r="M6" s="482" t="n"/>
      <c r="N6" s="482" t="n"/>
    </row>
    <row r="7">
      <c r="A7" s="360" t="n">
        <v>1</v>
      </c>
      <c r="B7" s="579">
        <f>货币资金!B9</f>
        <v/>
      </c>
      <c r="C7" s="579">
        <f>货币资金!C9</f>
        <v/>
      </c>
      <c r="D7" s="261" t="n"/>
      <c r="E7" s="261" t="n"/>
      <c r="F7" s="261" t="n"/>
      <c r="G7" s="544" t="n"/>
      <c r="H7" s="544" t="n"/>
      <c r="I7" s="544" t="n"/>
      <c r="J7" s="544" t="n"/>
      <c r="K7" s="261" t="n"/>
      <c r="L7" s="261" t="n"/>
      <c r="M7" s="261" t="n"/>
      <c r="N7" s="261" t="n"/>
    </row>
    <row r="8">
      <c r="A8" s="360" t="n">
        <v>2</v>
      </c>
      <c r="B8" s="579">
        <f>货币资金!B10</f>
        <v/>
      </c>
      <c r="C8" s="579">
        <f>货币资金!C10</f>
        <v/>
      </c>
      <c r="D8" s="261" t="n"/>
      <c r="E8" s="261" t="n"/>
      <c r="F8" s="261" t="n"/>
      <c r="G8" s="544" t="n"/>
      <c r="H8" s="544" t="n"/>
      <c r="I8" s="544" t="n"/>
      <c r="J8" s="544" t="n"/>
      <c r="K8" s="261" t="n"/>
      <c r="L8" s="261" t="n"/>
      <c r="M8" s="261" t="n"/>
      <c r="N8" s="261" t="n"/>
    </row>
    <row r="9">
      <c r="A9" s="360" t="n">
        <v>3</v>
      </c>
      <c r="B9" s="579">
        <f>货币资金!B11</f>
        <v/>
      </c>
      <c r="C9" s="579">
        <f>货币资金!C11</f>
        <v/>
      </c>
      <c r="D9" s="261" t="n"/>
      <c r="E9" s="261" t="n"/>
      <c r="F9" s="261" t="n"/>
      <c r="G9" s="544" t="n"/>
      <c r="H9" s="544" t="n"/>
      <c r="I9" s="544" t="n"/>
      <c r="J9" s="544" t="n"/>
      <c r="K9" s="261" t="n"/>
      <c r="L9" s="261" t="n"/>
      <c r="M9" s="261" t="n"/>
      <c r="N9" s="261" t="n"/>
    </row>
    <row r="10">
      <c r="A10" s="360" t="n">
        <v>4</v>
      </c>
      <c r="B10" s="579">
        <f>货币资金!B12</f>
        <v/>
      </c>
      <c r="C10" s="579">
        <f>货币资金!C12</f>
        <v/>
      </c>
      <c r="D10" s="261" t="n"/>
      <c r="E10" s="261" t="n"/>
      <c r="F10" s="261" t="n"/>
      <c r="G10" s="544" t="n"/>
      <c r="H10" s="544" t="n"/>
      <c r="I10" s="544" t="n"/>
      <c r="J10" s="544" t="n"/>
      <c r="K10" s="261" t="n"/>
      <c r="L10" s="261" t="n"/>
      <c r="M10" s="261" t="n"/>
      <c r="N10" s="261" t="n"/>
    </row>
    <row r="11">
      <c r="A11" s="360" t="n">
        <v>5</v>
      </c>
      <c r="B11" s="579">
        <f>货币资金!B13</f>
        <v/>
      </c>
      <c r="C11" s="579">
        <f>货币资金!C13</f>
        <v/>
      </c>
      <c r="D11" s="261" t="n"/>
      <c r="E11" s="261" t="n"/>
      <c r="F11" s="261" t="n"/>
      <c r="G11" s="544" t="n"/>
      <c r="H11" s="544" t="n"/>
      <c r="I11" s="544" t="n"/>
      <c r="J11" s="544" t="n"/>
      <c r="K11" s="261" t="n"/>
      <c r="L11" s="261" t="n"/>
      <c r="M11" s="261" t="n"/>
      <c r="N11" s="261" t="n"/>
    </row>
    <row r="12">
      <c r="A12" s="360" t="n">
        <v>6</v>
      </c>
      <c r="B12" s="579">
        <f>货币资金!B14</f>
        <v/>
      </c>
      <c r="C12" s="579">
        <f>货币资金!C14</f>
        <v/>
      </c>
      <c r="D12" s="261" t="n"/>
      <c r="E12" s="261" t="n"/>
      <c r="F12" s="261" t="n"/>
      <c r="G12" s="544" t="n"/>
      <c r="H12" s="544" t="n"/>
      <c r="I12" s="544" t="n"/>
      <c r="J12" s="544" t="n"/>
      <c r="K12" s="261" t="n"/>
      <c r="L12" s="261" t="n"/>
      <c r="M12" s="261" t="n"/>
      <c r="N12" s="261" t="n"/>
    </row>
    <row r="13">
      <c r="A13" s="360" t="n">
        <v>7</v>
      </c>
      <c r="B13" s="579">
        <f>货币资金!B15</f>
        <v/>
      </c>
      <c r="C13" s="579">
        <f>货币资金!C15</f>
        <v/>
      </c>
      <c r="D13" s="261" t="n"/>
      <c r="E13" s="261" t="n"/>
      <c r="F13" s="261" t="n"/>
      <c r="G13" s="544" t="n"/>
      <c r="H13" s="544" t="n"/>
      <c r="I13" s="544" t="n"/>
      <c r="J13" s="544" t="n"/>
      <c r="K13" s="261" t="n"/>
      <c r="L13" s="261" t="n"/>
      <c r="M13" s="261" t="n"/>
      <c r="N13" s="261" t="n"/>
    </row>
    <row r="14">
      <c r="A14" s="360" t="n">
        <v>8</v>
      </c>
      <c r="B14" s="579">
        <f>货币资金!B16</f>
        <v/>
      </c>
      <c r="C14" s="579">
        <f>货币资金!C16</f>
        <v/>
      </c>
      <c r="D14" s="261" t="n"/>
      <c r="E14" s="261" t="n"/>
      <c r="F14" s="261" t="n"/>
      <c r="G14" s="544" t="n"/>
      <c r="H14" s="544" t="n"/>
      <c r="I14" s="544" t="n"/>
      <c r="J14" s="544" t="n"/>
      <c r="K14" s="261" t="n"/>
      <c r="L14" s="261" t="n"/>
      <c r="M14" s="261" t="n"/>
      <c r="N14" s="261" t="n"/>
    </row>
    <row r="15">
      <c r="A15" s="360" t="n">
        <v>9</v>
      </c>
      <c r="B15" s="579">
        <f>货币资金!B17</f>
        <v/>
      </c>
      <c r="C15" s="579">
        <f>货币资金!C17</f>
        <v/>
      </c>
      <c r="D15" s="261" t="n"/>
      <c r="E15" s="261" t="n"/>
      <c r="F15" s="261" t="n"/>
      <c r="G15" s="544" t="n"/>
      <c r="H15" s="544" t="n"/>
      <c r="I15" s="544" t="n"/>
      <c r="J15" s="544" t="n"/>
      <c r="K15" s="261" t="n"/>
      <c r="L15" s="261" t="n"/>
      <c r="M15" s="261" t="n"/>
      <c r="N15" s="261" t="n"/>
    </row>
    <row r="16" ht="16" customHeight="1" s="559">
      <c r="A16" s="481" t="inlineStr">
        <is>
          <t>二、其他货币资金账户</t>
        </is>
      </c>
      <c r="B16" s="482" t="n"/>
      <c r="C16" s="483" t="n"/>
      <c r="D16" s="482" t="n"/>
      <c r="E16" s="482" t="n"/>
      <c r="F16" s="482" t="n"/>
      <c r="G16" s="482" t="n"/>
      <c r="H16" s="482" t="n"/>
      <c r="I16" s="482" t="n"/>
      <c r="J16" s="482" t="n"/>
      <c r="K16" s="484" t="n"/>
      <c r="L16" s="484" t="n"/>
      <c r="M16" s="482" t="n"/>
      <c r="N16" s="482" t="n"/>
    </row>
    <row r="17">
      <c r="A17" s="360" t="n">
        <v>1</v>
      </c>
      <c r="B17" s="579">
        <f>货币资金!B19</f>
        <v/>
      </c>
      <c r="C17" s="579">
        <f>货币资金!C19</f>
        <v/>
      </c>
      <c r="D17" s="261" t="n"/>
      <c r="E17" s="261" t="n"/>
      <c r="F17" s="261" t="n"/>
      <c r="G17" s="261" t="n"/>
      <c r="H17" s="261" t="n"/>
      <c r="I17" s="261" t="n"/>
      <c r="J17" s="261" t="n"/>
      <c r="K17" s="261" t="n"/>
      <c r="L17" s="261" t="n"/>
      <c r="M17" s="261" t="n"/>
      <c r="N17" s="261" t="n"/>
    </row>
    <row r="18">
      <c r="A18" s="360" t="n">
        <v>2</v>
      </c>
      <c r="B18" s="579">
        <f>货币资金!B20</f>
        <v/>
      </c>
      <c r="C18" s="579">
        <f>货币资金!C20</f>
        <v/>
      </c>
      <c r="D18" s="261" t="n"/>
      <c r="E18" s="261" t="n"/>
      <c r="F18" s="261" t="n"/>
      <c r="G18" s="261" t="n"/>
      <c r="H18" s="261" t="n"/>
      <c r="I18" s="261" t="n"/>
      <c r="J18" s="261" t="n"/>
      <c r="K18" s="261" t="n"/>
      <c r="L18" s="261" t="n"/>
      <c r="M18" s="261" t="n"/>
      <c r="N18" s="261" t="n"/>
    </row>
    <row r="19">
      <c r="A19" s="360" t="n">
        <v>3</v>
      </c>
      <c r="B19" s="579">
        <f>货币资金!B21</f>
        <v/>
      </c>
      <c r="C19" s="579">
        <f>货币资金!C21</f>
        <v/>
      </c>
      <c r="D19" s="261" t="n"/>
      <c r="E19" s="261" t="n"/>
      <c r="F19" s="261" t="n"/>
      <c r="G19" s="261" t="n"/>
      <c r="H19" s="261" t="n"/>
      <c r="I19" s="261" t="n"/>
      <c r="J19" s="261" t="n"/>
      <c r="K19" s="261" t="n"/>
      <c r="L19" s="261" t="n"/>
      <c r="M19" s="261" t="n"/>
      <c r="N19" s="261" t="n"/>
    </row>
    <row r="20">
      <c r="A20" s="360" t="n">
        <v>4</v>
      </c>
      <c r="B20" s="579">
        <f>货币资金!B22</f>
        <v/>
      </c>
      <c r="C20" s="579">
        <f>货币资金!C22</f>
        <v/>
      </c>
      <c r="D20" s="261" t="n"/>
      <c r="E20" s="261" t="n"/>
      <c r="F20" s="261" t="n"/>
      <c r="G20" s="261" t="n"/>
      <c r="H20" s="261" t="n"/>
      <c r="I20" s="261" t="n"/>
      <c r="J20" s="261" t="n"/>
      <c r="K20" s="261" t="n"/>
      <c r="L20" s="261" t="n"/>
      <c r="M20" s="261" t="n"/>
      <c r="N20" s="261" t="n"/>
    </row>
    <row r="21">
      <c r="A21" s="360" t="n">
        <v>5</v>
      </c>
      <c r="B21" s="579">
        <f>货币资金!B23</f>
        <v/>
      </c>
      <c r="C21" s="579">
        <f>货币资金!C23</f>
        <v/>
      </c>
      <c r="D21" s="261" t="n"/>
      <c r="E21" s="261" t="n"/>
      <c r="F21" s="261" t="n"/>
      <c r="G21" s="261" t="n"/>
      <c r="H21" s="261" t="n"/>
      <c r="I21" s="261" t="n"/>
      <c r="J21" s="261" t="n"/>
      <c r="K21" s="261" t="n"/>
      <c r="L21" s="261" t="n"/>
      <c r="M21" s="261" t="n"/>
      <c r="N21" s="261" t="n"/>
    </row>
    <row r="22">
      <c r="A22" s="360" t="n">
        <v>6</v>
      </c>
      <c r="B22" s="579">
        <f>货币资金!B24</f>
        <v/>
      </c>
      <c r="C22" s="579">
        <f>货币资金!C24</f>
        <v/>
      </c>
      <c r="D22" s="261" t="n"/>
      <c r="E22" s="261" t="n"/>
      <c r="F22" s="261" t="n"/>
      <c r="G22" s="261" t="n"/>
      <c r="H22" s="261" t="n"/>
      <c r="I22" s="261" t="n"/>
      <c r="J22" s="261" t="n"/>
      <c r="K22" s="261" t="n"/>
      <c r="L22" s="261" t="n"/>
      <c r="M22" s="261" t="n"/>
      <c r="N22" s="261" t="n"/>
    </row>
    <row r="23">
      <c r="A23" s="360" t="n">
        <v>7</v>
      </c>
      <c r="B23" s="579">
        <f>货币资金!B25</f>
        <v/>
      </c>
      <c r="C23" s="579">
        <f>货币资金!C25</f>
        <v/>
      </c>
      <c r="D23" s="261" t="n"/>
      <c r="E23" s="261" t="n"/>
      <c r="F23" s="261" t="n"/>
      <c r="G23" s="261" t="n"/>
      <c r="H23" s="261" t="n"/>
      <c r="I23" s="261" t="n"/>
      <c r="J23" s="261" t="n"/>
      <c r="K23" s="261" t="n"/>
      <c r="L23" s="261" t="n"/>
      <c r="M23" s="261" t="n"/>
      <c r="N23" s="261" t="n"/>
    </row>
    <row r="24">
      <c r="A24" s="360" t="n">
        <v>8</v>
      </c>
      <c r="B24" s="579">
        <f>货币资金!B26</f>
        <v/>
      </c>
      <c r="C24" s="579">
        <f>货币资金!C26</f>
        <v/>
      </c>
      <c r="D24" s="261" t="n"/>
      <c r="E24" s="261" t="n"/>
      <c r="F24" s="261" t="n"/>
      <c r="G24" s="261" t="n"/>
      <c r="H24" s="261" t="n"/>
      <c r="I24" s="261" t="n"/>
      <c r="J24" s="261" t="n"/>
      <c r="K24" s="261" t="n"/>
      <c r="L24" s="261" t="n"/>
      <c r="M24" s="261" t="n"/>
      <c r="N24" s="261" t="n"/>
    </row>
    <row r="25">
      <c r="A25" s="360" t="n">
        <v>9</v>
      </c>
      <c r="B25" s="579">
        <f>货币资金!B27</f>
        <v/>
      </c>
      <c r="C25" s="579">
        <f>货币资金!C27</f>
        <v/>
      </c>
      <c r="D25" s="261" t="n"/>
      <c r="E25" s="261" t="n"/>
      <c r="F25" s="261" t="n"/>
      <c r="G25" s="261" t="n"/>
      <c r="H25" s="261" t="n"/>
      <c r="I25" s="261" t="n"/>
      <c r="J25" s="261" t="n"/>
      <c r="K25" s="261" t="n"/>
      <c r="L25" s="261" t="n"/>
      <c r="M25" s="261" t="n"/>
      <c r="N25" s="261" t="n"/>
    </row>
    <row r="26">
      <c r="A26" s="360" t="n">
        <v>10</v>
      </c>
      <c r="B26" s="579">
        <f>货币资金!B28</f>
        <v/>
      </c>
      <c r="C26" s="579">
        <f>货币资金!C28</f>
        <v/>
      </c>
      <c r="D26" s="261" t="n"/>
      <c r="E26" s="261" t="n"/>
      <c r="F26" s="261" t="n"/>
      <c r="G26" s="261" t="n"/>
      <c r="H26" s="261" t="n"/>
      <c r="I26" s="261" t="n"/>
      <c r="J26" s="261" t="n"/>
      <c r="K26" s="261" t="n"/>
      <c r="L26" s="261" t="n"/>
      <c r="M26" s="261" t="n"/>
      <c r="N26" s="261" t="n"/>
    </row>
    <row r="27">
      <c r="A27" s="360" t="n">
        <v>11</v>
      </c>
      <c r="B27" s="579">
        <f>货币资金!B29</f>
        <v/>
      </c>
      <c r="C27" s="579">
        <f>货币资金!C29</f>
        <v/>
      </c>
      <c r="D27" s="261" t="n"/>
      <c r="E27" s="261" t="n"/>
      <c r="F27" s="261" t="n"/>
      <c r="G27" s="261" t="n"/>
      <c r="H27" s="261" t="n"/>
      <c r="I27" s="261" t="n"/>
      <c r="J27" s="261" t="n"/>
      <c r="K27" s="261" t="n"/>
      <c r="L27" s="261" t="n"/>
      <c r="M27" s="261" t="n"/>
      <c r="N27" s="261" t="n"/>
    </row>
    <row r="28">
      <c r="A28" s="360" t="n">
        <v>12</v>
      </c>
      <c r="B28" s="579">
        <f>货币资金!B30</f>
        <v/>
      </c>
      <c r="C28" s="579">
        <f>货币资金!C30</f>
        <v/>
      </c>
      <c r="D28" s="261" t="n"/>
      <c r="E28" s="261" t="n"/>
      <c r="F28" s="261" t="n"/>
      <c r="G28" s="261" t="n"/>
      <c r="H28" s="261" t="n"/>
      <c r="I28" s="261" t="n"/>
      <c r="J28" s="261" t="n"/>
      <c r="K28" s="261" t="n"/>
      <c r="L28" s="261" t="n"/>
      <c r="M28" s="261" t="n"/>
      <c r="N28" s="261" t="n"/>
    </row>
    <row r="30" ht="15" customHeight="1" s="559">
      <c r="A30" s="487" t="inlineStr">
        <is>
          <t>审计说明：</t>
        </is>
      </c>
      <c r="B30" s="488" t="n"/>
      <c r="C30" s="489" t="n"/>
      <c r="D30" s="489" t="n"/>
      <c r="E30" s="488" t="n"/>
      <c r="F30" s="488" t="n"/>
      <c r="G30" s="488" t="n"/>
      <c r="H30" s="488" t="n"/>
      <c r="I30" s="488" t="n"/>
      <c r="J30" s="488" t="n"/>
      <c r="K30" s="488" t="n"/>
      <c r="L30" s="488" t="n"/>
      <c r="M30" s="488" t="n"/>
    </row>
    <row r="31">
      <c r="A31" s="490" t="inlineStr">
        <is>
          <t>1、被审计单位未提供但开户信息上存在的银行账户情况：</t>
        </is>
      </c>
      <c r="B31" s="491" t="n"/>
      <c r="C31" s="405" t="n"/>
      <c r="D31" s="405" t="n"/>
      <c r="E31" s="492" t="n"/>
      <c r="F31" s="492" t="n"/>
      <c r="G31" s="492" t="n"/>
      <c r="H31" s="492" t="n"/>
      <c r="I31" s="492" t="n"/>
      <c r="J31" s="492" t="n"/>
      <c r="K31" s="492" t="n"/>
      <c r="L31" s="492" t="n"/>
      <c r="M31" s="492" t="n"/>
    </row>
    <row r="32" ht="16" customHeight="1" s="559">
      <c r="A32" s="482" t="inlineStr">
        <is>
          <t>序号</t>
        </is>
      </c>
      <c r="B32" s="37" t="inlineStr">
        <is>
          <t>开户银行</t>
        </is>
      </c>
      <c r="C32" s="482" t="inlineStr">
        <is>
          <t>银行账号</t>
        </is>
      </c>
      <c r="D32" s="478" t="inlineStr">
        <is>
          <t>币种</t>
        </is>
      </c>
      <c r="E32" s="478" t="inlineStr">
        <is>
          <t>账户性质</t>
        </is>
      </c>
      <c r="F32" s="478" t="inlineStr">
        <is>
          <t>账户状态</t>
        </is>
      </c>
      <c r="G32" s="482" t="inlineStr">
        <is>
          <t>处理意见及依据</t>
        </is>
      </c>
      <c r="H32" s="562" t="n"/>
      <c r="I32" s="562" t="n"/>
      <c r="J32" s="562" t="n"/>
      <c r="K32" s="562" t="n"/>
      <c r="L32" s="562" t="n"/>
      <c r="M32" s="563" t="n"/>
    </row>
    <row r="33" ht="17" customHeight="1" s="559">
      <c r="A33" s="544" t="n">
        <v>1</v>
      </c>
      <c r="B33" s="542" t="n"/>
      <c r="C33" s="497" t="n"/>
      <c r="D33" s="498" t="n"/>
      <c r="E33" s="499" t="n"/>
      <c r="F33" s="500" t="n"/>
      <c r="G33" s="580" t="n"/>
      <c r="H33" s="562" t="n"/>
      <c r="I33" s="562" t="n"/>
      <c r="J33" s="562" t="n"/>
      <c r="K33" s="562" t="n"/>
      <c r="L33" s="562" t="n"/>
      <c r="M33" s="563" t="n"/>
    </row>
    <row r="35" ht="12" customFormat="1" customHeight="1" s="456">
      <c r="A35" s="504" t="inlineStr">
        <is>
          <t>2、被审计单位账户清单上存在但开户信息上不存在的银行账户情况：</t>
        </is>
      </c>
    </row>
    <row r="38" ht="16" customFormat="1" customHeight="1" s="456">
      <c r="A38" s="504" t="inlineStr">
        <is>
          <t>3、开户银行截图：</t>
        </is>
      </c>
    </row>
  </sheetData>
  <mergeCells count="8">
    <mergeCell ref="B4:F4"/>
    <mergeCell ref="M4:M5"/>
    <mergeCell ref="A4:A5"/>
    <mergeCell ref="N4:N5"/>
    <mergeCell ref="G4:L4"/>
    <mergeCell ref="G32:M32"/>
    <mergeCell ref="G33:M33"/>
    <mergeCell ref="A1:N1"/>
  </mergeCells>
  <dataValidations count="1">
    <dataValidation sqref="G6:J16 G30:L30" showDropDown="0" showInputMessage="1" showErrorMessage="1" allowBlank="1" type="list">
      <formula1>"√,×"</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codeName="Sheet7">
    <outlinePr summaryBelow="1" summaryRight="1"/>
    <pageSetUpPr/>
  </sheetPr>
  <dimension ref="A1:M24"/>
  <sheetViews>
    <sheetView zoomScale="90" zoomScaleNormal="90" workbookViewId="0">
      <pane ySplit="6" topLeftCell="A7" activePane="bottomLeft" state="frozen"/>
      <selection activeCell="A1" sqref="A1"/>
      <selection pane="bottomLeft" activeCell="B16" sqref="B16"/>
    </sheetView>
  </sheetViews>
  <sheetFormatPr baseColWidth="8" defaultColWidth="8.731481481481479" defaultRowHeight="14.4"/>
  <cols>
    <col width="7.37037037037037" customWidth="1" style="559" min="1" max="1"/>
    <col width="14.3333333333333" customWidth="1" style="559" min="2" max="2"/>
    <col width="16.4537037037037" customWidth="1" style="559" min="3" max="4"/>
    <col width="12.3611111111111" customWidth="1" style="559" min="5" max="9"/>
    <col width="12.7314814814815" customWidth="1" style="559" min="10" max="10"/>
    <col width="15.1851851851852" customWidth="1" style="559" min="11" max="11"/>
    <col width="14.9074074074074" customWidth="1" style="559" min="12" max="12"/>
    <col width="18.7314814814815" customWidth="1" style="559" min="13" max="13"/>
  </cols>
  <sheetData>
    <row r="1" ht="20.4" customHeight="1" s="559">
      <c r="A1" s="1" t="inlineStr">
        <is>
          <t>库存商品明细表</t>
        </is>
      </c>
    </row>
    <row r="2" ht="16" customHeight="1" s="559">
      <c r="A2" s="2">
        <f>备忘录!$A$1</f>
        <v/>
      </c>
      <c r="B2" s="456" t="n"/>
      <c r="C2" s="456" t="n"/>
      <c r="D2" s="456" t="n"/>
      <c r="E2" s="456" t="n"/>
      <c r="F2" s="456" t="inlineStr">
        <is>
          <t>编制人：刘喜琴</t>
        </is>
      </c>
      <c r="G2" s="456" t="n"/>
      <c r="H2" s="456" t="n"/>
      <c r="I2" s="456">
        <f>备忘录!$C$2</f>
        <v/>
      </c>
      <c r="J2" s="504" t="n"/>
      <c r="K2" s="456" t="n"/>
      <c r="L2" s="456" t="n"/>
    </row>
    <row r="3" ht="16" customHeight="1" s="559">
      <c r="A3" s="2">
        <f>备忘录!$A$2</f>
        <v/>
      </c>
      <c r="B3" s="456" t="n"/>
      <c r="C3" s="456" t="n"/>
      <c r="D3" s="456" t="n"/>
      <c r="E3" s="456" t="n"/>
      <c r="F3" s="456" t="inlineStr">
        <is>
          <t>复核人：赵玮</t>
        </is>
      </c>
      <c r="G3" s="456" t="n"/>
      <c r="H3" s="456" t="n"/>
      <c r="I3" s="456">
        <f>备忘录!$C$3</f>
        <v/>
      </c>
      <c r="J3" s="456" t="n"/>
      <c r="K3" s="456" t="n"/>
      <c r="L3" s="456" t="n"/>
    </row>
    <row r="4" ht="19" customHeight="1" s="559">
      <c r="A4" s="567" t="inlineStr">
        <is>
          <t>序号</t>
        </is>
      </c>
      <c r="B4" s="567" t="inlineStr">
        <is>
          <t>科目名称</t>
        </is>
      </c>
      <c r="C4" s="567" t="inlineStr">
        <is>
          <t>核算项目1</t>
        </is>
      </c>
      <c r="D4" s="567" t="inlineStr">
        <is>
          <t>核算项目2</t>
        </is>
      </c>
      <c r="E4" s="89" t="inlineStr">
        <is>
          <t>账面数据</t>
        </is>
      </c>
      <c r="F4" s="562" t="n"/>
      <c r="G4" s="562" t="n"/>
      <c r="H4" s="562" t="n"/>
      <c r="I4" s="562" t="n"/>
      <c r="J4" s="563" t="n"/>
      <c r="K4" s="465" t="inlineStr">
        <is>
          <t>审计调整</t>
        </is>
      </c>
      <c r="L4" s="465" t="inlineStr">
        <is>
          <t>期末审定数</t>
        </is>
      </c>
      <c r="M4" s="465" t="inlineStr">
        <is>
          <t>备注</t>
        </is>
      </c>
    </row>
    <row r="5" ht="19" customHeight="1" s="559">
      <c r="A5" s="560" t="n"/>
      <c r="B5" s="560" t="n"/>
      <c r="C5" s="560" t="n"/>
      <c r="D5" s="560" t="n"/>
      <c r="E5" s="568" t="inlineStr">
        <is>
          <t>期初金额</t>
        </is>
      </c>
      <c r="F5" s="568" t="inlineStr">
        <is>
          <t>本期借方</t>
        </is>
      </c>
      <c r="G5" s="568" t="inlineStr">
        <is>
          <t>本期贷方</t>
        </is>
      </c>
      <c r="H5" s="568" t="inlineStr">
        <is>
          <t>期末金额</t>
        </is>
      </c>
      <c r="I5" s="581" t="inlineStr">
        <is>
          <t>企业调整</t>
        </is>
      </c>
      <c r="J5" s="581" t="inlineStr">
        <is>
          <t>期末报表列报</t>
        </is>
      </c>
      <c r="K5" s="560" t="n"/>
      <c r="L5" s="560" t="n"/>
      <c r="M5" s="560" t="n"/>
    </row>
    <row r="6" ht="18" customHeight="1" s="559">
      <c r="A6" s="468" t="inlineStr">
        <is>
          <t>一、外购库存商品</t>
        </is>
      </c>
      <c r="B6" s="287" t="n"/>
      <c r="C6" s="287" t="n"/>
      <c r="D6" s="287" t="n"/>
      <c r="E6" s="287" t="n"/>
      <c r="F6" s="287" t="n"/>
      <c r="G6" s="287" t="n"/>
      <c r="H6" s="287" t="n"/>
      <c r="I6" s="287" t="n"/>
      <c r="J6" s="287" t="n"/>
      <c r="K6" s="287" t="n"/>
      <c r="L6" s="287" t="n"/>
      <c r="M6" s="261" t="n"/>
    </row>
    <row r="7">
      <c r="A7" s="360" t="n">
        <v>1</v>
      </c>
      <c r="B7" s="267" t="inlineStr">
        <is>
          <t>库存商品_直充</t>
        </is>
      </c>
      <c r="C7" s="80" t="n"/>
      <c r="D7" s="80" t="n"/>
      <c r="E7" s="582" t="n"/>
      <c r="F7" s="582" t="n"/>
      <c r="G7" s="582" t="n"/>
      <c r="H7" s="583">
        <f>E7+F7-G7</f>
        <v/>
      </c>
      <c r="I7" s="582" t="n"/>
      <c r="J7" s="583">
        <f>H7+I7</f>
        <v/>
      </c>
      <c r="K7" s="582" t="n"/>
      <c r="L7" s="583">
        <f>J7+K7</f>
        <v/>
      </c>
      <c r="M7" s="80" t="n"/>
    </row>
    <row r="8">
      <c r="A8" s="360" t="n">
        <v>2</v>
      </c>
      <c r="B8" s="267" t="inlineStr">
        <is>
          <t>库存商品_卡密</t>
        </is>
      </c>
      <c r="C8" s="80" t="n"/>
      <c r="D8" s="80" t="n"/>
      <c r="E8" s="582" t="n"/>
      <c r="F8" s="582" t="n"/>
      <c r="G8" s="582" t="n"/>
      <c r="H8" s="583">
        <f>E8+F8-G8</f>
        <v/>
      </c>
      <c r="I8" s="582" t="n"/>
      <c r="J8" s="583">
        <f>H8+I8</f>
        <v/>
      </c>
      <c r="K8" s="582" t="n"/>
      <c r="L8" s="583">
        <f>J8+K8</f>
        <v/>
      </c>
      <c r="M8" s="80" t="n"/>
    </row>
    <row r="9">
      <c r="A9" s="360" t="n">
        <v>3</v>
      </c>
      <c r="B9" s="360" t="n"/>
      <c r="C9" s="80" t="n"/>
      <c r="D9" s="80" t="n"/>
      <c r="E9" s="582" t="n"/>
      <c r="F9" s="582" t="n"/>
      <c r="G9" s="582" t="n"/>
      <c r="H9" s="583">
        <f>E9+F9-G9</f>
        <v/>
      </c>
      <c r="I9" s="582" t="n"/>
      <c r="J9" s="583">
        <f>H9+I9</f>
        <v/>
      </c>
      <c r="K9" s="582" t="n"/>
      <c r="L9" s="583">
        <f>J9+K9</f>
        <v/>
      </c>
      <c r="M9" s="80" t="n"/>
    </row>
    <row r="10">
      <c r="A10" s="360" t="n">
        <v>4</v>
      </c>
      <c r="B10" s="360" t="n"/>
      <c r="C10" s="80" t="n"/>
      <c r="D10" s="80" t="n"/>
      <c r="E10" s="582" t="n"/>
      <c r="F10" s="582" t="n"/>
      <c r="G10" s="582" t="n"/>
      <c r="H10" s="583">
        <f>E10+F10-G10</f>
        <v/>
      </c>
      <c r="I10" s="582" t="n"/>
      <c r="J10" s="583">
        <f>H10+I10</f>
        <v/>
      </c>
      <c r="K10" s="582" t="n"/>
      <c r="L10" s="583">
        <f>J10+K10</f>
        <v/>
      </c>
      <c r="M10" s="80" t="n"/>
    </row>
    <row r="11">
      <c r="A11" s="360" t="n">
        <v>5</v>
      </c>
      <c r="B11" s="360" t="n"/>
      <c r="C11" s="80" t="n"/>
      <c r="D11" s="80" t="n"/>
      <c r="E11" s="582" t="n"/>
      <c r="F11" s="582" t="n"/>
      <c r="G11" s="582" t="n"/>
      <c r="H11" s="583">
        <f>E11+F11-G11</f>
        <v/>
      </c>
      <c r="I11" s="582" t="n"/>
      <c r="J11" s="583">
        <f>H11+I11</f>
        <v/>
      </c>
      <c r="K11" s="582" t="n"/>
      <c r="L11" s="583">
        <f>J11+K11</f>
        <v/>
      </c>
      <c r="M11" s="80" t="n"/>
    </row>
    <row r="12">
      <c r="A12" s="360" t="n">
        <v>6</v>
      </c>
      <c r="B12" s="360" t="n"/>
      <c r="C12" s="80" t="n"/>
      <c r="D12" s="80" t="n"/>
      <c r="E12" s="582" t="n"/>
      <c r="F12" s="582" t="n"/>
      <c r="G12" s="582" t="n"/>
      <c r="H12" s="583">
        <f>E12+F12-G12</f>
        <v/>
      </c>
      <c r="I12" s="582" t="n"/>
      <c r="J12" s="583">
        <f>H12+I12</f>
        <v/>
      </c>
      <c r="K12" s="582" t="n"/>
      <c r="L12" s="583">
        <f>J12+K12</f>
        <v/>
      </c>
      <c r="M12" s="80" t="n"/>
    </row>
    <row r="13">
      <c r="A13" s="360" t="n">
        <v>7</v>
      </c>
      <c r="B13" s="360" t="n"/>
      <c r="C13" s="80" t="n"/>
      <c r="D13" s="80" t="n"/>
      <c r="E13" s="582" t="n"/>
      <c r="F13" s="582" t="n"/>
      <c r="G13" s="582" t="n"/>
      <c r="H13" s="583">
        <f>E13+F13-G13</f>
        <v/>
      </c>
      <c r="I13" s="582" t="n"/>
      <c r="J13" s="583">
        <f>H13+I13</f>
        <v/>
      </c>
      <c r="K13" s="582" t="n"/>
      <c r="L13" s="583">
        <f>J13+K13</f>
        <v/>
      </c>
      <c r="M13" s="80" t="n"/>
    </row>
    <row r="14">
      <c r="A14" s="360" t="n">
        <v>8</v>
      </c>
      <c r="B14" s="360" t="n"/>
      <c r="C14" s="80" t="n"/>
      <c r="D14" s="80" t="n"/>
      <c r="E14" s="582" t="n"/>
      <c r="F14" s="582" t="n"/>
      <c r="G14" s="582" t="n"/>
      <c r="H14" s="583">
        <f>E14+F14-G14</f>
        <v/>
      </c>
      <c r="I14" s="582" t="n"/>
      <c r="J14" s="583">
        <f>H14+I14</f>
        <v/>
      </c>
      <c r="K14" s="582" t="n"/>
      <c r="L14" s="583">
        <f>J14+K14</f>
        <v/>
      </c>
      <c r="M14" s="80" t="n"/>
    </row>
    <row r="15">
      <c r="A15" s="360" t="n">
        <v>9</v>
      </c>
      <c r="B15" s="80" t="n"/>
      <c r="C15" s="80" t="n"/>
      <c r="D15" s="80" t="n"/>
      <c r="E15" s="582" t="n"/>
      <c r="F15" s="582" t="n"/>
      <c r="G15" s="582" t="n"/>
      <c r="H15" s="583">
        <f>E15+F15-G15</f>
        <v/>
      </c>
      <c r="I15" s="582" t="n"/>
      <c r="J15" s="583">
        <f>H15+I15</f>
        <v/>
      </c>
      <c r="K15" s="582" t="n"/>
      <c r="L15" s="583">
        <f>J15+K15</f>
        <v/>
      </c>
      <c r="M15" s="80" t="n"/>
    </row>
    <row r="16">
      <c r="A16" s="360" t="n">
        <v>10</v>
      </c>
      <c r="B16" s="80" t="n"/>
      <c r="C16" s="80" t="n"/>
      <c r="D16" s="80" t="n"/>
      <c r="E16" s="582" t="n"/>
      <c r="F16" s="582" t="n"/>
      <c r="G16" s="582" t="n"/>
      <c r="H16" s="583">
        <f>E16+F16-G16</f>
        <v/>
      </c>
      <c r="I16" s="582" t="n"/>
      <c r="J16" s="583">
        <f>H16+I16</f>
        <v/>
      </c>
      <c r="K16" s="582" t="n"/>
      <c r="L16" s="583">
        <f>J16+K16</f>
        <v/>
      </c>
      <c r="M16" s="80" t="n"/>
    </row>
    <row r="17">
      <c r="A17" s="360" t="n">
        <v>11</v>
      </c>
      <c r="B17" s="80" t="n"/>
      <c r="C17" s="80" t="n"/>
      <c r="D17" s="80" t="n"/>
      <c r="E17" s="582" t="n"/>
      <c r="F17" s="582" t="n"/>
      <c r="G17" s="582" t="n"/>
      <c r="H17" s="583">
        <f>E17+F17-G17</f>
        <v/>
      </c>
      <c r="I17" s="582" t="n"/>
      <c r="J17" s="583">
        <f>H17+I17</f>
        <v/>
      </c>
      <c r="K17" s="582" t="n"/>
      <c r="L17" s="583">
        <f>J17+K17</f>
        <v/>
      </c>
      <c r="M17" s="80" t="n"/>
    </row>
    <row r="18">
      <c r="A18" s="360" t="n">
        <v>12</v>
      </c>
      <c r="B18" s="80" t="n"/>
      <c r="C18" s="80" t="n"/>
      <c r="D18" s="80" t="n"/>
      <c r="E18" s="582" t="n"/>
      <c r="F18" s="582" t="n"/>
      <c r="G18" s="582" t="n"/>
      <c r="H18" s="583">
        <f>E18+F18-G18</f>
        <v/>
      </c>
      <c r="I18" s="582" t="n"/>
      <c r="J18" s="583">
        <f>H18+I18</f>
        <v/>
      </c>
      <c r="K18" s="582" t="n"/>
      <c r="L18" s="583">
        <f>J18+K18</f>
        <v/>
      </c>
      <c r="M18" s="80" t="n"/>
    </row>
    <row r="19">
      <c r="A19" s="360" t="n">
        <v>13</v>
      </c>
      <c r="B19" s="80" t="n"/>
      <c r="C19" s="80" t="n"/>
      <c r="D19" s="80" t="n"/>
      <c r="E19" s="582" t="n"/>
      <c r="F19" s="582" t="n"/>
      <c r="G19" s="582" t="n"/>
      <c r="H19" s="583">
        <f>E19+F19-G19</f>
        <v/>
      </c>
      <c r="I19" s="582" t="n"/>
      <c r="J19" s="583">
        <f>H19+I19</f>
        <v/>
      </c>
      <c r="K19" s="582" t="n"/>
      <c r="L19" s="583">
        <f>J19+K19</f>
        <v/>
      </c>
      <c r="M19" s="80" t="n"/>
    </row>
    <row r="20">
      <c r="A20" s="360" t="n">
        <v>14</v>
      </c>
      <c r="B20" s="80" t="n"/>
      <c r="C20" s="80" t="n"/>
      <c r="D20" s="80" t="n"/>
      <c r="E20" s="582" t="n"/>
      <c r="F20" s="582" t="n"/>
      <c r="G20" s="582" t="n"/>
      <c r="H20" s="583">
        <f>E20+F20-G20</f>
        <v/>
      </c>
      <c r="I20" s="582" t="n"/>
      <c r="J20" s="583">
        <f>H20+I20</f>
        <v/>
      </c>
      <c r="K20" s="582" t="n"/>
      <c r="L20" s="583">
        <f>J20+K20</f>
        <v/>
      </c>
      <c r="M20" s="80" t="n"/>
    </row>
    <row r="21">
      <c r="A21" s="360" t="n">
        <v>15</v>
      </c>
      <c r="B21" s="80" t="n"/>
      <c r="C21" s="80" t="n"/>
      <c r="D21" s="80" t="n"/>
      <c r="E21" s="582" t="n"/>
      <c r="F21" s="582" t="n"/>
      <c r="G21" s="582" t="n"/>
      <c r="H21" s="583">
        <f>E21+F21-G21</f>
        <v/>
      </c>
      <c r="I21" s="582" t="n"/>
      <c r="J21" s="583">
        <f>H21+I21</f>
        <v/>
      </c>
      <c r="K21" s="582" t="n"/>
      <c r="L21" s="583">
        <f>J21+K21</f>
        <v/>
      </c>
      <c r="M21" s="80" t="n"/>
    </row>
    <row r="22">
      <c r="A22" s="584" t="inlineStr">
        <is>
          <t>小计</t>
        </is>
      </c>
      <c r="B22" s="563" t="n"/>
      <c r="C22" s="454" t="n"/>
      <c r="D22" s="454" t="n"/>
      <c r="E22" s="583">
        <f>SUM(E7:E21)</f>
        <v/>
      </c>
      <c r="F22" s="583">
        <f>SUM(F7:F21)</f>
        <v/>
      </c>
      <c r="G22" s="583">
        <f>SUM(G7:G21)</f>
        <v/>
      </c>
      <c r="H22" s="583">
        <f>SUM(H7:H21)</f>
        <v/>
      </c>
      <c r="I22" s="583">
        <f>SUM(I7:I21)</f>
        <v/>
      </c>
      <c r="J22" s="583">
        <f>SUM(J7:J21)</f>
        <v/>
      </c>
      <c r="K22" s="583">
        <f>SUM(K7:K21)</f>
        <v/>
      </c>
      <c r="L22" s="583">
        <f>SUM(L7:L21)</f>
        <v/>
      </c>
      <c r="M22" s="454" t="n"/>
    </row>
    <row r="24" ht="19" customHeight="1" s="559">
      <c r="B24" s="570" t="inlineStr">
        <is>
          <t>审计说明：</t>
        </is>
      </c>
    </row>
    <row r="25" ht="19" customHeight="1" s="559"/>
    <row r="26" ht="19" customHeight="1" s="559"/>
    <row r="27" ht="19" customHeight="1" s="559"/>
  </sheetData>
  <mergeCells count="10">
    <mergeCell ref="M4:M5"/>
    <mergeCell ref="B4:B5"/>
    <mergeCell ref="C4:C5"/>
    <mergeCell ref="A4:A5"/>
    <mergeCell ref="D4:D5"/>
    <mergeCell ref="A1:L1"/>
    <mergeCell ref="K4:K5"/>
    <mergeCell ref="L4:L5"/>
    <mergeCell ref="E4:J4"/>
    <mergeCell ref="A22:B22"/>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I21"/>
  <sheetViews>
    <sheetView zoomScale="90" zoomScaleNormal="90" workbookViewId="0">
      <selection activeCell="B4" sqref="$A4:$XFD4"/>
    </sheetView>
  </sheetViews>
  <sheetFormatPr baseColWidth="8" defaultColWidth="8.731481481481479" defaultRowHeight="14.4"/>
  <cols>
    <col width="9.99074074074074" customWidth="1" style="455" min="1" max="1"/>
    <col width="15.25" customWidth="1" style="455" min="2" max="2"/>
    <col width="16.25" customWidth="1" style="455" min="3" max="3"/>
    <col width="11.4537037037037" customWidth="1" style="455" min="4" max="4"/>
    <col width="15.3611111111111" customWidth="1" style="455" min="5" max="5"/>
    <col width="13.5462962962963" customWidth="1" style="455" min="6" max="6"/>
    <col width="15.9074074074074" customWidth="1" style="455" min="7" max="7"/>
    <col width="12" customWidth="1" style="455" min="8" max="8"/>
    <col width="15.5462962962963" customWidth="1" style="455" min="9" max="9"/>
    <col width="8.731481481481479" customWidth="1" style="455" min="10" max="16384"/>
  </cols>
  <sheetData>
    <row r="1" ht="24" customHeight="1" s="559">
      <c r="A1" s="1" t="inlineStr">
        <is>
          <t>库存商品月发生额分析表</t>
        </is>
      </c>
    </row>
    <row r="2">
      <c r="A2" s="2">
        <f>备忘录!$A$1</f>
        <v/>
      </c>
      <c r="B2" s="456" t="n"/>
      <c r="C2" s="456" t="n"/>
      <c r="E2" s="456" t="inlineStr">
        <is>
          <t>编制人：刘喜琴</t>
        </is>
      </c>
      <c r="F2" s="456" t="n"/>
      <c r="G2" s="456" t="n"/>
      <c r="H2" s="456">
        <f>备忘录!$C$2</f>
        <v/>
      </c>
      <c r="I2" s="456" t="n"/>
    </row>
    <row r="3">
      <c r="A3" s="2">
        <f>备忘录!$A$2</f>
        <v/>
      </c>
      <c r="B3" s="456" t="n"/>
      <c r="C3" s="456" t="n"/>
      <c r="E3" s="456" t="inlineStr">
        <is>
          <t>复核人：赵玮</t>
        </is>
      </c>
      <c r="F3" s="456" t="n"/>
      <c r="G3" s="456" t="n"/>
      <c r="H3" s="456">
        <f>备忘录!$C$3</f>
        <v/>
      </c>
      <c r="I3" s="456" t="n"/>
    </row>
    <row r="4" ht="18" customHeight="1" s="559">
      <c r="A4" s="457" t="inlineStr">
        <is>
          <t>月份</t>
        </is>
      </c>
      <c r="B4" s="458" t="inlineStr">
        <is>
          <t>借方发生额合计</t>
        </is>
      </c>
      <c r="C4" s="458" t="n"/>
      <c r="D4" s="458" t="n"/>
      <c r="E4" s="458" t="inlineStr">
        <is>
          <t>贷方发生额</t>
        </is>
      </c>
      <c r="F4" s="458" t="n"/>
      <c r="G4" s="458" t="n"/>
      <c r="H4" s="458" t="n"/>
      <c r="I4" s="457" t="inlineStr">
        <is>
          <t>期末余额</t>
        </is>
      </c>
    </row>
    <row r="5" ht="20" customHeight="1" s="559">
      <c r="A5" s="560" t="n"/>
      <c r="B5" s="457" t="inlineStr">
        <is>
          <t>完工产品转入</t>
        </is>
      </c>
      <c r="C5" s="457" t="inlineStr">
        <is>
          <t>外购库存商品</t>
        </is>
      </c>
      <c r="D5" s="457" t="inlineStr">
        <is>
          <t>借方合计</t>
        </is>
      </c>
      <c r="E5" s="459" t="inlineStr">
        <is>
          <t>转入主营成本</t>
        </is>
      </c>
      <c r="F5" s="459" t="inlineStr">
        <is>
          <t>转入发出商品</t>
        </is>
      </c>
      <c r="G5" s="459" t="inlineStr">
        <is>
          <t>转入应收退货成本</t>
        </is>
      </c>
      <c r="H5" s="457" t="inlineStr">
        <is>
          <t>贷方小计</t>
        </is>
      </c>
      <c r="I5" s="560" t="n"/>
    </row>
    <row r="6" ht="16" customHeight="1" s="559">
      <c r="A6" s="459" t="inlineStr">
        <is>
          <t>期初余额</t>
        </is>
      </c>
      <c r="B6" s="415" t="n"/>
      <c r="C6" s="415" t="n"/>
      <c r="D6" s="457" t="n"/>
      <c r="E6" s="457" t="n"/>
      <c r="F6" s="457" t="n"/>
      <c r="G6" s="457" t="n"/>
      <c r="H6" s="457" t="n"/>
      <c r="I6" s="585" t="n"/>
    </row>
    <row r="7" ht="16" customHeight="1" s="559">
      <c r="A7" s="461" t="inlineStr">
        <is>
          <t>1月</t>
        </is>
      </c>
      <c r="B7" s="586" t="n"/>
      <c r="C7" s="586" t="n"/>
      <c r="D7" s="587">
        <f>SUM(B7:C7)</f>
        <v/>
      </c>
      <c r="E7" s="586" t="n"/>
      <c r="F7" s="586" t="n"/>
      <c r="G7" s="586" t="n"/>
      <c r="H7" s="587">
        <f>SUM(E7:G7)</f>
        <v/>
      </c>
      <c r="I7" s="587">
        <f>I6+D7-H7</f>
        <v/>
      </c>
    </row>
    <row r="8" ht="16" customHeight="1" s="559">
      <c r="A8" s="461" t="inlineStr">
        <is>
          <t>2月</t>
        </is>
      </c>
      <c r="B8" s="586" t="n"/>
      <c r="C8" s="586" t="n"/>
      <c r="D8" s="587">
        <f>SUM(B8:C8)</f>
        <v/>
      </c>
      <c r="E8" s="586" t="n"/>
      <c r="F8" s="586" t="n"/>
      <c r="G8" s="586" t="n"/>
      <c r="H8" s="587">
        <f>SUM(E8:G8)</f>
        <v/>
      </c>
      <c r="I8" s="587">
        <f>I7+D8-H8</f>
        <v/>
      </c>
    </row>
    <row r="9" ht="16" customHeight="1" s="559">
      <c r="A9" s="461" t="inlineStr">
        <is>
          <t>3月</t>
        </is>
      </c>
      <c r="B9" s="586" t="n"/>
      <c r="C9" s="586" t="n"/>
      <c r="D9" s="587">
        <f>SUM(B9:C9)</f>
        <v/>
      </c>
      <c r="E9" s="586" t="n"/>
      <c r="F9" s="586" t="n"/>
      <c r="G9" s="586" t="n"/>
      <c r="H9" s="587">
        <f>SUM(E9:G9)</f>
        <v/>
      </c>
      <c r="I9" s="587">
        <f>I8+D9-H9</f>
        <v/>
      </c>
    </row>
    <row r="10" ht="16" customHeight="1" s="559">
      <c r="A10" s="461" t="inlineStr">
        <is>
          <t>4月</t>
        </is>
      </c>
      <c r="B10" s="586" t="n"/>
      <c r="C10" s="586" t="n"/>
      <c r="D10" s="587">
        <f>SUM(B10:C10)</f>
        <v/>
      </c>
      <c r="E10" s="586" t="n"/>
      <c r="F10" s="586" t="n"/>
      <c r="G10" s="586" t="n"/>
      <c r="H10" s="587">
        <f>SUM(E10:G10)</f>
        <v/>
      </c>
      <c r="I10" s="587">
        <f>I9+D10-H10</f>
        <v/>
      </c>
    </row>
    <row r="11" ht="16" customHeight="1" s="559">
      <c r="A11" s="461" t="inlineStr">
        <is>
          <t>5月</t>
        </is>
      </c>
      <c r="B11" s="586" t="n"/>
      <c r="C11" s="586" t="n"/>
      <c r="D11" s="587">
        <f>SUM(B11:C11)</f>
        <v/>
      </c>
      <c r="E11" s="586" t="n"/>
      <c r="F11" s="586" t="n"/>
      <c r="G11" s="586" t="n"/>
      <c r="H11" s="587">
        <f>SUM(E11:G11)</f>
        <v/>
      </c>
      <c r="I11" s="587">
        <f>I10+D11-H11</f>
        <v/>
      </c>
    </row>
    <row r="12" ht="16" customHeight="1" s="559">
      <c r="A12" s="461" t="inlineStr">
        <is>
          <t>6月</t>
        </is>
      </c>
      <c r="B12" s="586" t="n"/>
      <c r="C12" s="586" t="n"/>
      <c r="D12" s="587">
        <f>SUM(B12:C12)</f>
        <v/>
      </c>
      <c r="E12" s="586" t="n"/>
      <c r="F12" s="586" t="n"/>
      <c r="G12" s="586" t="n"/>
      <c r="H12" s="587">
        <f>SUM(E12:G12)</f>
        <v/>
      </c>
      <c r="I12" s="587">
        <f>I11+D12-H12</f>
        <v/>
      </c>
    </row>
    <row r="13" ht="16" customHeight="1" s="559">
      <c r="A13" s="461" t="inlineStr">
        <is>
          <t>7月</t>
        </is>
      </c>
      <c r="B13" s="586" t="n"/>
      <c r="C13" s="586" t="n"/>
      <c r="D13" s="587">
        <f>SUM(B13:C13)</f>
        <v/>
      </c>
      <c r="E13" s="586" t="n"/>
      <c r="F13" s="586" t="n"/>
      <c r="G13" s="586" t="n"/>
      <c r="H13" s="587">
        <f>SUM(E13:G13)</f>
        <v/>
      </c>
      <c r="I13" s="587">
        <f>I12+D13-H13</f>
        <v/>
      </c>
    </row>
    <row r="14" ht="16" customHeight="1" s="559">
      <c r="A14" s="461" t="inlineStr">
        <is>
          <t>8月</t>
        </is>
      </c>
      <c r="B14" s="586" t="n"/>
      <c r="C14" s="586" t="n"/>
      <c r="D14" s="587">
        <f>SUM(B14:C14)</f>
        <v/>
      </c>
      <c r="E14" s="586" t="n"/>
      <c r="F14" s="586" t="n"/>
      <c r="G14" s="586" t="n"/>
      <c r="H14" s="587">
        <f>SUM(E14:G14)</f>
        <v/>
      </c>
      <c r="I14" s="587">
        <f>I13+D14-H14</f>
        <v/>
      </c>
    </row>
    <row r="15" ht="16" customHeight="1" s="559">
      <c r="A15" s="461" t="inlineStr">
        <is>
          <t>9月</t>
        </is>
      </c>
      <c r="B15" s="586" t="n"/>
      <c r="C15" s="586" t="n"/>
      <c r="D15" s="587">
        <f>SUM(B15:C15)</f>
        <v/>
      </c>
      <c r="E15" s="586" t="n"/>
      <c r="F15" s="586" t="n"/>
      <c r="G15" s="586" t="n"/>
      <c r="H15" s="587">
        <f>SUM(E15:G15)</f>
        <v/>
      </c>
      <c r="I15" s="587">
        <f>I14+D15-H15</f>
        <v/>
      </c>
    </row>
    <row r="16" ht="16" customHeight="1" s="559">
      <c r="A16" s="461" t="inlineStr">
        <is>
          <t>10月</t>
        </is>
      </c>
      <c r="B16" s="586" t="n"/>
      <c r="C16" s="586" t="n"/>
      <c r="D16" s="587">
        <f>SUM(B16:C16)</f>
        <v/>
      </c>
      <c r="E16" s="586" t="n"/>
      <c r="F16" s="586" t="n"/>
      <c r="G16" s="586" t="n"/>
      <c r="H16" s="587">
        <f>SUM(E16:G16)</f>
        <v/>
      </c>
      <c r="I16" s="587">
        <f>I15+D16-H16</f>
        <v/>
      </c>
    </row>
    <row r="17" ht="16" customHeight="1" s="559">
      <c r="A17" s="461" t="inlineStr">
        <is>
          <t>11月</t>
        </is>
      </c>
      <c r="B17" s="586" t="n"/>
      <c r="C17" s="586" t="n"/>
      <c r="D17" s="587">
        <f>SUM(B17:C17)</f>
        <v/>
      </c>
      <c r="E17" s="586" t="n"/>
      <c r="F17" s="586" t="n"/>
      <c r="G17" s="586" t="n"/>
      <c r="H17" s="587">
        <f>SUM(E17:G17)</f>
        <v/>
      </c>
      <c r="I17" s="587">
        <f>I16+D17-H17</f>
        <v/>
      </c>
    </row>
    <row r="18" ht="16" customHeight="1" s="559">
      <c r="A18" s="461" t="inlineStr">
        <is>
          <t>12月</t>
        </is>
      </c>
      <c r="B18" s="586" t="n"/>
      <c r="C18" s="586" t="n"/>
      <c r="D18" s="587">
        <f>SUM(B18:C18)</f>
        <v/>
      </c>
      <c r="E18" s="586" t="n"/>
      <c r="F18" s="586" t="n"/>
      <c r="G18" s="586" t="n"/>
      <c r="H18" s="587">
        <f>SUM(E18:G18)</f>
        <v/>
      </c>
      <c r="I18" s="587">
        <f>I17+D18-H18</f>
        <v/>
      </c>
    </row>
    <row r="19" ht="16" customHeight="1" s="559">
      <c r="A19" s="459" t="inlineStr">
        <is>
          <t>合计</t>
        </is>
      </c>
      <c r="B19" s="587">
        <f>SUM(B7:B18)</f>
        <v/>
      </c>
      <c r="C19" s="587">
        <f>SUM(C7:C18)</f>
        <v/>
      </c>
      <c r="D19" s="587">
        <f>SUM(D7:D18)</f>
        <v/>
      </c>
      <c r="E19" s="587">
        <f>SUM(E7:E18)</f>
        <v/>
      </c>
      <c r="F19" s="587">
        <f>SUM(F7:F18)</f>
        <v/>
      </c>
      <c r="G19" s="587">
        <f>SUM(G7:G18)</f>
        <v/>
      </c>
      <c r="H19" s="587">
        <f>SUM(H7:H18)</f>
        <v/>
      </c>
      <c r="I19" s="588" t="n"/>
    </row>
    <row r="21" ht="21" customHeight="1" s="559">
      <c r="B21" s="570" t="inlineStr">
        <is>
          <t>审计说明：</t>
        </is>
      </c>
    </row>
    <row r="22" ht="21" customHeight="1" s="559"/>
    <row r="23" ht="21" customHeight="1" s="559"/>
  </sheetData>
  <mergeCells count="3">
    <mergeCell ref="A1:I1"/>
    <mergeCell ref="A4:A5"/>
    <mergeCell ref="I4:I5"/>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AE37"/>
  <sheetViews>
    <sheetView workbookViewId="0">
      <pane ySplit="5" topLeftCell="A6" activePane="bottomLeft" state="frozen"/>
      <selection activeCell="A1" sqref="A1"/>
      <selection pane="bottomLeft" activeCell="J10" sqref="J10"/>
    </sheetView>
  </sheetViews>
  <sheetFormatPr baseColWidth="8" defaultColWidth="8.731481481481479" defaultRowHeight="14.4"/>
  <cols>
    <col width="8.81481481481481" customWidth="1" style="559" min="16" max="16"/>
    <col width="7.81481481481481" customWidth="1" style="559" min="21" max="26"/>
    <col width="13.3611111111111" customWidth="1" style="559" min="31" max="31"/>
  </cols>
  <sheetData>
    <row r="1" ht="20.4" customHeight="1" s="559">
      <c r="A1" s="1" t="inlineStr">
        <is>
          <t>固定资产、累计折旧、减值准备明细表</t>
        </is>
      </c>
    </row>
    <row r="2" ht="16" customHeight="1" s="559">
      <c r="A2" s="2">
        <f>备忘录!$A$1</f>
        <v/>
      </c>
      <c r="B2" s="456" t="n"/>
      <c r="C2" s="456" t="n"/>
      <c r="D2" s="456" t="n"/>
      <c r="J2" s="456" t="n"/>
      <c r="K2" s="456" t="n"/>
      <c r="M2" s="456" t="inlineStr">
        <is>
          <t>编制人：刘喜琴</t>
        </is>
      </c>
      <c r="N2" s="456" t="n"/>
      <c r="O2" s="456" t="n"/>
      <c r="Q2" s="504" t="n"/>
      <c r="V2" s="456">
        <f>备忘录!$C$2</f>
        <v/>
      </c>
    </row>
    <row r="3" ht="16" customHeight="1" s="559">
      <c r="A3" s="2">
        <f>备忘录!$A$2</f>
        <v/>
      </c>
      <c r="B3" s="456" t="n"/>
      <c r="C3" s="456" t="n"/>
      <c r="D3" s="456" t="n"/>
      <c r="J3" s="456" t="n"/>
      <c r="K3" s="456" t="n"/>
      <c r="M3" s="456" t="inlineStr">
        <is>
          <t>复核人：赵玮</t>
        </is>
      </c>
      <c r="N3" s="456" t="n"/>
      <c r="O3" s="456" t="n"/>
      <c r="Q3" s="456" t="n"/>
      <c r="V3" s="456">
        <f>备忘录!$C$3</f>
        <v/>
      </c>
    </row>
    <row r="4" ht="23" customHeight="1" s="559">
      <c r="A4" s="443" t="inlineStr">
        <is>
          <t xml:space="preserve">序号
</t>
        </is>
      </c>
      <c r="B4" s="443" t="inlineStr">
        <is>
          <t xml:space="preserve">资产名称
</t>
        </is>
      </c>
      <c r="C4" s="443" t="inlineStr">
        <is>
          <t>资产类别</t>
        </is>
      </c>
      <c r="D4" s="443" t="inlineStr">
        <is>
          <t>取得时间</t>
        </is>
      </c>
      <c r="E4" s="443" t="inlineStr">
        <is>
          <t>使用年限</t>
        </is>
      </c>
      <c r="F4" s="443" t="inlineStr">
        <is>
          <t>到期日</t>
        </is>
      </c>
      <c r="G4" s="443" t="inlineStr">
        <is>
          <t>计量单位</t>
        </is>
      </c>
      <c r="H4" s="443" t="inlineStr">
        <is>
          <t>期末
数量</t>
        </is>
      </c>
      <c r="I4" s="443" t="inlineStr">
        <is>
          <t>原值</t>
        </is>
      </c>
      <c r="J4" s="562" t="n"/>
      <c r="K4" s="562" t="n"/>
      <c r="L4" s="563" t="n"/>
      <c r="M4" s="444" t="inlineStr">
        <is>
          <t>累计折旧</t>
        </is>
      </c>
      <c r="N4" s="562" t="n"/>
      <c r="O4" s="562" t="n"/>
      <c r="P4" s="563" t="n"/>
      <c r="Q4" s="444" t="inlineStr">
        <is>
          <t>减值准备</t>
        </is>
      </c>
      <c r="R4" s="562" t="n"/>
      <c r="S4" s="562" t="n"/>
      <c r="T4" s="563" t="n"/>
      <c r="U4" s="445" t="inlineStr">
        <is>
          <t>原值调整</t>
        </is>
      </c>
      <c r="V4" s="562" t="n"/>
      <c r="W4" s="446" t="inlineStr">
        <is>
          <t>累计折旧调整</t>
        </is>
      </c>
      <c r="X4" s="562" t="n"/>
      <c r="Y4" s="447" t="inlineStr">
        <is>
          <t>减值准备调整</t>
        </is>
      </c>
      <c r="Z4" s="563" t="n"/>
      <c r="AA4" s="444" t="inlineStr">
        <is>
          <t>审定数</t>
        </is>
      </c>
      <c r="AB4" s="562" t="n"/>
      <c r="AC4" s="562" t="n"/>
      <c r="AD4" s="563" t="n"/>
      <c r="AE4" s="448" t="inlineStr">
        <is>
          <t>使用状态</t>
        </is>
      </c>
    </row>
    <row r="5" ht="21.6" customHeight="1" s="559">
      <c r="A5" s="560" t="n"/>
      <c r="B5" s="560" t="n"/>
      <c r="C5" s="560" t="n"/>
      <c r="D5" s="560" t="n"/>
      <c r="E5" s="560" t="n"/>
      <c r="F5" s="560" t="n"/>
      <c r="G5" s="560" t="n"/>
      <c r="H5" s="560" t="n"/>
      <c r="I5" s="443" t="inlineStr">
        <is>
          <t>期初原值</t>
        </is>
      </c>
      <c r="J5" s="443" t="inlineStr">
        <is>
          <t>本期增加</t>
        </is>
      </c>
      <c r="K5" s="443" t="inlineStr">
        <is>
          <t>本期减少</t>
        </is>
      </c>
      <c r="L5" s="443" t="inlineStr">
        <is>
          <t>期末原值</t>
        </is>
      </c>
      <c r="M5" s="443" t="inlineStr">
        <is>
          <t>期初累计折旧</t>
        </is>
      </c>
      <c r="N5" s="443" t="inlineStr">
        <is>
          <t>本期增加</t>
        </is>
      </c>
      <c r="O5" s="443" t="inlineStr">
        <is>
          <t>本期减少</t>
        </is>
      </c>
      <c r="P5" s="443" t="inlineStr">
        <is>
          <t>期末累计折旧</t>
        </is>
      </c>
      <c r="Q5" s="443" t="inlineStr">
        <is>
          <t>期初减值准备</t>
        </is>
      </c>
      <c r="R5" s="443" t="inlineStr">
        <is>
          <t>本期增加</t>
        </is>
      </c>
      <c r="S5" s="443" t="inlineStr">
        <is>
          <t>本期减少</t>
        </is>
      </c>
      <c r="T5" s="443" t="inlineStr">
        <is>
          <t>期末减值准备</t>
        </is>
      </c>
      <c r="U5" s="444" t="inlineStr">
        <is>
          <t>本期增加</t>
        </is>
      </c>
      <c r="V5" s="444" t="inlineStr">
        <is>
          <t>本期减少</t>
        </is>
      </c>
      <c r="W5" s="444" t="inlineStr">
        <is>
          <t>本期增加</t>
        </is>
      </c>
      <c r="X5" s="444" t="inlineStr">
        <is>
          <t>本期减少</t>
        </is>
      </c>
      <c r="Y5" s="444" t="inlineStr">
        <is>
          <t>本期增加</t>
        </is>
      </c>
      <c r="Z5" s="444" t="inlineStr">
        <is>
          <t>本期减少</t>
        </is>
      </c>
      <c r="AA5" s="444" t="inlineStr">
        <is>
          <t>原值</t>
        </is>
      </c>
      <c r="AB5" s="444" t="inlineStr">
        <is>
          <t>累计折旧</t>
        </is>
      </c>
      <c r="AC5" s="444" t="inlineStr">
        <is>
          <t>减值准备</t>
        </is>
      </c>
      <c r="AD5" s="444" t="inlineStr">
        <is>
          <t>净值</t>
        </is>
      </c>
      <c r="AE5" s="560" t="n"/>
    </row>
    <row r="6">
      <c r="A6" s="360" t="n">
        <v>1</v>
      </c>
      <c r="B6" s="261" t="n"/>
      <c r="C6" s="261" t="n"/>
      <c r="D6" s="261" t="n"/>
      <c r="E6" s="261" t="n"/>
      <c r="F6" s="433">
        <f>IF(D6="",0,IF(DAY(D6)=1,IF(D6=0,0,DATE(YEAR(D6),MONTH(D6)+E6*12,DAY(D6))),IF(D6=0,0,DATE(YEAR(D6),MONTH(D6)+E6*12,DAY(D6)-1))))</f>
        <v/>
      </c>
      <c r="G6" s="80" t="n"/>
      <c r="H6" s="80" t="n"/>
      <c r="I6" s="80" t="n"/>
      <c r="J6" s="80" t="n"/>
      <c r="K6" s="80" t="n"/>
      <c r="L6" s="589">
        <f>I6+J6-K6</f>
        <v/>
      </c>
      <c r="M6" s="590" t="n"/>
      <c r="N6" s="591" t="n"/>
      <c r="O6" s="592" t="n"/>
      <c r="P6" s="593">
        <f>M6+N6-O6</f>
        <v/>
      </c>
      <c r="Q6" s="80" t="n"/>
      <c r="R6" s="80" t="n"/>
      <c r="S6" s="80" t="n"/>
      <c r="T6" s="593">
        <f>Q6+R6-S6</f>
        <v/>
      </c>
      <c r="U6" s="80" t="n"/>
      <c r="V6" s="80" t="n"/>
      <c r="W6" s="80" t="n"/>
      <c r="X6" s="80" t="n"/>
      <c r="Y6" s="80" t="n"/>
      <c r="Z6" s="80" t="n"/>
      <c r="AA6" s="593">
        <f>L6+U6-V6</f>
        <v/>
      </c>
      <c r="AB6" s="593">
        <f>P6+W6-X6</f>
        <v/>
      </c>
      <c r="AC6" s="593">
        <f>T6+Y6-Z6</f>
        <v/>
      </c>
      <c r="AD6" s="593">
        <f>ROUND(AA6-AB6-AC6,2)</f>
        <v/>
      </c>
      <c r="AE6" s="261" t="n"/>
    </row>
    <row r="7">
      <c r="A7" s="360" t="n">
        <v>2</v>
      </c>
      <c r="B7" s="261" t="n"/>
      <c r="C7" s="261" t="n"/>
      <c r="D7" s="261" t="n"/>
      <c r="E7" s="261" t="n"/>
      <c r="F7" s="433">
        <f>IF(D7="",0,IF(DAY(D7)=1,IF(D7=0,0,DATE(YEAR(D7),MONTH(D7)+E7*12,DAY(D7))),IF(D7=0,0,DATE(YEAR(D7),MONTH(D7)+E7*12,DAY(D7)-1))))</f>
        <v/>
      </c>
      <c r="G7" s="80" t="n"/>
      <c r="H7" s="80" t="n"/>
      <c r="I7" s="80" t="n"/>
      <c r="J7" s="80" t="n"/>
      <c r="K7" s="80" t="n"/>
      <c r="L7" s="589">
        <f>I7+J7-K7</f>
        <v/>
      </c>
      <c r="M7" s="590" t="n"/>
      <c r="N7" s="591" t="n"/>
      <c r="O7" s="592" t="n"/>
      <c r="P7" s="593">
        <f>M7+N7-O7</f>
        <v/>
      </c>
      <c r="Q7" s="80" t="n"/>
      <c r="R7" s="80" t="n"/>
      <c r="S7" s="80" t="n"/>
      <c r="T7" s="593">
        <f>Q7+R7-S7</f>
        <v/>
      </c>
      <c r="U7" s="80" t="n"/>
      <c r="V7" s="80" t="n"/>
      <c r="W7" s="80" t="n"/>
      <c r="X7" s="80" t="n"/>
      <c r="Y7" s="80" t="n"/>
      <c r="Z7" s="80" t="n"/>
      <c r="AA7" s="593">
        <f>L7+U7-V7</f>
        <v/>
      </c>
      <c r="AB7" s="593">
        <f>P7+W7-X7</f>
        <v/>
      </c>
      <c r="AC7" s="593">
        <f>T7+Y7-Z7</f>
        <v/>
      </c>
      <c r="AD7" s="593">
        <f>ROUND(AA7-AB7-AC7,2)</f>
        <v/>
      </c>
      <c r="AE7" s="261" t="n"/>
    </row>
    <row r="8">
      <c r="A8" s="360" t="n">
        <v>3</v>
      </c>
      <c r="B8" s="261" t="n"/>
      <c r="C8" s="261" t="n"/>
      <c r="D8" s="261" t="n"/>
      <c r="E8" s="261" t="n"/>
      <c r="F8" s="433">
        <f>IF(D8="",0,IF(DAY(D8)=1,IF(D8=0,0,DATE(YEAR(D8),MONTH(D8)+E8*12,DAY(D8))),IF(D8=0,0,DATE(YEAR(D8),MONTH(D8)+E8*12,DAY(D8)-1))))</f>
        <v/>
      </c>
      <c r="G8" s="80" t="n"/>
      <c r="H8" s="80" t="n"/>
      <c r="I8" s="80" t="n"/>
      <c r="J8" s="80" t="n"/>
      <c r="K8" s="80" t="n"/>
      <c r="L8" s="589">
        <f>I8+J8-K8</f>
        <v/>
      </c>
      <c r="M8" s="590" t="n"/>
      <c r="N8" s="591" t="n"/>
      <c r="O8" s="592" t="n"/>
      <c r="P8" s="593">
        <f>M8+N8-O8</f>
        <v/>
      </c>
      <c r="Q8" s="80" t="n"/>
      <c r="R8" s="80" t="n"/>
      <c r="S8" s="80" t="n"/>
      <c r="T8" s="593">
        <f>Q8+R8-S8</f>
        <v/>
      </c>
      <c r="U8" s="80" t="n"/>
      <c r="V8" s="80" t="n"/>
      <c r="W8" s="80" t="n"/>
      <c r="X8" s="80" t="n"/>
      <c r="Y8" s="80" t="n"/>
      <c r="Z8" s="80" t="n"/>
      <c r="AA8" s="593">
        <f>L8+U8-V8</f>
        <v/>
      </c>
      <c r="AB8" s="593">
        <f>P8+W8-X8</f>
        <v/>
      </c>
      <c r="AC8" s="593">
        <f>T8+Y8-Z8</f>
        <v/>
      </c>
      <c r="AD8" s="593">
        <f>ROUND(AA8-AB8-AC8,2)</f>
        <v/>
      </c>
      <c r="AE8" s="261" t="n"/>
    </row>
    <row r="9">
      <c r="A9" s="360" t="n">
        <v>4</v>
      </c>
      <c r="B9" s="261" t="n"/>
      <c r="C9" s="261" t="n"/>
      <c r="D9" s="261" t="n"/>
      <c r="E9" s="261" t="n"/>
      <c r="F9" s="433">
        <f>IF(D9="",0,IF(DAY(D9)=1,IF(D9=0,0,DATE(YEAR(D9),MONTH(D9)+E9*12,DAY(D9))),IF(D9=0,0,DATE(YEAR(D9),MONTH(D9)+E9*12,DAY(D9)-1))))</f>
        <v/>
      </c>
      <c r="G9" s="80" t="n"/>
      <c r="H9" s="80" t="n"/>
      <c r="I9" s="80" t="n"/>
      <c r="J9" s="80" t="n"/>
      <c r="K9" s="80" t="n"/>
      <c r="L9" s="589">
        <f>I9+J9-K9</f>
        <v/>
      </c>
      <c r="M9" s="590" t="n"/>
      <c r="N9" s="591" t="n"/>
      <c r="O9" s="592" t="n"/>
      <c r="P9" s="593">
        <f>M9+N9-O9</f>
        <v/>
      </c>
      <c r="Q9" s="80" t="n"/>
      <c r="R9" s="80" t="n"/>
      <c r="S9" s="80" t="n"/>
      <c r="T9" s="593">
        <f>Q9+R9-S9</f>
        <v/>
      </c>
      <c r="U9" s="80" t="n"/>
      <c r="V9" s="80" t="n"/>
      <c r="W9" s="80" t="n"/>
      <c r="X9" s="80" t="n"/>
      <c r="Y9" s="80" t="n"/>
      <c r="Z9" s="80" t="n"/>
      <c r="AA9" s="593">
        <f>L9+U9-V9</f>
        <v/>
      </c>
      <c r="AB9" s="593">
        <f>P9+W9-X9</f>
        <v/>
      </c>
      <c r="AC9" s="593">
        <f>T9+Y9-Z9</f>
        <v/>
      </c>
      <c r="AD9" s="593">
        <f>ROUND(AA9-AB9-AC9,2)</f>
        <v/>
      </c>
      <c r="AE9" s="261" t="n"/>
    </row>
    <row r="10">
      <c r="A10" s="360" t="n">
        <v>5</v>
      </c>
      <c r="B10" s="261" t="n"/>
      <c r="C10" s="261" t="n"/>
      <c r="D10" s="261" t="n"/>
      <c r="E10" s="261" t="n"/>
      <c r="F10" s="433">
        <f>IF(D10="",0,IF(DAY(D10)=1,IF(D10=0,0,DATE(YEAR(D10),MONTH(D10)+E10*12,DAY(D10))),IF(D10=0,0,DATE(YEAR(D10),MONTH(D10)+E10*12,DAY(D10)-1))))</f>
        <v/>
      </c>
      <c r="G10" s="80" t="n"/>
      <c r="H10" s="80" t="n"/>
      <c r="I10" s="80" t="n"/>
      <c r="J10" s="80" t="n"/>
      <c r="K10" s="80" t="n"/>
      <c r="L10" s="589">
        <f>I10+J10-K10</f>
        <v/>
      </c>
      <c r="M10" s="590" t="n"/>
      <c r="N10" s="591" t="n"/>
      <c r="O10" s="592" t="n"/>
      <c r="P10" s="593">
        <f>M10+N10-O10</f>
        <v/>
      </c>
      <c r="Q10" s="80" t="n"/>
      <c r="R10" s="80" t="n"/>
      <c r="S10" s="80" t="n"/>
      <c r="T10" s="593">
        <f>Q10+R10-S10</f>
        <v/>
      </c>
      <c r="U10" s="80" t="n"/>
      <c r="V10" s="80" t="n"/>
      <c r="W10" s="80" t="n"/>
      <c r="X10" s="80" t="n"/>
      <c r="Y10" s="80" t="n"/>
      <c r="Z10" s="80" t="n"/>
      <c r="AA10" s="593">
        <f>L10+U10-V10</f>
        <v/>
      </c>
      <c r="AB10" s="593">
        <f>P10+W10-X10</f>
        <v/>
      </c>
      <c r="AC10" s="593">
        <f>T10+Y10-Z10</f>
        <v/>
      </c>
      <c r="AD10" s="593">
        <f>ROUND(AA10-AB10-AC10,2)</f>
        <v/>
      </c>
      <c r="AE10" s="261" t="n"/>
    </row>
    <row r="11">
      <c r="A11" s="360" t="n">
        <v>6</v>
      </c>
      <c r="B11" s="261" t="n"/>
      <c r="C11" s="261" t="n"/>
      <c r="D11" s="261" t="n"/>
      <c r="E11" s="261" t="n"/>
      <c r="F11" s="433">
        <f>IF(D11="",0,IF(DAY(D11)=1,IF(D11=0,0,DATE(YEAR(D11),MONTH(D11)+E11*12,DAY(D11))),IF(D11=0,0,DATE(YEAR(D11),MONTH(D11)+E11*12,DAY(D11)-1))))</f>
        <v/>
      </c>
      <c r="G11" s="80" t="n"/>
      <c r="H11" s="80" t="n"/>
      <c r="I11" s="80" t="n"/>
      <c r="J11" s="80" t="n"/>
      <c r="K11" s="80" t="n"/>
      <c r="L11" s="589">
        <f>I11+J11-K11</f>
        <v/>
      </c>
      <c r="M11" s="590" t="n"/>
      <c r="N11" s="591" t="n"/>
      <c r="O11" s="592" t="n"/>
      <c r="P11" s="593">
        <f>M11+N11-O11</f>
        <v/>
      </c>
      <c r="Q11" s="80" t="n"/>
      <c r="R11" s="80" t="n"/>
      <c r="S11" s="80" t="n"/>
      <c r="T11" s="593">
        <f>Q11+R11-S11</f>
        <v/>
      </c>
      <c r="U11" s="80" t="n"/>
      <c r="V11" s="80" t="n"/>
      <c r="W11" s="80" t="n"/>
      <c r="X11" s="80" t="n"/>
      <c r="Y11" s="80" t="n"/>
      <c r="Z11" s="80" t="n"/>
      <c r="AA11" s="593">
        <f>L11+U11-V11</f>
        <v/>
      </c>
      <c r="AB11" s="593">
        <f>P11+W11-X11</f>
        <v/>
      </c>
      <c r="AC11" s="593">
        <f>T11+Y11-Z11</f>
        <v/>
      </c>
      <c r="AD11" s="593">
        <f>ROUND(AA11-AB11-AC11,2)</f>
        <v/>
      </c>
      <c r="AE11" s="261" t="n"/>
    </row>
    <row r="12">
      <c r="A12" s="360" t="n">
        <v>7</v>
      </c>
      <c r="B12" s="261" t="n"/>
      <c r="C12" s="261" t="n"/>
      <c r="D12" s="261" t="n"/>
      <c r="E12" s="261" t="n"/>
      <c r="F12" s="433">
        <f>IF(D12="",0,IF(DAY(D12)=1,IF(D12=0,0,DATE(YEAR(D12),MONTH(D12)+E12*12,DAY(D12))),IF(D12=0,0,DATE(YEAR(D12),MONTH(D12)+E12*12,DAY(D12)-1))))</f>
        <v/>
      </c>
      <c r="G12" s="80" t="n"/>
      <c r="H12" s="80" t="n"/>
      <c r="I12" s="80" t="n"/>
      <c r="J12" s="80" t="n"/>
      <c r="K12" s="80" t="n"/>
      <c r="L12" s="589">
        <f>I12+J12-K12</f>
        <v/>
      </c>
      <c r="M12" s="590" t="n"/>
      <c r="N12" s="591" t="n"/>
      <c r="O12" s="592" t="n"/>
      <c r="P12" s="593">
        <f>M12+N12-O12</f>
        <v/>
      </c>
      <c r="Q12" s="80" t="n"/>
      <c r="R12" s="80" t="n"/>
      <c r="S12" s="80" t="n"/>
      <c r="T12" s="593">
        <f>Q12+R12-S12</f>
        <v/>
      </c>
      <c r="U12" s="80" t="n"/>
      <c r="V12" s="80" t="n"/>
      <c r="W12" s="80" t="n"/>
      <c r="X12" s="80" t="n"/>
      <c r="Y12" s="80" t="n"/>
      <c r="Z12" s="80" t="n"/>
      <c r="AA12" s="593">
        <f>L12+U12-V12</f>
        <v/>
      </c>
      <c r="AB12" s="593">
        <f>P12+W12-X12</f>
        <v/>
      </c>
      <c r="AC12" s="593">
        <f>T12+Y12-Z12</f>
        <v/>
      </c>
      <c r="AD12" s="593">
        <f>ROUND(AA12-AB12-AC12,2)</f>
        <v/>
      </c>
      <c r="AE12" s="261" t="n"/>
    </row>
    <row r="13">
      <c r="A13" s="360" t="n">
        <v>8</v>
      </c>
      <c r="B13" s="261" t="n"/>
      <c r="C13" s="261" t="n"/>
      <c r="D13" s="261" t="n"/>
      <c r="E13" s="261" t="n"/>
      <c r="F13" s="433">
        <f>IF(D13="",0,IF(DAY(D13)=1,IF(D13=0,0,DATE(YEAR(D13),MONTH(D13)+E13*12,DAY(D13))),IF(D13=0,0,DATE(YEAR(D13),MONTH(D13)+E13*12,DAY(D13)-1))))</f>
        <v/>
      </c>
      <c r="G13" s="80" t="n"/>
      <c r="H13" s="80" t="n"/>
      <c r="I13" s="80" t="n"/>
      <c r="J13" s="80" t="n"/>
      <c r="K13" s="80" t="n"/>
      <c r="L13" s="589">
        <f>I13+J13-K13</f>
        <v/>
      </c>
      <c r="M13" s="590" t="n"/>
      <c r="N13" s="591" t="n"/>
      <c r="O13" s="592" t="n"/>
      <c r="P13" s="593">
        <f>M13+N13-O13</f>
        <v/>
      </c>
      <c r="Q13" s="80" t="n"/>
      <c r="R13" s="80" t="n"/>
      <c r="S13" s="80" t="n"/>
      <c r="T13" s="593">
        <f>Q13+R13-S13</f>
        <v/>
      </c>
      <c r="U13" s="80" t="n"/>
      <c r="V13" s="80" t="n"/>
      <c r="W13" s="80" t="n"/>
      <c r="X13" s="80" t="n"/>
      <c r="Y13" s="80" t="n"/>
      <c r="Z13" s="80" t="n"/>
      <c r="AA13" s="593">
        <f>L13+U13-V13</f>
        <v/>
      </c>
      <c r="AB13" s="593">
        <f>P13+W13-X13</f>
        <v/>
      </c>
      <c r="AC13" s="593">
        <f>T13+Y13-Z13</f>
        <v/>
      </c>
      <c r="AD13" s="593">
        <f>ROUND(AA13-AB13-AC13,2)</f>
        <v/>
      </c>
      <c r="AE13" s="261" t="n"/>
    </row>
    <row r="14">
      <c r="A14" s="360" t="n">
        <v>9</v>
      </c>
      <c r="B14" s="261" t="n"/>
      <c r="C14" s="261" t="n"/>
      <c r="D14" s="261" t="n"/>
      <c r="E14" s="261" t="n"/>
      <c r="F14" s="433">
        <f>IF(D14="",0,IF(DAY(D14)=1,IF(D14=0,0,DATE(YEAR(D14),MONTH(D14)+E14*12,DAY(D14))),IF(D14=0,0,DATE(YEAR(D14),MONTH(D14)+E14*12,DAY(D14)-1))))</f>
        <v/>
      </c>
      <c r="G14" s="80" t="n"/>
      <c r="H14" s="80" t="n"/>
      <c r="I14" s="80" t="n"/>
      <c r="J14" s="80" t="n"/>
      <c r="K14" s="80" t="n"/>
      <c r="L14" s="589">
        <f>I14+J14-K14</f>
        <v/>
      </c>
      <c r="M14" s="590" t="n"/>
      <c r="N14" s="591" t="n"/>
      <c r="O14" s="592" t="n"/>
      <c r="P14" s="593">
        <f>M14+N14-O14</f>
        <v/>
      </c>
      <c r="Q14" s="80" t="n"/>
      <c r="R14" s="80" t="n"/>
      <c r="S14" s="80" t="n"/>
      <c r="T14" s="593">
        <f>Q14+R14-S14</f>
        <v/>
      </c>
      <c r="U14" s="80" t="n"/>
      <c r="V14" s="80" t="n"/>
      <c r="W14" s="80" t="n"/>
      <c r="X14" s="80" t="n"/>
      <c r="Y14" s="80" t="n"/>
      <c r="Z14" s="80" t="n"/>
      <c r="AA14" s="593">
        <f>L14+U14-V14</f>
        <v/>
      </c>
      <c r="AB14" s="593">
        <f>P14+W14-X14</f>
        <v/>
      </c>
      <c r="AC14" s="593">
        <f>T14+Y14-Z14</f>
        <v/>
      </c>
      <c r="AD14" s="593">
        <f>ROUND(AA14-AB14-AC14,2)</f>
        <v/>
      </c>
      <c r="AE14" s="261" t="n"/>
    </row>
    <row r="15">
      <c r="A15" s="360" t="n">
        <v>10</v>
      </c>
      <c r="B15" s="261" t="n"/>
      <c r="C15" s="261" t="n"/>
      <c r="D15" s="261" t="n"/>
      <c r="E15" s="261" t="n"/>
      <c r="F15" s="433">
        <f>IF(D15="",0,IF(DAY(D15)=1,IF(D15=0,0,DATE(YEAR(D15),MONTH(D15)+E15*12,DAY(D15))),IF(D15=0,0,DATE(YEAR(D15),MONTH(D15)+E15*12,DAY(D15)-1))))</f>
        <v/>
      </c>
      <c r="G15" s="80" t="n"/>
      <c r="H15" s="80" t="n"/>
      <c r="I15" s="80" t="n"/>
      <c r="J15" s="80" t="n"/>
      <c r="K15" s="80" t="n"/>
      <c r="L15" s="589">
        <f>I15+J15-K15</f>
        <v/>
      </c>
      <c r="M15" s="590" t="n"/>
      <c r="N15" s="591" t="n"/>
      <c r="O15" s="592" t="n"/>
      <c r="P15" s="593">
        <f>M15+N15-O15</f>
        <v/>
      </c>
      <c r="Q15" s="80" t="n"/>
      <c r="R15" s="80" t="n"/>
      <c r="S15" s="80" t="n"/>
      <c r="T15" s="593">
        <f>Q15+R15-S15</f>
        <v/>
      </c>
      <c r="U15" s="80" t="n"/>
      <c r="V15" s="80" t="n"/>
      <c r="W15" s="80" t="n"/>
      <c r="X15" s="80" t="n"/>
      <c r="Y15" s="80" t="n"/>
      <c r="Z15" s="80" t="n"/>
      <c r="AA15" s="593">
        <f>L15+U15-V15</f>
        <v/>
      </c>
      <c r="AB15" s="593">
        <f>P15+W15-X15</f>
        <v/>
      </c>
      <c r="AC15" s="593">
        <f>T15+Y15-Z15</f>
        <v/>
      </c>
      <c r="AD15" s="593">
        <f>ROUND(AA15-AB15-AC15,2)</f>
        <v/>
      </c>
      <c r="AE15" s="261" t="n"/>
    </row>
    <row r="16">
      <c r="A16" s="360" t="n">
        <v>11</v>
      </c>
      <c r="B16" s="261" t="n"/>
      <c r="C16" s="261" t="n"/>
      <c r="D16" s="261" t="n"/>
      <c r="E16" s="261" t="n"/>
      <c r="F16" s="433">
        <f>IF(D16="",0,IF(DAY(D16)=1,IF(D16=0,0,DATE(YEAR(D16),MONTH(D16)+E16*12,DAY(D16))),IF(D16=0,0,DATE(YEAR(D16),MONTH(D16)+E16*12,DAY(D16)-1))))</f>
        <v/>
      </c>
      <c r="G16" s="80" t="n"/>
      <c r="H16" s="80" t="n"/>
      <c r="I16" s="80" t="n"/>
      <c r="J16" s="80" t="n"/>
      <c r="K16" s="80" t="n"/>
      <c r="L16" s="589">
        <f>I16+J16-K16</f>
        <v/>
      </c>
      <c r="M16" s="590" t="n"/>
      <c r="N16" s="591" t="n"/>
      <c r="O16" s="592" t="n"/>
      <c r="P16" s="593">
        <f>M16+N16-O16</f>
        <v/>
      </c>
      <c r="Q16" s="80" t="n"/>
      <c r="R16" s="80" t="n"/>
      <c r="S16" s="80" t="n"/>
      <c r="T16" s="593">
        <f>Q16+R16-S16</f>
        <v/>
      </c>
      <c r="U16" s="80" t="n"/>
      <c r="V16" s="80" t="n"/>
      <c r="W16" s="80" t="n"/>
      <c r="X16" s="80" t="n"/>
      <c r="Y16" s="80" t="n"/>
      <c r="Z16" s="80" t="n"/>
      <c r="AA16" s="593">
        <f>L16+U16-V16</f>
        <v/>
      </c>
      <c r="AB16" s="593">
        <f>P16+W16-X16</f>
        <v/>
      </c>
      <c r="AC16" s="593">
        <f>T16+Y16-Z16</f>
        <v/>
      </c>
      <c r="AD16" s="593">
        <f>ROUND(AA16-AB16-AC16,2)</f>
        <v/>
      </c>
      <c r="AE16" s="261" t="n"/>
    </row>
    <row r="17">
      <c r="A17" s="360" t="n">
        <v>12</v>
      </c>
      <c r="B17" s="261" t="n"/>
      <c r="C17" s="261" t="n"/>
      <c r="D17" s="261" t="n"/>
      <c r="E17" s="261" t="n"/>
      <c r="F17" s="433">
        <f>IF(D17="",0,IF(DAY(D17)=1,IF(D17=0,0,DATE(YEAR(D17),MONTH(D17)+E17*12,DAY(D17))),IF(D17=0,0,DATE(YEAR(D17),MONTH(D17)+E17*12,DAY(D17)-1))))</f>
        <v/>
      </c>
      <c r="G17" s="80" t="n"/>
      <c r="H17" s="80" t="n"/>
      <c r="I17" s="80" t="n"/>
      <c r="J17" s="80" t="n"/>
      <c r="K17" s="80" t="n"/>
      <c r="L17" s="589">
        <f>I17+J17-K17</f>
        <v/>
      </c>
      <c r="M17" s="590" t="n"/>
      <c r="N17" s="591" t="n"/>
      <c r="O17" s="592" t="n"/>
      <c r="P17" s="593">
        <f>M17+N17-O17</f>
        <v/>
      </c>
      <c r="Q17" s="80" t="n"/>
      <c r="R17" s="80" t="n"/>
      <c r="S17" s="80" t="n"/>
      <c r="T17" s="593">
        <f>Q17+R17-S17</f>
        <v/>
      </c>
      <c r="U17" s="80" t="n"/>
      <c r="V17" s="80" t="n"/>
      <c r="W17" s="80" t="n"/>
      <c r="X17" s="80" t="n"/>
      <c r="Y17" s="80" t="n"/>
      <c r="Z17" s="80" t="n"/>
      <c r="AA17" s="593">
        <f>L17+U17-V17</f>
        <v/>
      </c>
      <c r="AB17" s="593">
        <f>P17+W17-X17</f>
        <v/>
      </c>
      <c r="AC17" s="593">
        <f>T17+Y17-Z17</f>
        <v/>
      </c>
      <c r="AD17" s="593">
        <f>ROUND(AA17-AB17-AC17,2)</f>
        <v/>
      </c>
      <c r="AE17" s="261" t="n"/>
    </row>
    <row r="18">
      <c r="A18" s="360" t="n">
        <v>13</v>
      </c>
      <c r="B18" s="261" t="n"/>
      <c r="C18" s="261" t="n"/>
      <c r="D18" s="261" t="n"/>
      <c r="E18" s="261" t="n"/>
      <c r="F18" s="433">
        <f>IF(D18="",0,IF(DAY(D18)=1,IF(D18=0,0,DATE(YEAR(D18),MONTH(D18)+E18*12,DAY(D18))),IF(D18=0,0,DATE(YEAR(D18),MONTH(D18)+E18*12,DAY(D18)-1))))</f>
        <v/>
      </c>
      <c r="G18" s="80" t="n"/>
      <c r="H18" s="80" t="n"/>
      <c r="I18" s="80" t="n"/>
      <c r="J18" s="80" t="n"/>
      <c r="K18" s="80" t="n"/>
      <c r="L18" s="589">
        <f>I18+J18-K18</f>
        <v/>
      </c>
      <c r="M18" s="590" t="n"/>
      <c r="N18" s="591" t="n"/>
      <c r="O18" s="592" t="n"/>
      <c r="P18" s="593">
        <f>M18+N18-O18</f>
        <v/>
      </c>
      <c r="Q18" s="80" t="n"/>
      <c r="R18" s="80" t="n"/>
      <c r="S18" s="80" t="n"/>
      <c r="T18" s="593">
        <f>Q18+R18-S18</f>
        <v/>
      </c>
      <c r="U18" s="80" t="n"/>
      <c r="V18" s="80" t="n"/>
      <c r="W18" s="80" t="n"/>
      <c r="X18" s="80" t="n"/>
      <c r="Y18" s="80" t="n"/>
      <c r="Z18" s="80" t="n"/>
      <c r="AA18" s="593">
        <f>L18+U18-V18</f>
        <v/>
      </c>
      <c r="AB18" s="593">
        <f>P18+W18-X18</f>
        <v/>
      </c>
      <c r="AC18" s="593">
        <f>T18+Y18-Z18</f>
        <v/>
      </c>
      <c r="AD18" s="593">
        <f>ROUND(AA18-AB18-AC18,2)</f>
        <v/>
      </c>
      <c r="AE18" s="261" t="n"/>
    </row>
    <row r="19">
      <c r="A19" s="360" t="n">
        <v>14</v>
      </c>
      <c r="B19" s="261" t="n"/>
      <c r="C19" s="261" t="n"/>
      <c r="D19" s="261" t="n"/>
      <c r="E19" s="261" t="n"/>
      <c r="F19" s="433">
        <f>IF(D19="",0,IF(DAY(D19)=1,IF(D19=0,0,DATE(YEAR(D19),MONTH(D19)+E19*12,DAY(D19))),IF(D19=0,0,DATE(YEAR(D19),MONTH(D19)+E19*12,DAY(D19)-1))))</f>
        <v/>
      </c>
      <c r="G19" s="80" t="n"/>
      <c r="H19" s="80" t="n"/>
      <c r="I19" s="80" t="n"/>
      <c r="J19" s="80" t="n"/>
      <c r="K19" s="80" t="n"/>
      <c r="L19" s="589">
        <f>I19+J19-K19</f>
        <v/>
      </c>
      <c r="M19" s="590" t="n"/>
      <c r="N19" s="591" t="n"/>
      <c r="O19" s="592" t="n"/>
      <c r="P19" s="593">
        <f>M19+N19-O19</f>
        <v/>
      </c>
      <c r="Q19" s="80" t="n"/>
      <c r="R19" s="80" t="n"/>
      <c r="S19" s="80" t="n"/>
      <c r="T19" s="593">
        <f>Q19+R19-S19</f>
        <v/>
      </c>
      <c r="U19" s="80" t="n"/>
      <c r="V19" s="80" t="n"/>
      <c r="W19" s="80" t="n"/>
      <c r="X19" s="80" t="n"/>
      <c r="Y19" s="80" t="n"/>
      <c r="Z19" s="80" t="n"/>
      <c r="AA19" s="593">
        <f>L19+U19-V19</f>
        <v/>
      </c>
      <c r="AB19" s="593">
        <f>P19+W19-X19</f>
        <v/>
      </c>
      <c r="AC19" s="593">
        <f>T19+Y19-Z19</f>
        <v/>
      </c>
      <c r="AD19" s="593">
        <f>ROUND(AA19-AB19-AC19,2)</f>
        <v/>
      </c>
      <c r="AE19" s="261" t="n"/>
    </row>
    <row r="20">
      <c r="A20" s="360" t="n">
        <v>15</v>
      </c>
      <c r="B20" s="261" t="n"/>
      <c r="C20" s="261" t="n"/>
      <c r="D20" s="261" t="n"/>
      <c r="E20" s="261" t="n"/>
      <c r="F20" s="433">
        <f>IF(D20="",0,IF(DAY(D20)=1,IF(D20=0,0,DATE(YEAR(D20),MONTH(D20)+E20*12,DAY(D20))),IF(D20=0,0,DATE(YEAR(D20),MONTH(D20)+E20*12,DAY(D20)-1))))</f>
        <v/>
      </c>
      <c r="G20" s="80" t="n"/>
      <c r="H20" s="80" t="n"/>
      <c r="I20" s="80" t="n"/>
      <c r="J20" s="80" t="n"/>
      <c r="K20" s="80" t="n"/>
      <c r="L20" s="589">
        <f>I20+J20-K20</f>
        <v/>
      </c>
      <c r="M20" s="590" t="n"/>
      <c r="N20" s="591" t="n"/>
      <c r="O20" s="592" t="n"/>
      <c r="P20" s="593">
        <f>M20+N20-O20</f>
        <v/>
      </c>
      <c r="Q20" s="80" t="n"/>
      <c r="R20" s="80" t="n"/>
      <c r="S20" s="80" t="n"/>
      <c r="T20" s="593">
        <f>Q20+R20-S20</f>
        <v/>
      </c>
      <c r="U20" s="80" t="n"/>
      <c r="V20" s="80" t="n"/>
      <c r="W20" s="80" t="n"/>
      <c r="X20" s="80" t="n"/>
      <c r="Y20" s="80" t="n"/>
      <c r="Z20" s="80" t="n"/>
      <c r="AA20" s="593">
        <f>L20+U20-V20</f>
        <v/>
      </c>
      <c r="AB20" s="593">
        <f>P20+W20-X20</f>
        <v/>
      </c>
      <c r="AC20" s="593">
        <f>T20+Y20-Z20</f>
        <v/>
      </c>
      <c r="AD20" s="593">
        <f>ROUND(AA20-AB20-AC20,2)</f>
        <v/>
      </c>
      <c r="AE20" s="261" t="n"/>
    </row>
    <row r="21">
      <c r="A21" s="360" t="n">
        <v>16</v>
      </c>
      <c r="B21" s="261" t="n"/>
      <c r="C21" s="261" t="n"/>
      <c r="D21" s="451" t="n"/>
      <c r="E21" s="594" t="n"/>
      <c r="F21" s="433">
        <f>IF(D21="",0,IF(DAY(D21)=1,IF(D21=0,0,DATE(YEAR(D21),MONTH(D21)+E21*12,DAY(D21))),IF(D21=0,0,DATE(YEAR(D21),MONTH(D21)+E21*12,DAY(D21)-1))))</f>
        <v/>
      </c>
      <c r="G21" s="80" t="n"/>
      <c r="H21" s="80" t="n"/>
      <c r="I21" s="80" t="n"/>
      <c r="J21" s="80" t="n"/>
      <c r="K21" s="80" t="n"/>
      <c r="L21" s="589">
        <f>I21+J21-K21</f>
        <v/>
      </c>
      <c r="M21" s="590" t="n"/>
      <c r="N21" s="591" t="n"/>
      <c r="O21" s="592" t="n"/>
      <c r="P21" s="593">
        <f>M21+N21-O21</f>
        <v/>
      </c>
      <c r="Q21" s="80" t="n"/>
      <c r="R21" s="80" t="n"/>
      <c r="S21" s="80" t="n"/>
      <c r="T21" s="593">
        <f>Q21+R21-S21</f>
        <v/>
      </c>
      <c r="U21" s="80" t="n"/>
      <c r="V21" s="80" t="n"/>
      <c r="W21" s="80" t="n"/>
      <c r="X21" s="80" t="n"/>
      <c r="Y21" s="80" t="n"/>
      <c r="Z21" s="80" t="n"/>
      <c r="AA21" s="593">
        <f>L21+U21-V21</f>
        <v/>
      </c>
      <c r="AB21" s="593">
        <f>P21+W21-X21</f>
        <v/>
      </c>
      <c r="AC21" s="593">
        <f>T21+Y21-Z21</f>
        <v/>
      </c>
      <c r="AD21" s="593">
        <f>ROUND(AA21-AB21-AC21,2)</f>
        <v/>
      </c>
      <c r="AE21" s="261" t="n"/>
    </row>
    <row r="22">
      <c r="A22" s="360" t="n">
        <v>17</v>
      </c>
      <c r="B22" s="261" t="n"/>
      <c r="C22" s="261" t="n"/>
      <c r="D22" s="261" t="n"/>
      <c r="E22" s="261" t="n"/>
      <c r="F22" s="433">
        <f>IF(D22="",0,IF(DAY(D22)=1,IF(D22=0,0,DATE(YEAR(D22),MONTH(D22)+E22*12,DAY(D22))),IF(D22=0,0,DATE(YEAR(D22),MONTH(D22)+E22*12,DAY(D22)-1))))</f>
        <v/>
      </c>
      <c r="G22" s="80" t="n"/>
      <c r="H22" s="80" t="n"/>
      <c r="I22" s="80" t="n"/>
      <c r="J22" s="80" t="n"/>
      <c r="K22" s="80" t="n"/>
      <c r="L22" s="589">
        <f>I22+J22-K22</f>
        <v/>
      </c>
      <c r="M22" s="590" t="n"/>
      <c r="N22" s="591" t="n"/>
      <c r="O22" s="592" t="n"/>
      <c r="P22" s="593">
        <f>M22+N22-O22</f>
        <v/>
      </c>
      <c r="Q22" s="80" t="n"/>
      <c r="R22" s="80" t="n"/>
      <c r="S22" s="80" t="n"/>
      <c r="T22" s="593">
        <f>Q22+R22-S22</f>
        <v/>
      </c>
      <c r="U22" s="80" t="n"/>
      <c r="V22" s="80" t="n"/>
      <c r="W22" s="80" t="n"/>
      <c r="X22" s="80" t="n"/>
      <c r="Y22" s="80" t="n"/>
      <c r="Z22" s="80" t="n"/>
      <c r="AA22" s="593">
        <f>L22+U22-V22</f>
        <v/>
      </c>
      <c r="AB22" s="593">
        <f>P22+W22-X22</f>
        <v/>
      </c>
      <c r="AC22" s="593">
        <f>T22+Y22-Z22</f>
        <v/>
      </c>
      <c r="AD22" s="593">
        <f>ROUND(AA22-AB22-AC22,2)</f>
        <v/>
      </c>
      <c r="AE22" s="261" t="n"/>
    </row>
    <row r="23">
      <c r="A23" s="360" t="n">
        <v>18</v>
      </c>
      <c r="B23" s="261" t="n"/>
      <c r="C23" s="261" t="n"/>
      <c r="D23" s="261" t="n"/>
      <c r="E23" s="261" t="n"/>
      <c r="F23" s="433">
        <f>IF(D23="",0,IF(DAY(D23)=1,IF(D23=0,0,DATE(YEAR(D23),MONTH(D23)+E23*12,DAY(D23))),IF(D23=0,0,DATE(YEAR(D23),MONTH(D23)+E23*12,DAY(D23)-1))))</f>
        <v/>
      </c>
      <c r="G23" s="80" t="n"/>
      <c r="H23" s="80" t="n"/>
      <c r="I23" s="80" t="n"/>
      <c r="J23" s="80" t="n"/>
      <c r="K23" s="80" t="n"/>
      <c r="L23" s="589">
        <f>I23+J23-K23</f>
        <v/>
      </c>
      <c r="M23" s="590" t="n"/>
      <c r="N23" s="591" t="n"/>
      <c r="O23" s="592" t="n"/>
      <c r="P23" s="593">
        <f>M23+N23-O23</f>
        <v/>
      </c>
      <c r="Q23" s="80" t="n"/>
      <c r="R23" s="80" t="n"/>
      <c r="S23" s="80" t="n"/>
      <c r="T23" s="593">
        <f>Q23+R23-S23</f>
        <v/>
      </c>
      <c r="U23" s="80" t="n"/>
      <c r="V23" s="80" t="n"/>
      <c r="W23" s="80" t="n"/>
      <c r="X23" s="80" t="n"/>
      <c r="Y23" s="80" t="n"/>
      <c r="Z23" s="80" t="n"/>
      <c r="AA23" s="593">
        <f>L23+U23-V23</f>
        <v/>
      </c>
      <c r="AB23" s="593">
        <f>P23+W23-X23</f>
        <v/>
      </c>
      <c r="AC23" s="593">
        <f>T23+Y23-Z23</f>
        <v/>
      </c>
      <c r="AD23" s="593">
        <f>ROUND(AA23-AB23-AC23,2)</f>
        <v/>
      </c>
      <c r="AE23" s="261" t="n"/>
    </row>
    <row r="24">
      <c r="A24" s="360" t="n">
        <v>19</v>
      </c>
      <c r="B24" s="261" t="n"/>
      <c r="C24" s="261" t="n"/>
      <c r="D24" s="261" t="n"/>
      <c r="E24" s="261" t="n"/>
      <c r="F24" s="433">
        <f>IF(D24="",0,IF(DAY(D24)=1,IF(D24=0,0,DATE(YEAR(D24),MONTH(D24)+E24*12,DAY(D24))),IF(D24=0,0,DATE(YEAR(D24),MONTH(D24)+E24*12,DAY(D24)-1))))</f>
        <v/>
      </c>
      <c r="G24" s="80" t="n"/>
      <c r="H24" s="80" t="n"/>
      <c r="I24" s="80" t="n"/>
      <c r="J24" s="80" t="n"/>
      <c r="K24" s="80" t="n"/>
      <c r="L24" s="589">
        <f>I24+J24-K24</f>
        <v/>
      </c>
      <c r="M24" s="590" t="n"/>
      <c r="N24" s="591" t="n"/>
      <c r="O24" s="592" t="n"/>
      <c r="P24" s="593">
        <f>M24+N24-O24</f>
        <v/>
      </c>
      <c r="Q24" s="80" t="n"/>
      <c r="R24" s="80" t="n"/>
      <c r="S24" s="80" t="n"/>
      <c r="T24" s="593">
        <f>Q24+R24-S24</f>
        <v/>
      </c>
      <c r="U24" s="80" t="n"/>
      <c r="V24" s="80" t="n"/>
      <c r="W24" s="80" t="n"/>
      <c r="X24" s="80" t="n"/>
      <c r="Y24" s="80" t="n"/>
      <c r="Z24" s="80" t="n"/>
      <c r="AA24" s="593">
        <f>L24+U24-V24</f>
        <v/>
      </c>
      <c r="AB24" s="593">
        <f>P24+W24-X24</f>
        <v/>
      </c>
      <c r="AC24" s="593">
        <f>T24+Y24-Z24</f>
        <v/>
      </c>
      <c r="AD24" s="593">
        <f>ROUND(AA24-AB24-AC24,2)</f>
        <v/>
      </c>
      <c r="AE24" s="261" t="n"/>
    </row>
    <row r="25">
      <c r="A25" s="360" t="n">
        <v>20</v>
      </c>
      <c r="B25" s="261" t="n"/>
      <c r="C25" s="261" t="n"/>
      <c r="D25" s="261" t="n"/>
      <c r="E25" s="261" t="n"/>
      <c r="F25" s="433">
        <f>IF(D25="",0,IF(DAY(D25)=1,IF(D25=0,0,DATE(YEAR(D25),MONTH(D25)+E25*12,DAY(D25))),IF(D25=0,0,DATE(YEAR(D25),MONTH(D25)+E25*12,DAY(D25)-1))))</f>
        <v/>
      </c>
      <c r="G25" s="80" t="n"/>
      <c r="H25" s="80" t="n"/>
      <c r="I25" s="80" t="n"/>
      <c r="J25" s="80" t="n"/>
      <c r="K25" s="80" t="n"/>
      <c r="L25" s="589">
        <f>I25+J25-K25</f>
        <v/>
      </c>
      <c r="M25" s="590" t="n"/>
      <c r="N25" s="591" t="n"/>
      <c r="O25" s="592" t="n"/>
      <c r="P25" s="593">
        <f>M25+N25-O25</f>
        <v/>
      </c>
      <c r="Q25" s="80" t="n"/>
      <c r="R25" s="80" t="n"/>
      <c r="S25" s="80" t="n"/>
      <c r="T25" s="593">
        <f>Q25+R25-S25</f>
        <v/>
      </c>
      <c r="U25" s="80" t="n"/>
      <c r="V25" s="80" t="n"/>
      <c r="W25" s="80" t="n"/>
      <c r="X25" s="80" t="n"/>
      <c r="Y25" s="80" t="n"/>
      <c r="Z25" s="80" t="n"/>
      <c r="AA25" s="593">
        <f>L25+U25-V25</f>
        <v/>
      </c>
      <c r="AB25" s="593">
        <f>P25+W25-X25</f>
        <v/>
      </c>
      <c r="AC25" s="593">
        <f>T25+Y25-Z25</f>
        <v/>
      </c>
      <c r="AD25" s="593">
        <f>ROUND(AA25-AB25-AC25,2)</f>
        <v/>
      </c>
      <c r="AE25" s="261" t="n"/>
    </row>
    <row r="26">
      <c r="A26" s="360" t="n">
        <v>21</v>
      </c>
      <c r="B26" s="261" t="n"/>
      <c r="C26" s="261" t="n"/>
      <c r="D26" s="261" t="n"/>
      <c r="E26" s="261" t="n"/>
      <c r="F26" s="433">
        <f>IF(D26="",0,IF(DAY(D26)=1,IF(D26=0,0,DATE(YEAR(D26),MONTH(D26)+E26*12,DAY(D26))),IF(D26=0,0,DATE(YEAR(D26),MONTH(D26)+E26*12,DAY(D26)-1))))</f>
        <v/>
      </c>
      <c r="G26" s="80" t="n"/>
      <c r="H26" s="80" t="n"/>
      <c r="I26" s="80" t="n"/>
      <c r="J26" s="80" t="n"/>
      <c r="K26" s="80" t="n"/>
      <c r="L26" s="589">
        <f>I26+J26-K26</f>
        <v/>
      </c>
      <c r="M26" s="590" t="n"/>
      <c r="N26" s="591" t="n"/>
      <c r="O26" s="592" t="n"/>
      <c r="P26" s="593">
        <f>M26+N26-O26</f>
        <v/>
      </c>
      <c r="Q26" s="80" t="n"/>
      <c r="R26" s="80" t="n"/>
      <c r="S26" s="80" t="n"/>
      <c r="T26" s="593">
        <f>Q26+R26-S26</f>
        <v/>
      </c>
      <c r="U26" s="80" t="n"/>
      <c r="V26" s="80" t="n"/>
      <c r="W26" s="80" t="n"/>
      <c r="X26" s="80" t="n"/>
      <c r="Y26" s="80" t="n"/>
      <c r="Z26" s="80" t="n"/>
      <c r="AA26" s="593">
        <f>L26+U26-V26</f>
        <v/>
      </c>
      <c r="AB26" s="593">
        <f>P26+W26-X26</f>
        <v/>
      </c>
      <c r="AC26" s="593">
        <f>T26+Y26-Z26</f>
        <v/>
      </c>
      <c r="AD26" s="593">
        <f>ROUND(AA26-AB26-AC26,2)</f>
        <v/>
      </c>
      <c r="AE26" s="261" t="n"/>
    </row>
    <row r="27">
      <c r="A27" s="360" t="n">
        <v>22</v>
      </c>
      <c r="B27" s="261" t="n"/>
      <c r="C27" s="261" t="n"/>
      <c r="D27" s="261" t="n"/>
      <c r="E27" s="261" t="n"/>
      <c r="F27" s="433">
        <f>IF(D27="",0,IF(DAY(D27)=1,IF(D27=0,0,DATE(YEAR(D27),MONTH(D27)+E27*12,DAY(D27))),IF(D27=0,0,DATE(YEAR(D27),MONTH(D27)+E27*12,DAY(D27)-1))))</f>
        <v/>
      </c>
      <c r="G27" s="80" t="n"/>
      <c r="H27" s="80" t="n"/>
      <c r="I27" s="80" t="n"/>
      <c r="J27" s="80" t="n"/>
      <c r="K27" s="80" t="n"/>
      <c r="L27" s="589">
        <f>I27+J27-K27</f>
        <v/>
      </c>
      <c r="M27" s="590" t="n"/>
      <c r="N27" s="591" t="n"/>
      <c r="O27" s="592" t="n"/>
      <c r="P27" s="593">
        <f>M27+N27-O27</f>
        <v/>
      </c>
      <c r="Q27" s="80" t="n"/>
      <c r="R27" s="80" t="n"/>
      <c r="S27" s="80" t="n"/>
      <c r="T27" s="593">
        <f>Q27+R27-S27</f>
        <v/>
      </c>
      <c r="U27" s="80" t="n"/>
      <c r="V27" s="80" t="n"/>
      <c r="W27" s="80" t="n"/>
      <c r="X27" s="80" t="n"/>
      <c r="Y27" s="80" t="n"/>
      <c r="Z27" s="80" t="n"/>
      <c r="AA27" s="593">
        <f>L27+U27-V27</f>
        <v/>
      </c>
      <c r="AB27" s="593">
        <f>P27+W27-X27</f>
        <v/>
      </c>
      <c r="AC27" s="593">
        <f>T27+Y27-Z27</f>
        <v/>
      </c>
      <c r="AD27" s="593">
        <f>ROUND(AA27-AB27-AC27,2)</f>
        <v/>
      </c>
      <c r="AE27" s="261" t="n"/>
    </row>
    <row r="28">
      <c r="A28" s="360" t="n">
        <v>23</v>
      </c>
      <c r="B28" s="261" t="n"/>
      <c r="C28" s="261" t="n"/>
      <c r="D28" s="261" t="n"/>
      <c r="E28" s="261" t="n"/>
      <c r="F28" s="433">
        <f>IF(D28="",0,IF(DAY(D28)=1,IF(D28=0,0,DATE(YEAR(D28),MONTH(D28)+E28*12,DAY(D28))),IF(D28=0,0,DATE(YEAR(D28),MONTH(D28)+E28*12,DAY(D28)-1))))</f>
        <v/>
      </c>
      <c r="G28" s="80" t="n"/>
      <c r="H28" s="80" t="n"/>
      <c r="I28" s="80" t="n"/>
      <c r="J28" s="80" t="n"/>
      <c r="K28" s="80" t="n"/>
      <c r="L28" s="589">
        <f>I28+J28-K28</f>
        <v/>
      </c>
      <c r="M28" s="590" t="n"/>
      <c r="N28" s="591" t="n"/>
      <c r="O28" s="592" t="n"/>
      <c r="P28" s="593">
        <f>M28+N28-O28</f>
        <v/>
      </c>
      <c r="Q28" s="80" t="n"/>
      <c r="R28" s="80" t="n"/>
      <c r="S28" s="80" t="n"/>
      <c r="T28" s="593">
        <f>Q28+R28-S28</f>
        <v/>
      </c>
      <c r="U28" s="80" t="n"/>
      <c r="V28" s="80" t="n"/>
      <c r="W28" s="80" t="n"/>
      <c r="X28" s="80" t="n"/>
      <c r="Y28" s="80" t="n"/>
      <c r="Z28" s="80" t="n"/>
      <c r="AA28" s="593">
        <f>L28+U28-V28</f>
        <v/>
      </c>
      <c r="AB28" s="593">
        <f>P28+W28-X28</f>
        <v/>
      </c>
      <c r="AC28" s="593">
        <f>T28+Y28-Z28</f>
        <v/>
      </c>
      <c r="AD28" s="593">
        <f>ROUND(AA28-AB28-AC28,2)</f>
        <v/>
      </c>
      <c r="AE28" s="261" t="n"/>
    </row>
    <row r="29">
      <c r="A29" s="360" t="n">
        <v>24</v>
      </c>
      <c r="B29" s="261" t="n"/>
      <c r="C29" s="261" t="n"/>
      <c r="D29" s="261" t="n"/>
      <c r="E29" s="261" t="n"/>
      <c r="F29" s="433">
        <f>IF(D29="",0,IF(DAY(D29)=1,IF(D29=0,0,DATE(YEAR(D29),MONTH(D29)+E29*12,DAY(D29))),IF(D29=0,0,DATE(YEAR(D29),MONTH(D29)+E29*12,DAY(D29)-1))))</f>
        <v/>
      </c>
      <c r="G29" s="80" t="n"/>
      <c r="H29" s="80" t="n"/>
      <c r="I29" s="80" t="n"/>
      <c r="J29" s="80" t="n"/>
      <c r="K29" s="80" t="n"/>
      <c r="L29" s="589">
        <f>I29+J29-K29</f>
        <v/>
      </c>
      <c r="M29" s="590" t="n"/>
      <c r="N29" s="591" t="n"/>
      <c r="O29" s="592" t="n"/>
      <c r="P29" s="593">
        <f>M29+N29-O29</f>
        <v/>
      </c>
      <c r="Q29" s="80" t="n"/>
      <c r="R29" s="80" t="n"/>
      <c r="S29" s="80" t="n"/>
      <c r="T29" s="593">
        <f>Q29+R29-S29</f>
        <v/>
      </c>
      <c r="U29" s="80" t="n"/>
      <c r="V29" s="80" t="n"/>
      <c r="W29" s="80" t="n"/>
      <c r="X29" s="80" t="n"/>
      <c r="Y29" s="80" t="n"/>
      <c r="Z29" s="80" t="n"/>
      <c r="AA29" s="593">
        <f>L29+U29-V29</f>
        <v/>
      </c>
      <c r="AB29" s="593">
        <f>P29+W29-X29</f>
        <v/>
      </c>
      <c r="AC29" s="593">
        <f>T29+Y29-Z29</f>
        <v/>
      </c>
      <c r="AD29" s="593">
        <f>ROUND(AA29-AB29-AC29,2)</f>
        <v/>
      </c>
      <c r="AE29" s="261" t="n"/>
    </row>
    <row r="30">
      <c r="A30" s="360" t="n">
        <v>25</v>
      </c>
      <c r="B30" s="261" t="n"/>
      <c r="C30" s="261" t="n"/>
      <c r="D30" s="261" t="n"/>
      <c r="E30" s="261" t="n"/>
      <c r="F30" s="433">
        <f>IF(D30="",0,IF(DAY(D30)=1,IF(D30=0,0,DATE(YEAR(D30),MONTH(D30)+E30*12,DAY(D30))),IF(D30=0,0,DATE(YEAR(D30),MONTH(D30)+E30*12,DAY(D30)-1))))</f>
        <v/>
      </c>
      <c r="G30" s="80" t="n"/>
      <c r="H30" s="80" t="n"/>
      <c r="I30" s="80" t="n"/>
      <c r="J30" s="80" t="n"/>
      <c r="K30" s="80" t="n"/>
      <c r="L30" s="589">
        <f>I30+J30-K30</f>
        <v/>
      </c>
      <c r="M30" s="590" t="n"/>
      <c r="N30" s="591" t="n"/>
      <c r="O30" s="592" t="n"/>
      <c r="P30" s="593">
        <f>M30+N30-O30</f>
        <v/>
      </c>
      <c r="Q30" s="80" t="n"/>
      <c r="R30" s="80" t="n"/>
      <c r="S30" s="80" t="n"/>
      <c r="T30" s="593">
        <f>Q30+R30-S30</f>
        <v/>
      </c>
      <c r="U30" s="80" t="n"/>
      <c r="V30" s="80" t="n"/>
      <c r="W30" s="80" t="n"/>
      <c r="X30" s="80" t="n"/>
      <c r="Y30" s="80" t="n"/>
      <c r="Z30" s="80" t="n"/>
      <c r="AA30" s="593">
        <f>L30+U30-V30</f>
        <v/>
      </c>
      <c r="AB30" s="593">
        <f>P30+W30-X30</f>
        <v/>
      </c>
      <c r="AC30" s="593">
        <f>T30+Y30-Z30</f>
        <v/>
      </c>
      <c r="AD30" s="593">
        <f>ROUND(AA30-AB30-AC30,2)</f>
        <v/>
      </c>
      <c r="AE30" s="261" t="n"/>
    </row>
    <row r="31">
      <c r="A31" s="360" t="n">
        <v>26</v>
      </c>
      <c r="B31" s="261" t="n"/>
      <c r="C31" s="261" t="n"/>
      <c r="D31" s="261" t="n"/>
      <c r="E31" s="261" t="n"/>
      <c r="F31" s="433">
        <f>IF(D31="",0,IF(DAY(D31)=1,IF(D31=0,0,DATE(YEAR(D31),MONTH(D31)+E31*12,DAY(D31))),IF(D31=0,0,DATE(YEAR(D31),MONTH(D31)+E31*12,DAY(D31)-1))))</f>
        <v/>
      </c>
      <c r="G31" s="80" t="n"/>
      <c r="H31" s="80" t="n"/>
      <c r="I31" s="80" t="n"/>
      <c r="J31" s="80" t="n"/>
      <c r="K31" s="80" t="n"/>
      <c r="L31" s="589">
        <f>I31+J31-K31</f>
        <v/>
      </c>
      <c r="M31" s="590" t="n"/>
      <c r="N31" s="591" t="n"/>
      <c r="O31" s="592" t="n"/>
      <c r="P31" s="593">
        <f>M31+N31-O31</f>
        <v/>
      </c>
      <c r="Q31" s="80" t="n"/>
      <c r="R31" s="80" t="n"/>
      <c r="S31" s="80" t="n"/>
      <c r="T31" s="593">
        <f>Q31+R31-S31</f>
        <v/>
      </c>
      <c r="U31" s="80" t="n"/>
      <c r="V31" s="80" t="n"/>
      <c r="W31" s="80" t="n"/>
      <c r="X31" s="80" t="n"/>
      <c r="Y31" s="80" t="n"/>
      <c r="Z31" s="80" t="n"/>
      <c r="AA31" s="593">
        <f>L31+U31-V31</f>
        <v/>
      </c>
      <c r="AB31" s="593">
        <f>P31+W31-X31</f>
        <v/>
      </c>
      <c r="AC31" s="593">
        <f>T31+Y31-Z31</f>
        <v/>
      </c>
      <c r="AD31" s="593">
        <f>ROUND(AA31-AB31-AC31,2)</f>
        <v/>
      </c>
      <c r="AE31" s="261" t="n"/>
    </row>
    <row r="32">
      <c r="A32" s="360" t="n">
        <v>27</v>
      </c>
      <c r="B32" s="261" t="n"/>
      <c r="C32" s="261" t="n"/>
      <c r="D32" s="261" t="n"/>
      <c r="E32" s="261" t="n"/>
      <c r="F32" s="433">
        <f>IF(D32="",0,IF(DAY(D32)=1,IF(D32=0,0,DATE(YEAR(D32),MONTH(D32)+E32*12,DAY(D32))),IF(D32=0,0,DATE(YEAR(D32),MONTH(D32)+E32*12,DAY(D32)-1))))</f>
        <v/>
      </c>
      <c r="G32" s="80" t="n"/>
      <c r="H32" s="80" t="n"/>
      <c r="I32" s="80" t="n"/>
      <c r="J32" s="80" t="n"/>
      <c r="K32" s="80" t="n"/>
      <c r="L32" s="589">
        <f>I32+J32-K32</f>
        <v/>
      </c>
      <c r="M32" s="590" t="n"/>
      <c r="N32" s="591" t="n"/>
      <c r="O32" s="592" t="n"/>
      <c r="P32" s="593">
        <f>M32+N32-O32</f>
        <v/>
      </c>
      <c r="Q32" s="80" t="n"/>
      <c r="R32" s="80" t="n"/>
      <c r="S32" s="80" t="n"/>
      <c r="T32" s="593">
        <f>Q32+R32-S32</f>
        <v/>
      </c>
      <c r="U32" s="80" t="n"/>
      <c r="V32" s="80" t="n"/>
      <c r="W32" s="80" t="n"/>
      <c r="X32" s="80" t="n"/>
      <c r="Y32" s="80" t="n"/>
      <c r="Z32" s="80" t="n"/>
      <c r="AA32" s="593">
        <f>L32+U32-V32</f>
        <v/>
      </c>
      <c r="AB32" s="593">
        <f>P32+W32-X32</f>
        <v/>
      </c>
      <c r="AC32" s="593">
        <f>T32+Y32-Z32</f>
        <v/>
      </c>
      <c r="AD32" s="593">
        <f>ROUND(AA32-AB32-AC32,2)</f>
        <v/>
      </c>
      <c r="AE32" s="261" t="n"/>
    </row>
    <row r="33">
      <c r="A33" s="360" t="n">
        <v>28</v>
      </c>
      <c r="B33" s="261" t="n"/>
      <c r="C33" s="261" t="n"/>
      <c r="D33" s="261" t="n"/>
      <c r="E33" s="261" t="n"/>
      <c r="F33" s="433">
        <f>IF(D33="",0,IF(DAY(D33)=1,IF(D33=0,0,DATE(YEAR(D33),MONTH(D33)+E33*12,DAY(D33))),IF(D33=0,0,DATE(YEAR(D33),MONTH(D33)+E33*12,DAY(D33)-1))))</f>
        <v/>
      </c>
      <c r="G33" s="80" t="n"/>
      <c r="H33" s="80" t="n"/>
      <c r="I33" s="80" t="n"/>
      <c r="J33" s="80" t="n"/>
      <c r="K33" s="80" t="n"/>
      <c r="L33" s="589">
        <f>I33+J33-K33</f>
        <v/>
      </c>
      <c r="M33" s="590" t="n"/>
      <c r="N33" s="591" t="n"/>
      <c r="O33" s="592" t="n"/>
      <c r="P33" s="593">
        <f>M33+N33-O33</f>
        <v/>
      </c>
      <c r="Q33" s="80" t="n"/>
      <c r="R33" s="80" t="n"/>
      <c r="S33" s="80" t="n"/>
      <c r="T33" s="593">
        <f>Q33+R33-S33</f>
        <v/>
      </c>
      <c r="U33" s="80" t="n"/>
      <c r="V33" s="80" t="n"/>
      <c r="W33" s="80" t="n"/>
      <c r="X33" s="80" t="n"/>
      <c r="Y33" s="80" t="n"/>
      <c r="Z33" s="80" t="n"/>
      <c r="AA33" s="593">
        <f>L33+U33-V33</f>
        <v/>
      </c>
      <c r="AB33" s="593">
        <f>P33+W33-X33</f>
        <v/>
      </c>
      <c r="AC33" s="593">
        <f>T33+Y33-Z33</f>
        <v/>
      </c>
      <c r="AD33" s="593">
        <f>ROUND(AA33-AB33-AC33,2)</f>
        <v/>
      </c>
      <c r="AE33" s="261" t="n"/>
    </row>
    <row r="34">
      <c r="A34" s="360" t="n">
        <v>29</v>
      </c>
      <c r="B34" s="261" t="n"/>
      <c r="C34" s="261" t="n"/>
      <c r="D34" s="261" t="n"/>
      <c r="E34" s="261" t="n"/>
      <c r="F34" s="433">
        <f>IF(D34="",0,IF(DAY(D34)=1,IF(D34=0,0,DATE(YEAR(D34),MONTH(D34)+E34*12,DAY(D34))),IF(D34=0,0,DATE(YEAR(D34),MONTH(D34)+E34*12,DAY(D34)-1))))</f>
        <v/>
      </c>
      <c r="G34" s="80" t="n"/>
      <c r="H34" s="80" t="n"/>
      <c r="I34" s="80" t="n"/>
      <c r="J34" s="80" t="n"/>
      <c r="K34" s="80" t="n"/>
      <c r="L34" s="589">
        <f>I34+J34-K34</f>
        <v/>
      </c>
      <c r="M34" s="590" t="n"/>
      <c r="N34" s="591" t="n"/>
      <c r="O34" s="592" t="n"/>
      <c r="P34" s="593">
        <f>M34+N34-O34</f>
        <v/>
      </c>
      <c r="Q34" s="80" t="n"/>
      <c r="R34" s="80" t="n"/>
      <c r="S34" s="80" t="n"/>
      <c r="T34" s="593">
        <f>Q34+R34-S34</f>
        <v/>
      </c>
      <c r="U34" s="80" t="n"/>
      <c r="V34" s="80" t="n"/>
      <c r="W34" s="80" t="n"/>
      <c r="X34" s="80" t="n"/>
      <c r="Y34" s="80" t="n"/>
      <c r="Z34" s="80" t="n"/>
      <c r="AA34" s="593">
        <f>L34+U34-V34</f>
        <v/>
      </c>
      <c r="AB34" s="593">
        <f>P34+W34-X34</f>
        <v/>
      </c>
      <c r="AC34" s="593">
        <f>T34+Y34-Z34</f>
        <v/>
      </c>
      <c r="AD34" s="593">
        <f>ROUND(AA34-AB34-AC34,2)</f>
        <v/>
      </c>
      <c r="AE34" s="261" t="n"/>
    </row>
    <row r="35">
      <c r="A35" s="5" t="inlineStr">
        <is>
          <t>合计</t>
        </is>
      </c>
      <c r="B35" s="563" t="n"/>
      <c r="C35" s="287" t="n"/>
      <c r="D35" s="287" t="n"/>
      <c r="E35" s="287" t="n"/>
      <c r="F35" s="454" t="n"/>
      <c r="G35" s="454" t="n"/>
      <c r="H35" s="454" t="n"/>
      <c r="I35" s="583">
        <f>ROUND(SUM(I6:I34),2)</f>
        <v/>
      </c>
      <c r="J35" s="583">
        <f>ROUND(SUM(J6:J34),2)</f>
        <v/>
      </c>
      <c r="K35" s="583">
        <f>ROUND(SUM(K6:K34),2)</f>
        <v/>
      </c>
      <c r="L35" s="583">
        <f>ROUND(SUM(L6:L34),2)</f>
        <v/>
      </c>
      <c r="M35" s="583">
        <f>ROUND(SUM(M6:M34),2)</f>
        <v/>
      </c>
      <c r="N35" s="583">
        <f>ROUND(SUM(N6:N34),2)</f>
        <v/>
      </c>
      <c r="O35" s="583">
        <f>ROUND(SUM(O6:O34),2)</f>
        <v/>
      </c>
      <c r="P35" s="583">
        <f>ROUND(SUM(P6:P34),2)</f>
        <v/>
      </c>
      <c r="Q35" s="583">
        <f>ROUND(SUM(Q6:Q34),2)</f>
        <v/>
      </c>
      <c r="R35" s="583">
        <f>ROUND(SUM(R6:R34),2)</f>
        <v/>
      </c>
      <c r="S35" s="583">
        <f>ROUND(SUM(S6:S34),2)</f>
        <v/>
      </c>
      <c r="T35" s="583">
        <f>ROUND(SUM(T6:T34),2)</f>
        <v/>
      </c>
      <c r="U35" s="583">
        <f>ROUND(SUM(U6:U34),2)</f>
        <v/>
      </c>
      <c r="V35" s="583">
        <f>ROUND(SUM(V6:V34),2)</f>
        <v/>
      </c>
      <c r="W35" s="583">
        <f>ROUND(SUM(W6:W34),2)</f>
        <v/>
      </c>
      <c r="X35" s="583">
        <f>ROUND(SUM(X6:X34),2)</f>
        <v/>
      </c>
      <c r="Y35" s="583">
        <f>ROUND(SUM(Y6:Y34),2)</f>
        <v/>
      </c>
      <c r="Z35" s="583">
        <f>ROUND(SUM(Z6:Z34),2)</f>
        <v/>
      </c>
      <c r="AA35" s="583">
        <f>ROUND(SUM(AA6:AA34),2)</f>
        <v/>
      </c>
      <c r="AB35" s="583">
        <f>ROUND(SUM(AB6:AB34),2)</f>
        <v/>
      </c>
      <c r="AC35" s="583">
        <f>ROUND(SUM(AC6:AC34),2)</f>
        <v/>
      </c>
      <c r="AD35" s="583">
        <f>ROUND(SUM(AD6:AD34),2)</f>
        <v/>
      </c>
      <c r="AE35" s="287" t="n"/>
    </row>
    <row r="37" ht="16" customHeight="1" s="559">
      <c r="B37" s="570" t="inlineStr">
        <is>
          <t>审计说明：</t>
        </is>
      </c>
    </row>
    <row r="38" ht="16" customHeight="1" s="559"/>
    <row r="39" ht="16" customHeight="1" s="559"/>
    <row r="40" ht="16" customHeight="1" s="559"/>
  </sheetData>
  <mergeCells count="18">
    <mergeCell ref="W4:X4"/>
    <mergeCell ref="Y4:Z4"/>
    <mergeCell ref="B4:B5"/>
    <mergeCell ref="M4:P4"/>
    <mergeCell ref="Q4:T4"/>
    <mergeCell ref="C4:C5"/>
    <mergeCell ref="A4:A5"/>
    <mergeCell ref="F4:F5"/>
    <mergeCell ref="D4:D5"/>
    <mergeCell ref="E4:E5"/>
    <mergeCell ref="AA4:AD4"/>
    <mergeCell ref="I4:L4"/>
    <mergeCell ref="G4:G5"/>
    <mergeCell ref="H4:H5"/>
    <mergeCell ref="AE4:AE5"/>
    <mergeCell ref="U4:V4"/>
    <mergeCell ref="A1:AD1"/>
    <mergeCell ref="A35:B35"/>
  </mergeCells>
  <dataValidations count="1">
    <dataValidation sqref="F6:F34" showDropDown="0" showInputMessage="1" showErrorMessage="1" allowBlank="1" prompt="如果年限改为按月份填列，则本列公式删除“*12”即可"/>
  </dataValidation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S37"/>
  <sheetViews>
    <sheetView zoomScale="90" zoomScaleNormal="90" workbookViewId="0">
      <pane ySplit="5" topLeftCell="A27" activePane="bottomLeft" state="frozen"/>
      <selection activeCell="A1" sqref="A1"/>
      <selection pane="bottomLeft" activeCell="J10" sqref="J10"/>
    </sheetView>
  </sheetViews>
  <sheetFormatPr baseColWidth="8" defaultColWidth="8.731481481481479" defaultRowHeight="14.4"/>
  <cols>
    <col width="12.2222222222222" customWidth="1" style="559" min="2" max="2"/>
    <col width="13.1296296296296" customWidth="1" style="559" min="3" max="3"/>
    <col width="9.18518518518519" customWidth="1" style="559" min="4" max="4"/>
    <col width="10.9074074074074" customWidth="1" style="559" min="5" max="5"/>
    <col width="10.6018518518519" customWidth="1" style="559" min="6" max="6"/>
    <col width="13.6388888888889" customWidth="1" style="559" min="10" max="10"/>
    <col width="9.694444444444439" customWidth="1" style="559" min="12" max="12"/>
    <col width="15.8518518518519" customWidth="1" style="559" min="17" max="17"/>
  </cols>
  <sheetData>
    <row r="1" ht="29" customHeight="1" s="559">
      <c r="A1" s="1" t="inlineStr">
        <is>
          <t>固定资产折旧测算（未计提减值情况下适用）</t>
        </is>
      </c>
    </row>
    <row r="2" ht="15" customHeight="1" s="559">
      <c r="A2" s="2">
        <f>备忘录!$A$1</f>
        <v/>
      </c>
      <c r="B2" s="456" t="n"/>
      <c r="C2" s="456" t="n"/>
      <c r="H2" s="456" t="inlineStr">
        <is>
          <t>编制人：刘喜琴</t>
        </is>
      </c>
      <c r="L2" s="456" t="n"/>
      <c r="M2" s="456" t="n"/>
      <c r="N2" s="456">
        <f>备忘录!$C$2</f>
        <v/>
      </c>
      <c r="O2" s="456" t="n"/>
    </row>
    <row r="3" ht="15" customHeight="1" s="559">
      <c r="A3" s="2">
        <f>备忘录!$A$2</f>
        <v/>
      </c>
      <c r="B3" s="456" t="n"/>
      <c r="C3" s="456" t="n"/>
      <c r="H3" s="456" t="inlineStr">
        <is>
          <t>复核人：赵玮</t>
        </is>
      </c>
      <c r="L3" s="456" t="n"/>
      <c r="M3" s="456" t="n"/>
      <c r="N3" s="456">
        <f>备忘录!$C$3</f>
        <v/>
      </c>
      <c r="O3" s="456" t="n"/>
    </row>
    <row r="4" ht="18" customHeight="1" s="559">
      <c r="A4" s="419" t="inlineStr">
        <is>
          <t>期初日期</t>
        </is>
      </c>
      <c r="B4" s="595" t="n"/>
      <c r="C4" s="421" t="n">
        <v>45658</v>
      </c>
      <c r="D4" s="419" t="inlineStr">
        <is>
          <t>期末日期</t>
        </is>
      </c>
      <c r="E4" s="421" t="n">
        <v>45930</v>
      </c>
    </row>
    <row r="5" ht="39" customHeight="1" s="559">
      <c r="A5" s="423" t="inlineStr">
        <is>
          <t>序号</t>
        </is>
      </c>
      <c r="B5" s="423" t="inlineStr">
        <is>
          <t>资产名称</t>
        </is>
      </c>
      <c r="C5" s="424" t="inlineStr">
        <is>
          <t>类别名称</t>
        </is>
      </c>
      <c r="D5" s="356" t="inlineStr">
        <is>
          <t>管理部门</t>
        </is>
      </c>
      <c r="E5" s="356" t="inlineStr">
        <is>
          <t>审定原值</t>
        </is>
      </c>
      <c r="F5" s="356" t="inlineStr">
        <is>
          <t>未审
累计折旧</t>
        </is>
      </c>
      <c r="G5" s="425" t="inlineStr">
        <is>
          <t>开始使用
日期</t>
        </is>
      </c>
      <c r="H5" s="426" t="inlineStr">
        <is>
          <t>使用年限</t>
        </is>
      </c>
      <c r="I5" s="423" t="inlineStr">
        <is>
          <t>残值率</t>
        </is>
      </c>
      <c r="J5" s="356" t="inlineStr">
        <is>
          <t>固定资产卡片记录的年折旧额</t>
        </is>
      </c>
      <c r="K5" s="426" t="inlineStr">
        <is>
          <t>使用月限</t>
        </is>
      </c>
      <c r="L5" s="426" t="inlineStr">
        <is>
          <t>测算到期日</t>
        </is>
      </c>
      <c r="M5" s="423" t="inlineStr">
        <is>
          <t>已提折旧月份</t>
        </is>
      </c>
      <c r="N5" s="356" t="inlineStr">
        <is>
          <t>本期折
旧月份</t>
        </is>
      </c>
      <c r="O5" s="423" t="inlineStr">
        <is>
          <t>测算月折旧</t>
        </is>
      </c>
      <c r="P5" s="356" t="inlineStr">
        <is>
          <t>测算当期折旧费用</t>
        </is>
      </c>
      <c r="Q5" s="356" t="inlineStr">
        <is>
          <t>当期折旧额与固定资产卡片核对差异</t>
        </is>
      </c>
      <c r="R5" s="423" t="inlineStr">
        <is>
          <t>累计折旧费用</t>
        </is>
      </c>
      <c r="S5" s="423" t="inlineStr">
        <is>
          <t>累计折旧额差异</t>
        </is>
      </c>
    </row>
    <row r="6" ht="17" customHeight="1" s="559">
      <c r="A6" s="427" t="n">
        <v>1</v>
      </c>
      <c r="B6" s="596">
        <f>固定资产!B6</f>
        <v/>
      </c>
      <c r="C6" s="597">
        <f>固定资产!C6</f>
        <v/>
      </c>
      <c r="D6" s="597" t="n"/>
      <c r="E6" s="586">
        <f>固定资产!AA6</f>
        <v/>
      </c>
      <c r="F6" s="590">
        <f>固定资产!P6</f>
        <v/>
      </c>
      <c r="G6" s="597">
        <f>固定资产!D6</f>
        <v/>
      </c>
      <c r="H6" s="597">
        <f>固定资产!E6</f>
        <v/>
      </c>
      <c r="I6" s="431" t="n"/>
      <c r="J6" s="590" t="n"/>
      <c r="K6" s="432">
        <f>IF(H6=0,0,IF(RIGHT(H6,1)&lt;&gt;"年",H6*12,IF(LEN(H6)=3,VALUE(LEFT(H6,2))*12,IF(LEN(H6)=2,VALUE(LEFT(H6,1))*12,"??"))))</f>
        <v/>
      </c>
      <c r="L6" s="433">
        <f>IF(DAY(G6)=1,IF(G6=0,0,DATE(YEAR(G6),MONTH(G6)+K6,DAY(G6))),IF(G6=0,0,DATE(YEAR(G6),MONTH(G6)+K6,DAY(G6)-1)))</f>
        <v/>
      </c>
      <c r="M6" s="598">
        <f>MIN(IF(AND(DAY($E$4)=30,DAY(G6)=31),IF(OR(G6=0,G6=$E$4),0,IF(L6&gt;$E$4,VALUE(DATEDIF(G6,MIN($E$4,L6),"m"))+1,VALUE(DATEDIF(G6,MIN($E$4,L6),"m")+2))),IF(OR(G6=0,G6=$E$4),0,IF(L6&gt;$E$4,DATEDIF(G6,MIN($E$4,L6),"m"),VALUE(DATEDIF(G6,MIN($E$4,L6),"m")+1)))),K6)</f>
        <v/>
      </c>
      <c r="N6" s="598">
        <f>IF(AND(YEAR(G6)=YEAR($E$4),DAY($E$4)=30,DAY(G6)=31),IF(OR(G6=0,L6&lt;$C$4),0,IF(AND(G6&lt;$C$4,L6&gt;$E$4),VALUE(DATEDIF($C$4,$E$4,"m")+2),IF(AND(G6&lt;$C$4,L6&lt;=$E$4),VALUE(DATEDIF($C$4,L6,"m")+2),IF(AND(G6&gt;=$C$4,L6&gt;$E$4),VALUE(DATEDIF(G6,$E$4,"m")+1),IF(AND(G6&gt;=$C$4,L6&lt;=$E$4),VALUE(DATEDIF(G6,L6,"m")+2),))))),IF(OR(G6=0,L6&lt;$C$4),0,IF(AND(G6&lt;$C$4,L6&gt;$E$4),VALUE(DATEDIF($C$4,$E$4,"m")+1),IF(AND(G6&lt;$C$4,L6&lt;=$E$4),VALUE(DATEDIF($C$4,L6,"m")+1),IF(AND(G6&gt;=$C$4,L6&gt;$E$4),VALUE(DATEDIF(G6,$E$4,"m")),IF(AND(G6&gt;=$C$4,L6&lt;=$E$4),VALUE(DATEDIF(G6,L6,"m")+1),))))))</f>
        <v/>
      </c>
      <c r="O6" s="593">
        <f>IF(K6=0,0,ROUND(((1-I6)/K6)*E6,4))</f>
        <v/>
      </c>
      <c r="P6" s="593">
        <f>ROUND(O6*N6,2)</f>
        <v/>
      </c>
      <c r="Q6" s="593">
        <f>IF(J6="","",ROUND(J6-P6,2))</f>
        <v/>
      </c>
      <c r="R6" s="593">
        <f>ROUND(O6*M6,2)</f>
        <v/>
      </c>
      <c r="S6" s="593">
        <f>ROUND(F6-R6,2)</f>
        <v/>
      </c>
    </row>
    <row r="7">
      <c r="A7" s="427" t="n">
        <v>2</v>
      </c>
      <c r="B7" s="596">
        <f>固定资产!B7</f>
        <v/>
      </c>
      <c r="C7" s="597">
        <f>固定资产!C7</f>
        <v/>
      </c>
      <c r="D7" s="597" t="n"/>
      <c r="E7" s="586">
        <f>固定资产!AA7</f>
        <v/>
      </c>
      <c r="F7" s="590">
        <f>固定资产!P7</f>
        <v/>
      </c>
      <c r="G7" s="597">
        <f>固定资产!D7</f>
        <v/>
      </c>
      <c r="H7" s="597">
        <f>固定资产!E7</f>
        <v/>
      </c>
      <c r="I7" s="431" t="n"/>
      <c r="J7" s="590" t="n"/>
      <c r="K7" s="432">
        <f>IF(H7=0,0,IF(RIGHT(H7,1)&lt;&gt;"年",H7*12,IF(LEN(H7)=3,VALUE(LEFT(H7,2))*12,IF(LEN(H7)=2,VALUE(LEFT(H7,1))*12,"??"))))</f>
        <v/>
      </c>
      <c r="L7" s="433">
        <f>IF(DAY(G7)=1,IF(G7=0,0,DATE(YEAR(G7),MONTH(G7)+K7,DAY(G7))),IF(G7=0,0,DATE(YEAR(G7),MONTH(G7)+K7,DAY(G7)-1)))</f>
        <v/>
      </c>
      <c r="M7" s="598">
        <f>MIN(IF(AND(DAY($E$4)=30,DAY(G7)=31),IF(OR(G7=0,G7=$E$4),0,IF(L7&gt;$E$4,VALUE(DATEDIF(G7,MIN($E$4,L7),"m"))+1,VALUE(DATEDIF(G7,MIN($E$4,L7),"m")+2))),IF(OR(G7=0,G7=$E$4),0,IF(L7&gt;$E$4,DATEDIF(G7,MIN($E$4,L7),"m"),VALUE(DATEDIF(G7,MIN($E$4,L7),"m")+1)))),K7)</f>
        <v/>
      </c>
      <c r="N7" s="598">
        <f>IF(AND(YEAR(G7)=YEAR($E$4),DAY($E$4)=30,DAY(G7)=31),IF(OR(G7=0,L7&lt;$C$4),0,IF(AND(G7&lt;$C$4,L7&gt;$E$4),VALUE(DATEDIF($C$4,$E$4,"m")+2),IF(AND(G7&lt;$C$4,L7&lt;=$E$4),VALUE(DATEDIF($C$4,L7,"m")+2),IF(AND(G7&gt;=$C$4,L7&gt;$E$4),VALUE(DATEDIF(G7,$E$4,"m")+1),IF(AND(G7&gt;=$C$4,L7&lt;=$E$4),VALUE(DATEDIF(G7,L7,"m")+2),))))),IF(OR(G7=0,L7&lt;$C$4),0,IF(AND(G7&lt;$C$4,L7&gt;$E$4),VALUE(DATEDIF($C$4,$E$4,"m")+1),IF(AND(G7&lt;$C$4,L7&lt;=$E$4),VALUE(DATEDIF($C$4,L7,"m")+1),IF(AND(G7&gt;=$C$4,L7&gt;$E$4),VALUE(DATEDIF(G7,$E$4,"m")),IF(AND(G7&gt;=$C$4,L7&lt;=$E$4),VALUE(DATEDIF(G7,L7,"m")+1),))))))</f>
        <v/>
      </c>
      <c r="O7" s="593">
        <f>IF(K7=0,0,ROUND(((1-I7)/K7)*E7,4))</f>
        <v/>
      </c>
      <c r="P7" s="593">
        <f>ROUND(O7*N7,2)</f>
        <v/>
      </c>
      <c r="Q7" s="593">
        <f>IF(J7="","",ROUND(J7-P7,2))</f>
        <v/>
      </c>
      <c r="R7" s="593">
        <f>ROUND(O7*M7,2)</f>
        <v/>
      </c>
      <c r="S7" s="593">
        <f>ROUND(F7-R7,2)</f>
        <v/>
      </c>
    </row>
    <row r="8">
      <c r="A8" s="427" t="n">
        <v>3</v>
      </c>
      <c r="B8" s="596">
        <f>固定资产!B8</f>
        <v/>
      </c>
      <c r="C8" s="597">
        <f>固定资产!C8</f>
        <v/>
      </c>
      <c r="D8" s="597" t="n"/>
      <c r="E8" s="586">
        <f>固定资产!AA8</f>
        <v/>
      </c>
      <c r="F8" s="590">
        <f>固定资产!P8</f>
        <v/>
      </c>
      <c r="G8" s="597">
        <f>固定资产!D8</f>
        <v/>
      </c>
      <c r="H8" s="597">
        <f>固定资产!E8</f>
        <v/>
      </c>
      <c r="I8" s="431" t="n"/>
      <c r="J8" s="590" t="n"/>
      <c r="K8" s="432">
        <f>IF(H8=0,0,IF(RIGHT(H8,1)&lt;&gt;"年",H8*12,IF(LEN(H8)=3,VALUE(LEFT(H8,2))*12,IF(LEN(H8)=2,VALUE(LEFT(H8,1))*12,"??"))))</f>
        <v/>
      </c>
      <c r="L8" s="433">
        <f>IF(DAY(G8)=1,IF(G8=0,0,DATE(YEAR(G8),MONTH(G8)+K8,DAY(G8))),IF(G8=0,0,DATE(YEAR(G8),MONTH(G8)+K8,DAY(G8)-1)))</f>
        <v/>
      </c>
      <c r="M8" s="598">
        <f>MIN(IF(AND(DAY($E$4)=30,DAY(G8)=31),IF(OR(G8=0,G8=$E$4),0,IF(L8&gt;$E$4,VALUE(DATEDIF(G8,MIN($E$4,L8),"m"))+1,VALUE(DATEDIF(G8,MIN($E$4,L8),"m")+2))),IF(OR(G8=0,G8=$E$4),0,IF(L8&gt;$E$4,DATEDIF(G8,MIN($E$4,L8),"m"),VALUE(DATEDIF(G8,MIN($E$4,L8),"m")+1)))),K8)</f>
        <v/>
      </c>
      <c r="N8" s="598">
        <f>IF(AND(YEAR(G8)=YEAR($E$4),DAY($E$4)=30,DAY(G8)=31),IF(OR(G8=0,L8&lt;$C$4),0,IF(AND(G8&lt;$C$4,L8&gt;$E$4),VALUE(DATEDIF($C$4,$E$4,"m")+2),IF(AND(G8&lt;$C$4,L8&lt;=$E$4),VALUE(DATEDIF($C$4,L8,"m")+2),IF(AND(G8&gt;=$C$4,L8&gt;$E$4),VALUE(DATEDIF(G8,$E$4,"m")+1),IF(AND(G8&gt;=$C$4,L8&lt;=$E$4),VALUE(DATEDIF(G8,L8,"m")+2),))))),IF(OR(G8=0,L8&lt;$C$4),0,IF(AND(G8&lt;$C$4,L8&gt;$E$4),VALUE(DATEDIF($C$4,$E$4,"m")+1),IF(AND(G8&lt;$C$4,L8&lt;=$E$4),VALUE(DATEDIF($C$4,L8,"m")+1),IF(AND(G8&gt;=$C$4,L8&gt;$E$4),VALUE(DATEDIF(G8,$E$4,"m")),IF(AND(G8&gt;=$C$4,L8&lt;=$E$4),VALUE(DATEDIF(G8,L8,"m")+1),))))))</f>
        <v/>
      </c>
      <c r="O8" s="593">
        <f>IF(K8=0,0,ROUND(((1-I8)/K8)*E8,4))</f>
        <v/>
      </c>
      <c r="P8" s="593">
        <f>ROUND(O8*N8,2)</f>
        <v/>
      </c>
      <c r="Q8" s="593">
        <f>IF(J8="","",ROUND(J8-P8,2))</f>
        <v/>
      </c>
      <c r="R8" s="593">
        <f>ROUND(O8*M8,2)</f>
        <v/>
      </c>
      <c r="S8" s="593">
        <f>ROUND(F8-R8,2)</f>
        <v/>
      </c>
    </row>
    <row r="9">
      <c r="A9" s="427" t="n">
        <v>4</v>
      </c>
      <c r="B9" s="596">
        <f>固定资产!B9</f>
        <v/>
      </c>
      <c r="C9" s="597">
        <f>固定资产!C9</f>
        <v/>
      </c>
      <c r="D9" s="597" t="n"/>
      <c r="E9" s="586">
        <f>固定资产!AA9</f>
        <v/>
      </c>
      <c r="F9" s="590">
        <f>固定资产!P9</f>
        <v/>
      </c>
      <c r="G9" s="597">
        <f>固定资产!D9</f>
        <v/>
      </c>
      <c r="H9" s="597">
        <f>固定资产!E9</f>
        <v/>
      </c>
      <c r="I9" s="431" t="n"/>
      <c r="J9" s="590" t="n"/>
      <c r="K9" s="432">
        <f>IF(H9=0,0,IF(RIGHT(H9,1)&lt;&gt;"年",H9*12,IF(LEN(H9)=3,VALUE(LEFT(H9,2))*12,IF(LEN(H9)=2,VALUE(LEFT(H9,1))*12,"??"))))</f>
        <v/>
      </c>
      <c r="L9" s="433">
        <f>IF(DAY(G9)=1,IF(G9=0,0,DATE(YEAR(G9),MONTH(G9)+K9,DAY(G9))),IF(G9=0,0,DATE(YEAR(G9),MONTH(G9)+K9,DAY(G9)-1)))</f>
        <v/>
      </c>
      <c r="M9" s="598">
        <f>MIN(IF(AND(DAY($E$4)=30,DAY(G9)=31),IF(OR(G9=0,G9=$E$4),0,IF(L9&gt;$E$4,VALUE(DATEDIF(G9,MIN($E$4,L9),"m"))+1,VALUE(DATEDIF(G9,MIN($E$4,L9),"m")+2))),IF(OR(G9=0,G9=$E$4),0,IF(L9&gt;$E$4,DATEDIF(G9,MIN($E$4,L9),"m"),VALUE(DATEDIF(G9,MIN($E$4,L9),"m")+1)))),K9)</f>
        <v/>
      </c>
      <c r="N9" s="598">
        <f>IF(AND(YEAR(G9)=YEAR($E$4),DAY($E$4)=30,DAY(G9)=31),IF(OR(G9=0,L9&lt;$C$4),0,IF(AND(G9&lt;$C$4,L9&gt;$E$4),VALUE(DATEDIF($C$4,$E$4,"m")+2),IF(AND(G9&lt;$C$4,L9&lt;=$E$4),VALUE(DATEDIF($C$4,L9,"m")+2),IF(AND(G9&gt;=$C$4,L9&gt;$E$4),VALUE(DATEDIF(G9,$E$4,"m")+1),IF(AND(G9&gt;=$C$4,L9&lt;=$E$4),VALUE(DATEDIF(G9,L9,"m")+2),))))),IF(OR(G9=0,L9&lt;$C$4),0,IF(AND(G9&lt;$C$4,L9&gt;$E$4),VALUE(DATEDIF($C$4,$E$4,"m")+1),IF(AND(G9&lt;$C$4,L9&lt;=$E$4),VALUE(DATEDIF($C$4,L9,"m")+1),IF(AND(G9&gt;=$C$4,L9&gt;$E$4),VALUE(DATEDIF(G9,$E$4,"m")),IF(AND(G9&gt;=$C$4,L9&lt;=$E$4),VALUE(DATEDIF(G9,L9,"m")+1),))))))</f>
        <v/>
      </c>
      <c r="O9" s="593">
        <f>IF(K9=0,0,ROUND(((1-I9)/K9)*E9,4))</f>
        <v/>
      </c>
      <c r="P9" s="593">
        <f>ROUND(O9*N9,2)</f>
        <v/>
      </c>
      <c r="Q9" s="593">
        <f>IF(J9="","",ROUND(J9-P9,2))</f>
        <v/>
      </c>
      <c r="R9" s="593">
        <f>ROUND(O9*M9,2)</f>
        <v/>
      </c>
      <c r="S9" s="593">
        <f>ROUND(F9-R9,2)</f>
        <v/>
      </c>
    </row>
    <row r="10">
      <c r="A10" s="427" t="n">
        <v>5</v>
      </c>
      <c r="B10" s="596">
        <f>固定资产!B10</f>
        <v/>
      </c>
      <c r="C10" s="597">
        <f>固定资产!C10</f>
        <v/>
      </c>
      <c r="D10" s="597" t="n"/>
      <c r="E10" s="586">
        <f>固定资产!AA10</f>
        <v/>
      </c>
      <c r="F10" s="590">
        <f>固定资产!P10</f>
        <v/>
      </c>
      <c r="G10" s="597">
        <f>固定资产!D10</f>
        <v/>
      </c>
      <c r="H10" s="597">
        <f>固定资产!E10</f>
        <v/>
      </c>
      <c r="I10" s="431" t="n"/>
      <c r="J10" s="590" t="n"/>
      <c r="K10" s="432">
        <f>IF(H10=0,0,IF(RIGHT(H10,1)&lt;&gt;"年",H10*12,IF(LEN(H10)=3,VALUE(LEFT(H10,2))*12,IF(LEN(H10)=2,VALUE(LEFT(H10,1))*12,"??"))))</f>
        <v/>
      </c>
      <c r="L10" s="433">
        <f>IF(DAY(G10)=1,IF(G10=0,0,DATE(YEAR(G10),MONTH(G10)+K10,DAY(G10))),IF(G10=0,0,DATE(YEAR(G10),MONTH(G10)+K10,DAY(G10)-1)))</f>
        <v/>
      </c>
      <c r="M10" s="598">
        <f>MIN(IF(AND(DAY($E$4)=30,DAY(G10)=31),IF(OR(G10=0,G10=$E$4),0,IF(L10&gt;$E$4,VALUE(DATEDIF(G10,MIN($E$4,L10),"m"))+1,VALUE(DATEDIF(G10,MIN($E$4,L10),"m")+2))),IF(OR(G10=0,G10=$E$4),0,IF(L10&gt;$E$4,DATEDIF(G10,MIN($E$4,L10),"m"),VALUE(DATEDIF(G10,MIN($E$4,L10),"m")+1)))),K10)</f>
        <v/>
      </c>
      <c r="N10" s="598">
        <f>IF(AND(YEAR(G10)=YEAR($E$4),DAY($E$4)=30,DAY(G10)=31),IF(OR(G10=0,L10&lt;$C$4),0,IF(AND(G10&lt;$C$4,L10&gt;$E$4),VALUE(DATEDIF($C$4,$E$4,"m")+2),IF(AND(G10&lt;$C$4,L10&lt;=$E$4),VALUE(DATEDIF($C$4,L10,"m")+2),IF(AND(G10&gt;=$C$4,L10&gt;$E$4),VALUE(DATEDIF(G10,$E$4,"m")+1),IF(AND(G10&gt;=$C$4,L10&lt;=$E$4),VALUE(DATEDIF(G10,L10,"m")+2),))))),IF(OR(G10=0,L10&lt;$C$4),0,IF(AND(G10&lt;$C$4,L10&gt;$E$4),VALUE(DATEDIF($C$4,$E$4,"m")+1),IF(AND(G10&lt;$C$4,L10&lt;=$E$4),VALUE(DATEDIF($C$4,L10,"m")+1),IF(AND(G10&gt;=$C$4,L10&gt;$E$4),VALUE(DATEDIF(G10,$E$4,"m")),IF(AND(G10&gt;=$C$4,L10&lt;=$E$4),VALUE(DATEDIF(G10,L10,"m")+1),))))))</f>
        <v/>
      </c>
      <c r="O10" s="593">
        <f>IF(K10=0,0,ROUND(((1-I10)/K10)*E10,4))</f>
        <v/>
      </c>
      <c r="P10" s="593">
        <f>ROUND(O10*N10,2)</f>
        <v/>
      </c>
      <c r="Q10" s="593">
        <f>IF(J10="","",ROUND(J10-P10,2))</f>
        <v/>
      </c>
      <c r="R10" s="593">
        <f>ROUND(O10*M10,2)</f>
        <v/>
      </c>
      <c r="S10" s="593">
        <f>ROUND(F10-R10,2)</f>
        <v/>
      </c>
    </row>
    <row r="11">
      <c r="A11" s="427" t="n">
        <v>6</v>
      </c>
      <c r="B11" s="596">
        <f>固定资产!B11</f>
        <v/>
      </c>
      <c r="C11" s="597">
        <f>固定资产!C11</f>
        <v/>
      </c>
      <c r="D11" s="597" t="n"/>
      <c r="E11" s="586">
        <f>固定资产!AA11</f>
        <v/>
      </c>
      <c r="F11" s="590">
        <f>固定资产!P11</f>
        <v/>
      </c>
      <c r="G11" s="597">
        <f>固定资产!D11</f>
        <v/>
      </c>
      <c r="H11" s="597">
        <f>固定资产!E11</f>
        <v/>
      </c>
      <c r="I11" s="431" t="n"/>
      <c r="J11" s="590" t="n"/>
      <c r="K11" s="432">
        <f>IF(H11=0,0,IF(RIGHT(H11,1)&lt;&gt;"年",H11*12,IF(LEN(H11)=3,VALUE(LEFT(H11,2))*12,IF(LEN(H11)=2,VALUE(LEFT(H11,1))*12,"??"))))</f>
        <v/>
      </c>
      <c r="L11" s="433">
        <f>IF(DAY(G11)=1,IF(G11=0,0,DATE(YEAR(G11),MONTH(G11)+K11,DAY(G11))),IF(G11=0,0,DATE(YEAR(G11),MONTH(G11)+K11,DAY(G11)-1)))</f>
        <v/>
      </c>
      <c r="M11" s="598">
        <f>MIN(IF(AND(DAY($E$4)=30,DAY(G11)=31),IF(OR(G11=0,G11=$E$4),0,IF(L11&gt;$E$4,VALUE(DATEDIF(G11,MIN($E$4,L11),"m"))+1,VALUE(DATEDIF(G11,MIN($E$4,L11),"m")+2))),IF(OR(G11=0,G11=$E$4),0,IF(L11&gt;$E$4,DATEDIF(G11,MIN($E$4,L11),"m"),VALUE(DATEDIF(G11,MIN($E$4,L11),"m")+1)))),K11)</f>
        <v/>
      </c>
      <c r="N11" s="598">
        <f>IF(AND(YEAR(G11)=YEAR($E$4),DAY($E$4)=30,DAY(G11)=31),IF(OR(G11=0,L11&lt;$C$4),0,IF(AND(G11&lt;$C$4,L11&gt;$E$4),VALUE(DATEDIF($C$4,$E$4,"m")+2),IF(AND(G11&lt;$C$4,L11&lt;=$E$4),VALUE(DATEDIF($C$4,L11,"m")+2),IF(AND(G11&gt;=$C$4,L11&gt;$E$4),VALUE(DATEDIF(G11,$E$4,"m")+1),IF(AND(G11&gt;=$C$4,L11&lt;=$E$4),VALUE(DATEDIF(G11,L11,"m")+2),))))),IF(OR(G11=0,L11&lt;$C$4),0,IF(AND(G11&lt;$C$4,L11&gt;$E$4),VALUE(DATEDIF($C$4,$E$4,"m")+1),IF(AND(G11&lt;$C$4,L11&lt;=$E$4),VALUE(DATEDIF($C$4,L11,"m")+1),IF(AND(G11&gt;=$C$4,L11&gt;$E$4),VALUE(DATEDIF(G11,$E$4,"m")),IF(AND(G11&gt;=$C$4,L11&lt;=$E$4),VALUE(DATEDIF(G11,L11,"m")+1),))))))</f>
        <v/>
      </c>
      <c r="O11" s="593">
        <f>IF(K11=0,0,ROUND(((1-I11)/K11)*E11,4))</f>
        <v/>
      </c>
      <c r="P11" s="593">
        <f>ROUND(O11*N11,2)</f>
        <v/>
      </c>
      <c r="Q11" s="593">
        <f>IF(J11="","",ROUND(J11-P11,2))</f>
        <v/>
      </c>
      <c r="R11" s="593">
        <f>ROUND(O11*M11,2)</f>
        <v/>
      </c>
      <c r="S11" s="593">
        <f>ROUND(F11-R11,2)</f>
        <v/>
      </c>
    </row>
    <row r="12">
      <c r="A12" s="427" t="n">
        <v>7</v>
      </c>
      <c r="B12" s="596">
        <f>固定资产!B12</f>
        <v/>
      </c>
      <c r="C12" s="597">
        <f>固定资产!C12</f>
        <v/>
      </c>
      <c r="D12" s="597" t="n"/>
      <c r="E12" s="586">
        <f>固定资产!AA12</f>
        <v/>
      </c>
      <c r="F12" s="590">
        <f>固定资产!P12</f>
        <v/>
      </c>
      <c r="G12" s="597">
        <f>固定资产!D12</f>
        <v/>
      </c>
      <c r="H12" s="597">
        <f>固定资产!E12</f>
        <v/>
      </c>
      <c r="I12" s="431" t="n"/>
      <c r="J12" s="590" t="n"/>
      <c r="K12" s="432">
        <f>IF(H12=0,0,IF(RIGHT(H12,1)&lt;&gt;"年",H12*12,IF(LEN(H12)=3,VALUE(LEFT(H12,2))*12,IF(LEN(H12)=2,VALUE(LEFT(H12,1))*12,"??"))))</f>
        <v/>
      </c>
      <c r="L12" s="433">
        <f>IF(DAY(G12)=1,IF(G12=0,0,DATE(YEAR(G12),MONTH(G12)+K12,DAY(G12))),IF(G12=0,0,DATE(YEAR(G12),MONTH(G12)+K12,DAY(G12)-1)))</f>
        <v/>
      </c>
      <c r="M12" s="598">
        <f>MIN(IF(AND(DAY($E$4)=30,DAY(G12)=31),IF(OR(G12=0,G12=$E$4),0,IF(L12&gt;$E$4,VALUE(DATEDIF(G12,MIN($E$4,L12),"m"))+1,VALUE(DATEDIF(G12,MIN($E$4,L12),"m")+2))),IF(OR(G12=0,G12=$E$4),0,IF(L12&gt;$E$4,DATEDIF(G12,MIN($E$4,L12),"m"),VALUE(DATEDIF(G12,MIN($E$4,L12),"m")+1)))),K12)</f>
        <v/>
      </c>
      <c r="N12" s="598">
        <f>IF(AND(YEAR(G12)=YEAR($E$4),DAY($E$4)=30,DAY(G12)=31),IF(OR(G12=0,L12&lt;$C$4),0,IF(AND(G12&lt;$C$4,L12&gt;$E$4),VALUE(DATEDIF($C$4,$E$4,"m")+2),IF(AND(G12&lt;$C$4,L12&lt;=$E$4),VALUE(DATEDIF($C$4,L12,"m")+2),IF(AND(G12&gt;=$C$4,L12&gt;$E$4),VALUE(DATEDIF(G12,$E$4,"m")+1),IF(AND(G12&gt;=$C$4,L12&lt;=$E$4),VALUE(DATEDIF(G12,L12,"m")+2),))))),IF(OR(G12=0,L12&lt;$C$4),0,IF(AND(G12&lt;$C$4,L12&gt;$E$4),VALUE(DATEDIF($C$4,$E$4,"m")+1),IF(AND(G12&lt;$C$4,L12&lt;=$E$4),VALUE(DATEDIF($C$4,L12,"m")+1),IF(AND(G12&gt;=$C$4,L12&gt;$E$4),VALUE(DATEDIF(G12,$E$4,"m")),IF(AND(G12&gt;=$C$4,L12&lt;=$E$4),VALUE(DATEDIF(G12,L12,"m")+1),))))))</f>
        <v/>
      </c>
      <c r="O12" s="593">
        <f>IF(K12=0,0,ROUND(((1-I12)/K12)*E12,4))</f>
        <v/>
      </c>
      <c r="P12" s="593">
        <f>ROUND(O12*N12,2)</f>
        <v/>
      </c>
      <c r="Q12" s="593">
        <f>IF(J12="","",ROUND(J12-P12,2))</f>
        <v/>
      </c>
      <c r="R12" s="593">
        <f>ROUND(O12*M12,2)</f>
        <v/>
      </c>
      <c r="S12" s="593">
        <f>ROUND(F12-R12,2)</f>
        <v/>
      </c>
    </row>
    <row r="13">
      <c r="A13" s="427" t="n">
        <v>8</v>
      </c>
      <c r="B13" s="596">
        <f>固定资产!B13</f>
        <v/>
      </c>
      <c r="C13" s="597">
        <f>固定资产!C13</f>
        <v/>
      </c>
      <c r="D13" s="597" t="n"/>
      <c r="E13" s="586">
        <f>固定资产!AA13</f>
        <v/>
      </c>
      <c r="F13" s="590">
        <f>固定资产!P13</f>
        <v/>
      </c>
      <c r="G13" s="597">
        <f>固定资产!D13</f>
        <v/>
      </c>
      <c r="H13" s="597">
        <f>固定资产!E13</f>
        <v/>
      </c>
      <c r="I13" s="431" t="n"/>
      <c r="J13" s="590" t="n"/>
      <c r="K13" s="432">
        <f>IF(H13=0,0,IF(RIGHT(H13,1)&lt;&gt;"年",H13*12,IF(LEN(H13)=3,VALUE(LEFT(H13,2))*12,IF(LEN(H13)=2,VALUE(LEFT(H13,1))*12,"??"))))</f>
        <v/>
      </c>
      <c r="L13" s="433">
        <f>IF(DAY(G13)=1,IF(G13=0,0,DATE(YEAR(G13),MONTH(G13)+K13,DAY(G13))),IF(G13=0,0,DATE(YEAR(G13),MONTH(G13)+K13,DAY(G13)-1)))</f>
        <v/>
      </c>
      <c r="M13" s="598">
        <f>MIN(IF(AND(DAY($E$4)=30,DAY(G13)=31),IF(OR(G13=0,G13=$E$4),0,IF(L13&gt;$E$4,VALUE(DATEDIF(G13,MIN($E$4,L13),"m"))+1,VALUE(DATEDIF(G13,MIN($E$4,L13),"m")+2))),IF(OR(G13=0,G13=$E$4),0,IF(L13&gt;$E$4,DATEDIF(G13,MIN($E$4,L13),"m"),VALUE(DATEDIF(G13,MIN($E$4,L13),"m")+1)))),K13)</f>
        <v/>
      </c>
      <c r="N13" s="598">
        <f>IF(AND(YEAR(G13)=YEAR($E$4),DAY($E$4)=30,DAY(G13)=31),IF(OR(G13=0,L13&lt;$C$4),0,IF(AND(G13&lt;$C$4,L13&gt;$E$4),VALUE(DATEDIF($C$4,$E$4,"m")+2),IF(AND(G13&lt;$C$4,L13&lt;=$E$4),VALUE(DATEDIF($C$4,L13,"m")+2),IF(AND(G13&gt;=$C$4,L13&gt;$E$4),VALUE(DATEDIF(G13,$E$4,"m")+1),IF(AND(G13&gt;=$C$4,L13&lt;=$E$4),VALUE(DATEDIF(G13,L13,"m")+2),))))),IF(OR(G13=0,L13&lt;$C$4),0,IF(AND(G13&lt;$C$4,L13&gt;$E$4),VALUE(DATEDIF($C$4,$E$4,"m")+1),IF(AND(G13&lt;$C$4,L13&lt;=$E$4),VALUE(DATEDIF($C$4,L13,"m")+1),IF(AND(G13&gt;=$C$4,L13&gt;$E$4),VALUE(DATEDIF(G13,$E$4,"m")),IF(AND(G13&gt;=$C$4,L13&lt;=$E$4),VALUE(DATEDIF(G13,L13,"m")+1),))))))</f>
        <v/>
      </c>
      <c r="O13" s="593">
        <f>IF(K13=0,0,ROUND(((1-I13)/K13)*E13,4))</f>
        <v/>
      </c>
      <c r="P13" s="593">
        <f>ROUND(O13*N13,2)</f>
        <v/>
      </c>
      <c r="Q13" s="593">
        <f>IF(J13="","",ROUND(J13-P13,2))</f>
        <v/>
      </c>
      <c r="R13" s="593">
        <f>ROUND(O13*M13,2)</f>
        <v/>
      </c>
      <c r="S13" s="593">
        <f>ROUND(F13-R13,2)</f>
        <v/>
      </c>
    </row>
    <row r="14">
      <c r="A14" s="427" t="n">
        <v>9</v>
      </c>
      <c r="B14" s="596">
        <f>固定资产!B14</f>
        <v/>
      </c>
      <c r="C14" s="597">
        <f>固定资产!C14</f>
        <v/>
      </c>
      <c r="D14" s="597" t="n"/>
      <c r="E14" s="586">
        <f>固定资产!AA14</f>
        <v/>
      </c>
      <c r="F14" s="590">
        <f>固定资产!P14</f>
        <v/>
      </c>
      <c r="G14" s="597">
        <f>固定资产!D14</f>
        <v/>
      </c>
      <c r="H14" s="597">
        <f>固定资产!E14</f>
        <v/>
      </c>
      <c r="I14" s="431" t="n"/>
      <c r="J14" s="590" t="n"/>
      <c r="K14" s="432">
        <f>IF(H14=0,0,IF(RIGHT(H14,1)&lt;&gt;"年",H14*12,IF(LEN(H14)=3,VALUE(LEFT(H14,2))*12,IF(LEN(H14)=2,VALUE(LEFT(H14,1))*12,"??"))))</f>
        <v/>
      </c>
      <c r="L14" s="433">
        <f>IF(DAY(G14)=1,IF(G14=0,0,DATE(YEAR(G14),MONTH(G14)+K14,DAY(G14))),IF(G14=0,0,DATE(YEAR(G14),MONTH(G14)+K14,DAY(G14)-1)))</f>
        <v/>
      </c>
      <c r="M14" s="598">
        <f>MIN(IF(AND(DAY($E$4)=30,DAY(G14)=31),IF(OR(G14=0,G14=$E$4),0,IF(L14&gt;$E$4,VALUE(DATEDIF(G14,MIN($E$4,L14),"m"))+1,VALUE(DATEDIF(G14,MIN($E$4,L14),"m")+2))),IF(OR(G14=0,G14=$E$4),0,IF(L14&gt;$E$4,DATEDIF(G14,MIN($E$4,L14),"m"),VALUE(DATEDIF(G14,MIN($E$4,L14),"m")+1)))),K14)</f>
        <v/>
      </c>
      <c r="N14" s="598">
        <f>IF(AND(YEAR(G14)=YEAR($E$4),DAY($E$4)=30,DAY(G14)=31),IF(OR(G14=0,L14&lt;$C$4),0,IF(AND(G14&lt;$C$4,L14&gt;$E$4),VALUE(DATEDIF($C$4,$E$4,"m")+2),IF(AND(G14&lt;$C$4,L14&lt;=$E$4),VALUE(DATEDIF($C$4,L14,"m")+2),IF(AND(G14&gt;=$C$4,L14&gt;$E$4),VALUE(DATEDIF(G14,$E$4,"m")+1),IF(AND(G14&gt;=$C$4,L14&lt;=$E$4),VALUE(DATEDIF(G14,L14,"m")+2),))))),IF(OR(G14=0,L14&lt;$C$4),0,IF(AND(G14&lt;$C$4,L14&gt;$E$4),VALUE(DATEDIF($C$4,$E$4,"m")+1),IF(AND(G14&lt;$C$4,L14&lt;=$E$4),VALUE(DATEDIF($C$4,L14,"m")+1),IF(AND(G14&gt;=$C$4,L14&gt;$E$4),VALUE(DATEDIF(G14,$E$4,"m")),IF(AND(G14&gt;=$C$4,L14&lt;=$E$4),VALUE(DATEDIF(G14,L14,"m")+1),))))))</f>
        <v/>
      </c>
      <c r="O14" s="593">
        <f>IF(K14=0,0,ROUND(((1-I14)/K14)*E14,4))</f>
        <v/>
      </c>
      <c r="P14" s="593">
        <f>ROUND(O14*N14,2)</f>
        <v/>
      </c>
      <c r="Q14" s="593">
        <f>IF(J14="","",ROUND(J14-P14,2))</f>
        <v/>
      </c>
      <c r="R14" s="593">
        <f>ROUND(O14*M14,2)</f>
        <v/>
      </c>
      <c r="S14" s="593">
        <f>ROUND(F14-R14,2)</f>
        <v/>
      </c>
    </row>
    <row r="15">
      <c r="A15" s="427" t="n">
        <v>10</v>
      </c>
      <c r="B15" s="596">
        <f>固定资产!B15</f>
        <v/>
      </c>
      <c r="C15" s="597">
        <f>固定资产!C15</f>
        <v/>
      </c>
      <c r="D15" s="597" t="n"/>
      <c r="E15" s="586">
        <f>固定资产!AA15</f>
        <v/>
      </c>
      <c r="F15" s="590">
        <f>固定资产!P15</f>
        <v/>
      </c>
      <c r="G15" s="597">
        <f>固定资产!D15</f>
        <v/>
      </c>
      <c r="H15" s="597">
        <f>固定资产!E15</f>
        <v/>
      </c>
      <c r="I15" s="431" t="n"/>
      <c r="J15" s="590" t="n"/>
      <c r="K15" s="432">
        <f>IF(H15=0,0,IF(RIGHT(H15,1)&lt;&gt;"年",H15*12,IF(LEN(H15)=3,VALUE(LEFT(H15,2))*12,IF(LEN(H15)=2,VALUE(LEFT(H15,1))*12,"??"))))</f>
        <v/>
      </c>
      <c r="L15" s="433">
        <f>IF(DAY(G15)=1,IF(G15=0,0,DATE(YEAR(G15),MONTH(G15)+K15,DAY(G15))),IF(G15=0,0,DATE(YEAR(G15),MONTH(G15)+K15,DAY(G15)-1)))</f>
        <v/>
      </c>
      <c r="M15" s="598">
        <f>MIN(IF(AND(DAY($E$4)=30,DAY(G15)=31),IF(OR(G15=0,G15=$E$4),0,IF(L15&gt;$E$4,VALUE(DATEDIF(G15,MIN($E$4,L15),"m"))+1,VALUE(DATEDIF(G15,MIN($E$4,L15),"m")+2))),IF(OR(G15=0,G15=$E$4),0,IF(L15&gt;$E$4,DATEDIF(G15,MIN($E$4,L15),"m"),VALUE(DATEDIF(G15,MIN($E$4,L15),"m")+1)))),K15)</f>
        <v/>
      </c>
      <c r="N15" s="598">
        <f>IF(AND(YEAR(G15)=YEAR($E$4),DAY($E$4)=30,DAY(G15)=31),IF(OR(G15=0,L15&lt;$C$4),0,IF(AND(G15&lt;$C$4,L15&gt;$E$4),VALUE(DATEDIF($C$4,$E$4,"m")+2),IF(AND(G15&lt;$C$4,L15&lt;=$E$4),VALUE(DATEDIF($C$4,L15,"m")+2),IF(AND(G15&gt;=$C$4,L15&gt;$E$4),VALUE(DATEDIF(G15,$E$4,"m")+1),IF(AND(G15&gt;=$C$4,L15&lt;=$E$4),VALUE(DATEDIF(G15,L15,"m")+2),))))),IF(OR(G15=0,L15&lt;$C$4),0,IF(AND(G15&lt;$C$4,L15&gt;$E$4),VALUE(DATEDIF($C$4,$E$4,"m")+1),IF(AND(G15&lt;$C$4,L15&lt;=$E$4),VALUE(DATEDIF($C$4,L15,"m")+1),IF(AND(G15&gt;=$C$4,L15&gt;$E$4),VALUE(DATEDIF(G15,$E$4,"m")),IF(AND(G15&gt;=$C$4,L15&lt;=$E$4),VALUE(DATEDIF(G15,L15,"m")+1),))))))</f>
        <v/>
      </c>
      <c r="O15" s="593">
        <f>IF(K15=0,0,ROUND(((1-I15)/K15)*E15,4))</f>
        <v/>
      </c>
      <c r="P15" s="593">
        <f>ROUND(O15*N15,2)</f>
        <v/>
      </c>
      <c r="Q15" s="593">
        <f>IF(J15="","",ROUND(J15-P15,2))</f>
        <v/>
      </c>
      <c r="R15" s="593">
        <f>ROUND(O15*M15,2)</f>
        <v/>
      </c>
      <c r="S15" s="593">
        <f>ROUND(F15-R15,2)</f>
        <v/>
      </c>
    </row>
    <row r="16">
      <c r="A16" s="427" t="n">
        <v>11</v>
      </c>
      <c r="B16" s="596">
        <f>固定资产!B16</f>
        <v/>
      </c>
      <c r="C16" s="597">
        <f>固定资产!C16</f>
        <v/>
      </c>
      <c r="D16" s="597" t="n"/>
      <c r="E16" s="586">
        <f>固定资产!AA16</f>
        <v/>
      </c>
      <c r="F16" s="590">
        <f>固定资产!P16</f>
        <v/>
      </c>
      <c r="G16" s="597">
        <f>固定资产!D16</f>
        <v/>
      </c>
      <c r="H16" s="597">
        <f>固定资产!E16</f>
        <v/>
      </c>
      <c r="I16" s="431" t="n"/>
      <c r="J16" s="590" t="n"/>
      <c r="K16" s="432">
        <f>IF(H16=0,0,IF(RIGHT(H16,1)&lt;&gt;"年",H16*12,IF(LEN(H16)=3,VALUE(LEFT(H16,2))*12,IF(LEN(H16)=2,VALUE(LEFT(H16,1))*12,"??"))))</f>
        <v/>
      </c>
      <c r="L16" s="433">
        <f>IF(DAY(G16)=1,IF(G16=0,0,DATE(YEAR(G16),MONTH(G16)+K16,DAY(G16))),IF(G16=0,0,DATE(YEAR(G16),MONTH(G16)+K16,DAY(G16)-1)))</f>
        <v/>
      </c>
      <c r="M16" s="598">
        <f>MIN(IF(AND(DAY($E$4)=30,DAY(G16)=31),IF(OR(G16=0,G16=$E$4),0,IF(L16&gt;$E$4,VALUE(DATEDIF(G16,MIN($E$4,L16),"m"))+1,VALUE(DATEDIF(G16,MIN($E$4,L16),"m")+2))),IF(OR(G16=0,G16=$E$4),0,IF(L16&gt;$E$4,DATEDIF(G16,MIN($E$4,L16),"m"),VALUE(DATEDIF(G16,MIN($E$4,L16),"m")+1)))),K16)</f>
        <v/>
      </c>
      <c r="N16" s="598">
        <f>IF(AND(YEAR(G16)=YEAR($E$4),DAY($E$4)=30,DAY(G16)=31),IF(OR(G16=0,L16&lt;$C$4),0,IF(AND(G16&lt;$C$4,L16&gt;$E$4),VALUE(DATEDIF($C$4,$E$4,"m")+2),IF(AND(G16&lt;$C$4,L16&lt;=$E$4),VALUE(DATEDIF($C$4,L16,"m")+2),IF(AND(G16&gt;=$C$4,L16&gt;$E$4),VALUE(DATEDIF(G16,$E$4,"m")+1),IF(AND(G16&gt;=$C$4,L16&lt;=$E$4),VALUE(DATEDIF(G16,L16,"m")+2),))))),IF(OR(G16=0,L16&lt;$C$4),0,IF(AND(G16&lt;$C$4,L16&gt;$E$4),VALUE(DATEDIF($C$4,$E$4,"m")+1),IF(AND(G16&lt;$C$4,L16&lt;=$E$4),VALUE(DATEDIF($C$4,L16,"m")+1),IF(AND(G16&gt;=$C$4,L16&gt;$E$4),VALUE(DATEDIF(G16,$E$4,"m")),IF(AND(G16&gt;=$C$4,L16&lt;=$E$4),VALUE(DATEDIF(G16,L16,"m")+1),))))))</f>
        <v/>
      </c>
      <c r="O16" s="593">
        <f>IF(K16=0,0,ROUND(((1-I16)/K16)*E16,4))</f>
        <v/>
      </c>
      <c r="P16" s="593">
        <f>ROUND(O16*N16,2)</f>
        <v/>
      </c>
      <c r="Q16" s="593">
        <f>IF(J16="","",ROUND(J16-P16,2))</f>
        <v/>
      </c>
      <c r="R16" s="593">
        <f>ROUND(O16*M16,2)</f>
        <v/>
      </c>
      <c r="S16" s="593">
        <f>ROUND(F16-R16,2)</f>
        <v/>
      </c>
    </row>
    <row r="17">
      <c r="A17" s="427" t="n">
        <v>12</v>
      </c>
      <c r="B17" s="596">
        <f>固定资产!B17</f>
        <v/>
      </c>
      <c r="C17" s="597">
        <f>固定资产!C17</f>
        <v/>
      </c>
      <c r="D17" s="597" t="n"/>
      <c r="E17" s="586">
        <f>固定资产!AA17</f>
        <v/>
      </c>
      <c r="F17" s="590">
        <f>固定资产!P17</f>
        <v/>
      </c>
      <c r="G17" s="597">
        <f>固定资产!D17</f>
        <v/>
      </c>
      <c r="H17" s="597">
        <f>固定资产!E17</f>
        <v/>
      </c>
      <c r="I17" s="431" t="n"/>
      <c r="J17" s="590" t="n"/>
      <c r="K17" s="432">
        <f>IF(H17=0,0,IF(RIGHT(H17,1)&lt;&gt;"年",H17*12,IF(LEN(H17)=3,VALUE(LEFT(H17,2))*12,IF(LEN(H17)=2,VALUE(LEFT(H17,1))*12,"??"))))</f>
        <v/>
      </c>
      <c r="L17" s="433">
        <f>IF(DAY(G17)=1,IF(G17=0,0,DATE(YEAR(G17),MONTH(G17)+K17,DAY(G17))),IF(G17=0,0,DATE(YEAR(G17),MONTH(G17)+K17,DAY(G17)-1)))</f>
        <v/>
      </c>
      <c r="M17" s="598">
        <f>MIN(IF(AND(DAY($E$4)=30,DAY(G17)=31),IF(OR(G17=0,G17=$E$4),0,IF(L17&gt;$E$4,VALUE(DATEDIF(G17,MIN($E$4,L17),"m"))+1,VALUE(DATEDIF(G17,MIN($E$4,L17),"m")+2))),IF(OR(G17=0,G17=$E$4),0,IF(L17&gt;$E$4,DATEDIF(G17,MIN($E$4,L17),"m"),VALUE(DATEDIF(G17,MIN($E$4,L17),"m")+1)))),K17)</f>
        <v/>
      </c>
      <c r="N17" s="598">
        <f>IF(AND(YEAR(G17)=YEAR($E$4),DAY($E$4)=30,DAY(G17)=31),IF(OR(G17=0,L17&lt;$C$4),0,IF(AND(G17&lt;$C$4,L17&gt;$E$4),VALUE(DATEDIF($C$4,$E$4,"m")+2),IF(AND(G17&lt;$C$4,L17&lt;=$E$4),VALUE(DATEDIF($C$4,L17,"m")+2),IF(AND(G17&gt;=$C$4,L17&gt;$E$4),VALUE(DATEDIF(G17,$E$4,"m")+1),IF(AND(G17&gt;=$C$4,L17&lt;=$E$4),VALUE(DATEDIF(G17,L17,"m")+2),))))),IF(OR(G17=0,L17&lt;$C$4),0,IF(AND(G17&lt;$C$4,L17&gt;$E$4),VALUE(DATEDIF($C$4,$E$4,"m")+1),IF(AND(G17&lt;$C$4,L17&lt;=$E$4),VALUE(DATEDIF($C$4,L17,"m")+1),IF(AND(G17&gt;=$C$4,L17&gt;$E$4),VALUE(DATEDIF(G17,$E$4,"m")),IF(AND(G17&gt;=$C$4,L17&lt;=$E$4),VALUE(DATEDIF(G17,L17,"m")+1),))))))</f>
        <v/>
      </c>
      <c r="O17" s="593">
        <f>IF(K17=0,0,ROUND(((1-I17)/K17)*E17,4))</f>
        <v/>
      </c>
      <c r="P17" s="593">
        <f>ROUND(O17*N17,2)</f>
        <v/>
      </c>
      <c r="Q17" s="593">
        <f>IF(J17="","",ROUND(J17-P17,2))</f>
        <v/>
      </c>
      <c r="R17" s="593">
        <f>ROUND(O17*M17,2)</f>
        <v/>
      </c>
      <c r="S17" s="593">
        <f>ROUND(F17-R17,2)</f>
        <v/>
      </c>
    </row>
    <row r="18">
      <c r="A18" s="427" t="n">
        <v>13</v>
      </c>
      <c r="B18" s="596">
        <f>固定资产!B18</f>
        <v/>
      </c>
      <c r="C18" s="597">
        <f>固定资产!C18</f>
        <v/>
      </c>
      <c r="D18" s="597" t="n"/>
      <c r="E18" s="586">
        <f>固定资产!AA18</f>
        <v/>
      </c>
      <c r="F18" s="590">
        <f>固定资产!P18</f>
        <v/>
      </c>
      <c r="G18" s="597">
        <f>固定资产!D18</f>
        <v/>
      </c>
      <c r="H18" s="597">
        <f>固定资产!E18</f>
        <v/>
      </c>
      <c r="I18" s="431" t="n"/>
      <c r="J18" s="590" t="n"/>
      <c r="K18" s="432">
        <f>IF(H18=0,0,IF(RIGHT(H18,1)&lt;&gt;"年",H18*12,IF(LEN(H18)=3,VALUE(LEFT(H18,2))*12,IF(LEN(H18)=2,VALUE(LEFT(H18,1))*12,"??"))))</f>
        <v/>
      </c>
      <c r="L18" s="433">
        <f>IF(DAY(G18)=1,IF(G18=0,0,DATE(YEAR(G18),MONTH(G18)+K18,DAY(G18))),IF(G18=0,0,DATE(YEAR(G18),MONTH(G18)+K18,DAY(G18)-1)))</f>
        <v/>
      </c>
      <c r="M18" s="598">
        <f>MIN(IF(AND(DAY($E$4)=30,DAY(G18)=31),IF(OR(G18=0,G18=$E$4),0,IF(L18&gt;$E$4,VALUE(DATEDIF(G18,MIN($E$4,L18),"m"))+1,VALUE(DATEDIF(G18,MIN($E$4,L18),"m")+2))),IF(OR(G18=0,G18=$E$4),0,IF(L18&gt;$E$4,DATEDIF(G18,MIN($E$4,L18),"m"),VALUE(DATEDIF(G18,MIN($E$4,L18),"m")+1)))),K18)</f>
        <v/>
      </c>
      <c r="N18" s="598">
        <f>IF(AND(YEAR(G18)=YEAR($E$4),DAY($E$4)=30,DAY(G18)=31),IF(OR(G18=0,L18&lt;$C$4),0,IF(AND(G18&lt;$C$4,L18&gt;$E$4),VALUE(DATEDIF($C$4,$E$4,"m")+2),IF(AND(G18&lt;$C$4,L18&lt;=$E$4),VALUE(DATEDIF($C$4,L18,"m")+2),IF(AND(G18&gt;=$C$4,L18&gt;$E$4),VALUE(DATEDIF(G18,$E$4,"m")+1),IF(AND(G18&gt;=$C$4,L18&lt;=$E$4),VALUE(DATEDIF(G18,L18,"m")+2),))))),IF(OR(G18=0,L18&lt;$C$4),0,IF(AND(G18&lt;$C$4,L18&gt;$E$4),VALUE(DATEDIF($C$4,$E$4,"m")+1),IF(AND(G18&lt;$C$4,L18&lt;=$E$4),VALUE(DATEDIF($C$4,L18,"m")+1),IF(AND(G18&gt;=$C$4,L18&gt;$E$4),VALUE(DATEDIF(G18,$E$4,"m")),IF(AND(G18&gt;=$C$4,L18&lt;=$E$4),VALUE(DATEDIF(G18,L18,"m")+1),))))))</f>
        <v/>
      </c>
      <c r="O18" s="593">
        <f>IF(K18=0,0,ROUND(((1-I18)/K18)*E18,4))</f>
        <v/>
      </c>
      <c r="P18" s="593">
        <f>ROUND(O18*N18,2)</f>
        <v/>
      </c>
      <c r="Q18" s="593">
        <f>IF(J18="","",ROUND(J18-P18,2))</f>
        <v/>
      </c>
      <c r="R18" s="593">
        <f>ROUND(O18*M18,2)</f>
        <v/>
      </c>
      <c r="S18" s="593">
        <f>ROUND(F18-R18,2)</f>
        <v/>
      </c>
    </row>
    <row r="19">
      <c r="A19" s="427" t="n">
        <v>14</v>
      </c>
      <c r="B19" s="596">
        <f>固定资产!B19</f>
        <v/>
      </c>
      <c r="C19" s="597">
        <f>固定资产!C19</f>
        <v/>
      </c>
      <c r="D19" s="597" t="n"/>
      <c r="E19" s="586">
        <f>固定资产!AA19</f>
        <v/>
      </c>
      <c r="F19" s="590">
        <f>固定资产!P19</f>
        <v/>
      </c>
      <c r="G19" s="597">
        <f>固定资产!D19</f>
        <v/>
      </c>
      <c r="H19" s="597">
        <f>固定资产!E19</f>
        <v/>
      </c>
      <c r="I19" s="431" t="n"/>
      <c r="J19" s="590" t="n"/>
      <c r="K19" s="432">
        <f>IF(H19=0,0,IF(RIGHT(H19,1)&lt;&gt;"年",H19*12,IF(LEN(H19)=3,VALUE(LEFT(H19,2))*12,IF(LEN(H19)=2,VALUE(LEFT(H19,1))*12,"??"))))</f>
        <v/>
      </c>
      <c r="L19" s="433">
        <f>IF(DAY(G19)=1,IF(G19=0,0,DATE(YEAR(G19),MONTH(G19)+K19,DAY(G19))),IF(G19=0,0,DATE(YEAR(G19),MONTH(G19)+K19,DAY(G19)-1)))</f>
        <v/>
      </c>
      <c r="M19" s="598">
        <f>MIN(IF(AND(DAY($E$4)=30,DAY(G19)=31),IF(OR(G19=0,G19=$E$4),0,IF(L19&gt;$E$4,VALUE(DATEDIF(G19,MIN($E$4,L19),"m"))+1,VALUE(DATEDIF(G19,MIN($E$4,L19),"m")+2))),IF(OR(G19=0,G19=$E$4),0,IF(L19&gt;$E$4,DATEDIF(G19,MIN($E$4,L19),"m"),VALUE(DATEDIF(G19,MIN($E$4,L19),"m")+1)))),K19)</f>
        <v/>
      </c>
      <c r="N19" s="598">
        <f>IF(AND(YEAR(G19)=YEAR($E$4),DAY($E$4)=30,DAY(G19)=31),IF(OR(G19=0,L19&lt;$C$4),0,IF(AND(G19&lt;$C$4,L19&gt;$E$4),VALUE(DATEDIF($C$4,$E$4,"m")+2),IF(AND(G19&lt;$C$4,L19&lt;=$E$4),VALUE(DATEDIF($C$4,L19,"m")+2),IF(AND(G19&gt;=$C$4,L19&gt;$E$4),VALUE(DATEDIF(G19,$E$4,"m")+1),IF(AND(G19&gt;=$C$4,L19&lt;=$E$4),VALUE(DATEDIF(G19,L19,"m")+2),))))),IF(OR(G19=0,L19&lt;$C$4),0,IF(AND(G19&lt;$C$4,L19&gt;$E$4),VALUE(DATEDIF($C$4,$E$4,"m")+1),IF(AND(G19&lt;$C$4,L19&lt;=$E$4),VALUE(DATEDIF($C$4,L19,"m")+1),IF(AND(G19&gt;=$C$4,L19&gt;$E$4),VALUE(DATEDIF(G19,$E$4,"m")),IF(AND(G19&gt;=$C$4,L19&lt;=$E$4),VALUE(DATEDIF(G19,L19,"m")+1),))))))</f>
        <v/>
      </c>
      <c r="O19" s="593">
        <f>IF(K19=0,0,ROUND(((1-I19)/K19)*E19,4))</f>
        <v/>
      </c>
      <c r="P19" s="593">
        <f>ROUND(O19*N19,2)</f>
        <v/>
      </c>
      <c r="Q19" s="593">
        <f>IF(J19="","",ROUND(J19-P19,2))</f>
        <v/>
      </c>
      <c r="R19" s="593">
        <f>ROUND(O19*M19,2)</f>
        <v/>
      </c>
      <c r="S19" s="593">
        <f>ROUND(F19-R19,2)</f>
        <v/>
      </c>
    </row>
    <row r="20">
      <c r="A20" s="427" t="n">
        <v>15</v>
      </c>
      <c r="B20" s="596">
        <f>固定资产!B20</f>
        <v/>
      </c>
      <c r="C20" s="597">
        <f>固定资产!C20</f>
        <v/>
      </c>
      <c r="D20" s="597" t="n"/>
      <c r="E20" s="586">
        <f>固定资产!AA20</f>
        <v/>
      </c>
      <c r="F20" s="590">
        <f>固定资产!P20</f>
        <v/>
      </c>
      <c r="G20" s="597">
        <f>固定资产!D20</f>
        <v/>
      </c>
      <c r="H20" s="597">
        <f>固定资产!E20</f>
        <v/>
      </c>
      <c r="I20" s="431" t="n"/>
      <c r="J20" s="590" t="n"/>
      <c r="K20" s="432">
        <f>IF(H20=0,0,IF(RIGHT(H20,1)&lt;&gt;"年",H20*12,IF(LEN(H20)=3,VALUE(LEFT(H20,2))*12,IF(LEN(H20)=2,VALUE(LEFT(H20,1))*12,"??"))))</f>
        <v/>
      </c>
      <c r="L20" s="433">
        <f>IF(DAY(G20)=1,IF(G20=0,0,DATE(YEAR(G20),MONTH(G20)+K20,DAY(G20))),IF(G20=0,0,DATE(YEAR(G20),MONTH(G20)+K20,DAY(G20)-1)))</f>
        <v/>
      </c>
      <c r="M20" s="598">
        <f>MIN(IF(AND(DAY($E$4)=30,DAY(G20)=31),IF(OR(G20=0,G20=$E$4),0,IF(L20&gt;$E$4,VALUE(DATEDIF(G20,MIN($E$4,L20),"m"))+1,VALUE(DATEDIF(G20,MIN($E$4,L20),"m")+2))),IF(OR(G20=0,G20=$E$4),0,IF(L20&gt;$E$4,DATEDIF(G20,MIN($E$4,L20),"m"),VALUE(DATEDIF(G20,MIN($E$4,L20),"m")+1)))),K20)</f>
        <v/>
      </c>
      <c r="N20" s="598">
        <f>IF(AND(YEAR(G20)=YEAR($E$4),DAY($E$4)=30,DAY(G20)=31),IF(OR(G20=0,L20&lt;$C$4),0,IF(AND(G20&lt;$C$4,L20&gt;$E$4),VALUE(DATEDIF($C$4,$E$4,"m")+2),IF(AND(G20&lt;$C$4,L20&lt;=$E$4),VALUE(DATEDIF($C$4,L20,"m")+2),IF(AND(G20&gt;=$C$4,L20&gt;$E$4),VALUE(DATEDIF(G20,$E$4,"m")+1),IF(AND(G20&gt;=$C$4,L20&lt;=$E$4),VALUE(DATEDIF(G20,L20,"m")+2),))))),IF(OR(G20=0,L20&lt;$C$4),0,IF(AND(G20&lt;$C$4,L20&gt;$E$4),VALUE(DATEDIF($C$4,$E$4,"m")+1),IF(AND(G20&lt;$C$4,L20&lt;=$E$4),VALUE(DATEDIF($C$4,L20,"m")+1),IF(AND(G20&gt;=$C$4,L20&gt;$E$4),VALUE(DATEDIF(G20,$E$4,"m")),IF(AND(G20&gt;=$C$4,L20&lt;=$E$4),VALUE(DATEDIF(G20,L20,"m")+1),))))))</f>
        <v/>
      </c>
      <c r="O20" s="593">
        <f>IF(K20=0,0,ROUND(((1-I20)/K20)*E20,4))</f>
        <v/>
      </c>
      <c r="P20" s="593">
        <f>ROUND(O20*N20,2)</f>
        <v/>
      </c>
      <c r="Q20" s="593">
        <f>IF(J20="","",ROUND(J20-P20,2))</f>
        <v/>
      </c>
      <c r="R20" s="593">
        <f>ROUND(O20*M20,2)</f>
        <v/>
      </c>
      <c r="S20" s="593">
        <f>ROUND(F20-R20,2)</f>
        <v/>
      </c>
    </row>
    <row r="21">
      <c r="A21" s="427" t="n">
        <v>16</v>
      </c>
      <c r="B21" s="596">
        <f>固定资产!B21</f>
        <v/>
      </c>
      <c r="C21" s="597">
        <f>固定资产!C21</f>
        <v/>
      </c>
      <c r="D21" s="597" t="n"/>
      <c r="E21" s="586">
        <f>固定资产!AA21</f>
        <v/>
      </c>
      <c r="F21" s="590">
        <f>固定资产!P21</f>
        <v/>
      </c>
      <c r="G21" s="597">
        <f>固定资产!D21</f>
        <v/>
      </c>
      <c r="H21" s="597">
        <f>固定资产!E21</f>
        <v/>
      </c>
      <c r="I21" s="431" t="n"/>
      <c r="J21" s="590" t="n"/>
      <c r="K21" s="432">
        <f>IF(H21=0,0,IF(RIGHT(H21,1)&lt;&gt;"年",H21*12,IF(LEN(H21)=3,VALUE(LEFT(H21,2))*12,IF(LEN(H21)=2,VALUE(LEFT(H21,1))*12,"??"))))</f>
        <v/>
      </c>
      <c r="L21" s="433">
        <f>IF(DAY(G21)=1,IF(G21=0,0,DATE(YEAR(G21),MONTH(G21)+K21,DAY(G21))),IF(G21=0,0,DATE(YEAR(G21),MONTH(G21)+K21,DAY(G21)-1)))</f>
        <v/>
      </c>
      <c r="M21" s="598">
        <f>MIN(IF(AND(DAY($E$4)=30,DAY(G21)=31),IF(OR(G21=0,G21=$E$4),0,IF(L21&gt;$E$4,VALUE(DATEDIF(G21,MIN($E$4,L21),"m"))+1,VALUE(DATEDIF(G21,MIN($E$4,L21),"m")+2))),IF(OR(G21=0,G21=$E$4),0,IF(L21&gt;$E$4,DATEDIF(G21,MIN($E$4,L21),"m"),VALUE(DATEDIF(G21,MIN($E$4,L21),"m")+1)))),K21)</f>
        <v/>
      </c>
      <c r="N21" s="598">
        <f>IF(AND(YEAR(G21)=YEAR($E$4),DAY($E$4)=30,DAY(G21)=31),IF(OR(G21=0,L21&lt;$C$4),0,IF(AND(G21&lt;$C$4,L21&gt;$E$4),VALUE(DATEDIF($C$4,$E$4,"m")+2),IF(AND(G21&lt;$C$4,L21&lt;=$E$4),VALUE(DATEDIF($C$4,L21,"m")+2),IF(AND(G21&gt;=$C$4,L21&gt;$E$4),VALUE(DATEDIF(G21,$E$4,"m")+1),IF(AND(G21&gt;=$C$4,L21&lt;=$E$4),VALUE(DATEDIF(G21,L21,"m")+2),))))),IF(OR(G21=0,L21&lt;$C$4),0,IF(AND(G21&lt;$C$4,L21&gt;$E$4),VALUE(DATEDIF($C$4,$E$4,"m")+1),IF(AND(G21&lt;$C$4,L21&lt;=$E$4),VALUE(DATEDIF($C$4,L21,"m")+1),IF(AND(G21&gt;=$C$4,L21&gt;$E$4),VALUE(DATEDIF(G21,$E$4,"m")),IF(AND(G21&gt;=$C$4,L21&lt;=$E$4),VALUE(DATEDIF(G21,L21,"m")+1),))))))</f>
        <v/>
      </c>
      <c r="O21" s="593">
        <f>IF(K21=0,0,ROUND(((1-I21)/K21)*E21,4))</f>
        <v/>
      </c>
      <c r="P21" s="593">
        <f>ROUND(O21*N21,2)</f>
        <v/>
      </c>
      <c r="Q21" s="593">
        <f>IF(J21="","",ROUND(J21-P21,2))</f>
        <v/>
      </c>
      <c r="R21" s="593">
        <f>ROUND(O21*M21,2)</f>
        <v/>
      </c>
      <c r="S21" s="593">
        <f>ROUND(F21-R21,2)</f>
        <v/>
      </c>
    </row>
    <row r="22">
      <c r="A22" s="427" t="n">
        <v>17</v>
      </c>
      <c r="B22" s="596">
        <f>固定资产!B22</f>
        <v/>
      </c>
      <c r="C22" s="597">
        <f>固定资产!C22</f>
        <v/>
      </c>
      <c r="D22" s="597" t="n"/>
      <c r="E22" s="586">
        <f>固定资产!AA22</f>
        <v/>
      </c>
      <c r="F22" s="590">
        <f>固定资产!P22</f>
        <v/>
      </c>
      <c r="G22" s="597">
        <f>固定资产!D22</f>
        <v/>
      </c>
      <c r="H22" s="597">
        <f>固定资产!E22</f>
        <v/>
      </c>
      <c r="I22" s="431" t="n"/>
      <c r="J22" s="590" t="n"/>
      <c r="K22" s="432">
        <f>IF(H22=0,0,IF(RIGHT(H22,1)&lt;&gt;"年",H22*12,IF(LEN(H22)=3,VALUE(LEFT(H22,2))*12,IF(LEN(H22)=2,VALUE(LEFT(H22,1))*12,"??"))))</f>
        <v/>
      </c>
      <c r="L22" s="433">
        <f>IF(DAY(G22)=1,IF(G22=0,0,DATE(YEAR(G22),MONTH(G22)+K22,DAY(G22))),IF(G22=0,0,DATE(YEAR(G22),MONTH(G22)+K22,DAY(G22)-1)))</f>
        <v/>
      </c>
      <c r="M22" s="598">
        <f>MIN(IF(AND(DAY($E$4)=30,DAY(G22)=31),IF(OR(G22=0,G22=$E$4),0,IF(L22&gt;$E$4,VALUE(DATEDIF(G22,MIN($E$4,L22),"m"))+1,VALUE(DATEDIF(G22,MIN($E$4,L22),"m")+2))),IF(OR(G22=0,G22=$E$4),0,IF(L22&gt;$E$4,DATEDIF(G22,MIN($E$4,L22),"m"),VALUE(DATEDIF(G22,MIN($E$4,L22),"m")+1)))),K22)</f>
        <v/>
      </c>
      <c r="N22" s="598">
        <f>IF(AND(YEAR(G22)=YEAR($E$4),DAY($E$4)=30,DAY(G22)=31),IF(OR(G22=0,L22&lt;$C$4),0,IF(AND(G22&lt;$C$4,L22&gt;$E$4),VALUE(DATEDIF($C$4,$E$4,"m")+2),IF(AND(G22&lt;$C$4,L22&lt;=$E$4),VALUE(DATEDIF($C$4,L22,"m")+2),IF(AND(G22&gt;=$C$4,L22&gt;$E$4),VALUE(DATEDIF(G22,$E$4,"m")+1),IF(AND(G22&gt;=$C$4,L22&lt;=$E$4),VALUE(DATEDIF(G22,L22,"m")+2),))))),IF(OR(G22=0,L22&lt;$C$4),0,IF(AND(G22&lt;$C$4,L22&gt;$E$4),VALUE(DATEDIF($C$4,$E$4,"m")+1),IF(AND(G22&lt;$C$4,L22&lt;=$E$4),VALUE(DATEDIF($C$4,L22,"m")+1),IF(AND(G22&gt;=$C$4,L22&gt;$E$4),VALUE(DATEDIF(G22,$E$4,"m")),IF(AND(G22&gt;=$C$4,L22&lt;=$E$4),VALUE(DATEDIF(G22,L22,"m")+1),))))))</f>
        <v/>
      </c>
      <c r="O22" s="593">
        <f>IF(K22=0,0,ROUND(((1-I22)/K22)*E22,4))</f>
        <v/>
      </c>
      <c r="P22" s="593">
        <f>ROUND(O22*N22,2)</f>
        <v/>
      </c>
      <c r="Q22" s="593">
        <f>IF(J22="","",ROUND(J22-P22,2))</f>
        <v/>
      </c>
      <c r="R22" s="593">
        <f>ROUND(O22*M22,2)</f>
        <v/>
      </c>
      <c r="S22" s="593">
        <f>ROUND(F22-R22,2)</f>
        <v/>
      </c>
    </row>
    <row r="23">
      <c r="A23" s="427" t="n">
        <v>18</v>
      </c>
      <c r="B23" s="596">
        <f>固定资产!B23</f>
        <v/>
      </c>
      <c r="C23" s="597">
        <f>固定资产!C23</f>
        <v/>
      </c>
      <c r="D23" s="597" t="n"/>
      <c r="E23" s="586">
        <f>固定资产!AA23</f>
        <v/>
      </c>
      <c r="F23" s="590">
        <f>固定资产!P23</f>
        <v/>
      </c>
      <c r="G23" s="597">
        <f>固定资产!D23</f>
        <v/>
      </c>
      <c r="H23" s="597">
        <f>固定资产!E23</f>
        <v/>
      </c>
      <c r="I23" s="431" t="n"/>
      <c r="J23" s="590" t="n"/>
      <c r="K23" s="432">
        <f>IF(H23=0,0,IF(RIGHT(H23,1)&lt;&gt;"年",H23*12,IF(LEN(H23)=3,VALUE(LEFT(H23,2))*12,IF(LEN(H23)=2,VALUE(LEFT(H23,1))*12,"??"))))</f>
        <v/>
      </c>
      <c r="L23" s="433">
        <f>IF(DAY(G23)=1,IF(G23=0,0,DATE(YEAR(G23),MONTH(G23)+K23,DAY(G23))),IF(G23=0,0,DATE(YEAR(G23),MONTH(G23)+K23,DAY(G23)-1)))</f>
        <v/>
      </c>
      <c r="M23" s="598">
        <f>MIN(IF(AND(DAY($E$4)=30,DAY(G23)=31),IF(OR(G23=0,G23=$E$4),0,IF(L23&gt;$E$4,VALUE(DATEDIF(G23,MIN($E$4,L23),"m"))+1,VALUE(DATEDIF(G23,MIN($E$4,L23),"m")+2))),IF(OR(G23=0,G23=$E$4),0,IF(L23&gt;$E$4,DATEDIF(G23,MIN($E$4,L23),"m"),VALUE(DATEDIF(G23,MIN($E$4,L23),"m")+1)))),K23)</f>
        <v/>
      </c>
      <c r="N23" s="598">
        <f>IF(AND(YEAR(G23)=YEAR($E$4),DAY($E$4)=30,DAY(G23)=31),IF(OR(G23=0,L23&lt;$C$4),0,IF(AND(G23&lt;$C$4,L23&gt;$E$4),VALUE(DATEDIF($C$4,$E$4,"m")+2),IF(AND(G23&lt;$C$4,L23&lt;=$E$4),VALUE(DATEDIF($C$4,L23,"m")+2),IF(AND(G23&gt;=$C$4,L23&gt;$E$4),VALUE(DATEDIF(G23,$E$4,"m")+1),IF(AND(G23&gt;=$C$4,L23&lt;=$E$4),VALUE(DATEDIF(G23,L23,"m")+2),))))),IF(OR(G23=0,L23&lt;$C$4),0,IF(AND(G23&lt;$C$4,L23&gt;$E$4),VALUE(DATEDIF($C$4,$E$4,"m")+1),IF(AND(G23&lt;$C$4,L23&lt;=$E$4),VALUE(DATEDIF($C$4,L23,"m")+1),IF(AND(G23&gt;=$C$4,L23&gt;$E$4),VALUE(DATEDIF(G23,$E$4,"m")),IF(AND(G23&gt;=$C$4,L23&lt;=$E$4),VALUE(DATEDIF(G23,L23,"m")+1),))))))</f>
        <v/>
      </c>
      <c r="O23" s="593">
        <f>IF(K23=0,0,ROUND(((1-I23)/K23)*E23,4))</f>
        <v/>
      </c>
      <c r="P23" s="593">
        <f>ROUND(O23*N23,2)</f>
        <v/>
      </c>
      <c r="Q23" s="593">
        <f>IF(J23="","",ROUND(J23-P23,2))</f>
        <v/>
      </c>
      <c r="R23" s="593">
        <f>ROUND(O23*M23,2)</f>
        <v/>
      </c>
      <c r="S23" s="593">
        <f>ROUND(F23-R23,2)</f>
        <v/>
      </c>
    </row>
    <row r="24">
      <c r="A24" s="427" t="n">
        <v>19</v>
      </c>
      <c r="B24" s="596">
        <f>固定资产!B24</f>
        <v/>
      </c>
      <c r="C24" s="597">
        <f>固定资产!C24</f>
        <v/>
      </c>
      <c r="D24" s="597" t="n"/>
      <c r="E24" s="586">
        <f>固定资产!AA24</f>
        <v/>
      </c>
      <c r="F24" s="590">
        <f>固定资产!P24</f>
        <v/>
      </c>
      <c r="G24" s="597">
        <f>固定资产!D24</f>
        <v/>
      </c>
      <c r="H24" s="597">
        <f>固定资产!E24</f>
        <v/>
      </c>
      <c r="I24" s="431" t="n"/>
      <c r="J24" s="590" t="n"/>
      <c r="K24" s="432">
        <f>IF(H24=0,0,IF(RIGHT(H24,1)&lt;&gt;"年",H24*12,IF(LEN(H24)=3,VALUE(LEFT(H24,2))*12,IF(LEN(H24)=2,VALUE(LEFT(H24,1))*12,"??"))))</f>
        <v/>
      </c>
      <c r="L24" s="433">
        <f>IF(DAY(G24)=1,IF(G24=0,0,DATE(YEAR(G24),MONTH(G24)+K24,DAY(G24))),IF(G24=0,0,DATE(YEAR(G24),MONTH(G24)+K24,DAY(G24)-1)))</f>
        <v/>
      </c>
      <c r="M24" s="598">
        <f>MIN(IF(AND(DAY($E$4)=30,DAY(G24)=31),IF(OR(G24=0,G24=$E$4),0,IF(L24&gt;$E$4,VALUE(DATEDIF(G24,MIN($E$4,L24),"m"))+1,VALUE(DATEDIF(G24,MIN($E$4,L24),"m")+2))),IF(OR(G24=0,G24=$E$4),0,IF(L24&gt;$E$4,DATEDIF(G24,MIN($E$4,L24),"m"),VALUE(DATEDIF(G24,MIN($E$4,L24),"m")+1)))),K24)</f>
        <v/>
      </c>
      <c r="N24" s="598">
        <f>IF(AND(YEAR(G24)=YEAR($E$4),DAY($E$4)=30,DAY(G24)=31),IF(OR(G24=0,L24&lt;$C$4),0,IF(AND(G24&lt;$C$4,L24&gt;$E$4),VALUE(DATEDIF($C$4,$E$4,"m")+2),IF(AND(G24&lt;$C$4,L24&lt;=$E$4),VALUE(DATEDIF($C$4,L24,"m")+2),IF(AND(G24&gt;=$C$4,L24&gt;$E$4),VALUE(DATEDIF(G24,$E$4,"m")+1),IF(AND(G24&gt;=$C$4,L24&lt;=$E$4),VALUE(DATEDIF(G24,L24,"m")+2),))))),IF(OR(G24=0,L24&lt;$C$4),0,IF(AND(G24&lt;$C$4,L24&gt;$E$4),VALUE(DATEDIF($C$4,$E$4,"m")+1),IF(AND(G24&lt;$C$4,L24&lt;=$E$4),VALUE(DATEDIF($C$4,L24,"m")+1),IF(AND(G24&gt;=$C$4,L24&gt;$E$4),VALUE(DATEDIF(G24,$E$4,"m")),IF(AND(G24&gt;=$C$4,L24&lt;=$E$4),VALUE(DATEDIF(G24,L24,"m")+1),))))))</f>
        <v/>
      </c>
      <c r="O24" s="593">
        <f>IF(K24=0,0,ROUND(((1-I24)/K24)*E24,4))</f>
        <v/>
      </c>
      <c r="P24" s="593">
        <f>ROUND(O24*N24,2)</f>
        <v/>
      </c>
      <c r="Q24" s="593">
        <f>IF(J24="","",ROUND(J24-P24,2))</f>
        <v/>
      </c>
      <c r="R24" s="593">
        <f>ROUND(O24*M24,2)</f>
        <v/>
      </c>
      <c r="S24" s="593">
        <f>ROUND(F24-R24,2)</f>
        <v/>
      </c>
    </row>
    <row r="25">
      <c r="A25" s="427" t="n">
        <v>20</v>
      </c>
      <c r="B25" s="596">
        <f>固定资产!B25</f>
        <v/>
      </c>
      <c r="C25" s="597">
        <f>固定资产!C25</f>
        <v/>
      </c>
      <c r="D25" s="597" t="n"/>
      <c r="E25" s="586">
        <f>固定资产!AA25</f>
        <v/>
      </c>
      <c r="F25" s="590">
        <f>固定资产!P25</f>
        <v/>
      </c>
      <c r="G25" s="597">
        <f>固定资产!D25</f>
        <v/>
      </c>
      <c r="H25" s="597">
        <f>固定资产!E25</f>
        <v/>
      </c>
      <c r="I25" s="431" t="n"/>
      <c r="J25" s="590" t="n"/>
      <c r="K25" s="432">
        <f>IF(H25=0,0,IF(RIGHT(H25,1)&lt;&gt;"年",H25*12,IF(LEN(H25)=3,VALUE(LEFT(H25,2))*12,IF(LEN(H25)=2,VALUE(LEFT(H25,1))*12,"??"))))</f>
        <v/>
      </c>
      <c r="L25" s="433">
        <f>IF(DAY(G25)=1,IF(G25=0,0,DATE(YEAR(G25),MONTH(G25)+K25,DAY(G25))),IF(G25=0,0,DATE(YEAR(G25),MONTH(G25)+K25,DAY(G25)-1)))</f>
        <v/>
      </c>
      <c r="M25" s="598">
        <f>MIN(IF(AND(DAY($E$4)=30,DAY(G25)=31),IF(OR(G25=0,G25=$E$4),0,IF(L25&gt;$E$4,VALUE(DATEDIF(G25,MIN($E$4,L25),"m"))+1,VALUE(DATEDIF(G25,MIN($E$4,L25),"m")+2))),IF(OR(G25=0,G25=$E$4),0,IF(L25&gt;$E$4,DATEDIF(G25,MIN($E$4,L25),"m"),VALUE(DATEDIF(G25,MIN($E$4,L25),"m")+1)))),K25)</f>
        <v/>
      </c>
      <c r="N25" s="598">
        <f>IF(AND(YEAR(G25)=YEAR($E$4),DAY($E$4)=30,DAY(G25)=31),IF(OR(G25=0,L25&lt;$C$4),0,IF(AND(G25&lt;$C$4,L25&gt;$E$4),VALUE(DATEDIF($C$4,$E$4,"m")+2),IF(AND(G25&lt;$C$4,L25&lt;=$E$4),VALUE(DATEDIF($C$4,L25,"m")+2),IF(AND(G25&gt;=$C$4,L25&gt;$E$4),VALUE(DATEDIF(G25,$E$4,"m")+1),IF(AND(G25&gt;=$C$4,L25&lt;=$E$4),VALUE(DATEDIF(G25,L25,"m")+2),))))),IF(OR(G25=0,L25&lt;$C$4),0,IF(AND(G25&lt;$C$4,L25&gt;$E$4),VALUE(DATEDIF($C$4,$E$4,"m")+1),IF(AND(G25&lt;$C$4,L25&lt;=$E$4),VALUE(DATEDIF($C$4,L25,"m")+1),IF(AND(G25&gt;=$C$4,L25&gt;$E$4),VALUE(DATEDIF(G25,$E$4,"m")),IF(AND(G25&gt;=$C$4,L25&lt;=$E$4),VALUE(DATEDIF(G25,L25,"m")+1),))))))</f>
        <v/>
      </c>
      <c r="O25" s="593">
        <f>IF(K25=0,0,ROUND(((1-I25)/K25)*E25,4))</f>
        <v/>
      </c>
      <c r="P25" s="593">
        <f>ROUND(O25*N25,2)</f>
        <v/>
      </c>
      <c r="Q25" s="593">
        <f>IF(J25="","",ROUND(J25-P25,2))</f>
        <v/>
      </c>
      <c r="R25" s="593">
        <f>ROUND(O25*M25,2)</f>
        <v/>
      </c>
      <c r="S25" s="593">
        <f>ROUND(F25-R25,2)</f>
        <v/>
      </c>
    </row>
    <row r="26">
      <c r="A26" s="427" t="n">
        <v>21</v>
      </c>
      <c r="B26" s="596">
        <f>固定资产!B26</f>
        <v/>
      </c>
      <c r="C26" s="597">
        <f>固定资产!C26</f>
        <v/>
      </c>
      <c r="D26" s="597" t="n"/>
      <c r="E26" s="586">
        <f>固定资产!AA26</f>
        <v/>
      </c>
      <c r="F26" s="590">
        <f>固定资产!P26</f>
        <v/>
      </c>
      <c r="G26" s="597">
        <f>固定资产!D26</f>
        <v/>
      </c>
      <c r="H26" s="597">
        <f>固定资产!E26</f>
        <v/>
      </c>
      <c r="I26" s="431" t="n"/>
      <c r="J26" s="590" t="n"/>
      <c r="K26" s="432">
        <f>IF(H26=0,0,IF(RIGHT(H26,1)&lt;&gt;"年",H26*12,IF(LEN(H26)=3,VALUE(LEFT(H26,2))*12,IF(LEN(H26)=2,VALUE(LEFT(H26,1))*12,"??"))))</f>
        <v/>
      </c>
      <c r="L26" s="433">
        <f>IF(DAY(G26)=1,IF(G26=0,0,DATE(YEAR(G26),MONTH(G26)+K26,DAY(G26))),IF(G26=0,0,DATE(YEAR(G26),MONTH(G26)+K26,DAY(G26)-1)))</f>
        <v/>
      </c>
      <c r="M26" s="598">
        <f>MIN(IF(AND(DAY($E$4)=30,DAY(G26)=31),IF(OR(G26=0,G26=$E$4),0,IF(L26&gt;$E$4,VALUE(DATEDIF(G26,MIN($E$4,L26),"m"))+1,VALUE(DATEDIF(G26,MIN($E$4,L26),"m")+2))),IF(OR(G26=0,G26=$E$4),0,IF(L26&gt;$E$4,DATEDIF(G26,MIN($E$4,L26),"m"),VALUE(DATEDIF(G26,MIN($E$4,L26),"m")+1)))),K26)</f>
        <v/>
      </c>
      <c r="N26" s="598">
        <f>IF(AND(YEAR(G26)=YEAR($E$4),DAY($E$4)=30,DAY(G26)=31),IF(OR(G26=0,L26&lt;$C$4),0,IF(AND(G26&lt;$C$4,L26&gt;$E$4),VALUE(DATEDIF($C$4,$E$4,"m")+2),IF(AND(G26&lt;$C$4,L26&lt;=$E$4),VALUE(DATEDIF($C$4,L26,"m")+2),IF(AND(G26&gt;=$C$4,L26&gt;$E$4),VALUE(DATEDIF(G26,$E$4,"m")+1),IF(AND(G26&gt;=$C$4,L26&lt;=$E$4),VALUE(DATEDIF(G26,L26,"m")+2),))))),IF(OR(G26=0,L26&lt;$C$4),0,IF(AND(G26&lt;$C$4,L26&gt;$E$4),VALUE(DATEDIF($C$4,$E$4,"m")+1),IF(AND(G26&lt;$C$4,L26&lt;=$E$4),VALUE(DATEDIF($C$4,L26,"m")+1),IF(AND(G26&gt;=$C$4,L26&gt;$E$4),VALUE(DATEDIF(G26,$E$4,"m")),IF(AND(G26&gt;=$C$4,L26&lt;=$E$4),VALUE(DATEDIF(G26,L26,"m")+1),))))))</f>
        <v/>
      </c>
      <c r="O26" s="593">
        <f>IF(K26=0,0,ROUND(((1-I26)/K26)*E26,4))</f>
        <v/>
      </c>
      <c r="P26" s="593">
        <f>ROUND(O26*N26,2)</f>
        <v/>
      </c>
      <c r="Q26" s="593">
        <f>IF(J26="","",ROUND(J26-P26,2))</f>
        <v/>
      </c>
      <c r="R26" s="593">
        <f>ROUND(O26*M26,2)</f>
        <v/>
      </c>
      <c r="S26" s="593">
        <f>ROUND(F26-R26,2)</f>
        <v/>
      </c>
    </row>
    <row r="27">
      <c r="A27" s="427" t="n">
        <v>22</v>
      </c>
      <c r="B27" s="596">
        <f>固定资产!B27</f>
        <v/>
      </c>
      <c r="C27" s="597">
        <f>固定资产!C27</f>
        <v/>
      </c>
      <c r="D27" s="597" t="n"/>
      <c r="E27" s="586">
        <f>固定资产!AA27</f>
        <v/>
      </c>
      <c r="F27" s="590">
        <f>固定资产!P27</f>
        <v/>
      </c>
      <c r="G27" s="597">
        <f>固定资产!D27</f>
        <v/>
      </c>
      <c r="H27" s="597">
        <f>固定资产!E27</f>
        <v/>
      </c>
      <c r="I27" s="431" t="n"/>
      <c r="J27" s="590" t="n"/>
      <c r="K27" s="432">
        <f>IF(H27=0,0,IF(RIGHT(H27,1)&lt;&gt;"年",H27*12,IF(LEN(H27)=3,VALUE(LEFT(H27,2))*12,IF(LEN(H27)=2,VALUE(LEFT(H27,1))*12,"??"))))</f>
        <v/>
      </c>
      <c r="L27" s="433">
        <f>IF(DAY(G27)=1,IF(G27=0,0,DATE(YEAR(G27),MONTH(G27)+K27,DAY(G27))),IF(G27=0,0,DATE(YEAR(G27),MONTH(G27)+K27,DAY(G27)-1)))</f>
        <v/>
      </c>
      <c r="M27" s="598">
        <f>MIN(IF(AND(DAY($E$4)=30,DAY(G27)=31),IF(OR(G27=0,G27=$E$4),0,IF(L27&gt;$E$4,VALUE(DATEDIF(G27,MIN($E$4,L27),"m"))+1,VALUE(DATEDIF(G27,MIN($E$4,L27),"m")+2))),IF(OR(G27=0,G27=$E$4),0,IF(L27&gt;$E$4,DATEDIF(G27,MIN($E$4,L27),"m"),VALUE(DATEDIF(G27,MIN($E$4,L27),"m")+1)))),K27)</f>
        <v/>
      </c>
      <c r="N27" s="598">
        <f>IF(AND(YEAR(G27)=YEAR($E$4),DAY($E$4)=30,DAY(G27)=31),IF(OR(G27=0,L27&lt;$C$4),0,IF(AND(G27&lt;$C$4,L27&gt;$E$4),VALUE(DATEDIF($C$4,$E$4,"m")+2),IF(AND(G27&lt;$C$4,L27&lt;=$E$4),VALUE(DATEDIF($C$4,L27,"m")+2),IF(AND(G27&gt;=$C$4,L27&gt;$E$4),VALUE(DATEDIF(G27,$E$4,"m")+1),IF(AND(G27&gt;=$C$4,L27&lt;=$E$4),VALUE(DATEDIF(G27,L27,"m")+2),))))),IF(OR(G27=0,L27&lt;$C$4),0,IF(AND(G27&lt;$C$4,L27&gt;$E$4),VALUE(DATEDIF($C$4,$E$4,"m")+1),IF(AND(G27&lt;$C$4,L27&lt;=$E$4),VALUE(DATEDIF($C$4,L27,"m")+1),IF(AND(G27&gt;=$C$4,L27&gt;$E$4),VALUE(DATEDIF(G27,$E$4,"m")),IF(AND(G27&gt;=$C$4,L27&lt;=$E$4),VALUE(DATEDIF(G27,L27,"m")+1),))))))</f>
        <v/>
      </c>
      <c r="O27" s="593">
        <f>IF(K27=0,0,ROUND(((1-I27)/K27)*E27,4))</f>
        <v/>
      </c>
      <c r="P27" s="593">
        <f>ROUND(O27*N27,2)</f>
        <v/>
      </c>
      <c r="Q27" s="593">
        <f>IF(J27="","",ROUND(J27-P27,2))</f>
        <v/>
      </c>
      <c r="R27" s="593">
        <f>ROUND(O27*M27,2)</f>
        <v/>
      </c>
      <c r="S27" s="593">
        <f>ROUND(F27-R27,2)</f>
        <v/>
      </c>
    </row>
    <row r="28">
      <c r="A28" s="427" t="n">
        <v>23</v>
      </c>
      <c r="B28" s="596">
        <f>固定资产!B28</f>
        <v/>
      </c>
      <c r="C28" s="597">
        <f>固定资产!C28</f>
        <v/>
      </c>
      <c r="D28" s="597" t="n"/>
      <c r="E28" s="586">
        <f>固定资产!AA28</f>
        <v/>
      </c>
      <c r="F28" s="590">
        <f>固定资产!P28</f>
        <v/>
      </c>
      <c r="G28" s="597">
        <f>固定资产!D28</f>
        <v/>
      </c>
      <c r="H28" s="597">
        <f>固定资产!E28</f>
        <v/>
      </c>
      <c r="I28" s="431" t="n"/>
      <c r="J28" s="590" t="n"/>
      <c r="K28" s="432">
        <f>IF(H28=0,0,IF(RIGHT(H28,1)&lt;&gt;"年",H28*12,IF(LEN(H28)=3,VALUE(LEFT(H28,2))*12,IF(LEN(H28)=2,VALUE(LEFT(H28,1))*12,"??"))))</f>
        <v/>
      </c>
      <c r="L28" s="433">
        <f>IF(DAY(G28)=1,IF(G28=0,0,DATE(YEAR(G28),MONTH(G28)+K28,DAY(G28))),IF(G28=0,0,DATE(YEAR(G28),MONTH(G28)+K28,DAY(G28)-1)))</f>
        <v/>
      </c>
      <c r="M28" s="598">
        <f>MIN(IF(AND(DAY($E$4)=30,DAY(G28)=31),IF(OR(G28=0,G28=$E$4),0,IF(L28&gt;$E$4,VALUE(DATEDIF(G28,MIN($E$4,L28),"m"))+1,VALUE(DATEDIF(G28,MIN($E$4,L28),"m")+2))),IF(OR(G28=0,G28=$E$4),0,IF(L28&gt;$E$4,DATEDIF(G28,MIN($E$4,L28),"m"),VALUE(DATEDIF(G28,MIN($E$4,L28),"m")+1)))),K28)</f>
        <v/>
      </c>
      <c r="N28" s="598">
        <f>IF(AND(YEAR(G28)=YEAR($E$4),DAY($E$4)=30,DAY(G28)=31),IF(OR(G28=0,L28&lt;$C$4),0,IF(AND(G28&lt;$C$4,L28&gt;$E$4),VALUE(DATEDIF($C$4,$E$4,"m")+2),IF(AND(G28&lt;$C$4,L28&lt;=$E$4),VALUE(DATEDIF($C$4,L28,"m")+2),IF(AND(G28&gt;=$C$4,L28&gt;$E$4),VALUE(DATEDIF(G28,$E$4,"m")+1),IF(AND(G28&gt;=$C$4,L28&lt;=$E$4),VALUE(DATEDIF(G28,L28,"m")+2),))))),IF(OR(G28=0,L28&lt;$C$4),0,IF(AND(G28&lt;$C$4,L28&gt;$E$4),VALUE(DATEDIF($C$4,$E$4,"m")+1),IF(AND(G28&lt;$C$4,L28&lt;=$E$4),VALUE(DATEDIF($C$4,L28,"m")+1),IF(AND(G28&gt;=$C$4,L28&gt;$E$4),VALUE(DATEDIF(G28,$E$4,"m")),IF(AND(G28&gt;=$C$4,L28&lt;=$E$4),VALUE(DATEDIF(G28,L28,"m")+1),))))))</f>
        <v/>
      </c>
      <c r="O28" s="593">
        <f>IF(K28=0,0,ROUND(((1-I28)/K28)*E28,4))</f>
        <v/>
      </c>
      <c r="P28" s="593">
        <f>ROUND(O28*N28,2)</f>
        <v/>
      </c>
      <c r="Q28" s="593">
        <f>IF(J28="","",ROUND(J28-P28,2))</f>
        <v/>
      </c>
      <c r="R28" s="593">
        <f>ROUND(O28*M28,2)</f>
        <v/>
      </c>
      <c r="S28" s="593">
        <f>ROUND(F28-R28,2)</f>
        <v/>
      </c>
    </row>
    <row r="29">
      <c r="A29" s="427" t="n">
        <v>24</v>
      </c>
      <c r="B29" s="596">
        <f>固定资产!B29</f>
        <v/>
      </c>
      <c r="C29" s="597">
        <f>固定资产!C29</f>
        <v/>
      </c>
      <c r="D29" s="597" t="n"/>
      <c r="E29" s="586">
        <f>固定资产!AA29</f>
        <v/>
      </c>
      <c r="F29" s="590">
        <f>固定资产!P29</f>
        <v/>
      </c>
      <c r="G29" s="597">
        <f>固定资产!D29</f>
        <v/>
      </c>
      <c r="H29" s="597">
        <f>固定资产!E29</f>
        <v/>
      </c>
      <c r="I29" s="431" t="n"/>
      <c r="J29" s="590" t="n"/>
      <c r="K29" s="432">
        <f>IF(H29=0,0,IF(RIGHT(H29,1)&lt;&gt;"年",H29*12,IF(LEN(H29)=3,VALUE(LEFT(H29,2))*12,IF(LEN(H29)=2,VALUE(LEFT(H29,1))*12,"??"))))</f>
        <v/>
      </c>
      <c r="L29" s="433">
        <f>IF(DAY(G29)=1,IF(G29=0,0,DATE(YEAR(G29),MONTH(G29)+K29,DAY(G29))),IF(G29=0,0,DATE(YEAR(G29),MONTH(G29)+K29,DAY(G29)-1)))</f>
        <v/>
      </c>
      <c r="M29" s="598">
        <f>MIN(IF(AND(DAY($E$4)=30,DAY(G29)=31),IF(OR(G29=0,G29=$E$4),0,IF(L29&gt;$E$4,VALUE(DATEDIF(G29,MIN($E$4,L29),"m"))+1,VALUE(DATEDIF(G29,MIN($E$4,L29),"m")+2))),IF(OR(G29=0,G29=$E$4),0,IF(L29&gt;$E$4,DATEDIF(G29,MIN($E$4,L29),"m"),VALUE(DATEDIF(G29,MIN($E$4,L29),"m")+1)))),K29)</f>
        <v/>
      </c>
      <c r="N29" s="598">
        <f>IF(AND(YEAR(G29)=YEAR($E$4),DAY($E$4)=30,DAY(G29)=31),IF(OR(G29=0,L29&lt;$C$4),0,IF(AND(G29&lt;$C$4,L29&gt;$E$4),VALUE(DATEDIF($C$4,$E$4,"m")+2),IF(AND(G29&lt;$C$4,L29&lt;=$E$4),VALUE(DATEDIF($C$4,L29,"m")+2),IF(AND(G29&gt;=$C$4,L29&gt;$E$4),VALUE(DATEDIF(G29,$E$4,"m")+1),IF(AND(G29&gt;=$C$4,L29&lt;=$E$4),VALUE(DATEDIF(G29,L29,"m")+2),))))),IF(OR(G29=0,L29&lt;$C$4),0,IF(AND(G29&lt;$C$4,L29&gt;$E$4),VALUE(DATEDIF($C$4,$E$4,"m")+1),IF(AND(G29&lt;$C$4,L29&lt;=$E$4),VALUE(DATEDIF($C$4,L29,"m")+1),IF(AND(G29&gt;=$C$4,L29&gt;$E$4),VALUE(DATEDIF(G29,$E$4,"m")),IF(AND(G29&gt;=$C$4,L29&lt;=$E$4),VALUE(DATEDIF(G29,L29,"m")+1),))))))</f>
        <v/>
      </c>
      <c r="O29" s="593">
        <f>IF(K29=0,0,ROUND(((1-I29)/K29)*E29,4))</f>
        <v/>
      </c>
      <c r="P29" s="593">
        <f>ROUND(O29*N29,2)</f>
        <v/>
      </c>
      <c r="Q29" s="593">
        <f>IF(J29="","",ROUND(J29-P29,2))</f>
        <v/>
      </c>
      <c r="R29" s="593">
        <f>ROUND(O29*M29,2)</f>
        <v/>
      </c>
      <c r="S29" s="593">
        <f>ROUND(F29-R29,2)</f>
        <v/>
      </c>
    </row>
    <row r="30">
      <c r="A30" s="427" t="n">
        <v>25</v>
      </c>
      <c r="B30" s="596">
        <f>固定资产!B30</f>
        <v/>
      </c>
      <c r="C30" s="597">
        <f>固定资产!C30</f>
        <v/>
      </c>
      <c r="D30" s="597" t="n"/>
      <c r="E30" s="586">
        <f>固定资产!AA30</f>
        <v/>
      </c>
      <c r="F30" s="590">
        <f>固定资产!P30</f>
        <v/>
      </c>
      <c r="G30" s="597">
        <f>固定资产!D30</f>
        <v/>
      </c>
      <c r="H30" s="597">
        <f>固定资产!E30</f>
        <v/>
      </c>
      <c r="I30" s="431" t="n"/>
      <c r="J30" s="590" t="n"/>
      <c r="K30" s="432">
        <f>IF(H30=0,0,IF(RIGHT(H30,1)&lt;&gt;"年",H30*12,IF(LEN(H30)=3,VALUE(LEFT(H30,2))*12,IF(LEN(H30)=2,VALUE(LEFT(H30,1))*12,"??"))))</f>
        <v/>
      </c>
      <c r="L30" s="433">
        <f>IF(DAY(G30)=1,IF(G30=0,0,DATE(YEAR(G30),MONTH(G30)+K30,DAY(G30))),IF(G30=0,0,DATE(YEAR(G30),MONTH(G30)+K30,DAY(G30)-1)))</f>
        <v/>
      </c>
      <c r="M30" s="598">
        <f>MIN(IF(AND(DAY($E$4)=30,DAY(G30)=31),IF(OR(G30=0,G30=$E$4),0,IF(L30&gt;$E$4,VALUE(DATEDIF(G30,MIN($E$4,L30),"m"))+1,VALUE(DATEDIF(G30,MIN($E$4,L30),"m")+2))),IF(OR(G30=0,G30=$E$4),0,IF(L30&gt;$E$4,DATEDIF(G30,MIN($E$4,L30),"m"),VALUE(DATEDIF(G30,MIN($E$4,L30),"m")+1)))),K30)</f>
        <v/>
      </c>
      <c r="N30" s="598">
        <f>IF(AND(YEAR(G30)=YEAR($E$4),DAY($E$4)=30,DAY(G30)=31),IF(OR(G30=0,L30&lt;$C$4),0,IF(AND(G30&lt;$C$4,L30&gt;$E$4),VALUE(DATEDIF($C$4,$E$4,"m")+2),IF(AND(G30&lt;$C$4,L30&lt;=$E$4),VALUE(DATEDIF($C$4,L30,"m")+2),IF(AND(G30&gt;=$C$4,L30&gt;$E$4),VALUE(DATEDIF(G30,$E$4,"m")+1),IF(AND(G30&gt;=$C$4,L30&lt;=$E$4),VALUE(DATEDIF(G30,L30,"m")+2),))))),IF(OR(G30=0,L30&lt;$C$4),0,IF(AND(G30&lt;$C$4,L30&gt;$E$4),VALUE(DATEDIF($C$4,$E$4,"m")+1),IF(AND(G30&lt;$C$4,L30&lt;=$E$4),VALUE(DATEDIF($C$4,L30,"m")+1),IF(AND(G30&gt;=$C$4,L30&gt;$E$4),VALUE(DATEDIF(G30,$E$4,"m")),IF(AND(G30&gt;=$C$4,L30&lt;=$E$4),VALUE(DATEDIF(G30,L30,"m")+1),))))))</f>
        <v/>
      </c>
      <c r="O30" s="593">
        <f>IF(K30=0,0,ROUND(((1-I30)/K30)*E30,4))</f>
        <v/>
      </c>
      <c r="P30" s="593">
        <f>ROUND(O30*N30,2)</f>
        <v/>
      </c>
      <c r="Q30" s="593">
        <f>IF(J30="","",ROUND(J30-P30,2))</f>
        <v/>
      </c>
      <c r="R30" s="593">
        <f>ROUND(O30*M30,2)</f>
        <v/>
      </c>
      <c r="S30" s="593">
        <f>ROUND(F30-R30,2)</f>
        <v/>
      </c>
    </row>
    <row r="31">
      <c r="A31" s="427" t="n">
        <v>26</v>
      </c>
      <c r="B31" s="596">
        <f>固定资产!B31</f>
        <v/>
      </c>
      <c r="C31" s="597">
        <f>固定资产!C31</f>
        <v/>
      </c>
      <c r="D31" s="597" t="n"/>
      <c r="E31" s="586">
        <f>固定资产!AA31</f>
        <v/>
      </c>
      <c r="F31" s="590">
        <f>固定资产!P31</f>
        <v/>
      </c>
      <c r="G31" s="597">
        <f>固定资产!D31</f>
        <v/>
      </c>
      <c r="H31" s="597">
        <f>固定资产!E31</f>
        <v/>
      </c>
      <c r="I31" s="431" t="n"/>
      <c r="J31" s="590" t="n"/>
      <c r="K31" s="432">
        <f>IF(H31=0,0,IF(RIGHT(H31,1)&lt;&gt;"年",H31*12,IF(LEN(H31)=3,VALUE(LEFT(H31,2))*12,IF(LEN(H31)=2,VALUE(LEFT(H31,1))*12,"??"))))</f>
        <v/>
      </c>
      <c r="L31" s="433">
        <f>IF(DAY(G31)=1,IF(G31=0,0,DATE(YEAR(G31),MONTH(G31)+K31,DAY(G31))),IF(G31=0,0,DATE(YEAR(G31),MONTH(G31)+K31,DAY(G31)-1)))</f>
        <v/>
      </c>
      <c r="M31" s="598">
        <f>MIN(IF(AND(DAY($E$4)=30,DAY(G31)=31),IF(OR(G31=0,G31=$E$4),0,IF(L31&gt;$E$4,VALUE(DATEDIF(G31,MIN($E$4,L31),"m"))+1,VALUE(DATEDIF(G31,MIN($E$4,L31),"m")+2))),IF(OR(G31=0,G31=$E$4),0,IF(L31&gt;$E$4,DATEDIF(G31,MIN($E$4,L31),"m"),VALUE(DATEDIF(G31,MIN($E$4,L31),"m")+1)))),K31)</f>
        <v/>
      </c>
      <c r="N31" s="598">
        <f>IF(AND(YEAR(G31)=YEAR($E$4),DAY($E$4)=30,DAY(G31)=31),IF(OR(G31=0,L31&lt;$C$4),0,IF(AND(G31&lt;$C$4,L31&gt;$E$4),VALUE(DATEDIF($C$4,$E$4,"m")+2),IF(AND(G31&lt;$C$4,L31&lt;=$E$4),VALUE(DATEDIF($C$4,L31,"m")+2),IF(AND(G31&gt;=$C$4,L31&gt;$E$4),VALUE(DATEDIF(G31,$E$4,"m")+1),IF(AND(G31&gt;=$C$4,L31&lt;=$E$4),VALUE(DATEDIF(G31,L31,"m")+2),))))),IF(OR(G31=0,L31&lt;$C$4),0,IF(AND(G31&lt;$C$4,L31&gt;$E$4),VALUE(DATEDIF($C$4,$E$4,"m")+1),IF(AND(G31&lt;$C$4,L31&lt;=$E$4),VALUE(DATEDIF($C$4,L31,"m")+1),IF(AND(G31&gt;=$C$4,L31&gt;$E$4),VALUE(DATEDIF(G31,$E$4,"m")),IF(AND(G31&gt;=$C$4,L31&lt;=$E$4),VALUE(DATEDIF(G31,L31,"m")+1),))))))</f>
        <v/>
      </c>
      <c r="O31" s="593">
        <f>IF(K31=0,0,ROUND(((1-I31)/K31)*E31,4))</f>
        <v/>
      </c>
      <c r="P31" s="593">
        <f>ROUND(O31*N31,2)</f>
        <v/>
      </c>
      <c r="Q31" s="593">
        <f>IF(J31="","",ROUND(J31-P31,2))</f>
        <v/>
      </c>
      <c r="R31" s="593">
        <f>ROUND(O31*M31,2)</f>
        <v/>
      </c>
      <c r="S31" s="593">
        <f>ROUND(F31-R31,2)</f>
        <v/>
      </c>
    </row>
    <row r="32">
      <c r="A32" s="427" t="n">
        <v>27</v>
      </c>
      <c r="B32" s="596">
        <f>固定资产!B32</f>
        <v/>
      </c>
      <c r="C32" s="597">
        <f>固定资产!C32</f>
        <v/>
      </c>
      <c r="D32" s="597" t="n"/>
      <c r="E32" s="586">
        <f>固定资产!AA32</f>
        <v/>
      </c>
      <c r="F32" s="590">
        <f>固定资产!P32</f>
        <v/>
      </c>
      <c r="G32" s="597">
        <f>固定资产!D32</f>
        <v/>
      </c>
      <c r="H32" s="597">
        <f>固定资产!E32</f>
        <v/>
      </c>
      <c r="I32" s="431" t="n"/>
      <c r="J32" s="590" t="n"/>
      <c r="K32" s="432">
        <f>IF(H32=0,0,IF(RIGHT(H32,1)&lt;&gt;"年",H32*12,IF(LEN(H32)=3,VALUE(LEFT(H32,2))*12,IF(LEN(H32)=2,VALUE(LEFT(H32,1))*12,"??"))))</f>
        <v/>
      </c>
      <c r="L32" s="433">
        <f>IF(DAY(G32)=1,IF(G32=0,0,DATE(YEAR(G32),MONTH(G32)+K32,DAY(G32))),IF(G32=0,0,DATE(YEAR(G32),MONTH(G32)+K32,DAY(G32)-1)))</f>
        <v/>
      </c>
      <c r="M32" s="598">
        <f>MIN(IF(AND(DAY($E$4)=30,DAY(G32)=31),IF(OR(G32=0,G32=$E$4),0,IF(L32&gt;$E$4,VALUE(DATEDIF(G32,MIN($E$4,L32),"m"))+1,VALUE(DATEDIF(G32,MIN($E$4,L32),"m")+2))),IF(OR(G32=0,G32=$E$4),0,IF(L32&gt;$E$4,DATEDIF(G32,MIN($E$4,L32),"m"),VALUE(DATEDIF(G32,MIN($E$4,L32),"m")+1)))),K32)</f>
        <v/>
      </c>
      <c r="N32" s="598">
        <f>IF(AND(YEAR(G32)=YEAR($E$4),DAY($E$4)=30,DAY(G32)=31),IF(OR(G32=0,L32&lt;$C$4),0,IF(AND(G32&lt;$C$4,L32&gt;$E$4),VALUE(DATEDIF($C$4,$E$4,"m")+2),IF(AND(G32&lt;$C$4,L32&lt;=$E$4),VALUE(DATEDIF($C$4,L32,"m")+2),IF(AND(G32&gt;=$C$4,L32&gt;$E$4),VALUE(DATEDIF(G32,$E$4,"m")+1),IF(AND(G32&gt;=$C$4,L32&lt;=$E$4),VALUE(DATEDIF(G32,L32,"m")+2),))))),IF(OR(G32=0,L32&lt;$C$4),0,IF(AND(G32&lt;$C$4,L32&gt;$E$4),VALUE(DATEDIF($C$4,$E$4,"m")+1),IF(AND(G32&lt;$C$4,L32&lt;=$E$4),VALUE(DATEDIF($C$4,L32,"m")+1),IF(AND(G32&gt;=$C$4,L32&gt;$E$4),VALUE(DATEDIF(G32,$E$4,"m")),IF(AND(G32&gt;=$C$4,L32&lt;=$E$4),VALUE(DATEDIF(G32,L32,"m")+1),))))))</f>
        <v/>
      </c>
      <c r="O32" s="593">
        <f>IF(K32=0,0,ROUND(((1-I32)/K32)*E32,4))</f>
        <v/>
      </c>
      <c r="P32" s="593">
        <f>ROUND(O32*N32,2)</f>
        <v/>
      </c>
      <c r="Q32" s="593">
        <f>IF(J32="","",ROUND(J32-P32,2))</f>
        <v/>
      </c>
      <c r="R32" s="593">
        <f>ROUND(O32*M32,2)</f>
        <v/>
      </c>
      <c r="S32" s="593">
        <f>ROUND(F32-R32,2)</f>
        <v/>
      </c>
    </row>
    <row r="33">
      <c r="A33" s="427" t="n">
        <v>28</v>
      </c>
      <c r="B33" s="596">
        <f>固定资产!B33</f>
        <v/>
      </c>
      <c r="C33" s="597">
        <f>固定资产!C33</f>
        <v/>
      </c>
      <c r="D33" s="597" t="n"/>
      <c r="E33" s="586">
        <f>固定资产!AA33</f>
        <v/>
      </c>
      <c r="F33" s="590">
        <f>固定资产!P33</f>
        <v/>
      </c>
      <c r="G33" s="597">
        <f>固定资产!D33</f>
        <v/>
      </c>
      <c r="H33" s="597">
        <f>固定资产!E33</f>
        <v/>
      </c>
      <c r="I33" s="431" t="n"/>
      <c r="J33" s="590" t="n"/>
      <c r="K33" s="432">
        <f>IF(H33=0,0,IF(RIGHT(H33,1)&lt;&gt;"年",H33*12,IF(LEN(H33)=3,VALUE(LEFT(H33,2))*12,IF(LEN(H33)=2,VALUE(LEFT(H33,1))*12,"??"))))</f>
        <v/>
      </c>
      <c r="L33" s="433">
        <f>IF(DAY(G33)=1,IF(G33=0,0,DATE(YEAR(G33),MONTH(G33)+K33,DAY(G33))),IF(G33=0,0,DATE(YEAR(G33),MONTH(G33)+K33,DAY(G33)-1)))</f>
        <v/>
      </c>
      <c r="M33" s="598">
        <f>MIN(IF(AND(DAY($E$4)=30,DAY(G33)=31),IF(OR(G33=0,G33=$E$4),0,IF(L33&gt;$E$4,VALUE(DATEDIF(G33,MIN($E$4,L33),"m"))+1,VALUE(DATEDIF(G33,MIN($E$4,L33),"m")+2))),IF(OR(G33=0,G33=$E$4),0,IF(L33&gt;$E$4,DATEDIF(G33,MIN($E$4,L33),"m"),VALUE(DATEDIF(G33,MIN($E$4,L33),"m")+1)))),K33)</f>
        <v/>
      </c>
      <c r="N33" s="598">
        <f>IF(AND(YEAR(G33)=YEAR($E$4),DAY($E$4)=30,DAY(G33)=31),IF(OR(G33=0,L33&lt;$C$4),0,IF(AND(G33&lt;$C$4,L33&gt;$E$4),VALUE(DATEDIF($C$4,$E$4,"m")+2),IF(AND(G33&lt;$C$4,L33&lt;=$E$4),VALUE(DATEDIF($C$4,L33,"m")+2),IF(AND(G33&gt;=$C$4,L33&gt;$E$4),VALUE(DATEDIF(G33,$E$4,"m")+1),IF(AND(G33&gt;=$C$4,L33&lt;=$E$4),VALUE(DATEDIF(G33,L33,"m")+2),))))),IF(OR(G33=0,L33&lt;$C$4),0,IF(AND(G33&lt;$C$4,L33&gt;$E$4),VALUE(DATEDIF($C$4,$E$4,"m")+1),IF(AND(G33&lt;$C$4,L33&lt;=$E$4),VALUE(DATEDIF($C$4,L33,"m")+1),IF(AND(G33&gt;=$C$4,L33&gt;$E$4),VALUE(DATEDIF(G33,$E$4,"m")),IF(AND(G33&gt;=$C$4,L33&lt;=$E$4),VALUE(DATEDIF(G33,L33,"m")+1),))))))</f>
        <v/>
      </c>
      <c r="O33" s="593">
        <f>IF(K33=0,0,ROUND(((1-I33)/K33)*E33,4))</f>
        <v/>
      </c>
      <c r="P33" s="593">
        <f>ROUND(O33*N33,2)</f>
        <v/>
      </c>
      <c r="Q33" s="593">
        <f>IF(J33="","",ROUND(J33-P33,2))</f>
        <v/>
      </c>
      <c r="R33" s="593">
        <f>ROUND(O33*M33,2)</f>
        <v/>
      </c>
      <c r="S33" s="593">
        <f>ROUND(F33-R33,2)</f>
        <v/>
      </c>
    </row>
    <row r="34">
      <c r="A34" s="435" t="n">
        <v>29</v>
      </c>
      <c r="B34" s="596">
        <f>固定资产!B34</f>
        <v/>
      </c>
      <c r="C34" s="597">
        <f>固定资产!C34</f>
        <v/>
      </c>
      <c r="D34" s="597" t="n"/>
      <c r="E34" s="586">
        <f>固定资产!AA34</f>
        <v/>
      </c>
      <c r="F34" s="590">
        <f>固定资产!P34</f>
        <v/>
      </c>
      <c r="G34" s="597">
        <f>固定资产!D34</f>
        <v/>
      </c>
      <c r="H34" s="597">
        <f>固定资产!E34</f>
        <v/>
      </c>
      <c r="I34" s="431" t="n"/>
      <c r="J34" s="590" t="n"/>
      <c r="K34" s="432">
        <f>IF(H34=0,0,IF(RIGHT(H34,1)&lt;&gt;"年",H34*12,IF(LEN(H34)=3,VALUE(LEFT(H34,2))*12,IF(LEN(H34)=2,VALUE(LEFT(H34,1))*12,"??"))))</f>
        <v/>
      </c>
      <c r="L34" s="433">
        <f>IF(DAY(G34)=1,IF(G34=0,0,DATE(YEAR(G34),MONTH(G34)+K34,DAY(G34))),IF(G34=0,0,DATE(YEAR(G34),MONTH(G34)+K34,DAY(G34)-1)))</f>
        <v/>
      </c>
      <c r="M34" s="598">
        <f>MIN(IF(AND(DAY($E$4)=30,DAY(G34)=31),IF(OR(G34=0,G34=$E$4),0,IF(L34&gt;$E$4,VALUE(DATEDIF(G34,MIN($E$4,L34),"m"))+1,VALUE(DATEDIF(G34,MIN($E$4,L34),"m")+2))),IF(OR(G34=0,G34=$E$4),0,IF(L34&gt;$E$4,DATEDIF(G34,MIN($E$4,L34),"m"),VALUE(DATEDIF(G34,MIN($E$4,L34),"m")+1)))),K34)</f>
        <v/>
      </c>
      <c r="N34" s="598">
        <f>IF(AND(YEAR(G34)=YEAR($E$4),DAY($E$4)=30,DAY(G34)=31),IF(OR(G34=0,L34&lt;$C$4),0,IF(AND(G34&lt;$C$4,L34&gt;$E$4),VALUE(DATEDIF($C$4,$E$4,"m")+2),IF(AND(G34&lt;$C$4,L34&lt;=$E$4),VALUE(DATEDIF($C$4,L34,"m")+2),IF(AND(G34&gt;=$C$4,L34&gt;$E$4),VALUE(DATEDIF(G34,$E$4,"m")+1),IF(AND(G34&gt;=$C$4,L34&lt;=$E$4),VALUE(DATEDIF(G34,L34,"m")+2),))))),IF(OR(G34=0,L34&lt;$C$4),0,IF(AND(G34&lt;$C$4,L34&gt;$E$4),VALUE(DATEDIF($C$4,$E$4,"m")+1),IF(AND(G34&lt;$C$4,L34&lt;=$E$4),VALUE(DATEDIF($C$4,L34,"m")+1),IF(AND(G34&gt;=$C$4,L34&gt;$E$4),VALUE(DATEDIF(G34,$E$4,"m")),IF(AND(G34&gt;=$C$4,L34&lt;=$E$4),VALUE(DATEDIF(G34,L34,"m")+1),))))))</f>
        <v/>
      </c>
      <c r="O34" s="593">
        <f>IF(K34=0,0,ROUND(((1-I34)/K34)*E34,4))</f>
        <v/>
      </c>
      <c r="P34" s="593">
        <f>ROUND(O34*N34,2)</f>
        <v/>
      </c>
      <c r="Q34" s="593">
        <f>IF(J34="","",ROUND(J34-P34,2))</f>
        <v/>
      </c>
      <c r="R34" s="593">
        <f>ROUND(O34*M34,2)</f>
        <v/>
      </c>
      <c r="S34" s="593">
        <f>ROUND(F34-R34,2)</f>
        <v/>
      </c>
    </row>
    <row r="35" ht="18" customHeight="1" s="559">
      <c r="A35" s="599" t="inlineStr">
        <is>
          <t>合计</t>
        </is>
      </c>
      <c r="B35" s="562" t="n"/>
      <c r="C35" s="562" t="n"/>
      <c r="D35" s="563" t="n"/>
      <c r="E35" s="583">
        <f>SUM(E6:E34)</f>
        <v/>
      </c>
      <c r="F35" s="583">
        <f>SUM(F6:F34)</f>
        <v/>
      </c>
      <c r="G35" s="600" t="n"/>
      <c r="H35" s="600" t="n"/>
      <c r="I35" s="600" t="n"/>
      <c r="J35" s="583">
        <f>SUM(J6:J34)</f>
        <v/>
      </c>
      <c r="K35" s="600" t="n"/>
      <c r="L35" s="600" t="n"/>
      <c r="M35" s="600" t="n"/>
      <c r="N35" s="600" t="n"/>
      <c r="O35" s="583">
        <f>SUM(O6:O34)</f>
        <v/>
      </c>
      <c r="P35" s="583">
        <f>SUM(P6:P34)</f>
        <v/>
      </c>
      <c r="Q35" s="583">
        <f>SUM(Q6:Q34)</f>
        <v/>
      </c>
      <c r="R35" s="583">
        <f>SUM(R6:R34)</f>
        <v/>
      </c>
      <c r="S35" s="583">
        <f>SUM(S6:S34)</f>
        <v/>
      </c>
    </row>
    <row r="37">
      <c r="B37" s="570" t="inlineStr">
        <is>
          <t>审计说明：</t>
        </is>
      </c>
    </row>
  </sheetData>
  <mergeCells count="3">
    <mergeCell ref="A4:B4"/>
    <mergeCell ref="A35:D35"/>
    <mergeCell ref="A1:S1"/>
  </mergeCell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codeName="Sheet11">
    <outlinePr summaryBelow="1" summaryRight="1"/>
    <pageSetUpPr/>
  </sheetPr>
  <dimension ref="A1:P35"/>
  <sheetViews>
    <sheetView zoomScale="90" zoomScaleNormal="90" workbookViewId="0">
      <pane ySplit="6" topLeftCell="A7" activePane="bottomLeft" state="frozen"/>
      <selection activeCell="A1" sqref="A1"/>
      <selection pane="bottomLeft" activeCell="J10" sqref="J10"/>
    </sheetView>
  </sheetViews>
  <sheetFormatPr baseColWidth="8" defaultColWidth="8.731481481481479" defaultRowHeight="14.4"/>
  <cols>
    <col width="5.90740740740741" customWidth="1" style="559" min="1" max="1"/>
    <col width="16.8148148148148" customWidth="1" style="559" min="2" max="2"/>
    <col width="12.3611111111111" customWidth="1" style="559" min="3" max="3"/>
    <col width="12.0925925925926" customWidth="1" style="559" min="4" max="4"/>
    <col width="11.9074074074074" customWidth="1" style="559" min="7" max="7"/>
    <col width="12.4537037037037" customWidth="1" style="559" min="9" max="9"/>
    <col width="13.7314814814815" customWidth="1" style="559" min="11" max="11"/>
    <col width="12.9351851851852" customWidth="1" style="559" min="12" max="12"/>
    <col width="11.9074074074074" customWidth="1" style="559" min="13" max="13"/>
    <col width="13.0925925925926" customWidth="1" style="559" min="14" max="14"/>
    <col width="10.2685185185185" customWidth="1" style="559" min="15" max="15"/>
    <col width="13.0925925925926" customWidth="1" style="559" min="16" max="16"/>
  </cols>
  <sheetData>
    <row r="1" ht="23" customHeight="1" s="559">
      <c r="A1" s="1" t="inlineStr">
        <is>
          <t>无形资产明细表</t>
        </is>
      </c>
    </row>
    <row r="2">
      <c r="A2" s="2">
        <f>备忘录!$A$1</f>
        <v/>
      </c>
      <c r="B2" s="456" t="n"/>
      <c r="C2" s="456" t="n"/>
      <c r="H2" s="456" t="inlineStr">
        <is>
          <t>编制人：刘喜琴</t>
        </is>
      </c>
      <c r="I2" s="456" t="n"/>
      <c r="J2" s="456" t="n"/>
      <c r="K2" s="456">
        <f>备忘录!$C$2</f>
        <v/>
      </c>
    </row>
    <row r="3">
      <c r="A3" s="2">
        <f>备忘录!$A$2</f>
        <v/>
      </c>
      <c r="B3" s="456" t="n"/>
      <c r="C3" s="456" t="n"/>
      <c r="H3" s="456" t="inlineStr">
        <is>
          <t>复核人：赵玮</t>
        </is>
      </c>
      <c r="I3" s="456" t="n"/>
      <c r="J3" s="456" t="n"/>
      <c r="K3" s="456">
        <f>备忘录!$C$3</f>
        <v/>
      </c>
    </row>
    <row r="4">
      <c r="A4" s="367" t="n"/>
      <c r="B4" s="368" t="inlineStr">
        <is>
          <t>一、原值</t>
        </is>
      </c>
      <c r="C4" s="369" t="n"/>
      <c r="D4" s="369" t="n"/>
      <c r="E4" s="369" t="n"/>
      <c r="F4" s="369" t="n"/>
      <c r="G4" s="369" t="n"/>
      <c r="H4" s="369" t="n"/>
      <c r="I4" s="370" t="n"/>
      <c r="J4" s="371" t="n"/>
      <c r="K4" s="371" t="n"/>
      <c r="L4" s="405" t="n"/>
      <c r="M4" s="372" t="n"/>
      <c r="N4" s="405" t="n"/>
      <c r="O4" s="405" t="n"/>
      <c r="P4" s="405" t="n"/>
    </row>
    <row r="5" ht="16" customHeight="1" s="559">
      <c r="A5" s="601" t="inlineStr">
        <is>
          <t>序号</t>
        </is>
      </c>
      <c r="B5" s="602" t="inlineStr">
        <is>
          <t>无形资产名称</t>
        </is>
      </c>
      <c r="C5" s="602" t="inlineStr">
        <is>
          <t>无形资产
类别</t>
        </is>
      </c>
      <c r="D5" s="603" t="inlineStr">
        <is>
          <t>未审数</t>
        </is>
      </c>
      <c r="E5" s="562" t="n"/>
      <c r="F5" s="562" t="n"/>
      <c r="G5" s="562" t="n"/>
      <c r="H5" s="562" t="n"/>
      <c r="I5" s="563" t="n"/>
      <c r="J5" s="604" t="inlineStr">
        <is>
          <t>期初数调整金额</t>
        </is>
      </c>
      <c r="K5" s="605" t="inlineStr">
        <is>
          <t>本期审计调整</t>
        </is>
      </c>
      <c r="L5" s="563" t="n"/>
      <c r="M5" s="603" t="inlineStr">
        <is>
          <t>审定数</t>
        </is>
      </c>
      <c r="N5" s="562" t="n"/>
      <c r="O5" s="562" t="n"/>
      <c r="P5" s="563" t="n"/>
    </row>
    <row r="6" ht="17" customHeight="1" s="559">
      <c r="A6" s="560" t="n"/>
      <c r="B6" s="560" t="n"/>
      <c r="C6" s="560" t="n"/>
      <c r="D6" s="603" t="inlineStr">
        <is>
          <t>期初数</t>
        </is>
      </c>
      <c r="E6" s="606" t="inlineStr">
        <is>
          <t>本期借方</t>
        </is>
      </c>
      <c r="F6" s="606" t="inlineStr">
        <is>
          <t>本期贷方</t>
        </is>
      </c>
      <c r="G6" s="603" t="inlineStr">
        <is>
          <t>期末数</t>
        </is>
      </c>
      <c r="H6" s="581" t="inlineStr">
        <is>
          <t>企业调整</t>
        </is>
      </c>
      <c r="I6" s="606" t="inlineStr">
        <is>
          <t>期末报表列报</t>
        </is>
      </c>
      <c r="J6" s="560" t="n"/>
      <c r="K6" s="606" t="inlineStr">
        <is>
          <t>借方调整</t>
        </is>
      </c>
      <c r="L6" s="606" t="inlineStr">
        <is>
          <t>贷方调整</t>
        </is>
      </c>
      <c r="M6" s="603" t="inlineStr">
        <is>
          <t>期初数</t>
        </is>
      </c>
      <c r="N6" s="606" t="inlineStr">
        <is>
          <t>本期借方</t>
        </is>
      </c>
      <c r="O6" s="606" t="inlineStr">
        <is>
          <t>本期贷方</t>
        </is>
      </c>
      <c r="P6" s="603" t="inlineStr">
        <is>
          <t>期末数</t>
        </is>
      </c>
    </row>
    <row r="7" ht="17" customHeight="1" s="559">
      <c r="A7" s="384" t="n">
        <v>1</v>
      </c>
      <c r="B7" s="607" t="n"/>
      <c r="C7" s="386" t="n"/>
      <c r="D7" s="608" t="n"/>
      <c r="E7" s="608" t="n"/>
      <c r="F7" s="608" t="n"/>
      <c r="G7" s="609">
        <f>ROUND(D7+E7-F7,2)</f>
        <v/>
      </c>
      <c r="H7" s="608" t="n"/>
      <c r="I7" s="609">
        <f>ROUND(SUM(G7:H7),2)</f>
        <v/>
      </c>
      <c r="J7" s="608" t="n"/>
      <c r="K7" s="608" t="n"/>
      <c r="L7" s="610" t="n"/>
      <c r="M7" s="611">
        <f>ROUND(D7+J7,2)</f>
        <v/>
      </c>
      <c r="N7" s="611">
        <f>ROUND(E7+K7,2)</f>
        <v/>
      </c>
      <c r="O7" s="611">
        <f>ROUND(F7+L7,2)</f>
        <v/>
      </c>
      <c r="P7" s="611">
        <f>ROUND(M7+N7-O7,2)</f>
        <v/>
      </c>
    </row>
    <row r="8" ht="17" customHeight="1" s="559">
      <c r="A8" s="384" t="n">
        <v>2</v>
      </c>
      <c r="B8" s="607" t="n"/>
      <c r="C8" s="386" t="n"/>
      <c r="D8" s="608" t="n"/>
      <c r="E8" s="608" t="n"/>
      <c r="F8" s="608" t="n"/>
      <c r="G8" s="609">
        <f>ROUND(D8+E8-F8,2)</f>
        <v/>
      </c>
      <c r="H8" s="608" t="n"/>
      <c r="I8" s="609">
        <f>ROUND(SUM(G8:H8),2)</f>
        <v/>
      </c>
      <c r="J8" s="608" t="n"/>
      <c r="K8" s="608" t="n"/>
      <c r="L8" s="610" t="n"/>
      <c r="M8" s="611">
        <f>ROUND(D8+J8,2)</f>
        <v/>
      </c>
      <c r="N8" s="611">
        <f>ROUND(E8+K8,2)</f>
        <v/>
      </c>
      <c r="O8" s="611">
        <f>ROUND(F8+L8,2)</f>
        <v/>
      </c>
      <c r="P8" s="611">
        <f>ROUND(M8+N8-O8,2)</f>
        <v/>
      </c>
    </row>
    <row r="9" ht="17" customHeight="1" s="559">
      <c r="A9" s="403" t="n"/>
      <c r="B9" s="391" t="inlineStr">
        <is>
          <t>合计</t>
        </is>
      </c>
      <c r="C9" s="392" t="inlineStr">
        <is>
          <t>——</t>
        </is>
      </c>
      <c r="D9" s="612">
        <f>ROUND(SUM(D7:D8),2)</f>
        <v/>
      </c>
      <c r="E9" s="612">
        <f>ROUND(SUM(E7:E8),2)</f>
        <v/>
      </c>
      <c r="F9" s="612">
        <f>ROUND(SUM(F7:F8),2)</f>
        <v/>
      </c>
      <c r="G9" s="612">
        <f>ROUND(SUM(G7:G8),2)</f>
        <v/>
      </c>
      <c r="H9" s="612">
        <f>ROUND(SUM(H7:H8),2)</f>
        <v/>
      </c>
      <c r="I9" s="612">
        <f>ROUND(SUM(I7:I8),2)</f>
        <v/>
      </c>
      <c r="J9" s="612">
        <f>ROUND(SUM(J7:J8),2)</f>
        <v/>
      </c>
      <c r="K9" s="612">
        <f>ROUND(SUM(K7:K8),2)</f>
        <v/>
      </c>
      <c r="L9" s="612">
        <f>ROUND(SUM(L7:L8),2)</f>
        <v/>
      </c>
      <c r="M9" s="612">
        <f>ROUND(SUM(M7:M8),2)</f>
        <v/>
      </c>
      <c r="N9" s="612">
        <f>ROUND(SUM(N7:N8),2)</f>
        <v/>
      </c>
      <c r="O9" s="612">
        <f>ROUND(SUM(O7:O8),2)</f>
        <v/>
      </c>
      <c r="P9" s="612">
        <f>ROUND(SUM(P7:P8),2)</f>
        <v/>
      </c>
    </row>
    <row r="11">
      <c r="A11" s="394" t="n"/>
      <c r="B11" s="368" t="inlineStr">
        <is>
          <t>二、累计摊销</t>
        </is>
      </c>
      <c r="C11" s="405" t="n"/>
      <c r="D11" s="405" t="n"/>
      <c r="E11" s="405" t="n"/>
      <c r="F11" s="405" t="n"/>
      <c r="G11" s="405" t="n"/>
      <c r="H11" s="405" t="n"/>
      <c r="I11" s="405" t="n"/>
      <c r="J11" s="405" t="n"/>
      <c r="K11" s="405" t="n"/>
      <c r="L11" s="405" t="n"/>
      <c r="M11" s="395" t="n"/>
      <c r="N11" s="405" t="n"/>
      <c r="O11" s="405" t="n"/>
      <c r="P11" s="405" t="n"/>
    </row>
    <row r="12">
      <c r="A12" s="601" t="inlineStr">
        <is>
          <t>序号</t>
        </is>
      </c>
      <c r="B12" s="602" t="inlineStr">
        <is>
          <t>无形资产名称</t>
        </is>
      </c>
      <c r="C12" s="602" t="inlineStr">
        <is>
          <t>无形资产
类别</t>
        </is>
      </c>
      <c r="D12" s="603" t="inlineStr">
        <is>
          <t>未审数</t>
        </is>
      </c>
      <c r="E12" s="562" t="n"/>
      <c r="F12" s="562" t="n"/>
      <c r="G12" s="562" t="n"/>
      <c r="H12" s="562" t="n"/>
      <c r="I12" s="563" t="n"/>
      <c r="J12" s="604" t="inlineStr">
        <is>
          <t>期初数调整金额</t>
        </is>
      </c>
      <c r="K12" s="605" t="inlineStr">
        <is>
          <t>本期审计调整</t>
        </is>
      </c>
      <c r="L12" s="563" t="n"/>
      <c r="M12" s="603" t="inlineStr">
        <is>
          <t>审定数</t>
        </is>
      </c>
      <c r="N12" s="562" t="n"/>
      <c r="O12" s="562" t="n"/>
      <c r="P12" s="563" t="n"/>
    </row>
    <row r="13">
      <c r="A13" s="560" t="n"/>
      <c r="B13" s="560" t="n"/>
      <c r="C13" s="560" t="n"/>
      <c r="D13" s="603" t="inlineStr">
        <is>
          <t>期初数</t>
        </is>
      </c>
      <c r="E13" s="606" t="inlineStr">
        <is>
          <t>本期借方</t>
        </is>
      </c>
      <c r="F13" s="606" t="inlineStr">
        <is>
          <t>本期贷方</t>
        </is>
      </c>
      <c r="G13" s="603" t="inlineStr">
        <is>
          <t>期末数</t>
        </is>
      </c>
      <c r="H13" s="581" t="inlineStr">
        <is>
          <t>企业调整</t>
        </is>
      </c>
      <c r="I13" s="606" t="inlineStr">
        <is>
          <t>期末报表列报</t>
        </is>
      </c>
      <c r="J13" s="560" t="n"/>
      <c r="K13" s="606" t="inlineStr">
        <is>
          <t>借方调整</t>
        </is>
      </c>
      <c r="L13" s="606" t="inlineStr">
        <is>
          <t>贷方调整</t>
        </is>
      </c>
      <c r="M13" s="603" t="inlineStr">
        <is>
          <t>期初数</t>
        </is>
      </c>
      <c r="N13" s="606" t="inlineStr">
        <is>
          <t>本期借方</t>
        </is>
      </c>
      <c r="O13" s="606" t="inlineStr">
        <is>
          <t>本期贷方</t>
        </is>
      </c>
      <c r="P13" s="603" t="inlineStr">
        <is>
          <t>期末数</t>
        </is>
      </c>
    </row>
    <row r="14" ht="16" customHeight="1" s="559">
      <c r="A14" s="396" t="n">
        <v>1</v>
      </c>
      <c r="B14" s="613" t="n"/>
      <c r="C14" s="386" t="n"/>
      <c r="D14" s="576" t="n"/>
      <c r="E14" s="608" t="n"/>
      <c r="F14" s="608" t="n"/>
      <c r="G14" s="609">
        <f>ROUND(D14-E14+F14,2)</f>
        <v/>
      </c>
      <c r="H14" s="608" t="n"/>
      <c r="I14" s="614">
        <f>ROUND(SUM(G14:H14),2)</f>
        <v/>
      </c>
      <c r="J14" s="608" t="n"/>
      <c r="K14" s="610" t="n"/>
      <c r="L14" s="610" t="n"/>
      <c r="M14" s="611">
        <f>ROUND(D14+J14,2)</f>
        <v/>
      </c>
      <c r="N14" s="611">
        <f>ROUND(E14+K14,2)</f>
        <v/>
      </c>
      <c r="O14" s="615">
        <f>ROUND(F14+L14,2)</f>
        <v/>
      </c>
      <c r="P14" s="615">
        <f>ROUND(M14-N14+O14,2)</f>
        <v/>
      </c>
    </row>
    <row r="15" ht="16" customHeight="1" s="559">
      <c r="A15" s="396" t="n">
        <v>2</v>
      </c>
      <c r="B15" s="607" t="n"/>
      <c r="C15" s="386" t="n"/>
      <c r="D15" s="576" t="n"/>
      <c r="E15" s="608" t="n"/>
      <c r="F15" s="608" t="n"/>
      <c r="G15" s="609">
        <f>D15-E15+F15</f>
        <v/>
      </c>
      <c r="H15" s="608" t="n"/>
      <c r="I15" s="614">
        <f>SUM(G15:H15)</f>
        <v/>
      </c>
      <c r="J15" s="608" t="n"/>
      <c r="K15" s="610" t="n"/>
      <c r="L15" s="616" t="n"/>
      <c r="M15" s="611">
        <f>ROUND(D15+J15,2)</f>
        <v/>
      </c>
      <c r="N15" s="611">
        <f>ROUND(E15+K15,2)</f>
        <v/>
      </c>
      <c r="O15" s="615">
        <f>ROUND(F15+L15,2)</f>
        <v/>
      </c>
      <c r="P15" s="615">
        <f>ROUND(M15-N15+O15,2)</f>
        <v/>
      </c>
    </row>
    <row r="16" ht="16" customHeight="1" s="559">
      <c r="A16" s="403" t="n"/>
      <c r="B16" s="391" t="inlineStr">
        <is>
          <t>合计</t>
        </is>
      </c>
      <c r="C16" s="403" t="inlineStr">
        <is>
          <t>——</t>
        </is>
      </c>
      <c r="D16" s="617">
        <f>ROUND(SUM(D14:D15),2)</f>
        <v/>
      </c>
      <c r="E16" s="609">
        <f>ROUND(SUM(E14:E15),2)</f>
        <v/>
      </c>
      <c r="F16" s="609">
        <f>ROUND(SUM(F14:F15),2)</f>
        <v/>
      </c>
      <c r="G16" s="609">
        <f>ROUND(SUM(G14:G15),2)</f>
        <v/>
      </c>
      <c r="H16" s="609">
        <f>ROUND(SUM(H14:H15),2)</f>
        <v/>
      </c>
      <c r="I16" s="614">
        <f>ROUND(SUM(I14:I15),2)</f>
        <v/>
      </c>
      <c r="J16" s="609">
        <f>ROUND(SUM(J14:J15),2)</f>
        <v/>
      </c>
      <c r="K16" s="609">
        <f>ROUND(SUM(K14:K15),2)</f>
        <v/>
      </c>
      <c r="L16" s="614">
        <f>ROUND(SUM(L14:L15),2)</f>
        <v/>
      </c>
      <c r="M16" s="609">
        <f>ROUND(SUM(M14:M15),2)</f>
        <v/>
      </c>
      <c r="N16" s="609">
        <f>ROUND(SUM(N14:N15),2)</f>
        <v/>
      </c>
      <c r="O16" s="614">
        <f>ROUND(SUM(O14:O15),2)</f>
        <v/>
      </c>
      <c r="P16" s="614">
        <f>ROUND(SUM(P14:P15),2)</f>
        <v/>
      </c>
    </row>
    <row r="18">
      <c r="A18" s="394" t="n"/>
      <c r="B18" s="368" t="inlineStr">
        <is>
          <t>三、减值准备</t>
        </is>
      </c>
      <c r="C18" s="405" t="n"/>
      <c r="D18" s="405" t="n"/>
      <c r="E18" s="405" t="n"/>
      <c r="F18" s="405" t="n"/>
      <c r="G18" s="405" t="n"/>
      <c r="H18" s="405" t="n"/>
      <c r="I18" s="405" t="n"/>
      <c r="J18" s="405" t="n"/>
      <c r="K18" s="405" t="n"/>
      <c r="L18" s="405" t="n"/>
      <c r="M18" s="395" t="n"/>
      <c r="N18" s="405" t="n"/>
      <c r="O18" s="405" t="n"/>
      <c r="P18" s="405" t="n"/>
    </row>
    <row r="19">
      <c r="A19" s="601" t="inlineStr">
        <is>
          <t>序号</t>
        </is>
      </c>
      <c r="B19" s="602" t="inlineStr">
        <is>
          <t>无形资产名称</t>
        </is>
      </c>
      <c r="C19" s="602" t="inlineStr">
        <is>
          <t>无形资产
类别</t>
        </is>
      </c>
      <c r="D19" s="603" t="inlineStr">
        <is>
          <t>未审数</t>
        </is>
      </c>
      <c r="E19" s="562" t="n"/>
      <c r="F19" s="562" t="n"/>
      <c r="G19" s="562" t="n"/>
      <c r="H19" s="562" t="n"/>
      <c r="I19" s="563" t="n"/>
      <c r="J19" s="604" t="inlineStr">
        <is>
          <t>期初数调整金额</t>
        </is>
      </c>
      <c r="K19" s="605" t="inlineStr">
        <is>
          <t>本期审计调整</t>
        </is>
      </c>
      <c r="L19" s="563" t="n"/>
      <c r="M19" s="603" t="inlineStr">
        <is>
          <t>审定数</t>
        </is>
      </c>
      <c r="N19" s="562" t="n"/>
      <c r="O19" s="562" t="n"/>
      <c r="P19" s="563" t="n"/>
    </row>
    <row r="20">
      <c r="A20" s="560" t="n"/>
      <c r="B20" s="560" t="n"/>
      <c r="C20" s="560" t="n"/>
      <c r="D20" s="603" t="inlineStr">
        <is>
          <t>期初数</t>
        </is>
      </c>
      <c r="E20" s="606" t="inlineStr">
        <is>
          <t>本期借方</t>
        </is>
      </c>
      <c r="F20" s="606" t="inlineStr">
        <is>
          <t>本期贷方</t>
        </is>
      </c>
      <c r="G20" s="603" t="inlineStr">
        <is>
          <t>期末数</t>
        </is>
      </c>
      <c r="H20" s="581" t="inlineStr">
        <is>
          <t>企业调整</t>
        </is>
      </c>
      <c r="I20" s="606" t="inlineStr">
        <is>
          <t>期末报表列报</t>
        </is>
      </c>
      <c r="J20" s="560" t="n"/>
      <c r="K20" s="606" t="inlineStr">
        <is>
          <t>借方调整</t>
        </is>
      </c>
      <c r="L20" s="606" t="inlineStr">
        <is>
          <t>贷方调整</t>
        </is>
      </c>
      <c r="M20" s="603" t="inlineStr">
        <is>
          <t>期初数</t>
        </is>
      </c>
      <c r="N20" s="606" t="inlineStr">
        <is>
          <t>本期借方</t>
        </is>
      </c>
      <c r="O20" s="606" t="inlineStr">
        <is>
          <t>本期贷方</t>
        </is>
      </c>
      <c r="P20" s="603" t="inlineStr">
        <is>
          <t>期末数</t>
        </is>
      </c>
    </row>
    <row r="21" ht="16" customHeight="1" s="559">
      <c r="A21" s="396" t="n">
        <v>1</v>
      </c>
      <c r="B21" s="613" t="n"/>
      <c r="C21" s="386" t="n"/>
      <c r="D21" s="618" t="n"/>
      <c r="E21" s="618" t="n"/>
      <c r="F21" s="618" t="n"/>
      <c r="G21" s="619">
        <f>ROUND(D21-E21+F21,2)</f>
        <v/>
      </c>
      <c r="H21" s="618" t="n"/>
      <c r="I21" s="619">
        <f>ROUND(SUM(G21:H21),2)</f>
        <v/>
      </c>
      <c r="J21" s="618" t="n"/>
      <c r="K21" s="620" t="n"/>
      <c r="L21" s="620" t="n"/>
      <c r="M21" s="621">
        <f>ROUND(D21+J21,2)</f>
        <v/>
      </c>
      <c r="N21" s="621">
        <f>ROUND(E21+K21,2)</f>
        <v/>
      </c>
      <c r="O21" s="621">
        <f>ROUND(F21+L21,2)</f>
        <v/>
      </c>
      <c r="P21" s="621">
        <f>ROUND(M21-N21+O21,2)</f>
        <v/>
      </c>
    </row>
    <row r="22" ht="16" customHeight="1" s="559">
      <c r="A22" s="396" t="n">
        <v>2</v>
      </c>
      <c r="B22" s="607" t="n"/>
      <c r="C22" s="386" t="n"/>
      <c r="D22" s="618" t="n"/>
      <c r="E22" s="618" t="n"/>
      <c r="F22" s="618" t="n"/>
      <c r="G22" s="619">
        <f>ROUND(D22-E22+F22,2)</f>
        <v/>
      </c>
      <c r="H22" s="618" t="n"/>
      <c r="I22" s="619">
        <f>ROUND(SUM(G22:H22),2)</f>
        <v/>
      </c>
      <c r="J22" s="618" t="n"/>
      <c r="K22" s="620" t="n"/>
      <c r="L22" s="620" t="n"/>
      <c r="M22" s="621">
        <f>ROUND(D22+J22,2)</f>
        <v/>
      </c>
      <c r="N22" s="621">
        <f>ROUND(E22+K22,2)</f>
        <v/>
      </c>
      <c r="O22" s="621">
        <f>ROUND(F22+L22,2)</f>
        <v/>
      </c>
      <c r="P22" s="621">
        <f>ROUND(M22-N22+O22,2)</f>
        <v/>
      </c>
    </row>
    <row r="23" ht="16" customHeight="1" s="559">
      <c r="A23" s="403" t="n"/>
      <c r="B23" s="391" t="inlineStr">
        <is>
          <t>合计</t>
        </is>
      </c>
      <c r="C23" s="403" t="inlineStr">
        <is>
          <t>——</t>
        </is>
      </c>
      <c r="D23" s="619">
        <f>ROUND(SUM(D21:D22),2)</f>
        <v/>
      </c>
      <c r="E23" s="619">
        <f>ROUND(SUM(E21:E22),2)</f>
        <v/>
      </c>
      <c r="F23" s="619">
        <f>ROUND(SUM(F21:F22),2)</f>
        <v/>
      </c>
      <c r="G23" s="619">
        <f>ROUND(SUM(G21:G22),2)</f>
        <v/>
      </c>
      <c r="H23" s="619">
        <f>ROUND(SUM(H21:H22),2)</f>
        <v/>
      </c>
      <c r="I23" s="619">
        <f>ROUND(SUM(I21:I22),2)</f>
        <v/>
      </c>
      <c r="J23" s="619">
        <f>ROUND(SUM(J21:J22),2)</f>
        <v/>
      </c>
      <c r="K23" s="619">
        <f>ROUND(SUM(K21:K22),2)</f>
        <v/>
      </c>
      <c r="L23" s="619">
        <f>ROUND(SUM(L21:L22),2)</f>
        <v/>
      </c>
      <c r="M23" s="619">
        <f>ROUND(SUM(M21:M22),2)</f>
        <v/>
      </c>
      <c r="N23" s="619">
        <f>ROUND(SUM(N21:N22),2)</f>
        <v/>
      </c>
      <c r="O23" s="619">
        <f>ROUND(SUM(O21:O22),2)</f>
        <v/>
      </c>
      <c r="P23" s="619">
        <f>ROUND(SUM(P21:P22),2)</f>
        <v/>
      </c>
    </row>
    <row r="25" ht="22" customHeight="1" s="559">
      <c r="A25" s="413" t="inlineStr">
        <is>
          <t>四、账面净值</t>
        </is>
      </c>
      <c r="B25" s="563" t="n"/>
      <c r="C25" s="415" t="n"/>
      <c r="D25" s="622">
        <f>ROUND(D9-D16-D23,2)</f>
        <v/>
      </c>
      <c r="E25" s="622">
        <f>ROUND(E9-E16-E23,2)</f>
        <v/>
      </c>
      <c r="F25" s="622">
        <f>ROUND(F9-F16-F23,2)</f>
        <v/>
      </c>
      <c r="G25" s="622">
        <f>ROUND(G9-G16-G23,2)</f>
        <v/>
      </c>
      <c r="H25" s="622">
        <f>ROUND(H9-H16-H23,2)</f>
        <v/>
      </c>
      <c r="I25" s="622">
        <f>ROUND(I9-I16-I23,2)</f>
        <v/>
      </c>
      <c r="J25" s="622">
        <f>ROUND(J9-J16-J23,2)</f>
        <v/>
      </c>
      <c r="K25" s="622">
        <f>ROUND(K9-K16-K23,2)</f>
        <v/>
      </c>
      <c r="L25" s="622">
        <f>ROUND(L9-L16-L23,2)</f>
        <v/>
      </c>
      <c r="M25" s="622">
        <f>ROUND(M9-M16-M23,2)</f>
        <v/>
      </c>
      <c r="N25" s="622">
        <f>ROUND(N9-N16-N23,2)</f>
        <v/>
      </c>
      <c r="O25" s="622">
        <f>ROUND(O9-O16-O23,2)</f>
        <v/>
      </c>
      <c r="P25" s="622">
        <f>ROUND(P9-P16-P23,2)</f>
        <v/>
      </c>
    </row>
    <row r="27">
      <c r="D27" s="570" t="inlineStr">
        <is>
          <t>审计说明：</t>
        </is>
      </c>
    </row>
    <row r="29">
      <c r="C29" s="417" t="inlineStr">
        <is>
          <t>软件</t>
        </is>
      </c>
    </row>
    <row r="30">
      <c r="C30" s="417" t="inlineStr">
        <is>
          <t>土地使用权</t>
        </is>
      </c>
    </row>
    <row r="31">
      <c r="C31" s="417" t="inlineStr">
        <is>
          <t>专利权</t>
        </is>
      </c>
    </row>
    <row r="32">
      <c r="C32" s="417" t="inlineStr">
        <is>
          <t>非专有技术</t>
        </is>
      </c>
    </row>
    <row r="33">
      <c r="C33" s="418" t="inlineStr">
        <is>
          <t>商标权</t>
        </is>
      </c>
    </row>
    <row r="34">
      <c r="C34" s="418" t="inlineStr">
        <is>
          <t>著作权</t>
        </is>
      </c>
    </row>
    <row r="35">
      <c r="C35" s="418" t="inlineStr">
        <is>
          <t>特许经营权</t>
        </is>
      </c>
    </row>
  </sheetData>
  <mergeCells count="23">
    <mergeCell ref="B12:B13"/>
    <mergeCell ref="K5:L5"/>
    <mergeCell ref="M19:P19"/>
    <mergeCell ref="A25:B25"/>
    <mergeCell ref="A12:A13"/>
    <mergeCell ref="C12:C13"/>
    <mergeCell ref="D12:I12"/>
    <mergeCell ref="B19:B20"/>
    <mergeCell ref="M5:P5"/>
    <mergeCell ref="A5:A6"/>
    <mergeCell ref="K12:L12"/>
    <mergeCell ref="A1:P1"/>
    <mergeCell ref="D5:I5"/>
    <mergeCell ref="J12:J13"/>
    <mergeCell ref="A19:A20"/>
    <mergeCell ref="B5:B6"/>
    <mergeCell ref="C19:C20"/>
    <mergeCell ref="D19:I19"/>
    <mergeCell ref="J5:J6"/>
    <mergeCell ref="K19:L19"/>
    <mergeCell ref="M12:P12"/>
    <mergeCell ref="J19:J20"/>
    <mergeCell ref="C5:C6"/>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codeName="Sheet12">
    <outlinePr summaryBelow="1" summaryRight="1"/>
    <pageSetUpPr/>
  </sheetPr>
  <dimension ref="A1:R10"/>
  <sheetViews>
    <sheetView zoomScale="90" zoomScaleNormal="90" workbookViewId="0">
      <selection activeCell="J10" sqref="J10"/>
    </sheetView>
  </sheetViews>
  <sheetFormatPr baseColWidth="8" defaultColWidth="8.731481481481479" defaultRowHeight="14.4"/>
  <cols>
    <col width="17.7685185185185" customWidth="1" style="559" min="1" max="1"/>
    <col width="12.1111111111111" customWidth="1" style="559" min="2" max="2"/>
    <col width="12.4166666666667" customWidth="1" style="559" min="3" max="3"/>
    <col width="13.4351851851852" customWidth="1" style="559" min="4" max="4"/>
    <col width="12.6203703703704" customWidth="1" style="559" min="9" max="9"/>
    <col width="11.4074074074074" customWidth="1" style="559" min="17" max="17"/>
    <col width="13.3240740740741" customWidth="1" style="559" min="18" max="18"/>
  </cols>
  <sheetData>
    <row r="1" ht="32" customHeight="1" s="559">
      <c r="A1" s="1" t="inlineStr">
        <is>
          <t>无形资产累计摊销计算表（未计提减值情况下适用）</t>
        </is>
      </c>
    </row>
    <row r="2">
      <c r="A2" s="2">
        <f>备忘录!$A$1</f>
        <v/>
      </c>
      <c r="B2" s="456" t="n"/>
      <c r="C2" s="456" t="n"/>
      <c r="H2" s="456" t="inlineStr">
        <is>
          <t>编制人：刘喜琴</t>
        </is>
      </c>
      <c r="I2" s="456" t="n"/>
      <c r="J2" s="456" t="n"/>
      <c r="N2" s="456">
        <f>备忘录!$C$2</f>
        <v/>
      </c>
    </row>
    <row r="3">
      <c r="A3" s="2">
        <f>备忘录!$A$2</f>
        <v/>
      </c>
      <c r="B3" s="456" t="n"/>
      <c r="C3" s="456" t="n"/>
      <c r="H3" s="456" t="inlineStr">
        <is>
          <t>复核人：赵玮</t>
        </is>
      </c>
      <c r="I3" s="456" t="n"/>
      <c r="J3" s="456" t="n"/>
      <c r="N3" s="456">
        <f>备忘录!$C$3</f>
        <v/>
      </c>
    </row>
    <row r="4" ht="23" customHeight="1" s="559">
      <c r="A4" s="353" t="inlineStr">
        <is>
          <t>期初：</t>
        </is>
      </c>
      <c r="B4" s="354" t="n">
        <v>45658</v>
      </c>
      <c r="C4" s="353" t="inlineStr">
        <is>
          <t>摊销期末：</t>
        </is>
      </c>
      <c r="D4" s="355" t="n">
        <v>45930</v>
      </c>
    </row>
    <row r="5" ht="32" customHeight="1" s="559">
      <c r="A5" s="356" t="inlineStr">
        <is>
          <t>无形资产名称</t>
        </is>
      </c>
      <c r="B5" s="356" t="inlineStr">
        <is>
          <t>原值</t>
        </is>
      </c>
      <c r="C5" s="356" t="inlineStr">
        <is>
          <t>累计摊销</t>
        </is>
      </c>
      <c r="D5" s="356" t="inlineStr">
        <is>
          <t>开始使用日期</t>
        </is>
      </c>
      <c r="E5" s="356" t="inlineStr">
        <is>
          <t>使用期限（年）</t>
        </is>
      </c>
      <c r="F5" s="356" t="inlineStr">
        <is>
          <t>账面月摊销额</t>
        </is>
      </c>
      <c r="G5" s="356" t="inlineStr">
        <is>
          <t>当期摊销额</t>
        </is>
      </c>
      <c r="H5" s="356" t="inlineStr">
        <is>
          <t>摊销期限（月）</t>
        </is>
      </c>
      <c r="I5" s="356" t="inlineStr">
        <is>
          <t>测算到期日</t>
        </is>
      </c>
      <c r="J5" s="356" t="inlineStr">
        <is>
          <t>已摊销月份</t>
        </is>
      </c>
      <c r="K5" s="356" t="inlineStr">
        <is>
          <t>剩余摊销月份</t>
        </is>
      </c>
      <c r="L5" s="356" t="inlineStr">
        <is>
          <t>本期摊销月份</t>
        </is>
      </c>
      <c r="M5" s="356" t="inlineStr">
        <is>
          <t>月摊销</t>
        </is>
      </c>
      <c r="N5" s="356" t="inlineStr">
        <is>
          <t>当期摊销费用</t>
        </is>
      </c>
      <c r="O5" s="356" t="inlineStr">
        <is>
          <t>月摊销额差异</t>
        </is>
      </c>
      <c r="P5" s="356" t="inlineStr">
        <is>
          <t>累计摊销</t>
        </is>
      </c>
      <c r="Q5" s="356" t="inlineStr">
        <is>
          <t>当期摊销额差异</t>
        </is>
      </c>
      <c r="R5" s="356" t="inlineStr">
        <is>
          <t>累计摊销额差异</t>
        </is>
      </c>
    </row>
    <row r="6" ht="21" customFormat="1" customHeight="1" s="352">
      <c r="A6" s="357" t="n"/>
      <c r="B6" s="623" t="n"/>
      <c r="C6" s="623" t="n"/>
      <c r="D6" s="624" t="n"/>
      <c r="E6" s="360" t="n"/>
      <c r="F6" s="623" t="n"/>
      <c r="G6" s="623" t="n"/>
      <c r="H6" s="361">
        <f>IF(E6=0,0,IF(RIGHT(E6,1)&lt;&gt;"年",E6*12,IF(LEN(E6)=3,VALUE(LEFT(E6,2))*12,IF(LEN(E6)=2,VALUE(LEFT(E6,1))*12,"??"))))</f>
        <v/>
      </c>
      <c r="I6" s="625">
        <f>IF(DAY(D6)=1,IF(D6=0,0,DATE(YEAR(D6),MONTH(D6)+H6-1,DAY(D6))),IF(D6=0,0,DATE(YEAR(D6),MONTH(D6)+H6-1,DAY(D6)-1)))</f>
        <v/>
      </c>
      <c r="J6" s="361">
        <f>IF(D6="",0,MIN(IF(AND(DAY($D$4)=30,DAY(D6)=31),IF(OR(D6=0,D6=$D$4),0,IF(I6&gt;$D$4,VALUE(DATEDIF(D6,MIN($D$4,I6),"m"))+1,VALUE(DATEDIF(D6,MIN($D$4,I6),"m")+2))),IF(OR(D6=0,D6=$D$4),0,IF(I6&gt;$D$4,DATEDIF(D6,MIN($D$4,I6),"m"),VALUE(DATEDIF(D6,MIN($D$4,I6),"m")+1)))),H6))</f>
        <v/>
      </c>
      <c r="K6" s="361">
        <f>IF(J6="",0,H6-J6)</f>
        <v/>
      </c>
      <c r="L6" s="361">
        <f>IF(AND(YEAR(D6)=YEAR($D$4),DAY($D$4)=30,DAY(D6)=31),IF(OR(D6=0,I6&lt;$B$4),0,IF(AND(D6&lt;$B$4,I6&gt;$D$4),VALUE(DATEDIF($B$4,$D$4,"m")+2),IF(AND(D6&lt;$B$4,I6&lt;=$D$4),VALUE(DATEDIF($B$4,I6,"m")+2),IF(AND(D6&gt;=$B$4,I6&gt;$D$4),VALUE(DATEDIF(D6,$D$4,"m")+1),IF(AND(D6&gt;=$B$4,I6&lt;=$D$4),VALUE(DATEDIF(D6,I6,"m")+2),))))),IF(OR(D6=0,I6&lt;$B$4),0,IF(AND(D6&lt;$B$4,I6&gt;$D$4),VALUE(DATEDIF($B$4,$D$4,"m")+1),IF(AND(D6&lt;$B$4,I6&lt;=$D$4),VALUE(DATEDIF($B$4,I6,"m")+1),IF(AND(D6&gt;=$B$4,I6&gt;$D$4),VALUE(DATEDIF(D6,$D$4,"m")+1),IF(AND(D6&gt;=$B$4,I6&lt;=$D$4),VALUE(DATEDIF(D6,I6,"m")+1),))))))</f>
        <v/>
      </c>
      <c r="M6" s="626">
        <f>IF(H6=0,0,ROUND(((1-0)/H6)*B6,4))</f>
        <v/>
      </c>
      <c r="N6" s="627">
        <f>L6*M6</f>
        <v/>
      </c>
      <c r="O6" s="627">
        <f>M6-F6</f>
        <v/>
      </c>
      <c r="P6" s="627">
        <f>M6*J6</f>
        <v/>
      </c>
      <c r="Q6" s="627">
        <f>G6-N6</f>
        <v/>
      </c>
      <c r="R6" s="627">
        <f>C6-P6</f>
        <v/>
      </c>
    </row>
    <row r="7" ht="21" customFormat="1" customHeight="1" s="352">
      <c r="A7" s="360" t="n"/>
      <c r="B7" s="623" t="n"/>
      <c r="C7" s="623" t="n"/>
      <c r="D7" s="624" t="n"/>
      <c r="E7" s="360" t="n"/>
      <c r="F7" s="623" t="n"/>
      <c r="G7" s="623" t="n"/>
      <c r="H7" s="361">
        <f>IF(E7=0,0,IF(RIGHT(E7,1)&lt;&gt;"年",E7*12,IF(LEN(E7)=3,VALUE(LEFT(E7,2))*12,IF(LEN(E7)=2,VALUE(LEFT(E7,1))*12,"??"))))</f>
        <v/>
      </c>
      <c r="I7" s="625">
        <f>IF(DAY(D7)=1,IF(D7=0,0,DATE(YEAR(D7),MONTH(D7)+H7-1,DAY(D7))),IF(D7=0,0,DATE(YEAR(D7),MONTH(D7)+H7-1,DAY(D7)-1)))</f>
        <v/>
      </c>
      <c r="J7" s="361">
        <f>IF(D7="",0,MIN(IF(AND(DAY($D$4)=30,DAY(D7)=31),IF(OR(D7=0,D7=$D$4),0,IF(I7&gt;$D$4,VALUE(DATEDIF(D7,MIN($D$4,I7),"m"))+1,VALUE(DATEDIF(D7,MIN($D$4,I7),"m")+2))),IF(OR(D7=0,D7=$D$4),0,IF(I7&gt;$D$4,DATEDIF(D7,MIN($D$4,I7),"m"),VALUE(DATEDIF(D7,MIN($D$4,I7),"m")+1)))),H7))</f>
        <v/>
      </c>
      <c r="K7" s="361">
        <f>IF(J7="",0,H7-J7)</f>
        <v/>
      </c>
      <c r="L7" s="361">
        <f>IF(AND(YEAR(D7)=YEAR($D$4),DAY($D$4)=30,DAY(D7)=31),IF(OR(D7=0,I7&lt;$B$4),0,IF(AND(D7&lt;$B$4,I7&gt;$D$4),VALUE(DATEDIF($B$4,$D$4,"m")+2),IF(AND(D7&lt;$B$4,I7&lt;=$D$4),VALUE(DATEDIF($B$4,I7,"m")+2),IF(AND(D7&gt;=$B$4,I7&gt;$D$4),VALUE(DATEDIF(D7,$D$4,"m")+1),IF(AND(D7&gt;=$B$4,I7&lt;=$D$4),VALUE(DATEDIF(D7,I7,"m")+2),))))),IF(OR(D7=0,I7&lt;$B$4),0,IF(AND(D7&lt;$B$4,I7&gt;$D$4),VALUE(DATEDIF($B$4,$D$4,"m")+1),IF(AND(D7&lt;$B$4,I7&lt;=$D$4),VALUE(DATEDIF($B$4,I7,"m")+1),IF(AND(D7&gt;=$B$4,I7&gt;$D$4),VALUE(DATEDIF(D7,$D$4,"m")+1),IF(AND(D7&gt;=$B$4,I7&lt;=$D$4),VALUE(DATEDIF(D7,I7,"m")+1),))))))</f>
        <v/>
      </c>
      <c r="M7" s="626">
        <f>IF(H7=0,0,ROUND(((1-0)/H7)*B7,4))</f>
        <v/>
      </c>
      <c r="N7" s="627">
        <f>L7*M7</f>
        <v/>
      </c>
      <c r="O7" s="627">
        <f>M7-F7</f>
        <v/>
      </c>
      <c r="P7" s="627">
        <f>M7*J7</f>
        <v/>
      </c>
      <c r="Q7" s="627">
        <f>G7-N7</f>
        <v/>
      </c>
      <c r="R7" s="627">
        <f>C7-P7</f>
        <v/>
      </c>
    </row>
    <row r="8" ht="21" customFormat="1" customHeight="1" s="352">
      <c r="A8" s="365" t="inlineStr">
        <is>
          <t>合计</t>
        </is>
      </c>
      <c r="B8" s="627">
        <f>SUM(B6:B7)</f>
        <v/>
      </c>
      <c r="C8" s="627">
        <f>SUM(C6:C7)</f>
        <v/>
      </c>
      <c r="D8" s="366" t="inlineStr">
        <is>
          <t>——</t>
        </is>
      </c>
      <c r="E8" s="366" t="inlineStr">
        <is>
          <t>——</t>
        </is>
      </c>
      <c r="F8" s="627">
        <f>SUM(F6:F7)</f>
        <v/>
      </c>
      <c r="G8" s="627">
        <f>SUM(G6:G7)</f>
        <v/>
      </c>
      <c r="H8" s="366" t="inlineStr">
        <is>
          <t>——</t>
        </is>
      </c>
      <c r="I8" s="366" t="inlineStr">
        <is>
          <t>——</t>
        </is>
      </c>
      <c r="J8" s="366" t="inlineStr">
        <is>
          <t>——</t>
        </is>
      </c>
      <c r="K8" s="366" t="inlineStr">
        <is>
          <t>——</t>
        </is>
      </c>
      <c r="L8" s="366" t="inlineStr">
        <is>
          <t>——</t>
        </is>
      </c>
      <c r="M8" s="627">
        <f>SUM(M6:M7)</f>
        <v/>
      </c>
      <c r="N8" s="627">
        <f>SUM(N6:N7)</f>
        <v/>
      </c>
      <c r="O8" s="627">
        <f>SUM(O6:O7)</f>
        <v/>
      </c>
      <c r="P8" s="627">
        <f>SUM(P6:P7)</f>
        <v/>
      </c>
      <c r="Q8" s="627">
        <f>SUM(Q6:Q7)</f>
        <v/>
      </c>
      <c r="R8" s="627">
        <f>SUM(R6:R7)</f>
        <v/>
      </c>
    </row>
    <row r="10">
      <c r="B10" s="570" t="inlineStr">
        <is>
          <t>审计说明：</t>
        </is>
      </c>
    </row>
  </sheetData>
  <mergeCells count="1">
    <mergeCell ref="A1:R1"/>
  </mergeCells>
  <dataValidations count="1">
    <dataValidation sqref="A4:D4" showDropDown="0" showInputMessage="1" showErrorMessage="1" allowBlank="1" prompt="请勿删除，表格计算公式需要使用该数据，否则报错"/>
  </dataValidation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AE37"/>
  <sheetViews>
    <sheetView zoomScale="90" zoomScaleNormal="90" workbookViewId="0">
      <pane ySplit="5" topLeftCell="A6" activePane="bottomLeft" state="frozen"/>
      <selection activeCell="A1" sqref="A1"/>
      <selection pane="bottomLeft" activeCell="G23" sqref="G23"/>
    </sheetView>
  </sheetViews>
  <sheetFormatPr baseColWidth="8" defaultColWidth="8.731481481481479" defaultRowHeight="14.4"/>
  <cols>
    <col width="7.25925925925926" customWidth="1" style="628" min="1" max="1"/>
    <col width="14.5462962962963" customWidth="1" style="628" min="2" max="2"/>
    <col width="21.712962962963" customWidth="1" style="628" min="3" max="3"/>
    <col width="20.9074074074074" customWidth="1" style="628" min="4" max="4"/>
    <col width="15.5555555555556" customWidth="1" style="628" min="5" max="5"/>
    <col width="12.9166666666667" customWidth="1" style="628" min="6" max="6"/>
    <col width="13.3240740740741" customWidth="1" style="628" min="7" max="7"/>
    <col width="13.7314814814815" customWidth="1" style="628" min="8" max="8"/>
    <col width="10.6018518518519" customWidth="1" style="628" min="9" max="9"/>
    <col width="12.5185185185185" customWidth="1" style="628" min="10" max="10"/>
    <col width="12.1203703703704" customWidth="1" style="628" min="11" max="11"/>
    <col width="13.9259259259259" customWidth="1" style="628" min="12" max="12"/>
    <col width="8.981481481481479" customWidth="1" style="628" min="13" max="13"/>
    <col width="14.037037037037" customWidth="1" style="628" min="14" max="14"/>
    <col width="12.1111111111111" customWidth="1" style="628" min="15" max="15"/>
    <col width="14.75" customWidth="1" style="628" min="16" max="16"/>
    <col width="9.78703703703704" customWidth="1" style="628" min="17" max="17"/>
    <col width="8.87962962962963" customWidth="1" style="628" min="18" max="20"/>
    <col width="11.6111111111111" customWidth="1" style="628" min="21" max="21"/>
    <col width="11.2037037037037" customWidth="1" style="628" min="22" max="22"/>
    <col width="17.462962962963" customWidth="1" style="628" min="23" max="23"/>
    <col width="20.6018518518519" customWidth="1" style="628" min="24" max="24"/>
    <col width="13.8333333333333" customWidth="1" style="628" min="25" max="25"/>
    <col width="13.7407407407407" customWidth="1" style="628" min="26" max="27"/>
    <col width="12.3148148148148" customWidth="1" style="628" min="28" max="28"/>
    <col width="9.78703703703704" customWidth="1" style="628" min="29" max="29"/>
    <col width="17.6759259259259" customWidth="1" style="628" min="30" max="30"/>
    <col width="37.1666666666667" customWidth="1" style="628" min="31" max="31"/>
    <col width="8.731481481481479" customWidth="1" style="628" min="32" max="16384"/>
  </cols>
  <sheetData>
    <row r="1" ht="31" customHeight="1" s="559">
      <c r="A1" s="629" t="inlineStr">
        <is>
          <t>应收账款明细表</t>
        </is>
      </c>
      <c r="O1" s="629" t="n"/>
      <c r="P1" s="629" t="n"/>
      <c r="Q1" s="629" t="n"/>
      <c r="R1" s="629" t="n"/>
      <c r="S1" s="629" t="n"/>
      <c r="T1" s="629" t="n"/>
      <c r="U1" s="629" t="n"/>
    </row>
    <row r="2" ht="16" customHeight="1" s="559">
      <c r="A2" s="630">
        <f>备忘录!$A$1</f>
        <v/>
      </c>
      <c r="D2" s="631" t="n"/>
      <c r="E2" s="631" t="n"/>
      <c r="F2" s="631" t="inlineStr">
        <is>
          <t>编制人：刘喜琴</t>
        </is>
      </c>
      <c r="K2" s="631">
        <f>备忘录!$C$2</f>
        <v/>
      </c>
      <c r="N2" s="632" t="n"/>
    </row>
    <row r="3" ht="16" customHeight="1" s="559">
      <c r="A3" s="630">
        <f>备忘录!$A$2</f>
        <v/>
      </c>
      <c r="D3" s="631" t="n"/>
      <c r="E3" s="631" t="n"/>
      <c r="F3" s="631" t="inlineStr">
        <is>
          <t>复核人：赵玮</t>
        </is>
      </c>
      <c r="K3" s="631">
        <f>备忘录!$C$3</f>
        <v/>
      </c>
    </row>
    <row r="4" ht="22" customFormat="1" customHeight="1" s="628">
      <c r="A4" s="633" t="inlineStr">
        <is>
          <t>序号</t>
        </is>
      </c>
      <c r="B4" s="633" t="inlineStr">
        <is>
          <t>科目名称</t>
        </is>
      </c>
      <c r="C4" s="633" t="inlineStr">
        <is>
          <t>核算项目1</t>
        </is>
      </c>
      <c r="D4" s="633" t="inlineStr">
        <is>
          <t>核算项目2</t>
        </is>
      </c>
      <c r="E4" s="634" t="inlineStr">
        <is>
          <t>账面数据</t>
        </is>
      </c>
      <c r="F4" s="562" t="n"/>
      <c r="G4" s="562" t="n"/>
      <c r="H4" s="562" t="n"/>
      <c r="I4" s="562" t="n"/>
      <c r="J4" s="250" t="inlineStr">
        <is>
          <t>期末报表列报</t>
        </is>
      </c>
      <c r="K4" s="633" t="inlineStr">
        <is>
          <t>审计调整</t>
        </is>
      </c>
      <c r="L4" s="635" t="inlineStr">
        <is>
          <t>期末审定余额</t>
        </is>
      </c>
      <c r="M4" s="636" t="inlineStr">
        <is>
          <t>余额核对
(√)</t>
        </is>
      </c>
      <c r="N4" s="637" t="inlineStr">
        <is>
          <t>核对确认金额</t>
        </is>
      </c>
      <c r="O4" s="637" t="inlineStr">
        <is>
          <t>备注</t>
        </is>
      </c>
      <c r="P4" s="637" t="inlineStr">
        <is>
          <t>重要客户/供应商账龄划分（√）</t>
        </is>
      </c>
      <c r="Q4" s="637" t="inlineStr">
        <is>
          <t>1个月以内</t>
        </is>
      </c>
      <c r="R4" s="637" t="inlineStr">
        <is>
          <t>2-3月</t>
        </is>
      </c>
      <c r="S4" s="637" t="inlineStr">
        <is>
          <t>4-6月</t>
        </is>
      </c>
      <c r="T4" s="637" t="inlineStr">
        <is>
          <t>6个月以上</t>
        </is>
      </c>
      <c r="U4" s="638" t="inlineStr">
        <is>
          <t>重要客户/供应商背调(√)</t>
        </is>
      </c>
      <c r="V4" s="639" t="inlineStr">
        <is>
          <t>背景调查</t>
        </is>
      </c>
      <c r="W4" s="562" t="n"/>
      <c r="X4" s="562" t="n"/>
      <c r="Y4" s="562" t="n"/>
      <c r="Z4" s="562" t="n"/>
      <c r="AA4" s="562" t="n"/>
      <c r="AB4" s="562" t="n"/>
      <c r="AC4" s="562" t="n"/>
      <c r="AD4" s="562" t="n"/>
      <c r="AE4" s="563" t="n"/>
    </row>
    <row r="5" ht="36" customFormat="1" customHeight="1" s="628">
      <c r="A5" s="560" t="n"/>
      <c r="B5" s="560" t="n"/>
      <c r="C5" s="560" t="n"/>
      <c r="D5" s="560" t="n"/>
      <c r="E5" s="526" t="inlineStr">
        <is>
          <t>期初金额（取数为：科目余额表期初借方-贷方）</t>
        </is>
      </c>
      <c r="F5" s="640" t="inlineStr">
        <is>
          <t>本期借方</t>
        </is>
      </c>
      <c r="G5" s="640" t="inlineStr">
        <is>
          <t>本期贷方</t>
        </is>
      </c>
      <c r="H5" s="640" t="inlineStr">
        <is>
          <t>期末金额</t>
        </is>
      </c>
      <c r="I5" s="641" t="inlineStr">
        <is>
          <t>企业调整</t>
        </is>
      </c>
      <c r="J5" s="561" t="n"/>
      <c r="K5" s="560" t="n"/>
      <c r="L5" s="561" t="n"/>
      <c r="M5" s="560" t="n"/>
      <c r="N5" s="561" t="n"/>
      <c r="O5" s="561" t="n"/>
      <c r="P5" s="561" t="n"/>
      <c r="Q5" s="561" t="n"/>
      <c r="R5" s="561" t="n"/>
      <c r="S5" s="561" t="n"/>
      <c r="T5" s="561" t="n"/>
      <c r="U5" s="560" t="n"/>
      <c r="V5" s="642" t="inlineStr">
        <is>
          <t>法定代表人</t>
        </is>
      </c>
      <c r="W5" s="642" t="inlineStr">
        <is>
          <t>成立日期</t>
        </is>
      </c>
      <c r="X5" s="642" t="inlineStr">
        <is>
          <t>注册地址</t>
        </is>
      </c>
      <c r="Y5" s="642" t="inlineStr">
        <is>
          <t>注册资本（万元）</t>
        </is>
      </c>
      <c r="Z5" s="642" t="inlineStr">
        <is>
          <t>行业</t>
        </is>
      </c>
      <c r="AA5" s="642" t="inlineStr">
        <is>
          <t>股权结构</t>
        </is>
      </c>
      <c r="AB5" s="642" t="inlineStr">
        <is>
          <t>企业规模</t>
        </is>
      </c>
      <c r="AC5" s="642" t="inlineStr">
        <is>
          <t>员工人数</t>
        </is>
      </c>
      <c r="AD5" s="642" t="inlineStr">
        <is>
          <t>纳税人资质</t>
        </is>
      </c>
      <c r="AE5" s="642" t="inlineStr">
        <is>
          <t>经营范围</t>
        </is>
      </c>
    </row>
    <row r="6" ht="17" customHeight="1" s="559">
      <c r="A6" s="427" t="n">
        <v>1</v>
      </c>
      <c r="B6" s="643" t="n"/>
      <c r="C6" s="643" t="n"/>
      <c r="D6" s="644" t="n"/>
      <c r="E6" s="569" t="n"/>
      <c r="F6" s="569" t="n"/>
      <c r="G6" s="569" t="n"/>
      <c r="H6" s="645">
        <f>ROUND(E6+F6-G6,2)</f>
        <v/>
      </c>
      <c r="I6" s="597" t="n"/>
      <c r="J6" s="646">
        <f>H6+I6</f>
        <v/>
      </c>
      <c r="K6" s="569" t="n"/>
      <c r="L6" s="645">
        <f>J6+K6</f>
        <v/>
      </c>
      <c r="M6" s="647" t="n"/>
      <c r="N6" s="648" t="n"/>
      <c r="O6" s="597" t="n"/>
      <c r="P6" s="649" t="n"/>
      <c r="Q6" s="649" t="n"/>
      <c r="R6" s="649" t="n"/>
      <c r="S6" s="649" t="n"/>
      <c r="T6" s="649" t="n"/>
      <c r="U6" s="649" t="n"/>
      <c r="V6" s="650" t="n"/>
      <c r="W6" s="651" t="n"/>
      <c r="X6" s="651" t="n"/>
      <c r="Y6" s="651" t="n"/>
      <c r="Z6" s="651" t="n"/>
      <c r="AA6" s="651" t="n"/>
      <c r="AB6" s="651" t="n"/>
      <c r="AC6" s="651" t="n"/>
      <c r="AD6" s="651" t="n"/>
      <c r="AE6" s="651" t="n"/>
    </row>
    <row r="7" ht="17" customFormat="1" customHeight="1" s="628">
      <c r="A7" s="427" t="n">
        <v>2</v>
      </c>
      <c r="B7" s="643" t="n"/>
      <c r="C7" s="643" t="n"/>
      <c r="D7" s="644" t="n"/>
      <c r="E7" s="569" t="n"/>
      <c r="F7" s="569" t="n"/>
      <c r="G7" s="569" t="n"/>
      <c r="H7" s="645">
        <f>ROUND(E7+F7-G7,2)</f>
        <v/>
      </c>
      <c r="I7" s="597" t="n"/>
      <c r="J7" s="646">
        <f>H7+I7</f>
        <v/>
      </c>
      <c r="K7" s="569" t="n"/>
      <c r="L7" s="645">
        <f>J7+K7</f>
        <v/>
      </c>
      <c r="M7" s="647" t="n"/>
      <c r="N7" s="648" t="n"/>
      <c r="O7" s="597" t="n"/>
      <c r="P7" s="649" t="n"/>
      <c r="Q7" s="649" t="n"/>
      <c r="R7" s="649" t="n"/>
      <c r="S7" s="649" t="n"/>
      <c r="T7" s="649" t="n"/>
      <c r="U7" s="649" t="n"/>
      <c r="V7" s="650" t="n"/>
      <c r="W7" s="651" t="n"/>
      <c r="X7" s="651" t="n"/>
      <c r="Y7" s="651" t="n"/>
      <c r="Z7" s="651" t="n"/>
      <c r="AA7" s="651" t="n"/>
      <c r="AB7" s="651" t="n"/>
      <c r="AC7" s="651" t="n"/>
      <c r="AD7" s="651" t="n"/>
      <c r="AE7" s="651" t="n"/>
    </row>
    <row r="8" ht="17" customFormat="1" customHeight="1" s="628">
      <c r="A8" s="427" t="n">
        <v>3</v>
      </c>
      <c r="B8" s="643" t="n"/>
      <c r="C8" s="643" t="n"/>
      <c r="D8" s="644" t="n"/>
      <c r="E8" s="569" t="n"/>
      <c r="F8" s="569" t="n"/>
      <c r="G8" s="569" t="n"/>
      <c r="H8" s="645">
        <f>ROUND(E8+F8-G8,2)</f>
        <v/>
      </c>
      <c r="I8" s="597" t="n"/>
      <c r="J8" s="646">
        <f>H8+I8</f>
        <v/>
      </c>
      <c r="K8" s="569" t="n"/>
      <c r="L8" s="645">
        <f>J8+K8</f>
        <v/>
      </c>
      <c r="M8" s="647" t="n"/>
      <c r="N8" s="648" t="n"/>
      <c r="O8" s="597" t="n"/>
      <c r="P8" s="649" t="n"/>
      <c r="Q8" s="649" t="n"/>
      <c r="R8" s="649" t="n"/>
      <c r="S8" s="649" t="n"/>
      <c r="T8" s="649" t="n"/>
      <c r="U8" s="649" t="n"/>
      <c r="V8" s="650" t="n"/>
      <c r="W8" s="651" t="n"/>
      <c r="X8" s="651" t="n"/>
      <c r="Y8" s="651" t="n"/>
      <c r="Z8" s="651" t="n"/>
      <c r="AA8" s="651" t="n"/>
      <c r="AB8" s="651" t="n"/>
      <c r="AC8" s="651" t="n"/>
      <c r="AD8" s="651" t="n"/>
      <c r="AE8" s="651" t="n"/>
    </row>
    <row r="9" ht="17" customFormat="1" customHeight="1" s="628">
      <c r="A9" s="427" t="n">
        <v>4</v>
      </c>
      <c r="B9" s="643" t="n"/>
      <c r="C9" s="643" t="n"/>
      <c r="D9" s="644" t="n"/>
      <c r="E9" s="569" t="n"/>
      <c r="F9" s="569" t="n"/>
      <c r="G9" s="569" t="n"/>
      <c r="H9" s="645">
        <f>ROUND(E9+F9-G9,2)</f>
        <v/>
      </c>
      <c r="I9" s="597" t="n"/>
      <c r="J9" s="646">
        <f>H9+I9</f>
        <v/>
      </c>
      <c r="K9" s="569" t="n"/>
      <c r="L9" s="645">
        <f>J9+K9</f>
        <v/>
      </c>
      <c r="M9" s="647" t="n"/>
      <c r="N9" s="648" t="n"/>
      <c r="O9" s="597" t="n"/>
      <c r="P9" s="649" t="n"/>
      <c r="Q9" s="649" t="n"/>
      <c r="R9" s="649" t="n"/>
      <c r="S9" s="649" t="n"/>
      <c r="T9" s="649" t="n"/>
      <c r="U9" s="649" t="n"/>
      <c r="V9" s="650" t="n"/>
      <c r="W9" s="651" t="n"/>
      <c r="X9" s="651" t="n"/>
      <c r="Y9" s="651" t="n"/>
      <c r="Z9" s="651" t="n"/>
      <c r="AA9" s="651" t="n"/>
      <c r="AB9" s="651" t="n"/>
      <c r="AC9" s="651" t="n"/>
      <c r="AD9" s="651" t="n"/>
      <c r="AE9" s="651" t="n"/>
    </row>
    <row r="10" ht="17" customFormat="1" customHeight="1" s="628">
      <c r="A10" s="427" t="n">
        <v>5</v>
      </c>
      <c r="B10" s="643" t="n"/>
      <c r="C10" s="643" t="n"/>
      <c r="D10" s="644" t="n"/>
      <c r="E10" s="569" t="n"/>
      <c r="F10" s="569" t="n"/>
      <c r="G10" s="569" t="n"/>
      <c r="H10" s="645">
        <f>ROUND(E10+F10-G10,2)</f>
        <v/>
      </c>
      <c r="I10" s="597" t="n"/>
      <c r="J10" s="646">
        <f>H10+I10</f>
        <v/>
      </c>
      <c r="K10" s="569" t="n"/>
      <c r="L10" s="645">
        <f>J10+K10</f>
        <v/>
      </c>
      <c r="M10" s="647" t="n"/>
      <c r="N10" s="648" t="n"/>
      <c r="O10" s="597" t="n"/>
      <c r="P10" s="649" t="n"/>
      <c r="Q10" s="649" t="n"/>
      <c r="R10" s="649" t="n"/>
      <c r="S10" s="649" t="n"/>
      <c r="T10" s="649" t="n"/>
      <c r="U10" s="649" t="n"/>
      <c r="V10" s="650" t="n"/>
      <c r="W10" s="651" t="n"/>
      <c r="X10" s="651" t="n"/>
      <c r="Y10" s="651" t="n"/>
      <c r="Z10" s="651" t="n"/>
      <c r="AA10" s="651" t="n"/>
      <c r="AB10" s="651" t="n"/>
      <c r="AC10" s="651" t="n"/>
      <c r="AD10" s="651" t="n"/>
      <c r="AE10" s="651" t="n"/>
    </row>
    <row r="11" ht="17" customFormat="1" customHeight="1" s="628">
      <c r="A11" s="427" t="n">
        <v>6</v>
      </c>
      <c r="B11" s="643" t="n"/>
      <c r="C11" s="643" t="n"/>
      <c r="D11" s="644" t="n"/>
      <c r="E11" s="569" t="n"/>
      <c r="F11" s="569" t="n"/>
      <c r="G11" s="569" t="n"/>
      <c r="H11" s="645">
        <f>ROUND(E11+F11-G11,2)</f>
        <v/>
      </c>
      <c r="I11" s="597" t="n"/>
      <c r="J11" s="646">
        <f>H11+I11</f>
        <v/>
      </c>
      <c r="K11" s="569" t="n"/>
      <c r="L11" s="645">
        <f>J11+K11</f>
        <v/>
      </c>
      <c r="M11" s="647" t="n"/>
      <c r="N11" s="648" t="n"/>
      <c r="O11" s="597" t="n"/>
      <c r="P11" s="649" t="n"/>
      <c r="Q11" s="649" t="n"/>
      <c r="R11" s="649" t="n"/>
      <c r="S11" s="649" t="n"/>
      <c r="T11" s="649" t="n"/>
      <c r="U11" s="649" t="n"/>
      <c r="V11" s="650" t="n"/>
      <c r="W11" s="651" t="n"/>
      <c r="X11" s="651" t="n"/>
      <c r="Y11" s="651" t="n"/>
      <c r="Z11" s="651" t="n"/>
      <c r="AA11" s="651" t="n"/>
      <c r="AB11" s="651" t="n"/>
      <c r="AC11" s="651" t="n"/>
      <c r="AD11" s="651" t="n"/>
      <c r="AE11" s="651" t="n"/>
    </row>
    <row r="12" ht="17" customFormat="1" customHeight="1" s="628">
      <c r="A12" s="427" t="n">
        <v>7</v>
      </c>
      <c r="B12" s="643" t="n"/>
      <c r="C12" s="643" t="n"/>
      <c r="D12" s="644" t="n"/>
      <c r="E12" s="569" t="n"/>
      <c r="F12" s="569" t="n"/>
      <c r="G12" s="569" t="n"/>
      <c r="H12" s="645">
        <f>ROUND(E12+F12-G12,2)</f>
        <v/>
      </c>
      <c r="I12" s="597" t="n"/>
      <c r="J12" s="646">
        <f>H12+I12</f>
        <v/>
      </c>
      <c r="K12" s="569" t="n"/>
      <c r="L12" s="645">
        <f>J12+K12</f>
        <v/>
      </c>
      <c r="M12" s="647" t="n"/>
      <c r="N12" s="648" t="n"/>
      <c r="O12" s="597" t="n"/>
      <c r="P12" s="649" t="n"/>
      <c r="Q12" s="649" t="n"/>
      <c r="R12" s="649" t="n"/>
      <c r="S12" s="649" t="n"/>
      <c r="T12" s="649" t="n"/>
      <c r="U12" s="649" t="n"/>
      <c r="V12" s="650" t="n"/>
      <c r="W12" s="651" t="n"/>
      <c r="X12" s="651" t="n"/>
      <c r="Y12" s="651" t="n"/>
      <c r="Z12" s="651" t="n"/>
      <c r="AA12" s="651" t="n"/>
      <c r="AB12" s="651" t="n"/>
      <c r="AC12" s="651" t="n"/>
      <c r="AD12" s="651" t="n"/>
      <c r="AE12" s="651" t="n"/>
    </row>
    <row r="13" ht="17" customFormat="1" customHeight="1" s="628">
      <c r="A13" s="427" t="n">
        <v>8</v>
      </c>
      <c r="B13" s="643" t="n"/>
      <c r="C13" s="643" t="n"/>
      <c r="D13" s="644" t="n"/>
      <c r="E13" s="569" t="n"/>
      <c r="F13" s="569" t="n"/>
      <c r="G13" s="569" t="n"/>
      <c r="H13" s="645">
        <f>ROUND(E13+F13-G13,2)</f>
        <v/>
      </c>
      <c r="I13" s="597" t="n"/>
      <c r="J13" s="646">
        <f>H13+I13</f>
        <v/>
      </c>
      <c r="K13" s="569" t="n"/>
      <c r="L13" s="645">
        <f>J13+K13</f>
        <v/>
      </c>
      <c r="M13" s="647" t="n"/>
      <c r="N13" s="648" t="n"/>
      <c r="O13" s="597" t="n"/>
      <c r="P13" s="649" t="n"/>
      <c r="Q13" s="649" t="n"/>
      <c r="R13" s="649" t="n"/>
      <c r="S13" s="649" t="n"/>
      <c r="T13" s="649" t="n"/>
      <c r="U13" s="649" t="n"/>
      <c r="V13" s="650" t="n"/>
      <c r="W13" s="651" t="n"/>
      <c r="X13" s="651" t="n"/>
      <c r="Y13" s="651" t="n"/>
      <c r="Z13" s="651" t="n"/>
      <c r="AA13" s="651" t="n"/>
      <c r="AB13" s="651" t="n"/>
      <c r="AC13" s="651" t="n"/>
      <c r="AD13" s="651" t="n"/>
      <c r="AE13" s="651" t="n"/>
    </row>
    <row r="14" ht="17" customFormat="1" customHeight="1" s="628">
      <c r="A14" s="427" t="n">
        <v>9</v>
      </c>
      <c r="B14" s="643" t="n"/>
      <c r="C14" s="643" t="n"/>
      <c r="D14" s="644" t="n"/>
      <c r="E14" s="569" t="n"/>
      <c r="F14" s="569" t="n"/>
      <c r="G14" s="569" t="n"/>
      <c r="H14" s="645">
        <f>ROUND(E14+F14-G14,2)</f>
        <v/>
      </c>
      <c r="I14" s="597" t="n"/>
      <c r="J14" s="646">
        <f>H14+I14</f>
        <v/>
      </c>
      <c r="K14" s="569" t="n"/>
      <c r="L14" s="645">
        <f>J14+K14</f>
        <v/>
      </c>
      <c r="M14" s="647" t="n"/>
      <c r="N14" s="648" t="n"/>
      <c r="O14" s="597" t="n"/>
      <c r="P14" s="649" t="n"/>
      <c r="Q14" s="649" t="n"/>
      <c r="R14" s="649" t="n"/>
      <c r="S14" s="649" t="n"/>
      <c r="T14" s="649" t="n"/>
      <c r="U14" s="649" t="n"/>
      <c r="V14" s="650" t="n"/>
      <c r="W14" s="651" t="n"/>
      <c r="X14" s="651" t="n"/>
      <c r="Y14" s="651" t="n"/>
      <c r="Z14" s="651" t="n"/>
      <c r="AA14" s="651" t="n"/>
      <c r="AB14" s="651" t="n"/>
      <c r="AC14" s="651" t="n"/>
      <c r="AD14" s="651" t="n"/>
      <c r="AE14" s="651" t="n"/>
    </row>
    <row r="15" ht="17" customFormat="1" customHeight="1" s="628">
      <c r="A15" s="427" t="n">
        <v>10</v>
      </c>
      <c r="B15" s="643" t="n"/>
      <c r="C15" s="643" t="n"/>
      <c r="D15" s="644" t="n"/>
      <c r="E15" s="569" t="n"/>
      <c r="F15" s="569" t="n"/>
      <c r="G15" s="569" t="n"/>
      <c r="H15" s="645">
        <f>ROUND(E15+F15-G15,2)</f>
        <v/>
      </c>
      <c r="I15" s="597" t="n"/>
      <c r="J15" s="646">
        <f>H15+I15</f>
        <v/>
      </c>
      <c r="K15" s="569" t="n"/>
      <c r="L15" s="645">
        <f>J15+K15</f>
        <v/>
      </c>
      <c r="M15" s="647" t="n"/>
      <c r="N15" s="648" t="n"/>
      <c r="O15" s="597" t="n"/>
      <c r="P15" s="649" t="n"/>
      <c r="Q15" s="649" t="n"/>
      <c r="R15" s="649" t="n"/>
      <c r="S15" s="649" t="n"/>
      <c r="T15" s="649" t="n"/>
      <c r="U15" s="649" t="n"/>
      <c r="V15" s="650" t="n"/>
      <c r="W15" s="651" t="n"/>
      <c r="X15" s="651" t="n"/>
      <c r="Y15" s="651" t="n"/>
      <c r="Z15" s="651" t="n"/>
      <c r="AA15" s="651" t="n"/>
      <c r="AB15" s="651" t="n"/>
      <c r="AC15" s="651" t="n"/>
      <c r="AD15" s="651" t="n"/>
      <c r="AE15" s="651" t="n"/>
    </row>
    <row r="16" ht="17" customFormat="1" customHeight="1" s="628">
      <c r="A16" s="427" t="n">
        <v>11</v>
      </c>
      <c r="B16" s="643" t="n"/>
      <c r="C16" s="643" t="n"/>
      <c r="D16" s="644" t="n"/>
      <c r="E16" s="569" t="n"/>
      <c r="F16" s="569" t="n"/>
      <c r="G16" s="569" t="n"/>
      <c r="H16" s="645">
        <f>ROUND(E16+F16-G16,2)</f>
        <v/>
      </c>
      <c r="I16" s="597" t="n"/>
      <c r="J16" s="646">
        <f>H16+I16</f>
        <v/>
      </c>
      <c r="K16" s="569" t="n"/>
      <c r="L16" s="645">
        <f>J16+K16</f>
        <v/>
      </c>
      <c r="M16" s="647" t="n"/>
      <c r="N16" s="648" t="n"/>
      <c r="O16" s="597" t="n"/>
      <c r="P16" s="649" t="n"/>
      <c r="Q16" s="649" t="n"/>
      <c r="R16" s="649" t="n"/>
      <c r="S16" s="649" t="n"/>
      <c r="T16" s="649" t="n"/>
      <c r="U16" s="649" t="n"/>
      <c r="V16" s="650" t="n"/>
      <c r="W16" s="651" t="n"/>
      <c r="X16" s="651" t="n"/>
      <c r="Y16" s="651" t="n"/>
      <c r="Z16" s="651" t="n"/>
      <c r="AA16" s="651" t="n"/>
      <c r="AB16" s="651" t="n"/>
      <c r="AC16" s="651" t="n"/>
      <c r="AD16" s="651" t="n"/>
      <c r="AE16" s="651" t="n"/>
    </row>
    <row r="17" ht="17" customFormat="1" customHeight="1" s="628">
      <c r="A17" s="427" t="n">
        <v>12</v>
      </c>
      <c r="B17" s="643" t="n"/>
      <c r="C17" s="643" t="n"/>
      <c r="D17" s="644" t="n"/>
      <c r="E17" s="569" t="n"/>
      <c r="F17" s="569" t="n"/>
      <c r="G17" s="569" t="n"/>
      <c r="H17" s="645">
        <f>ROUND(E17+F17-G17,2)</f>
        <v/>
      </c>
      <c r="I17" s="597" t="n"/>
      <c r="J17" s="646">
        <f>H17+I17</f>
        <v/>
      </c>
      <c r="K17" s="569" t="n"/>
      <c r="L17" s="645">
        <f>J17+K17</f>
        <v/>
      </c>
      <c r="M17" s="647" t="n"/>
      <c r="N17" s="648" t="n"/>
      <c r="O17" s="597" t="n"/>
      <c r="P17" s="649" t="n"/>
      <c r="Q17" s="649" t="n"/>
      <c r="R17" s="649" t="n"/>
      <c r="S17" s="649" t="n"/>
      <c r="T17" s="649" t="n"/>
      <c r="U17" s="649" t="n"/>
      <c r="V17" s="650" t="n"/>
      <c r="W17" s="651" t="n"/>
      <c r="X17" s="651" t="n"/>
      <c r="Y17" s="651" t="n"/>
      <c r="Z17" s="651" t="n"/>
      <c r="AA17" s="651" t="n"/>
      <c r="AB17" s="651" t="n"/>
      <c r="AC17" s="651" t="n"/>
      <c r="AD17" s="651" t="n"/>
      <c r="AE17" s="651" t="n"/>
    </row>
    <row r="18" ht="17" customFormat="1" customHeight="1" s="628">
      <c r="A18" s="427" t="n">
        <v>13</v>
      </c>
      <c r="B18" s="643" t="n"/>
      <c r="C18" s="643" t="n"/>
      <c r="D18" s="644" t="n"/>
      <c r="E18" s="569" t="n"/>
      <c r="F18" s="569" t="n"/>
      <c r="G18" s="569" t="n"/>
      <c r="H18" s="645">
        <f>ROUND(E18+F18-G18,2)</f>
        <v/>
      </c>
      <c r="I18" s="597" t="n"/>
      <c r="J18" s="646">
        <f>H18+I18</f>
        <v/>
      </c>
      <c r="K18" s="569" t="n"/>
      <c r="L18" s="645">
        <f>J18+K18</f>
        <v/>
      </c>
      <c r="M18" s="647" t="n"/>
      <c r="N18" s="648" t="n"/>
      <c r="O18" s="597" t="n"/>
      <c r="P18" s="649" t="n"/>
      <c r="Q18" s="649" t="n"/>
      <c r="R18" s="649" t="n"/>
      <c r="S18" s="649" t="n"/>
      <c r="T18" s="649" t="n"/>
      <c r="U18" s="649" t="n"/>
      <c r="V18" s="650" t="n"/>
      <c r="W18" s="651" t="n"/>
      <c r="X18" s="651" t="n"/>
      <c r="Y18" s="651" t="n"/>
      <c r="Z18" s="651" t="n"/>
      <c r="AA18" s="651" t="n"/>
      <c r="AB18" s="651" t="n"/>
      <c r="AC18" s="651" t="n"/>
      <c r="AD18" s="651" t="n"/>
      <c r="AE18" s="651" t="n"/>
    </row>
    <row r="19" ht="17" customFormat="1" customHeight="1" s="628">
      <c r="A19" s="427" t="n">
        <v>14</v>
      </c>
      <c r="B19" s="643" t="n"/>
      <c r="C19" s="643" t="n"/>
      <c r="D19" s="644" t="n"/>
      <c r="E19" s="569" t="n"/>
      <c r="F19" s="569" t="n"/>
      <c r="G19" s="569" t="n"/>
      <c r="H19" s="645">
        <f>ROUND(E19+F19-G19,2)</f>
        <v/>
      </c>
      <c r="I19" s="597" t="n"/>
      <c r="J19" s="646">
        <f>H19+I19</f>
        <v/>
      </c>
      <c r="K19" s="569" t="n"/>
      <c r="L19" s="645">
        <f>J19+K19</f>
        <v/>
      </c>
      <c r="M19" s="647" t="n"/>
      <c r="N19" s="648" t="n"/>
      <c r="O19" s="597" t="n"/>
      <c r="P19" s="649" t="n"/>
      <c r="Q19" s="649" t="n"/>
      <c r="R19" s="649" t="n"/>
      <c r="S19" s="649" t="n"/>
      <c r="T19" s="649" t="n"/>
      <c r="U19" s="649" t="n"/>
      <c r="V19" s="650" t="n"/>
      <c r="W19" s="651" t="n"/>
      <c r="X19" s="651" t="n"/>
      <c r="Y19" s="651" t="n"/>
      <c r="Z19" s="651" t="n"/>
      <c r="AA19" s="651" t="n"/>
      <c r="AB19" s="651" t="n"/>
      <c r="AC19" s="651" t="n"/>
      <c r="AD19" s="651" t="n"/>
      <c r="AE19" s="651" t="n"/>
    </row>
    <row r="20" ht="17" customFormat="1" customHeight="1" s="628">
      <c r="A20" s="427" t="n">
        <v>15</v>
      </c>
      <c r="B20" s="643" t="n"/>
      <c r="C20" s="643" t="n"/>
      <c r="D20" s="644" t="n"/>
      <c r="E20" s="569" t="n"/>
      <c r="F20" s="569" t="n"/>
      <c r="G20" s="569" t="n"/>
      <c r="H20" s="645">
        <f>ROUND(E20+F20-G20,2)</f>
        <v/>
      </c>
      <c r="I20" s="597" t="n"/>
      <c r="J20" s="646">
        <f>H20+I20</f>
        <v/>
      </c>
      <c r="K20" s="569" t="n"/>
      <c r="L20" s="645">
        <f>J20+K20</f>
        <v/>
      </c>
      <c r="M20" s="647" t="n"/>
      <c r="N20" s="648" t="n"/>
      <c r="O20" s="597" t="n"/>
      <c r="P20" s="649" t="n"/>
      <c r="Q20" s="649" t="n"/>
      <c r="R20" s="649" t="n"/>
      <c r="S20" s="649" t="n"/>
      <c r="T20" s="649" t="n"/>
      <c r="U20" s="649" t="n"/>
      <c r="V20" s="650" t="n"/>
      <c r="W20" s="651" t="n"/>
      <c r="X20" s="651" t="n"/>
      <c r="Y20" s="651" t="n"/>
      <c r="Z20" s="651" t="n"/>
      <c r="AA20" s="651" t="n"/>
      <c r="AB20" s="651" t="n"/>
      <c r="AC20" s="651" t="n"/>
      <c r="AD20" s="651" t="n"/>
      <c r="AE20" s="651" t="n"/>
    </row>
    <row r="21" ht="17" customFormat="1" customHeight="1" s="628">
      <c r="A21" s="427" t="n">
        <v>16</v>
      </c>
      <c r="B21" s="643" t="n"/>
      <c r="C21" s="643" t="n"/>
      <c r="D21" s="644" t="n"/>
      <c r="E21" s="569" t="n"/>
      <c r="F21" s="569" t="n"/>
      <c r="G21" s="569" t="n"/>
      <c r="H21" s="645">
        <f>ROUND(E21+F21-G21,2)</f>
        <v/>
      </c>
      <c r="I21" s="597" t="n"/>
      <c r="J21" s="646">
        <f>H21+I21</f>
        <v/>
      </c>
      <c r="K21" s="569" t="n"/>
      <c r="L21" s="645">
        <f>J21+K21</f>
        <v/>
      </c>
      <c r="M21" s="647" t="n"/>
      <c r="N21" s="648" t="n"/>
      <c r="O21" s="597" t="n"/>
      <c r="P21" s="649" t="n"/>
      <c r="Q21" s="649" t="n"/>
      <c r="R21" s="649" t="n"/>
      <c r="S21" s="649" t="n"/>
      <c r="T21" s="649" t="n"/>
      <c r="U21" s="649" t="n"/>
      <c r="V21" s="650" t="n"/>
      <c r="W21" s="651" t="n"/>
      <c r="X21" s="651" t="n"/>
      <c r="Y21" s="651" t="n"/>
      <c r="Z21" s="651" t="n"/>
      <c r="AA21" s="651" t="n"/>
      <c r="AB21" s="651" t="n"/>
      <c r="AC21" s="651" t="n"/>
      <c r="AD21" s="651" t="n"/>
      <c r="AE21" s="651" t="n"/>
    </row>
    <row r="22" ht="17" customFormat="1" customHeight="1" s="628">
      <c r="A22" s="427" t="n">
        <v>17</v>
      </c>
      <c r="B22" s="643" t="n"/>
      <c r="C22" s="643" t="n"/>
      <c r="D22" s="644" t="n"/>
      <c r="E22" s="569" t="n"/>
      <c r="F22" s="569" t="n"/>
      <c r="G22" s="569" t="n"/>
      <c r="H22" s="645">
        <f>ROUND(E22+F22-G22,2)</f>
        <v/>
      </c>
      <c r="I22" s="597" t="n"/>
      <c r="J22" s="646">
        <f>H22+I22</f>
        <v/>
      </c>
      <c r="K22" s="569" t="n"/>
      <c r="L22" s="645">
        <f>J22+K22</f>
        <v/>
      </c>
      <c r="M22" s="647" t="n"/>
      <c r="N22" s="648" t="n"/>
      <c r="O22" s="597" t="n"/>
      <c r="P22" s="649" t="n"/>
      <c r="Q22" s="649" t="n"/>
      <c r="R22" s="649" t="n"/>
      <c r="S22" s="649" t="n"/>
      <c r="T22" s="649" t="n"/>
      <c r="U22" s="649" t="n"/>
      <c r="V22" s="650" t="n"/>
      <c r="W22" s="651" t="n"/>
      <c r="X22" s="651" t="n"/>
      <c r="Y22" s="651" t="n"/>
      <c r="Z22" s="651" t="n"/>
      <c r="AA22" s="651" t="n"/>
      <c r="AB22" s="651" t="n"/>
      <c r="AC22" s="651" t="n"/>
      <c r="AD22" s="651" t="n"/>
      <c r="AE22" s="651" t="n"/>
    </row>
    <row r="23" ht="17" customFormat="1" customHeight="1" s="628">
      <c r="A23" s="427" t="n">
        <v>18</v>
      </c>
      <c r="B23" s="643" t="n"/>
      <c r="C23" s="643" t="n"/>
      <c r="D23" s="644" t="n"/>
      <c r="E23" s="569" t="n"/>
      <c r="F23" s="569" t="n"/>
      <c r="G23" s="569" t="n"/>
      <c r="H23" s="645">
        <f>ROUND(E23+F23-G23,2)</f>
        <v/>
      </c>
      <c r="I23" s="597" t="n"/>
      <c r="J23" s="646">
        <f>H23+I23</f>
        <v/>
      </c>
      <c r="K23" s="569" t="n"/>
      <c r="L23" s="645">
        <f>J23+K23</f>
        <v/>
      </c>
      <c r="M23" s="647" t="n"/>
      <c r="N23" s="648" t="n"/>
      <c r="O23" s="597" t="n"/>
      <c r="P23" s="649" t="n"/>
      <c r="Q23" s="649" t="n"/>
      <c r="R23" s="649" t="n"/>
      <c r="S23" s="649" t="n"/>
      <c r="T23" s="649" t="n"/>
      <c r="U23" s="649" t="n"/>
      <c r="V23" s="650" t="n"/>
      <c r="W23" s="651" t="n"/>
      <c r="X23" s="651" t="n"/>
      <c r="Y23" s="651" t="n"/>
      <c r="Z23" s="651" t="n"/>
      <c r="AA23" s="651" t="n"/>
      <c r="AB23" s="651" t="n"/>
      <c r="AC23" s="651" t="n"/>
      <c r="AD23" s="651" t="n"/>
      <c r="AE23" s="651" t="n"/>
    </row>
    <row r="24" ht="17" customFormat="1" customHeight="1" s="628">
      <c r="A24" s="427" t="n">
        <v>19</v>
      </c>
      <c r="B24" s="643" t="n"/>
      <c r="C24" s="643" t="n"/>
      <c r="D24" s="644" t="n"/>
      <c r="E24" s="569" t="n"/>
      <c r="F24" s="569" t="n"/>
      <c r="G24" s="569" t="n"/>
      <c r="H24" s="645">
        <f>ROUND(E24+F24-G24,2)</f>
        <v/>
      </c>
      <c r="I24" s="597" t="n"/>
      <c r="J24" s="646">
        <f>H24+I24</f>
        <v/>
      </c>
      <c r="K24" s="569" t="n"/>
      <c r="L24" s="645">
        <f>J24+K24</f>
        <v/>
      </c>
      <c r="M24" s="647" t="n"/>
      <c r="N24" s="648" t="n"/>
      <c r="O24" s="597" t="n"/>
      <c r="P24" s="649" t="n"/>
      <c r="Q24" s="649" t="n"/>
      <c r="R24" s="649" t="n"/>
      <c r="S24" s="649" t="n"/>
      <c r="T24" s="649" t="n"/>
      <c r="U24" s="649" t="n"/>
      <c r="V24" s="650" t="n"/>
      <c r="W24" s="651" t="n"/>
      <c r="X24" s="651" t="n"/>
      <c r="Y24" s="651" t="n"/>
      <c r="Z24" s="651" t="n"/>
      <c r="AA24" s="651" t="n"/>
      <c r="AB24" s="651" t="n"/>
      <c r="AC24" s="651" t="n"/>
      <c r="AD24" s="651" t="n"/>
      <c r="AE24" s="651" t="n"/>
    </row>
    <row r="25" ht="17" customFormat="1" customHeight="1" s="628">
      <c r="A25" s="427" t="n">
        <v>20</v>
      </c>
      <c r="B25" s="643" t="n"/>
      <c r="C25" s="643" t="n"/>
      <c r="D25" s="644" t="n"/>
      <c r="E25" s="569" t="n"/>
      <c r="F25" s="569" t="n"/>
      <c r="G25" s="569" t="n"/>
      <c r="H25" s="645">
        <f>ROUND(E25+F25-G25,2)</f>
        <v/>
      </c>
      <c r="I25" s="597" t="n"/>
      <c r="J25" s="646">
        <f>H25+I25</f>
        <v/>
      </c>
      <c r="K25" s="569" t="n"/>
      <c r="L25" s="645">
        <f>J25+K25</f>
        <v/>
      </c>
      <c r="M25" s="647" t="n"/>
      <c r="N25" s="648" t="n"/>
      <c r="O25" s="597" t="n"/>
      <c r="P25" s="649" t="n"/>
      <c r="Q25" s="649" t="n"/>
      <c r="R25" s="649" t="n"/>
      <c r="S25" s="649" t="n"/>
      <c r="T25" s="649" t="n"/>
      <c r="U25" s="649" t="n"/>
      <c r="V25" s="650" t="n"/>
      <c r="W25" s="651" t="n"/>
      <c r="X25" s="651" t="n"/>
      <c r="Y25" s="651" t="n"/>
      <c r="Z25" s="651" t="n"/>
      <c r="AA25" s="651" t="n"/>
      <c r="AB25" s="651" t="n"/>
      <c r="AC25" s="651" t="n"/>
      <c r="AD25" s="651" t="n"/>
      <c r="AE25" s="651" t="n"/>
    </row>
    <row r="26" ht="17" customFormat="1" customHeight="1" s="628">
      <c r="A26" s="427" t="n">
        <v>21</v>
      </c>
      <c r="B26" s="643" t="n"/>
      <c r="C26" s="643" t="n"/>
      <c r="D26" s="644" t="n"/>
      <c r="E26" s="569" t="n"/>
      <c r="F26" s="569" t="n"/>
      <c r="G26" s="569" t="n"/>
      <c r="H26" s="645">
        <f>ROUND(E26+F26-G26,2)</f>
        <v/>
      </c>
      <c r="I26" s="597" t="n"/>
      <c r="J26" s="646">
        <f>H26+I26</f>
        <v/>
      </c>
      <c r="K26" s="569" t="n"/>
      <c r="L26" s="645">
        <f>J26+K26</f>
        <v/>
      </c>
      <c r="M26" s="647" t="n"/>
      <c r="N26" s="648" t="n"/>
      <c r="O26" s="597" t="n"/>
      <c r="P26" s="649" t="n"/>
      <c r="Q26" s="649" t="n"/>
      <c r="R26" s="649" t="n"/>
      <c r="S26" s="649" t="n"/>
      <c r="T26" s="649" t="n"/>
      <c r="U26" s="649" t="n"/>
      <c r="V26" s="650" t="n"/>
      <c r="W26" s="651" t="n"/>
      <c r="X26" s="651" t="n"/>
      <c r="Y26" s="651" t="n"/>
      <c r="Z26" s="651" t="n"/>
      <c r="AA26" s="651" t="n"/>
      <c r="AB26" s="651" t="n"/>
      <c r="AC26" s="651" t="n"/>
      <c r="AD26" s="651" t="n"/>
      <c r="AE26" s="651" t="n"/>
    </row>
    <row r="27" ht="17" customFormat="1" customHeight="1" s="628">
      <c r="A27" s="427" t="n">
        <v>22</v>
      </c>
      <c r="B27" s="643" t="n"/>
      <c r="C27" s="643" t="n"/>
      <c r="D27" s="644" t="n"/>
      <c r="E27" s="569" t="n"/>
      <c r="F27" s="569" t="n"/>
      <c r="G27" s="569" t="n"/>
      <c r="H27" s="645">
        <f>ROUND(E27+F27-G27,2)</f>
        <v/>
      </c>
      <c r="I27" s="597" t="n"/>
      <c r="J27" s="646">
        <f>H27+I27</f>
        <v/>
      </c>
      <c r="K27" s="569" t="n"/>
      <c r="L27" s="645">
        <f>J27+K27</f>
        <v/>
      </c>
      <c r="M27" s="647" t="n"/>
      <c r="N27" s="648" t="n"/>
      <c r="O27" s="597" t="n"/>
      <c r="P27" s="649" t="n"/>
      <c r="Q27" s="649" t="n"/>
      <c r="R27" s="649" t="n"/>
      <c r="S27" s="649" t="n"/>
      <c r="T27" s="649" t="n"/>
      <c r="U27" s="649" t="n"/>
      <c r="V27" s="650" t="n"/>
      <c r="W27" s="651" t="n"/>
      <c r="X27" s="651" t="n"/>
      <c r="Y27" s="651" t="n"/>
      <c r="Z27" s="651" t="n"/>
      <c r="AA27" s="651" t="n"/>
      <c r="AB27" s="651" t="n"/>
      <c r="AC27" s="651" t="n"/>
      <c r="AD27" s="651" t="n"/>
      <c r="AE27" s="651" t="n"/>
    </row>
    <row r="28" ht="17" customFormat="1" customHeight="1" s="628">
      <c r="A28" s="427" t="n">
        <v>23</v>
      </c>
      <c r="B28" s="643" t="n"/>
      <c r="C28" s="643" t="n"/>
      <c r="D28" s="644" t="n"/>
      <c r="E28" s="569" t="n"/>
      <c r="F28" s="569" t="n"/>
      <c r="G28" s="569" t="n"/>
      <c r="H28" s="645">
        <f>ROUND(E28+F28-G28,2)</f>
        <v/>
      </c>
      <c r="I28" s="597" t="n"/>
      <c r="J28" s="646">
        <f>H28+I28</f>
        <v/>
      </c>
      <c r="K28" s="569" t="n"/>
      <c r="L28" s="645">
        <f>J28+K28</f>
        <v/>
      </c>
      <c r="M28" s="647" t="n"/>
      <c r="N28" s="648" t="n"/>
      <c r="O28" s="597" t="n"/>
      <c r="P28" s="649" t="n"/>
      <c r="Q28" s="649" t="n"/>
      <c r="R28" s="649" t="n"/>
      <c r="S28" s="649" t="n"/>
      <c r="T28" s="649" t="n"/>
      <c r="U28" s="649" t="n"/>
      <c r="V28" s="650" t="n"/>
      <c r="W28" s="651" t="n"/>
      <c r="X28" s="651" t="n"/>
      <c r="Y28" s="651" t="n"/>
      <c r="Z28" s="651" t="n"/>
      <c r="AA28" s="651" t="n"/>
      <c r="AB28" s="651" t="n"/>
      <c r="AC28" s="651" t="n"/>
      <c r="AD28" s="651" t="n"/>
      <c r="AE28" s="651" t="n"/>
    </row>
    <row r="29" ht="17" customFormat="1" customHeight="1" s="628">
      <c r="A29" s="427" t="n">
        <v>24</v>
      </c>
      <c r="B29" s="643" t="n"/>
      <c r="C29" s="643" t="n"/>
      <c r="D29" s="644" t="n"/>
      <c r="E29" s="569" t="n"/>
      <c r="F29" s="569" t="n"/>
      <c r="G29" s="569" t="n"/>
      <c r="H29" s="645">
        <f>ROUND(E29+F29-G29,2)</f>
        <v/>
      </c>
      <c r="I29" s="597" t="n"/>
      <c r="J29" s="646">
        <f>H29+I29</f>
        <v/>
      </c>
      <c r="K29" s="569" t="n"/>
      <c r="L29" s="645">
        <f>J29+K29</f>
        <v/>
      </c>
      <c r="M29" s="647" t="n"/>
      <c r="N29" s="648" t="n"/>
      <c r="O29" s="597" t="n"/>
      <c r="P29" s="649" t="n"/>
      <c r="Q29" s="649" t="n"/>
      <c r="R29" s="649" t="n"/>
      <c r="S29" s="649" t="n"/>
      <c r="T29" s="649" t="n"/>
      <c r="U29" s="649" t="n"/>
      <c r="V29" s="650" t="n"/>
      <c r="W29" s="651" t="n"/>
      <c r="X29" s="651" t="n"/>
      <c r="Y29" s="651" t="n"/>
      <c r="Z29" s="651" t="n"/>
      <c r="AA29" s="651" t="n"/>
      <c r="AB29" s="651" t="n"/>
      <c r="AC29" s="651" t="n"/>
      <c r="AD29" s="651" t="n"/>
      <c r="AE29" s="651" t="n"/>
    </row>
    <row r="30" ht="17" customFormat="1" customHeight="1" s="628">
      <c r="A30" s="427" t="n">
        <v>25</v>
      </c>
      <c r="B30" s="643" t="n"/>
      <c r="C30" s="643" t="n"/>
      <c r="D30" s="644" t="n"/>
      <c r="E30" s="569" t="n"/>
      <c r="F30" s="569" t="n"/>
      <c r="G30" s="569" t="n"/>
      <c r="H30" s="645">
        <f>ROUND(E30+F30-G30,2)</f>
        <v/>
      </c>
      <c r="I30" s="597" t="n"/>
      <c r="J30" s="646">
        <f>H30+I30</f>
        <v/>
      </c>
      <c r="K30" s="569" t="n"/>
      <c r="L30" s="645">
        <f>J30+K30</f>
        <v/>
      </c>
      <c r="M30" s="647" t="n"/>
      <c r="N30" s="648" t="n"/>
      <c r="O30" s="597" t="n"/>
      <c r="P30" s="649" t="n"/>
      <c r="Q30" s="649" t="n"/>
      <c r="R30" s="649" t="n"/>
      <c r="S30" s="649" t="n"/>
      <c r="T30" s="649" t="n"/>
      <c r="U30" s="649" t="n"/>
      <c r="V30" s="650" t="n"/>
      <c r="W30" s="651" t="n"/>
      <c r="X30" s="651" t="n"/>
      <c r="Y30" s="651" t="n"/>
      <c r="Z30" s="651" t="n"/>
      <c r="AA30" s="651" t="n"/>
      <c r="AB30" s="651" t="n"/>
      <c r="AC30" s="651" t="n"/>
      <c r="AD30" s="651" t="n"/>
      <c r="AE30" s="651" t="n"/>
    </row>
    <row r="31" ht="17" customFormat="1" customHeight="1" s="628">
      <c r="A31" s="427" t="n">
        <v>26</v>
      </c>
      <c r="B31" s="643" t="n"/>
      <c r="C31" s="643" t="n"/>
      <c r="D31" s="644" t="n"/>
      <c r="E31" s="569" t="n"/>
      <c r="F31" s="569" t="n"/>
      <c r="G31" s="569" t="n"/>
      <c r="H31" s="645">
        <f>ROUND(E31+F31-G31,2)</f>
        <v/>
      </c>
      <c r="I31" s="597" t="n"/>
      <c r="J31" s="646">
        <f>H31+I31</f>
        <v/>
      </c>
      <c r="K31" s="569" t="n"/>
      <c r="L31" s="645">
        <f>J31+K31</f>
        <v/>
      </c>
      <c r="M31" s="647" t="n"/>
      <c r="N31" s="648" t="n"/>
      <c r="O31" s="597" t="n"/>
      <c r="P31" s="649" t="n"/>
      <c r="Q31" s="649" t="n"/>
      <c r="R31" s="649" t="n"/>
      <c r="S31" s="649" t="n"/>
      <c r="T31" s="649" t="n"/>
      <c r="U31" s="649" t="n"/>
      <c r="V31" s="650" t="n"/>
      <c r="W31" s="651" t="n"/>
      <c r="X31" s="651" t="n"/>
      <c r="Y31" s="651" t="n"/>
      <c r="Z31" s="651" t="n"/>
      <c r="AA31" s="651" t="n"/>
      <c r="AB31" s="651" t="n"/>
      <c r="AC31" s="651" t="n"/>
      <c r="AD31" s="651" t="n"/>
      <c r="AE31" s="651" t="n"/>
    </row>
    <row r="32" ht="17" customFormat="1" customHeight="1" s="628">
      <c r="A32" s="427" t="n">
        <v>27</v>
      </c>
      <c r="B32" s="643" t="n"/>
      <c r="C32" s="643" t="n"/>
      <c r="D32" s="644" t="n"/>
      <c r="E32" s="569" t="n"/>
      <c r="F32" s="569" t="n"/>
      <c r="G32" s="569" t="n"/>
      <c r="H32" s="645">
        <f>ROUND(E32+F32-G32,2)</f>
        <v/>
      </c>
      <c r="I32" s="597" t="n"/>
      <c r="J32" s="646">
        <f>H32+I32</f>
        <v/>
      </c>
      <c r="K32" s="569" t="n"/>
      <c r="L32" s="645">
        <f>J32+K32</f>
        <v/>
      </c>
      <c r="M32" s="647" t="n"/>
      <c r="N32" s="648" t="n"/>
      <c r="O32" s="597" t="n"/>
      <c r="P32" s="649" t="n"/>
      <c r="Q32" s="649" t="n"/>
      <c r="R32" s="649" t="n"/>
      <c r="S32" s="649" t="n"/>
      <c r="T32" s="649" t="n"/>
      <c r="U32" s="649" t="n"/>
      <c r="V32" s="650" t="n"/>
      <c r="W32" s="651" t="n"/>
      <c r="X32" s="651" t="n"/>
      <c r="Y32" s="651" t="n"/>
      <c r="Z32" s="651" t="n"/>
      <c r="AA32" s="651" t="n"/>
      <c r="AB32" s="651" t="n"/>
      <c r="AC32" s="651" t="n"/>
      <c r="AD32" s="651" t="n"/>
      <c r="AE32" s="651" t="n"/>
    </row>
    <row r="33" ht="23" customFormat="1" customHeight="1" s="570">
      <c r="A33" s="652" t="inlineStr">
        <is>
          <t>账面余额总计</t>
        </is>
      </c>
      <c r="B33" s="563" t="n"/>
      <c r="C33" s="653" t="n"/>
      <c r="D33" s="654" t="n"/>
      <c r="E33" s="645">
        <f>ROUND(SUM(E6:E32),2)</f>
        <v/>
      </c>
      <c r="F33" s="645">
        <f>ROUND(SUM(F6:F32),2)</f>
        <v/>
      </c>
      <c r="G33" s="645">
        <f>ROUND(SUM(G6:G32),2)</f>
        <v/>
      </c>
      <c r="H33" s="645">
        <f>ROUND(SUM(H6:H32),2)</f>
        <v/>
      </c>
      <c r="I33" s="645">
        <f>ROUND(SUM(I6:I32),2)</f>
        <v/>
      </c>
      <c r="J33" s="646">
        <f>H33+I33</f>
        <v/>
      </c>
      <c r="K33" s="645">
        <f>ROUND(SUM(K6:K32),2)</f>
        <v/>
      </c>
      <c r="L33" s="645">
        <f>J33+K33</f>
        <v/>
      </c>
      <c r="M33" s="647" t="n"/>
      <c r="N33" s="645">
        <f>ROUND(SUM(N6:N32),2)</f>
        <v/>
      </c>
      <c r="O33" s="597" t="n"/>
      <c r="P33" s="655" t="n"/>
      <c r="Q33" s="655" t="n"/>
      <c r="R33" s="655" t="n"/>
      <c r="S33" s="655" t="n"/>
      <c r="T33" s="655" t="n"/>
      <c r="U33" s="655" t="n"/>
      <c r="V33" s="570" t="n"/>
      <c r="W33" s="570" t="n"/>
      <c r="X33" s="570" t="n"/>
      <c r="Y33" s="570" t="n"/>
      <c r="Z33" s="570" t="n"/>
      <c r="AA33" s="570" t="n"/>
      <c r="AB33" s="570" t="n"/>
      <c r="AC33" s="570" t="n"/>
      <c r="AD33" s="570" t="n"/>
      <c r="AE33" s="570" t="n"/>
    </row>
    <row r="34" ht="20" customHeight="1" s="559">
      <c r="A34" s="652" t="inlineStr">
        <is>
          <t>坏账准备</t>
        </is>
      </c>
      <c r="B34" s="563" t="n"/>
      <c r="C34" s="653" t="n"/>
      <c r="D34" s="654" t="n"/>
      <c r="E34" s="582" t="n"/>
      <c r="F34" s="582" t="n"/>
      <c r="G34" s="582" t="n"/>
      <c r="H34" s="646">
        <f>E34+G34-F34</f>
        <v/>
      </c>
      <c r="I34" s="590" t="n"/>
      <c r="J34" s="646">
        <f>H34+I34</f>
        <v/>
      </c>
      <c r="K34" s="582" t="n"/>
      <c r="L34" s="645">
        <f>J34+K34</f>
        <v/>
      </c>
      <c r="M34" s="656" t="n"/>
      <c r="N34" s="656" t="n"/>
      <c r="O34" s="656" t="n"/>
      <c r="P34" s="651" t="n"/>
      <c r="Q34" s="651" t="n"/>
      <c r="R34" s="651" t="n"/>
      <c r="S34" s="651" t="n"/>
      <c r="T34" s="651" t="n"/>
      <c r="U34" s="651" t="n"/>
    </row>
    <row r="35" ht="17" customHeight="1" s="559">
      <c r="A35" s="652" t="inlineStr">
        <is>
          <t>账面价值总计</t>
        </is>
      </c>
      <c r="B35" s="563" t="n"/>
      <c r="C35" s="653" t="n"/>
      <c r="D35" s="654" t="n"/>
      <c r="E35" s="645">
        <f>ROUND(E33-E34,2)</f>
        <v/>
      </c>
      <c r="F35" s="645" t="n"/>
      <c r="G35" s="645" t="n"/>
      <c r="H35" s="645">
        <f>ROUND(H33-H34,2)</f>
        <v/>
      </c>
      <c r="I35" s="645" t="n"/>
      <c r="J35" s="646">
        <f>H35+I35</f>
        <v/>
      </c>
      <c r="K35" s="645">
        <f>ROUND(K33-K34,2)</f>
        <v/>
      </c>
      <c r="L35" s="645">
        <f>J35+K35</f>
        <v/>
      </c>
      <c r="M35" s="645" t="n"/>
      <c r="N35" s="645" t="n"/>
      <c r="O35" s="645" t="n"/>
      <c r="P35" s="657" t="n"/>
      <c r="Q35" s="657" t="n"/>
      <c r="R35" s="657" t="n"/>
      <c r="S35" s="657" t="n"/>
      <c r="T35" s="657" t="n"/>
      <c r="U35" s="657" t="n"/>
    </row>
    <row r="37" ht="21" customHeight="1" s="559">
      <c r="B37" s="570" t="inlineStr">
        <is>
          <t>审计说明：</t>
        </is>
      </c>
    </row>
  </sheetData>
  <autoFilter ref="B5:AE35"/>
  <mergeCells count="22">
    <mergeCell ref="R4:R5"/>
    <mergeCell ref="C4:C5"/>
    <mergeCell ref="T4:T5"/>
    <mergeCell ref="O4:O5"/>
    <mergeCell ref="A1:N1"/>
    <mergeCell ref="E4:I4"/>
    <mergeCell ref="Q4:Q5"/>
    <mergeCell ref="D4:D5"/>
    <mergeCell ref="J4:J5"/>
    <mergeCell ref="L4:L5"/>
    <mergeCell ref="A4:A5"/>
    <mergeCell ref="A33:B33"/>
    <mergeCell ref="V4:AE4"/>
    <mergeCell ref="K4:K5"/>
    <mergeCell ref="S4:S5"/>
    <mergeCell ref="U4:U5"/>
    <mergeCell ref="A35:B35"/>
    <mergeCell ref="M4:M5"/>
    <mergeCell ref="B4:B5"/>
    <mergeCell ref="N4:N5"/>
    <mergeCell ref="P4:P5"/>
    <mergeCell ref="A34:B34"/>
  </mergeCells>
  <dataValidations count="1">
    <dataValidation sqref="M6:M32 P6:P32 U6:U32" showDropDown="0" showInputMessage="1" showErrorMessage="1" allowBlank="1" type="list">
      <formula1>"√"</formula1>
    </dataValidation>
  </dataValidation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AF35"/>
  <sheetViews>
    <sheetView zoomScale="90" zoomScaleNormal="90" workbookViewId="0">
      <pane ySplit="5" topLeftCell="A6" activePane="bottomLeft" state="frozen"/>
      <selection activeCell="A1" sqref="A1"/>
      <selection pane="bottomLeft" activeCell="D16" sqref="D16"/>
    </sheetView>
  </sheetViews>
  <sheetFormatPr baseColWidth="8" defaultColWidth="8.731481481481479" defaultRowHeight="14.4"/>
  <cols>
    <col width="12.4166666666667" customWidth="1" style="559" min="2" max="2"/>
    <col width="21.5185185185185" customWidth="1" style="559" min="3" max="3"/>
    <col width="18.1851851851852" customWidth="1" style="559" min="4" max="4"/>
    <col width="18.1388888888889" customWidth="1" style="559" min="5" max="5"/>
    <col width="13.7407407407407" customWidth="1" style="559" min="6" max="6"/>
    <col width="12.5185185185185" customWidth="1" style="559" min="7" max="7"/>
    <col width="11.2685185185185" customWidth="1" style="559" min="8" max="9"/>
    <col width="12.8240740740741" customWidth="1" style="559" min="10" max="10"/>
    <col width="11.2685185185185" customWidth="1" style="559" min="11" max="11"/>
    <col width="12" customWidth="1" style="559" min="12" max="12"/>
    <col width="11.2685185185185" customWidth="1" style="559" min="13" max="21"/>
    <col width="10.3611111111111" customWidth="1" style="559" min="22" max="22"/>
    <col width="13.0185185185185" customWidth="1" style="559" min="23" max="23"/>
    <col width="21.0092592592593" customWidth="1" style="559" min="24" max="24"/>
    <col width="18.3796296296296" customWidth="1" style="559" min="25" max="25"/>
    <col width="34.537037037037" customWidth="1" style="559" min="31" max="31"/>
  </cols>
  <sheetData>
    <row r="1" ht="26" customHeight="1" s="559">
      <c r="B1" s="247" t="inlineStr">
        <is>
          <t>预付账款明细表</t>
        </is>
      </c>
      <c r="P1" s="247" t="n"/>
      <c r="Q1" s="247" t="n"/>
      <c r="R1" s="247" t="n"/>
      <c r="S1" s="247" t="n"/>
      <c r="T1" s="247" t="n"/>
      <c r="U1" s="247" t="n"/>
    </row>
    <row r="2">
      <c r="A2" s="2">
        <f>备忘录!$A$1</f>
        <v/>
      </c>
      <c r="D2" s="456" t="n"/>
      <c r="E2" s="456" t="n"/>
      <c r="F2" s="456" t="inlineStr">
        <is>
          <t>编制人：刘喜琴</t>
        </is>
      </c>
      <c r="L2" s="456">
        <f>备忘录!$C$2</f>
        <v/>
      </c>
      <c r="P2" s="289" t="n"/>
    </row>
    <row r="3">
      <c r="A3" s="2">
        <f>备忘录!$A$2</f>
        <v/>
      </c>
      <c r="D3" s="456" t="n"/>
      <c r="E3" s="456" t="n"/>
      <c r="F3" s="456" t="inlineStr">
        <is>
          <t>复核人：赵玮</t>
        </is>
      </c>
      <c r="L3" s="456">
        <f>备忘录!$C$3</f>
        <v/>
      </c>
    </row>
    <row r="4" ht="22"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50" t="inlineStr">
        <is>
          <t>期末报表列报</t>
        </is>
      </c>
      <c r="K4" s="162"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641" t="inlineStr">
        <is>
          <t>企业调整</t>
        </is>
      </c>
      <c r="J5" s="561" t="n"/>
      <c r="K5" s="659"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67" t="n"/>
      <c r="E6" s="569" t="n"/>
      <c r="F6" s="569" t="n"/>
      <c r="G6" s="569" t="n"/>
      <c r="H6" s="660">
        <f>ROUND(E6+F6-G6,2)</f>
        <v/>
      </c>
      <c r="I6" s="661" t="n"/>
      <c r="J6" s="660">
        <f>H6+I6</f>
        <v/>
      </c>
      <c r="K6" s="17" t="n"/>
      <c r="L6" s="645">
        <f>J6+K6</f>
        <v/>
      </c>
      <c r="M6" s="647" t="n"/>
      <c r="N6" s="19" t="n"/>
      <c r="O6" s="102" t="n"/>
      <c r="P6" s="649" t="n"/>
      <c r="Q6" s="102" t="n"/>
      <c r="R6" s="102" t="n"/>
      <c r="S6" s="102" t="n"/>
      <c r="T6" s="102" t="n"/>
      <c r="U6" s="649" t="n"/>
      <c r="V6" s="261" t="n"/>
      <c r="W6" s="261" t="n"/>
      <c r="X6" s="261" t="n"/>
      <c r="Y6" s="261" t="n"/>
      <c r="Z6" s="261" t="n"/>
      <c r="AA6" s="261" t="n"/>
      <c r="AB6" s="261" t="n"/>
      <c r="AC6" s="261" t="n"/>
      <c r="AD6" s="261" t="n"/>
      <c r="AE6" s="261" t="n"/>
    </row>
    <row r="7" ht="16" customFormat="1" customHeight="1" s="455">
      <c r="A7" s="427" t="n">
        <v>2</v>
      </c>
      <c r="B7" s="101" t="n"/>
      <c r="C7" s="101" t="n"/>
      <c r="D7" s="267" t="n"/>
      <c r="E7" s="569" t="n"/>
      <c r="F7" s="569" t="n"/>
      <c r="G7" s="569" t="n"/>
      <c r="H7" s="660">
        <f>ROUND(E7+F7-G7,2)</f>
        <v/>
      </c>
      <c r="I7" s="661" t="n"/>
      <c r="J7" s="660">
        <f>H7+I7</f>
        <v/>
      </c>
      <c r="K7" s="17" t="n"/>
      <c r="L7" s="645">
        <f>J7+K7</f>
        <v/>
      </c>
      <c r="M7" s="647" t="n"/>
      <c r="N7" s="19" t="n"/>
      <c r="O7" s="102" t="n"/>
      <c r="P7" s="649" t="n"/>
      <c r="Q7" s="102" t="n"/>
      <c r="R7" s="102" t="n"/>
      <c r="S7" s="102" t="n"/>
      <c r="T7" s="102" t="n"/>
      <c r="U7" s="649" t="n"/>
      <c r="V7" s="261" t="n"/>
      <c r="W7" s="261" t="n"/>
      <c r="X7" s="261" t="n"/>
      <c r="Y7" s="261" t="n"/>
      <c r="Z7" s="261" t="n"/>
      <c r="AA7" s="261" t="n"/>
      <c r="AB7" s="261" t="n"/>
      <c r="AC7" s="261" t="n"/>
      <c r="AD7" s="261" t="n"/>
      <c r="AE7" s="261" t="n"/>
    </row>
    <row r="8" ht="16" customFormat="1" customHeight="1" s="455">
      <c r="A8" s="427" t="n">
        <v>3</v>
      </c>
      <c r="B8" s="101" t="n"/>
      <c r="C8" s="101" t="n"/>
      <c r="D8" s="267" t="n"/>
      <c r="E8" s="569" t="n"/>
      <c r="F8" s="569" t="n"/>
      <c r="G8" s="569" t="n"/>
      <c r="H8" s="660">
        <f>ROUND(E8+F8-G8,2)</f>
        <v/>
      </c>
      <c r="I8" s="661" t="n"/>
      <c r="J8" s="660">
        <f>H8+I8</f>
        <v/>
      </c>
      <c r="K8" s="17" t="n"/>
      <c r="L8" s="645">
        <f>J8+K8</f>
        <v/>
      </c>
      <c r="M8" s="647" t="n"/>
      <c r="N8" s="19" t="n"/>
      <c r="O8" s="102" t="n"/>
      <c r="P8" s="649" t="n"/>
      <c r="Q8" s="102" t="n"/>
      <c r="R8" s="102" t="n"/>
      <c r="S8" s="102" t="n"/>
      <c r="T8" s="102" t="n"/>
      <c r="U8" s="649" t="n"/>
      <c r="V8" s="261" t="n"/>
      <c r="W8" s="261" t="n"/>
      <c r="X8" s="261" t="n"/>
      <c r="Y8" s="261" t="n"/>
      <c r="Z8" s="261" t="n"/>
      <c r="AA8" s="261" t="n"/>
      <c r="AB8" s="261" t="n"/>
      <c r="AC8" s="261" t="n"/>
      <c r="AD8" s="261" t="n"/>
      <c r="AE8" s="261" t="n"/>
    </row>
    <row r="9" ht="16" customFormat="1" customHeight="1" s="455">
      <c r="A9" s="427" t="n">
        <v>4</v>
      </c>
      <c r="B9" s="101" t="n"/>
      <c r="C9" s="101" t="n"/>
      <c r="D9" s="267" t="n"/>
      <c r="E9" s="569" t="n"/>
      <c r="F9" s="569" t="n"/>
      <c r="G9" s="569" t="n"/>
      <c r="H9" s="660">
        <f>ROUND(E9+F9-G9,2)</f>
        <v/>
      </c>
      <c r="I9" s="661" t="n"/>
      <c r="J9" s="660">
        <f>H9+I9</f>
        <v/>
      </c>
      <c r="K9" s="17" t="n"/>
      <c r="L9" s="645">
        <f>J9+K9</f>
        <v/>
      </c>
      <c r="M9" s="647" t="n"/>
      <c r="N9" s="19" t="n"/>
      <c r="O9" s="102" t="n"/>
      <c r="P9" s="649" t="n"/>
      <c r="Q9" s="102" t="n"/>
      <c r="R9" s="102" t="n"/>
      <c r="S9" s="102" t="n"/>
      <c r="T9" s="102" t="n"/>
      <c r="U9" s="649" t="n"/>
      <c r="V9" s="261" t="n"/>
      <c r="W9" s="261" t="n"/>
      <c r="X9" s="261" t="n"/>
      <c r="Y9" s="261" t="n"/>
      <c r="Z9" s="261" t="n"/>
      <c r="AA9" s="261" t="n"/>
      <c r="AB9" s="261" t="n"/>
      <c r="AC9" s="261" t="n"/>
      <c r="AD9" s="261" t="n"/>
      <c r="AE9" s="261" t="n"/>
    </row>
    <row r="10" ht="16" customFormat="1" customHeight="1" s="455">
      <c r="A10" s="427" t="n">
        <v>5</v>
      </c>
      <c r="B10" s="101" t="n"/>
      <c r="C10" s="101" t="n"/>
      <c r="D10" s="267" t="n"/>
      <c r="E10" s="569" t="n"/>
      <c r="F10" s="569" t="n"/>
      <c r="G10" s="569" t="n"/>
      <c r="H10" s="660">
        <f>ROUND(E10+F10-G10,2)</f>
        <v/>
      </c>
      <c r="I10" s="661" t="n"/>
      <c r="J10" s="660">
        <f>H10+I10</f>
        <v/>
      </c>
      <c r="K10" s="17" t="n"/>
      <c r="L10" s="645">
        <f>J10+K10</f>
        <v/>
      </c>
      <c r="M10" s="647" t="n"/>
      <c r="N10" s="19" t="n"/>
      <c r="O10" s="102" t="n"/>
      <c r="P10" s="649" t="n"/>
      <c r="Q10" s="102" t="n"/>
      <c r="R10" s="102" t="n"/>
      <c r="S10" s="102" t="n"/>
      <c r="T10" s="102"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267" t="n"/>
      <c r="E11" s="569" t="n"/>
      <c r="F11" s="569" t="n"/>
      <c r="G11" s="569" t="n"/>
      <c r="H11" s="660">
        <f>ROUND(E11+F11-G11,2)</f>
        <v/>
      </c>
      <c r="I11" s="661" t="n"/>
      <c r="J11" s="660">
        <f>H11+I11</f>
        <v/>
      </c>
      <c r="K11" s="17" t="n"/>
      <c r="L11" s="645">
        <f>J11+K11</f>
        <v/>
      </c>
      <c r="M11" s="647" t="n"/>
      <c r="N11" s="19" t="n"/>
      <c r="O11" s="102" t="n"/>
      <c r="P11" s="649" t="n"/>
      <c r="Q11" s="102" t="n"/>
      <c r="R11" s="102" t="n"/>
      <c r="S11" s="102" t="n"/>
      <c r="T11" s="102"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13" t="n"/>
      <c r="E12" s="569" t="n"/>
      <c r="F12" s="569" t="n"/>
      <c r="G12" s="569" t="n"/>
      <c r="H12" s="660">
        <f>ROUND(E12+F12-G12,2)</f>
        <v/>
      </c>
      <c r="I12" s="661" t="n"/>
      <c r="J12" s="660">
        <f>H12+I12</f>
        <v/>
      </c>
      <c r="K12" s="17" t="n"/>
      <c r="L12" s="645">
        <f>J12+K12</f>
        <v/>
      </c>
      <c r="M12" s="647" t="n"/>
      <c r="N12" s="19" t="n"/>
      <c r="O12" s="102" t="n"/>
      <c r="P12" s="649" t="n"/>
      <c r="Q12" s="102" t="n"/>
      <c r="R12" s="102" t="n"/>
      <c r="S12" s="102" t="n"/>
      <c r="T12" s="102"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267" t="n"/>
      <c r="E13" s="569" t="n"/>
      <c r="F13" s="569" t="n"/>
      <c r="G13" s="569" t="n"/>
      <c r="H13" s="660">
        <f>ROUND(E13+F13-G13,2)</f>
        <v/>
      </c>
      <c r="I13" s="661" t="n"/>
      <c r="J13" s="660">
        <f>H13+I13</f>
        <v/>
      </c>
      <c r="K13" s="17" t="n"/>
      <c r="L13" s="645">
        <f>J13+K13</f>
        <v/>
      </c>
      <c r="M13" s="647" t="n"/>
      <c r="N13" s="19" t="n"/>
      <c r="O13" s="102" t="n"/>
      <c r="P13" s="649" t="n"/>
      <c r="Q13" s="102" t="n"/>
      <c r="R13" s="102" t="n"/>
      <c r="S13" s="102" t="n"/>
      <c r="T13" s="102"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67" t="n"/>
      <c r="E14" s="569" t="n"/>
      <c r="F14" s="569" t="n"/>
      <c r="G14" s="569" t="n"/>
      <c r="H14" s="660">
        <f>ROUND(E14+F14-G14,2)</f>
        <v/>
      </c>
      <c r="I14" s="661" t="n"/>
      <c r="J14" s="660">
        <f>H14+I14</f>
        <v/>
      </c>
      <c r="K14" s="17" t="n"/>
      <c r="L14" s="645">
        <f>J14+K14</f>
        <v/>
      </c>
      <c r="M14" s="647" t="n"/>
      <c r="N14" s="19" t="n"/>
      <c r="O14" s="102" t="n"/>
      <c r="P14" s="649" t="n"/>
      <c r="Q14" s="102" t="n"/>
      <c r="R14" s="102" t="n"/>
      <c r="S14" s="102" t="n"/>
      <c r="T14" s="102"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67" t="n"/>
      <c r="E15" s="569" t="n"/>
      <c r="F15" s="569" t="n"/>
      <c r="G15" s="569" t="n"/>
      <c r="H15" s="660">
        <f>ROUND(E15+F15-G15,2)</f>
        <v/>
      </c>
      <c r="I15" s="661" t="n"/>
      <c r="J15" s="660">
        <f>H15+I15</f>
        <v/>
      </c>
      <c r="K15" s="17" t="n"/>
      <c r="L15" s="645">
        <f>J15+K15</f>
        <v/>
      </c>
      <c r="M15" s="647" t="n"/>
      <c r="N15" s="19" t="n"/>
      <c r="O15" s="102" t="n"/>
      <c r="P15" s="649" t="n"/>
      <c r="Q15" s="102" t="n"/>
      <c r="R15" s="102" t="n"/>
      <c r="S15" s="102" t="n"/>
      <c r="T15" s="102"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67" t="n"/>
      <c r="E16" s="569" t="n"/>
      <c r="F16" s="569" t="n"/>
      <c r="G16" s="569" t="n"/>
      <c r="H16" s="660">
        <f>ROUND(E16+F16-G16,2)</f>
        <v/>
      </c>
      <c r="I16" s="661" t="n"/>
      <c r="J16" s="660">
        <f>H16+I16</f>
        <v/>
      </c>
      <c r="K16" s="17" t="n"/>
      <c r="L16" s="645">
        <f>J16+K16</f>
        <v/>
      </c>
      <c r="M16" s="647" t="n"/>
      <c r="N16" s="19" t="n"/>
      <c r="O16" s="102" t="n"/>
      <c r="P16" s="649" t="n"/>
      <c r="Q16" s="102" t="n"/>
      <c r="R16" s="102" t="n"/>
      <c r="S16" s="102" t="n"/>
      <c r="T16" s="102"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267" t="n"/>
      <c r="E17" s="569" t="n"/>
      <c r="F17" s="569" t="n"/>
      <c r="G17" s="569" t="n"/>
      <c r="H17" s="660">
        <f>ROUND(E17+F17-G17,2)</f>
        <v/>
      </c>
      <c r="I17" s="661" t="n"/>
      <c r="J17" s="660">
        <f>H17+I17</f>
        <v/>
      </c>
      <c r="K17" s="17" t="n"/>
      <c r="L17" s="645">
        <f>J17+K17</f>
        <v/>
      </c>
      <c r="M17" s="647" t="n"/>
      <c r="N17" s="19" t="n"/>
      <c r="O17" s="102" t="n"/>
      <c r="P17" s="649" t="n"/>
      <c r="Q17" s="102" t="n"/>
      <c r="R17" s="102" t="n"/>
      <c r="S17" s="102" t="n"/>
      <c r="T17" s="102"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13" t="n"/>
      <c r="E18" s="569" t="n"/>
      <c r="F18" s="569" t="n"/>
      <c r="G18" s="569" t="n"/>
      <c r="H18" s="660">
        <f>ROUND(E18+F18-G18,2)</f>
        <v/>
      </c>
      <c r="I18" s="661" t="n"/>
      <c r="J18" s="660">
        <f>H18+I18</f>
        <v/>
      </c>
      <c r="K18" s="17" t="n"/>
      <c r="L18" s="645">
        <f>J18+K18</f>
        <v/>
      </c>
      <c r="M18" s="647" t="n"/>
      <c r="N18" s="19" t="n"/>
      <c r="O18" s="102" t="n"/>
      <c r="P18" s="649" t="n"/>
      <c r="Q18" s="102" t="n"/>
      <c r="R18" s="102" t="n"/>
      <c r="S18" s="102" t="n"/>
      <c r="T18" s="102" t="n"/>
      <c r="U18" s="649" t="n"/>
      <c r="V18" s="271" t="n"/>
      <c r="W18" s="272" t="n"/>
      <c r="X18" s="273" t="n"/>
      <c r="Y18" s="273" t="n"/>
      <c r="Z18" s="274" t="n"/>
      <c r="AA18" s="275" t="n"/>
      <c r="AB18" s="274" t="n"/>
      <c r="AC18" s="274" t="n"/>
      <c r="AD18" s="274" t="n"/>
      <c r="AE18" s="274" t="n"/>
    </row>
    <row r="19" ht="16" customFormat="1" customHeight="1" s="455">
      <c r="A19" s="427" t="n">
        <v>14</v>
      </c>
      <c r="B19" s="101" t="n"/>
      <c r="C19" s="101" t="n"/>
      <c r="D19" s="313" t="n"/>
      <c r="E19" s="569" t="n"/>
      <c r="F19" s="569" t="n"/>
      <c r="G19" s="569" t="n"/>
      <c r="H19" s="660">
        <f>ROUND(E19+F19-G19,2)</f>
        <v/>
      </c>
      <c r="I19" s="661" t="n"/>
      <c r="J19" s="660">
        <f>H19+I19</f>
        <v/>
      </c>
      <c r="K19" s="17" t="n"/>
      <c r="L19" s="645">
        <f>J19+K19</f>
        <v/>
      </c>
      <c r="M19" s="647" t="n"/>
      <c r="N19" s="19" t="n"/>
      <c r="O19" s="102" t="n"/>
      <c r="P19" s="649" t="n"/>
      <c r="Q19" s="102" t="n"/>
      <c r="R19" s="102" t="n"/>
      <c r="S19" s="102" t="n"/>
      <c r="T19" s="102" t="n"/>
      <c r="U19" s="649" t="n"/>
      <c r="V19" s="261" t="n"/>
      <c r="W19" s="261" t="n"/>
      <c r="X19" s="273" t="n"/>
      <c r="Y19" s="261" t="n"/>
      <c r="Z19" s="261" t="n"/>
      <c r="AA19" s="261" t="n"/>
      <c r="AB19" s="261" t="n"/>
      <c r="AC19" s="261" t="n"/>
      <c r="AD19" s="261" t="n"/>
      <c r="AE19" s="261" t="n"/>
    </row>
    <row r="20" ht="16" customFormat="1" customHeight="1" s="455">
      <c r="A20" s="427" t="n">
        <v>15</v>
      </c>
      <c r="B20" s="101" t="n"/>
      <c r="C20" s="101" t="n"/>
      <c r="D20" s="267" t="n"/>
      <c r="E20" s="569" t="n"/>
      <c r="F20" s="569" t="n"/>
      <c r="G20" s="569" t="n"/>
      <c r="H20" s="660">
        <f>ROUND(E20+F20-G20,2)</f>
        <v/>
      </c>
      <c r="I20" s="661" t="n"/>
      <c r="J20" s="660">
        <f>H20+I20</f>
        <v/>
      </c>
      <c r="K20" s="17" t="n"/>
      <c r="L20" s="645">
        <f>J20+K20</f>
        <v/>
      </c>
      <c r="M20" s="647" t="n"/>
      <c r="N20" s="19" t="n"/>
      <c r="O20" s="102" t="n"/>
      <c r="P20" s="649" t="n"/>
      <c r="Q20" s="102" t="n"/>
      <c r="R20" s="102" t="n"/>
      <c r="S20" s="102" t="n"/>
      <c r="T20" s="102"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67" t="n"/>
      <c r="E21" s="569" t="n"/>
      <c r="F21" s="569" t="n"/>
      <c r="G21" s="569" t="n"/>
      <c r="H21" s="660">
        <f>ROUND(E21+F21-G21,2)</f>
        <v/>
      </c>
      <c r="I21" s="661" t="n"/>
      <c r="J21" s="660">
        <f>H21+I21</f>
        <v/>
      </c>
      <c r="K21" s="17" t="n"/>
      <c r="L21" s="645">
        <f>J21+K21</f>
        <v/>
      </c>
      <c r="M21" s="647" t="n"/>
      <c r="N21" s="19" t="n"/>
      <c r="O21" s="102" t="n"/>
      <c r="P21" s="649" t="n"/>
      <c r="Q21" s="102" t="n"/>
      <c r="R21" s="102" t="n"/>
      <c r="S21" s="102" t="n"/>
      <c r="T21" s="102"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67" t="n"/>
      <c r="E22" s="569" t="n"/>
      <c r="F22" s="569" t="n"/>
      <c r="G22" s="569" t="n"/>
      <c r="H22" s="660">
        <f>ROUND(E22+F22-G22,2)</f>
        <v/>
      </c>
      <c r="I22" s="661" t="n"/>
      <c r="J22" s="660">
        <f>H22+I22</f>
        <v/>
      </c>
      <c r="K22" s="17" t="n"/>
      <c r="L22" s="645">
        <f>J22+K22</f>
        <v/>
      </c>
      <c r="M22" s="647" t="n"/>
      <c r="N22" s="19" t="n"/>
      <c r="O22" s="102" t="n"/>
      <c r="P22" s="649" t="n"/>
      <c r="Q22" s="102" t="n"/>
      <c r="R22" s="102" t="n"/>
      <c r="S22" s="102" t="n"/>
      <c r="T22" s="102"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67" t="n"/>
      <c r="E23" s="569" t="n"/>
      <c r="F23" s="569" t="n"/>
      <c r="G23" s="569" t="n"/>
      <c r="H23" s="660">
        <f>ROUND(E23+F23-G23,2)</f>
        <v/>
      </c>
      <c r="I23" s="661" t="n"/>
      <c r="J23" s="660">
        <f>H23+I23</f>
        <v/>
      </c>
      <c r="K23" s="17" t="n"/>
      <c r="L23" s="645">
        <f>J23+K23</f>
        <v/>
      </c>
      <c r="M23" s="647" t="n"/>
      <c r="N23" s="19" t="n"/>
      <c r="O23" s="102" t="n"/>
      <c r="P23" s="649" t="n"/>
      <c r="Q23" s="102" t="n"/>
      <c r="R23" s="102" t="n"/>
      <c r="S23" s="102" t="n"/>
      <c r="T23" s="102"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67" t="n"/>
      <c r="E24" s="569" t="n"/>
      <c r="F24" s="569" t="n"/>
      <c r="G24" s="569" t="n"/>
      <c r="H24" s="660">
        <f>ROUND(E24+F24-G24,2)</f>
        <v/>
      </c>
      <c r="I24" s="661" t="n"/>
      <c r="J24" s="660">
        <f>H24+I24</f>
        <v/>
      </c>
      <c r="K24" s="17" t="n"/>
      <c r="L24" s="645">
        <f>J24+K24</f>
        <v/>
      </c>
      <c r="M24" s="647" t="n"/>
      <c r="N24" s="19" t="n"/>
      <c r="O24" s="102" t="n"/>
      <c r="P24" s="649" t="n"/>
      <c r="Q24" s="102" t="n"/>
      <c r="R24" s="102" t="n"/>
      <c r="S24" s="102" t="n"/>
      <c r="T24" s="102" t="n"/>
      <c r="U24" s="649" t="n"/>
      <c r="V24" s="261" t="n"/>
      <c r="W24" s="261" t="n"/>
      <c r="X24" s="261" t="n"/>
      <c r="Y24" s="261" t="n"/>
      <c r="Z24" s="261" t="n"/>
      <c r="AA24" s="261" t="n"/>
      <c r="AB24" s="261" t="n"/>
      <c r="AC24" s="261" t="n"/>
      <c r="AD24" s="261" t="n"/>
      <c r="AE24" s="261" t="n"/>
    </row>
    <row r="25" hidden="1" ht="14" customFormat="1" customHeight="1" s="455">
      <c r="A25" s="427" t="n">
        <v>20</v>
      </c>
      <c r="B25" s="101" t="n"/>
      <c r="C25" s="101" t="n"/>
      <c r="D25" s="101" t="n"/>
      <c r="E25" s="17" t="n"/>
      <c r="F25" s="17" t="n"/>
      <c r="G25" s="17" t="n"/>
      <c r="H25" s="660">
        <f>ROUND(E25+F25-G25,2)</f>
        <v/>
      </c>
      <c r="I25" s="660" t="n"/>
      <c r="J25" s="660">
        <f>H25+I25</f>
        <v/>
      </c>
      <c r="K25" s="17" t="n"/>
      <c r="L25" s="645">
        <f>J25+K25</f>
        <v/>
      </c>
      <c r="M25" s="647" t="n"/>
      <c r="N25" s="19" t="n"/>
      <c r="O25" s="102" t="n"/>
      <c r="P25" s="649" t="n"/>
      <c r="Q25" s="102" t="n"/>
      <c r="R25" s="102" t="n"/>
      <c r="S25" s="102" t="n"/>
      <c r="T25" s="102" t="n"/>
      <c r="U25" s="649" t="n"/>
      <c r="V25" s="261" t="n"/>
      <c r="W25" s="261" t="n"/>
      <c r="X25" s="261" t="n"/>
      <c r="Y25" s="261" t="n"/>
      <c r="Z25" s="261" t="n"/>
      <c r="AA25" s="261" t="n"/>
      <c r="AB25" s="261" t="n"/>
      <c r="AC25" s="261" t="n"/>
      <c r="AD25" s="261" t="n"/>
      <c r="AE25" s="261" t="n"/>
    </row>
    <row r="26" hidden="1" ht="14" customFormat="1" customHeight="1" s="455">
      <c r="A26" s="427" t="n">
        <v>21</v>
      </c>
      <c r="B26" s="101" t="n"/>
      <c r="C26" s="101" t="n"/>
      <c r="D26" s="101" t="n"/>
      <c r="E26" s="17" t="n"/>
      <c r="F26" s="17" t="n"/>
      <c r="G26" s="17" t="n"/>
      <c r="H26" s="660">
        <f>ROUND(E26+F26-G26,2)</f>
        <v/>
      </c>
      <c r="I26" s="660" t="n"/>
      <c r="J26" s="660">
        <f>H26+I26</f>
        <v/>
      </c>
      <c r="K26" s="17" t="n"/>
      <c r="L26" s="645">
        <f>J26+K26</f>
        <v/>
      </c>
      <c r="M26" s="647" t="n"/>
      <c r="N26" s="19" t="n"/>
      <c r="O26" s="102" t="n"/>
      <c r="P26" s="649" t="n"/>
      <c r="Q26" s="102" t="n"/>
      <c r="R26" s="102" t="n"/>
      <c r="S26" s="102" t="n"/>
      <c r="T26" s="102" t="n"/>
      <c r="U26" s="649" t="n"/>
      <c r="V26" s="261" t="n"/>
      <c r="W26" s="261" t="n"/>
      <c r="X26" s="261" t="n"/>
      <c r="Y26" s="261" t="n"/>
      <c r="Z26" s="261" t="n"/>
      <c r="AA26" s="261" t="n"/>
      <c r="AB26" s="261" t="n"/>
      <c r="AC26" s="261" t="n"/>
      <c r="AD26" s="261" t="n"/>
      <c r="AE26" s="261" t="n"/>
    </row>
    <row r="27" hidden="1" ht="14" customFormat="1" customHeight="1" s="455">
      <c r="A27" s="427" t="n">
        <v>22</v>
      </c>
      <c r="B27" s="101" t="n"/>
      <c r="C27" s="101" t="n"/>
      <c r="D27" s="101" t="n"/>
      <c r="E27" s="17" t="n"/>
      <c r="F27" s="17" t="n"/>
      <c r="G27" s="17" t="n"/>
      <c r="H27" s="660">
        <f>ROUND(E27+F27-G27,2)</f>
        <v/>
      </c>
      <c r="I27" s="660" t="n"/>
      <c r="J27" s="660">
        <f>H27+I27</f>
        <v/>
      </c>
      <c r="K27" s="17" t="n"/>
      <c r="L27" s="645">
        <f>J27+K27</f>
        <v/>
      </c>
      <c r="M27" s="647" t="n"/>
      <c r="N27" s="19" t="n"/>
      <c r="O27" s="102" t="n"/>
      <c r="P27" s="649" t="n"/>
      <c r="Q27" s="102" t="n"/>
      <c r="R27" s="102" t="n"/>
      <c r="S27" s="102" t="n"/>
      <c r="T27" s="102" t="n"/>
      <c r="U27" s="649" t="n"/>
      <c r="V27" s="261" t="n"/>
      <c r="W27" s="261" t="n"/>
      <c r="X27" s="261" t="n"/>
      <c r="Y27" s="261" t="n"/>
      <c r="Z27" s="261" t="n"/>
      <c r="AA27" s="261" t="n"/>
      <c r="AB27" s="261" t="n"/>
      <c r="AC27" s="261" t="n"/>
      <c r="AD27" s="261" t="n"/>
      <c r="AE27" s="261" t="n"/>
    </row>
    <row r="28" hidden="1" ht="14" customFormat="1" customHeight="1" s="455">
      <c r="A28" s="427" t="n">
        <v>23</v>
      </c>
      <c r="B28" s="101" t="n"/>
      <c r="C28" s="101" t="n"/>
      <c r="D28" s="101" t="n"/>
      <c r="E28" s="17" t="n"/>
      <c r="F28" s="17" t="n"/>
      <c r="G28" s="17" t="n"/>
      <c r="H28" s="660">
        <f>ROUND(E28+F28-G28,2)</f>
        <v/>
      </c>
      <c r="I28" s="660" t="n"/>
      <c r="J28" s="660">
        <f>H28+I28</f>
        <v/>
      </c>
      <c r="K28" s="17" t="n"/>
      <c r="L28" s="645">
        <f>J28+K28</f>
        <v/>
      </c>
      <c r="M28" s="647" t="n"/>
      <c r="N28" s="19" t="n"/>
      <c r="O28" s="102" t="n"/>
      <c r="P28" s="649" t="n"/>
      <c r="Q28" s="102" t="n"/>
      <c r="R28" s="102" t="n"/>
      <c r="S28" s="102" t="n"/>
      <c r="T28" s="102" t="n"/>
      <c r="U28" s="649" t="n"/>
      <c r="V28" s="261" t="n"/>
      <c r="W28" s="261" t="n"/>
      <c r="X28" s="261" t="n"/>
      <c r="Y28" s="261" t="n"/>
      <c r="Z28" s="261" t="n"/>
      <c r="AA28" s="261" t="n"/>
      <c r="AB28" s="261" t="n"/>
      <c r="AC28" s="261" t="n"/>
      <c r="AD28" s="261" t="n"/>
      <c r="AE28" s="261" t="n"/>
    </row>
    <row r="29" hidden="1" ht="14" customFormat="1" customHeight="1" s="455">
      <c r="A29" s="427" t="n">
        <v>24</v>
      </c>
      <c r="B29" s="101" t="n"/>
      <c r="C29" s="101" t="n"/>
      <c r="D29" s="101" t="n"/>
      <c r="E29" s="17" t="n"/>
      <c r="F29" s="17" t="n"/>
      <c r="G29" s="17" t="n"/>
      <c r="H29" s="660">
        <f>ROUND(E29+F29-G29,2)</f>
        <v/>
      </c>
      <c r="I29" s="660" t="n"/>
      <c r="J29" s="660">
        <f>H29+I29</f>
        <v/>
      </c>
      <c r="K29" s="17" t="n"/>
      <c r="L29" s="645">
        <f>J29+K29</f>
        <v/>
      </c>
      <c r="M29" s="647" t="n"/>
      <c r="N29" s="19" t="n"/>
      <c r="O29" s="102" t="n"/>
      <c r="P29" s="649" t="n"/>
      <c r="Q29" s="102" t="n"/>
      <c r="R29" s="102" t="n"/>
      <c r="S29" s="102" t="n"/>
      <c r="T29" s="102" t="n"/>
      <c r="U29" s="649" t="n"/>
      <c r="V29" s="261" t="n"/>
      <c r="W29" s="261" t="n"/>
      <c r="X29" s="261" t="n"/>
      <c r="Y29" s="261" t="n"/>
      <c r="Z29" s="261" t="n"/>
      <c r="AA29" s="261" t="n"/>
      <c r="AB29" s="261" t="n"/>
      <c r="AC29" s="261" t="n"/>
      <c r="AD29" s="261" t="n"/>
      <c r="AE29" s="261" t="n"/>
    </row>
    <row r="30" hidden="1" ht="14" customFormat="1" customHeight="1" s="455">
      <c r="A30" s="427" t="n">
        <v>25</v>
      </c>
      <c r="B30" s="101" t="n"/>
      <c r="C30" s="101" t="n"/>
      <c r="D30" s="101" t="n"/>
      <c r="E30" s="17" t="n"/>
      <c r="F30" s="17" t="n"/>
      <c r="G30" s="17" t="n"/>
      <c r="H30" s="660">
        <f>ROUND(E30+F30-G30,2)</f>
        <v/>
      </c>
      <c r="I30" s="660" t="n"/>
      <c r="J30" s="660">
        <f>H30+I30</f>
        <v/>
      </c>
      <c r="K30" s="17" t="n"/>
      <c r="L30" s="645">
        <f>J30+K30</f>
        <v/>
      </c>
      <c r="M30" s="647" t="n"/>
      <c r="N30" s="19" t="n"/>
      <c r="O30" s="102" t="n"/>
      <c r="P30" s="649" t="n"/>
      <c r="Q30" s="102" t="n"/>
      <c r="R30" s="102" t="n"/>
      <c r="S30" s="102" t="n"/>
      <c r="T30" s="102" t="n"/>
      <c r="U30" s="649" t="n"/>
      <c r="V30" s="261" t="n"/>
      <c r="W30" s="261" t="n"/>
      <c r="X30" s="261" t="n"/>
      <c r="Y30" s="261" t="n"/>
      <c r="Z30" s="261" t="n"/>
      <c r="AA30" s="261" t="n"/>
      <c r="AB30" s="261" t="n"/>
      <c r="AC30" s="261" t="n"/>
      <c r="AD30" s="261" t="n"/>
      <c r="AE30" s="261" t="n"/>
    </row>
    <row r="31" ht="24" customFormat="1" customHeight="1" s="521">
      <c r="A31" s="662" t="inlineStr">
        <is>
          <t>账面余额总计</t>
        </is>
      </c>
      <c r="B31" s="563" t="n"/>
      <c r="C31" s="304" t="n"/>
      <c r="D31" s="262" t="n"/>
      <c r="E31" s="645">
        <f>ROUND(SUM(E6:E30),2)</f>
        <v/>
      </c>
      <c r="F31" s="645">
        <f>ROUND(SUM(F6:F30),2)</f>
        <v/>
      </c>
      <c r="G31" s="645">
        <f>ROUND(SUM(G6:G30),2)</f>
        <v/>
      </c>
      <c r="H31" s="660">
        <f>ROUND(E31+F31-G31,2)</f>
        <v/>
      </c>
      <c r="I31" s="645">
        <f>ROUND(SUM(I4:I30),2)</f>
        <v/>
      </c>
      <c r="J31" s="660">
        <f>H31+I31</f>
        <v/>
      </c>
      <c r="K31" s="645">
        <f>ROUND(SUM(K6:K30),2)</f>
        <v/>
      </c>
      <c r="L31" s="645">
        <f>J31+K31</f>
        <v/>
      </c>
      <c r="M31" s="647" t="n"/>
      <c r="N31" s="645">
        <f>ROUND(SUM(N6:N30),2)</f>
        <v/>
      </c>
      <c r="O31" s="663" t="n"/>
      <c r="P31" s="663" t="n"/>
      <c r="Q31" s="663" t="n"/>
      <c r="R31" s="663" t="n"/>
      <c r="S31" s="663" t="n"/>
      <c r="T31" s="663" t="n"/>
      <c r="U31" s="663" t="n"/>
      <c r="V31" s="521" t="n"/>
      <c r="W31" s="521" t="n"/>
      <c r="X31" s="521" t="n"/>
      <c r="Y31" s="521" t="n"/>
      <c r="Z31" s="521" t="n"/>
      <c r="AA31" s="521" t="n"/>
      <c r="AB31" s="521" t="n"/>
      <c r="AC31" s="521" t="n"/>
      <c r="AD31" s="521" t="n"/>
      <c r="AE31" s="521" t="n"/>
      <c r="AF31" s="521" t="n"/>
    </row>
    <row r="32" ht="19" customHeight="1" s="559">
      <c r="A32" s="662" t="inlineStr">
        <is>
          <t>坏账准备</t>
        </is>
      </c>
      <c r="B32" s="563" t="n"/>
      <c r="C32" s="304" t="n"/>
      <c r="D32" s="262" t="n"/>
      <c r="E32" s="582" t="n"/>
      <c r="F32" s="582" t="n"/>
      <c r="G32" s="582" t="n"/>
      <c r="H32" s="583">
        <f>E32+F32-G32</f>
        <v/>
      </c>
      <c r="I32" s="582" t="n"/>
      <c r="J32" s="660">
        <f>H32+I32</f>
        <v/>
      </c>
      <c r="K32" s="582" t="n"/>
      <c r="L32" s="316">
        <f>J32+K32</f>
        <v/>
      </c>
      <c r="M32" s="80" t="n"/>
      <c r="N32" s="80" t="n"/>
      <c r="O32" s="455" t="n"/>
      <c r="P32" s="455" t="n"/>
      <c r="Q32" s="455" t="n"/>
      <c r="R32" s="455" t="n"/>
      <c r="S32" s="455" t="n"/>
      <c r="T32" s="455" t="n"/>
      <c r="U32" s="455" t="n"/>
      <c r="V32" s="455" t="n"/>
      <c r="W32" s="455" t="n"/>
      <c r="X32" s="455" t="n"/>
      <c r="Y32" s="455" t="n"/>
      <c r="Z32" s="455" t="n"/>
      <c r="AA32" s="455" t="n"/>
      <c r="AB32" s="455" t="n"/>
      <c r="AC32" s="455" t="n"/>
      <c r="AD32" s="455" t="n"/>
      <c r="AE32" s="455" t="n"/>
      <c r="AF32" s="455" t="n"/>
    </row>
    <row r="33" ht="19" customHeight="1" s="559">
      <c r="A33" s="662" t="inlineStr">
        <is>
          <t>账面价值总计</t>
        </is>
      </c>
      <c r="B33" s="563" t="n"/>
      <c r="C33" s="304" t="n"/>
      <c r="D33" s="262" t="n"/>
      <c r="E33" s="645">
        <f>ROUND(E31-E32,2)</f>
        <v/>
      </c>
      <c r="F33" s="645" t="n"/>
      <c r="G33" s="645" t="n"/>
      <c r="H33" s="645">
        <f>ROUND(H31-H32,2)</f>
        <v/>
      </c>
      <c r="I33" s="645" t="n"/>
      <c r="J33" s="645">
        <f>ROUND(J31-J32,2)</f>
        <v/>
      </c>
      <c r="K33" s="645">
        <f>ROUND(K31-K32,2)</f>
        <v/>
      </c>
      <c r="L33" s="645">
        <f>ROUND(L31-L32,2)</f>
        <v/>
      </c>
      <c r="M33" s="597" t="n"/>
      <c r="N33" s="645" t="n"/>
      <c r="O33" s="663" t="n"/>
      <c r="P33" s="663" t="n"/>
      <c r="Q33" s="663" t="n"/>
      <c r="R33" s="663" t="n"/>
      <c r="S33" s="663" t="n"/>
      <c r="T33" s="663" t="n"/>
      <c r="U33" s="663" t="n"/>
      <c r="V33" s="455" t="n"/>
      <c r="W33" s="455" t="n"/>
      <c r="X33" s="455" t="n"/>
      <c r="Y33" s="455" t="n"/>
      <c r="Z33" s="455" t="n"/>
      <c r="AA33" s="455" t="n"/>
      <c r="AB33" s="455" t="n"/>
      <c r="AC33" s="455" t="n"/>
      <c r="AD33" s="455" t="n"/>
      <c r="AE33" s="455" t="n"/>
      <c r="AF33" s="455" t="n"/>
    </row>
    <row r="34">
      <c r="O34" s="455" t="n"/>
      <c r="P34" s="455" t="n"/>
      <c r="Q34" s="455" t="n"/>
      <c r="R34" s="455" t="n"/>
      <c r="S34" s="455" t="n"/>
      <c r="T34" s="455" t="n"/>
      <c r="U34" s="455" t="n"/>
      <c r="V34" s="455" t="n"/>
      <c r="W34" s="455" t="n"/>
      <c r="X34" s="455" t="n"/>
      <c r="Y34" s="455" t="n"/>
      <c r="Z34" s="455" t="n"/>
      <c r="AA34" s="455" t="n"/>
      <c r="AB34" s="455" t="n"/>
      <c r="AC34" s="455" t="n"/>
      <c r="AD34" s="455" t="n"/>
      <c r="AE34" s="455" t="n"/>
      <c r="AF34" s="455" t="n"/>
    </row>
    <row r="35" ht="22" customHeight="1" s="559">
      <c r="B35" s="570" t="inlineStr">
        <is>
          <t>审计说明：</t>
        </is>
      </c>
    </row>
  </sheetData>
  <autoFilter ref="B5:AE33"/>
  <mergeCells count="22">
    <mergeCell ref="R4:R5"/>
    <mergeCell ref="C4:C5"/>
    <mergeCell ref="T4:T5"/>
    <mergeCell ref="O4:O5"/>
    <mergeCell ref="E4:I4"/>
    <mergeCell ref="Q4:Q5"/>
    <mergeCell ref="D4:D5"/>
    <mergeCell ref="J4:J5"/>
    <mergeCell ref="L4:L5"/>
    <mergeCell ref="B1:O1"/>
    <mergeCell ref="A4:A5"/>
    <mergeCell ref="A33:B33"/>
    <mergeCell ref="V4:AE4"/>
    <mergeCell ref="K4:K5"/>
    <mergeCell ref="A32:B32"/>
    <mergeCell ref="S4:S5"/>
    <mergeCell ref="U4:U5"/>
    <mergeCell ref="M4:M5"/>
    <mergeCell ref="B4:B5"/>
    <mergeCell ref="N4:N5"/>
    <mergeCell ref="P4:P5"/>
    <mergeCell ref="A31:B31"/>
  </mergeCells>
  <dataValidations count="1">
    <dataValidation sqref="M6:M30 P6:P30 U6:U30" showDropDown="0" showInputMessage="1" showErrorMessage="1" allowBlank="1" type="list">
      <formula1>"√"</formula1>
    </dataValidation>
  </dataValidations>
  <pageMargins left="0.75" right="0.75" top="1" bottom="1" header="0.5" footer="0.5"/>
</worksheet>
</file>

<file path=xl/worksheets/sheet18.xml><?xml version="1.0" encoding="utf-8"?>
<worksheet xmlns="http://schemas.openxmlformats.org/spreadsheetml/2006/main">
  <sheetPr codeName="Sheet15">
    <outlinePr summaryBelow="1" summaryRight="1"/>
    <pageSetUpPr/>
  </sheetPr>
  <dimension ref="A1:AE150"/>
  <sheetViews>
    <sheetView zoomScale="90" zoomScaleNormal="90" workbookViewId="0">
      <pane ySplit="5" topLeftCell="A68" activePane="bottomLeft" state="frozen"/>
      <selection activeCell="A1" sqref="A1"/>
      <selection pane="bottomLeft" activeCell="C75" sqref="C75"/>
    </sheetView>
  </sheetViews>
  <sheetFormatPr baseColWidth="8" defaultColWidth="8.731481481481479" defaultRowHeight="14.4"/>
  <cols>
    <col width="8.731481481481479" customWidth="1" style="455" min="1" max="1"/>
    <col width="14.037037037037" customWidth="1" style="455" min="2" max="2"/>
    <col width="20.7962962962963" customWidth="1" style="455" min="3" max="3"/>
    <col width="19.1944444444444" customWidth="1" style="455" min="4" max="4"/>
    <col width="15.2777777777778" customWidth="1" style="455" min="5" max="5"/>
    <col width="14.8148148148148" customWidth="1" style="455" min="6" max="6"/>
    <col width="15.5" customWidth="1" style="455" min="7" max="7"/>
    <col width="13.2685185185185" customWidth="1" style="288" min="8" max="8"/>
    <col width="13.2685185185185" customWidth="1" style="455" min="9" max="9"/>
    <col width="13.2685185185185" customWidth="1" style="289" min="10" max="12"/>
    <col width="11.962962962963" customWidth="1" style="455" min="13" max="13"/>
    <col width="14.4351851851852" customWidth="1" style="455" min="14" max="14"/>
    <col width="14.75" customWidth="1" style="552" min="15" max="15"/>
    <col width="13.3611111111111" customWidth="1" style="552" min="16" max="16"/>
    <col width="11.2314814814815" customWidth="1" style="552" min="17" max="20"/>
    <col width="13.25" customWidth="1" style="552" min="21" max="21"/>
    <col width="16.3611111111111" customWidth="1" style="455" min="22" max="22"/>
    <col width="16.8981481481481" customWidth="1" style="455" min="23" max="23"/>
    <col width="31.6481481481481" customWidth="1" style="455" min="24" max="24"/>
    <col width="14.2222222222222" customWidth="1" style="455" min="25" max="25"/>
    <col width="8.731481481481479" customWidth="1" style="455" min="26" max="26"/>
    <col width="12.9259259259259" customWidth="1" style="455" min="27" max="27"/>
    <col width="8.731481481481479" customWidth="1" style="455" min="28" max="28"/>
    <col width="13.6851851851852" customWidth="1" style="455" min="29" max="29"/>
    <col width="16.7777777777778" customWidth="1" style="455" min="30" max="30"/>
    <col width="30.8981481481481" customWidth="1" style="455" min="31" max="31"/>
    <col width="8.731481481481479" customWidth="1" style="455" min="32" max="16384"/>
  </cols>
  <sheetData>
    <row r="1" ht="27" customHeight="1" s="559">
      <c r="A1" s="247" t="inlineStr">
        <is>
          <t>其他应收款明细表</t>
        </is>
      </c>
      <c r="P1" s="247" t="n"/>
      <c r="Q1" s="247" t="n"/>
      <c r="R1" s="247" t="n"/>
      <c r="S1" s="247" t="n"/>
      <c r="T1" s="247" t="n"/>
      <c r="U1" s="247" t="n"/>
    </row>
    <row r="2">
      <c r="A2" s="2">
        <f>备忘录!$A$1</f>
        <v/>
      </c>
      <c r="D2" s="456" t="n"/>
      <c r="E2" s="456" t="n"/>
      <c r="F2" s="456" t="inlineStr">
        <is>
          <t>编制人：刘喜琴</t>
        </is>
      </c>
      <c r="J2" s="211">
        <f>备忘录!$C$2</f>
        <v/>
      </c>
      <c r="K2" s="211" t="n"/>
      <c r="L2" s="211" t="n"/>
      <c r="O2" s="292" t="n"/>
    </row>
    <row r="3">
      <c r="A3" s="2">
        <f>备忘录!$A$2</f>
        <v/>
      </c>
      <c r="D3" s="456" t="n"/>
      <c r="E3" s="456" t="n"/>
      <c r="F3" s="456" t="inlineStr">
        <is>
          <t>复核人：赵玮</t>
        </is>
      </c>
      <c r="J3" s="211">
        <f>备忘录!$C$3</f>
        <v/>
      </c>
      <c r="K3" s="211" t="n"/>
      <c r="L3" s="211" t="n"/>
    </row>
    <row r="4" ht="18" customFormat="1" customHeight="1" s="455">
      <c r="A4" s="89" t="inlineStr">
        <is>
          <t>序号</t>
        </is>
      </c>
      <c r="B4" s="633" t="inlineStr">
        <is>
          <t>科目名称</t>
        </is>
      </c>
      <c r="C4" s="633" t="inlineStr">
        <is>
          <t>核算项目1</t>
        </is>
      </c>
      <c r="D4" s="633" t="inlineStr">
        <is>
          <t>核算项目2</t>
        </is>
      </c>
      <c r="E4" s="664"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期初金额（取数为：科目余额表期初借方-贷方）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6" customFormat="1" customHeight="1" s="455">
      <c r="A6" s="427" t="n">
        <v>1</v>
      </c>
      <c r="B6" s="101" t="n"/>
      <c r="C6" s="101" t="n"/>
      <c r="D6" s="294" t="n"/>
      <c r="E6" s="665" t="n"/>
      <c r="F6" s="665" t="n"/>
      <c r="G6" s="666" t="n"/>
      <c r="H6" s="667">
        <f>ROUND(E6+F6-G6,2)</f>
        <v/>
      </c>
      <c r="I6" s="569" t="n"/>
      <c r="J6" s="645">
        <f>ROUND(H6+I6,2)</f>
        <v/>
      </c>
      <c r="K6" s="647" t="n"/>
      <c r="L6" s="648">
        <f>J6+K6</f>
        <v/>
      </c>
      <c r="M6" s="649" t="n"/>
      <c r="N6" s="102" t="n"/>
      <c r="O6" s="300" t="n"/>
      <c r="P6" s="649" t="n"/>
      <c r="Q6" s="300" t="n"/>
      <c r="R6" s="300" t="n"/>
      <c r="S6" s="300" t="n"/>
      <c r="T6" s="300" t="n"/>
      <c r="U6" s="649" t="n"/>
      <c r="V6" s="261" t="n"/>
      <c r="W6" s="261" t="n"/>
      <c r="X6" s="261" t="n"/>
      <c r="Y6" s="261" t="n"/>
      <c r="Z6" s="261" t="n"/>
      <c r="AA6" s="261" t="n"/>
      <c r="AB6" s="261" t="n"/>
      <c r="AC6" s="261" t="n"/>
      <c r="AD6" s="261" t="n"/>
      <c r="AE6" s="261" t="n"/>
    </row>
    <row r="7" ht="16" customFormat="1" customHeight="1" s="455">
      <c r="A7" s="427" t="n">
        <v>2</v>
      </c>
      <c r="B7" s="101" t="n"/>
      <c r="C7" s="101" t="n"/>
      <c r="D7" s="294" t="n"/>
      <c r="E7" s="665" t="n"/>
      <c r="F7" s="665" t="n"/>
      <c r="G7" s="666" t="n"/>
      <c r="H7" s="667">
        <f>ROUND(E7+F7-G7,2)</f>
        <v/>
      </c>
      <c r="I7" s="569" t="n"/>
      <c r="J7" s="645">
        <f>ROUND(H7+I7,2)</f>
        <v/>
      </c>
      <c r="K7" s="647" t="n"/>
      <c r="L7" s="648">
        <f>J7+K7</f>
        <v/>
      </c>
      <c r="M7" s="649" t="n"/>
      <c r="N7" s="102" t="n"/>
      <c r="O7" s="300" t="n"/>
      <c r="P7" s="649" t="n"/>
      <c r="Q7" s="300" t="n"/>
      <c r="R7" s="300" t="n"/>
      <c r="S7" s="300" t="n"/>
      <c r="T7" s="300" t="n"/>
      <c r="U7" s="649" t="n"/>
      <c r="V7" s="261" t="n"/>
      <c r="W7" s="261" t="n"/>
      <c r="X7" s="261" t="n"/>
      <c r="Y7" s="261" t="n"/>
      <c r="Z7" s="261" t="n"/>
      <c r="AA7" s="261" t="n"/>
      <c r="AB7" s="261" t="n"/>
      <c r="AC7" s="261" t="n"/>
      <c r="AD7" s="261" t="n"/>
      <c r="AE7" s="261" t="n"/>
    </row>
    <row r="8" ht="16" customFormat="1" customHeight="1" s="455">
      <c r="A8" s="427" t="n">
        <v>3</v>
      </c>
      <c r="B8" s="101" t="n"/>
      <c r="C8" s="101" t="n"/>
      <c r="D8" s="294" t="n"/>
      <c r="E8" s="665" t="n"/>
      <c r="F8" s="665" t="n"/>
      <c r="G8" s="666" t="n"/>
      <c r="H8" s="667">
        <f>ROUND(E8+F8-G8,2)</f>
        <v/>
      </c>
      <c r="I8" s="569" t="n"/>
      <c r="J8" s="645">
        <f>ROUND(H8+I8,2)</f>
        <v/>
      </c>
      <c r="K8" s="647" t="n"/>
      <c r="L8" s="648">
        <f>J8+K8</f>
        <v/>
      </c>
      <c r="M8" s="649" t="n"/>
      <c r="N8" s="102" t="n"/>
      <c r="O8" s="300" t="n"/>
      <c r="P8" s="649" t="n"/>
      <c r="Q8" s="300" t="n"/>
      <c r="R8" s="300" t="n"/>
      <c r="S8" s="300" t="n"/>
      <c r="T8" s="300" t="n"/>
      <c r="U8" s="649" t="n"/>
      <c r="V8" s="261" t="n"/>
      <c r="W8" s="261" t="n"/>
      <c r="X8" s="261" t="n"/>
      <c r="Y8" s="261" t="n"/>
      <c r="Z8" s="261" t="n"/>
      <c r="AA8" s="261" t="n"/>
      <c r="AB8" s="261" t="n"/>
      <c r="AC8" s="261" t="n"/>
      <c r="AD8" s="261" t="n"/>
      <c r="AE8" s="261" t="n"/>
    </row>
    <row r="9" ht="16" customFormat="1" customHeight="1" s="455">
      <c r="A9" s="427" t="n">
        <v>4</v>
      </c>
      <c r="B9" s="101" t="n"/>
      <c r="C9" s="101" t="n"/>
      <c r="D9" s="294" t="n"/>
      <c r="E9" s="665" t="n"/>
      <c r="F9" s="665" t="n"/>
      <c r="G9" s="666" t="n"/>
      <c r="H9" s="667">
        <f>ROUND(E9+F9-G9,2)</f>
        <v/>
      </c>
      <c r="I9" s="569" t="n"/>
      <c r="J9" s="645">
        <f>ROUND(H9+I9,2)</f>
        <v/>
      </c>
      <c r="K9" s="647" t="n"/>
      <c r="L9" s="648">
        <f>J9+K9</f>
        <v/>
      </c>
      <c r="M9" s="649" t="n"/>
      <c r="N9" s="102" t="n"/>
      <c r="O9" s="300" t="n"/>
      <c r="P9" s="649" t="n"/>
      <c r="Q9" s="300" t="n"/>
      <c r="R9" s="300" t="n"/>
      <c r="S9" s="300" t="n"/>
      <c r="T9" s="300" t="n"/>
      <c r="U9" s="649" t="n"/>
      <c r="V9" s="261" t="n"/>
      <c r="W9" s="261" t="n"/>
      <c r="X9" s="261" t="n"/>
      <c r="Y9" s="261" t="n"/>
      <c r="Z9" s="261" t="n"/>
      <c r="AA9" s="261" t="n"/>
      <c r="AB9" s="261" t="n"/>
      <c r="AC9" s="261" t="n"/>
      <c r="AD9" s="261" t="n"/>
      <c r="AE9" s="261" t="n"/>
    </row>
    <row r="10" ht="16" customFormat="1" customHeight="1" s="455">
      <c r="A10" s="427" t="n">
        <v>5</v>
      </c>
      <c r="B10" s="101" t="n"/>
      <c r="C10" s="101" t="n"/>
      <c r="D10" s="294" t="n"/>
      <c r="E10" s="665" t="n"/>
      <c r="F10" s="665" t="n"/>
      <c r="G10" s="666" t="n"/>
      <c r="H10" s="667">
        <f>ROUND(E10+F10-G10,2)</f>
        <v/>
      </c>
      <c r="I10" s="569" t="n"/>
      <c r="J10" s="645">
        <f>ROUND(H10+I10,2)</f>
        <v/>
      </c>
      <c r="K10" s="647" t="n"/>
      <c r="L10" s="648">
        <f>J10+K10</f>
        <v/>
      </c>
      <c r="M10" s="649" t="n"/>
      <c r="N10" s="102" t="n"/>
      <c r="O10" s="300" t="n"/>
      <c r="P10" s="649" t="n"/>
      <c r="Q10" s="300" t="n"/>
      <c r="R10" s="300" t="n"/>
      <c r="S10" s="300" t="n"/>
      <c r="T10" s="300" t="n"/>
      <c r="U10" s="649" t="n"/>
      <c r="V10" s="261" t="n"/>
      <c r="W10" s="261" t="n"/>
      <c r="X10" s="261" t="n"/>
      <c r="Y10" s="261" t="n"/>
      <c r="Z10" s="261" t="n"/>
      <c r="AA10" s="261" t="n"/>
      <c r="AB10" s="261" t="n"/>
      <c r="AC10" s="261" t="n"/>
      <c r="AD10" s="261" t="n"/>
      <c r="AE10" s="261" t="n"/>
    </row>
    <row r="11" ht="16" customFormat="1" customHeight="1" s="455">
      <c r="A11" s="427" t="n">
        <v>6</v>
      </c>
      <c r="B11" s="101" t="n"/>
      <c r="C11" s="101" t="n"/>
      <c r="D11" s="301" t="n"/>
      <c r="E11" s="665" t="n"/>
      <c r="F11" s="665" t="n"/>
      <c r="G11" s="666" t="n"/>
      <c r="H11" s="667">
        <f>ROUND(E11+F11-G11,2)</f>
        <v/>
      </c>
      <c r="I11" s="569" t="n"/>
      <c r="J11" s="645">
        <f>ROUND(H11+I11,2)</f>
        <v/>
      </c>
      <c r="K11" s="647" t="n"/>
      <c r="L11" s="648">
        <f>J11+K11</f>
        <v/>
      </c>
      <c r="M11" s="649" t="n"/>
      <c r="N11" s="102" t="n"/>
      <c r="O11" s="300" t="n"/>
      <c r="P11" s="649" t="n"/>
      <c r="Q11" s="300" t="n"/>
      <c r="R11" s="300" t="n"/>
      <c r="S11" s="300" t="n"/>
      <c r="T11" s="300" t="n"/>
      <c r="U11" s="649" t="n"/>
      <c r="V11" s="261" t="n"/>
      <c r="W11" s="261" t="n"/>
      <c r="X11" s="261" t="n"/>
      <c r="Y11" s="261" t="n"/>
      <c r="Z11" s="261" t="n"/>
      <c r="AA11" s="261" t="n"/>
      <c r="AB11" s="261" t="n"/>
      <c r="AC11" s="261" t="n"/>
      <c r="AD11" s="261" t="n"/>
      <c r="AE11" s="261" t="n"/>
    </row>
    <row r="12" ht="16" customFormat="1" customHeight="1" s="455">
      <c r="A12" s="427" t="n">
        <v>7</v>
      </c>
      <c r="B12" s="101" t="n"/>
      <c r="C12" s="101" t="n"/>
      <c r="D12" s="301" t="n"/>
      <c r="E12" s="665" t="n"/>
      <c r="F12" s="665" t="n"/>
      <c r="G12" s="666" t="n"/>
      <c r="H12" s="667">
        <f>ROUND(E12+F12-G12,2)</f>
        <v/>
      </c>
      <c r="I12" s="569" t="n"/>
      <c r="J12" s="645">
        <f>ROUND(H12+I12,2)</f>
        <v/>
      </c>
      <c r="K12" s="647" t="n"/>
      <c r="L12" s="648">
        <f>J12+K12</f>
        <v/>
      </c>
      <c r="M12" s="649" t="n"/>
      <c r="N12" s="102" t="n"/>
      <c r="O12" s="300" t="n"/>
      <c r="P12" s="649" t="n"/>
      <c r="Q12" s="300" t="n"/>
      <c r="R12" s="300" t="n"/>
      <c r="S12" s="300" t="n"/>
      <c r="T12" s="300" t="n"/>
      <c r="U12" s="649" t="n"/>
      <c r="V12" s="261" t="n"/>
      <c r="W12" s="261" t="n"/>
      <c r="X12" s="261" t="n"/>
      <c r="Y12" s="261" t="n"/>
      <c r="Z12" s="261" t="n"/>
      <c r="AA12" s="261" t="n"/>
      <c r="AB12" s="261" t="n"/>
      <c r="AC12" s="261" t="n"/>
      <c r="AD12" s="261" t="n"/>
      <c r="AE12" s="261" t="n"/>
    </row>
    <row r="13" ht="16" customFormat="1" customHeight="1" s="455">
      <c r="A13" s="427" t="n">
        <v>8</v>
      </c>
      <c r="B13" s="101" t="n"/>
      <c r="C13" s="101" t="n"/>
      <c r="D13" s="301" t="n"/>
      <c r="E13" s="665" t="n"/>
      <c r="F13" s="665" t="n"/>
      <c r="G13" s="666" t="n"/>
      <c r="H13" s="667">
        <f>ROUND(E13+F13-G13,2)</f>
        <v/>
      </c>
      <c r="I13" s="569" t="n"/>
      <c r="J13" s="645">
        <f>ROUND(H13+I13,2)</f>
        <v/>
      </c>
      <c r="K13" s="647" t="n"/>
      <c r="L13" s="648">
        <f>J13+K13</f>
        <v/>
      </c>
      <c r="M13" s="649" t="n"/>
      <c r="N13" s="102" t="n"/>
      <c r="O13" s="300" t="n"/>
      <c r="P13" s="649" t="n"/>
      <c r="Q13" s="300" t="n"/>
      <c r="R13" s="300" t="n"/>
      <c r="S13" s="300" t="n"/>
      <c r="T13" s="300" t="n"/>
      <c r="U13" s="649" t="n"/>
      <c r="V13" s="261" t="n"/>
      <c r="W13" s="261" t="n"/>
      <c r="X13" s="261" t="n"/>
      <c r="Y13" s="261" t="n"/>
      <c r="Z13" s="261" t="n"/>
      <c r="AA13" s="261" t="n"/>
      <c r="AB13" s="261" t="n"/>
      <c r="AC13" s="261" t="n"/>
      <c r="AD13" s="261" t="n"/>
      <c r="AE13" s="261" t="n"/>
    </row>
    <row r="14" ht="16" customFormat="1" customHeight="1" s="455">
      <c r="A14" s="427" t="n">
        <v>9</v>
      </c>
      <c r="B14" s="101" t="n"/>
      <c r="C14" s="101" t="n"/>
      <c r="D14" s="294" t="n"/>
      <c r="E14" s="665" t="n"/>
      <c r="F14" s="665" t="n"/>
      <c r="G14" s="666" t="n"/>
      <c r="H14" s="667">
        <f>ROUND(E14+F14-G14,2)</f>
        <v/>
      </c>
      <c r="I14" s="569" t="n"/>
      <c r="J14" s="645">
        <f>ROUND(H14+I14,2)</f>
        <v/>
      </c>
      <c r="K14" s="647" t="n"/>
      <c r="L14" s="648">
        <f>J14+K14</f>
        <v/>
      </c>
      <c r="M14" s="649" t="n"/>
      <c r="N14" s="102" t="n"/>
      <c r="O14" s="300" t="n"/>
      <c r="P14" s="649" t="n"/>
      <c r="Q14" s="300" t="n"/>
      <c r="R14" s="300" t="n"/>
      <c r="S14" s="300" t="n"/>
      <c r="T14" s="300" t="n"/>
      <c r="U14" s="649" t="n"/>
      <c r="V14" s="261" t="n"/>
      <c r="W14" s="261" t="n"/>
      <c r="X14" s="261" t="n"/>
      <c r="Y14" s="261" t="n"/>
      <c r="Z14" s="261" t="n"/>
      <c r="AA14" s="261" t="n"/>
      <c r="AB14" s="261" t="n"/>
      <c r="AC14" s="261" t="n"/>
      <c r="AD14" s="261" t="n"/>
      <c r="AE14" s="261" t="n"/>
    </row>
    <row r="15" ht="16" customFormat="1" customHeight="1" s="455">
      <c r="A15" s="427" t="n">
        <v>10</v>
      </c>
      <c r="B15" s="101" t="n"/>
      <c r="C15" s="101" t="n"/>
      <c r="D15" s="294" t="n"/>
      <c r="E15" s="665" t="n"/>
      <c r="F15" s="665" t="n"/>
      <c r="G15" s="666" t="n"/>
      <c r="H15" s="667">
        <f>ROUND(E15+F15-G15,2)</f>
        <v/>
      </c>
      <c r="I15" s="569" t="n"/>
      <c r="J15" s="645">
        <f>ROUND(H15+I15,2)</f>
        <v/>
      </c>
      <c r="K15" s="647" t="n"/>
      <c r="L15" s="648">
        <f>J15+K15</f>
        <v/>
      </c>
      <c r="M15" s="649" t="n"/>
      <c r="N15" s="102" t="n"/>
      <c r="O15" s="300" t="n"/>
      <c r="P15" s="649" t="n"/>
      <c r="Q15" s="300" t="n"/>
      <c r="R15" s="300" t="n"/>
      <c r="S15" s="300" t="n"/>
      <c r="T15" s="300" t="n"/>
      <c r="U15" s="649" t="n"/>
      <c r="V15" s="261" t="n"/>
      <c r="W15" s="261" t="n"/>
      <c r="X15" s="261" t="n"/>
      <c r="Y15" s="261" t="n"/>
      <c r="Z15" s="261" t="n"/>
      <c r="AA15" s="261" t="n"/>
      <c r="AB15" s="261" t="n"/>
      <c r="AC15" s="261" t="n"/>
      <c r="AD15" s="261" t="n"/>
      <c r="AE15" s="261" t="n"/>
    </row>
    <row r="16" ht="16" customFormat="1" customHeight="1" s="455">
      <c r="A16" s="427" t="n">
        <v>11</v>
      </c>
      <c r="B16" s="101" t="n"/>
      <c r="C16" s="101" t="n"/>
      <c r="D16" s="294" t="n"/>
      <c r="E16" s="665" t="n"/>
      <c r="F16" s="665" t="n"/>
      <c r="G16" s="666" t="n"/>
      <c r="H16" s="667">
        <f>ROUND(E16+F16-G16,2)</f>
        <v/>
      </c>
      <c r="I16" s="569" t="n"/>
      <c r="J16" s="645">
        <f>ROUND(H16+I16,2)</f>
        <v/>
      </c>
      <c r="K16" s="647" t="n"/>
      <c r="L16" s="648">
        <f>J16+K16</f>
        <v/>
      </c>
      <c r="M16" s="649" t="n"/>
      <c r="N16" s="102" t="n"/>
      <c r="O16" s="300" t="n"/>
      <c r="P16" s="649" t="n"/>
      <c r="Q16" s="300" t="n"/>
      <c r="R16" s="300" t="n"/>
      <c r="S16" s="300" t="n"/>
      <c r="T16" s="300" t="n"/>
      <c r="U16" s="649" t="n"/>
      <c r="V16" s="261" t="n"/>
      <c r="W16" s="261" t="n"/>
      <c r="X16" s="261" t="n"/>
      <c r="Y16" s="261" t="n"/>
      <c r="Z16" s="261" t="n"/>
      <c r="AA16" s="261" t="n"/>
      <c r="AB16" s="261" t="n"/>
      <c r="AC16" s="261" t="n"/>
      <c r="AD16" s="261" t="n"/>
      <c r="AE16" s="261" t="n"/>
    </row>
    <row r="17" ht="16" customFormat="1" customHeight="1" s="455">
      <c r="A17" s="427" t="n">
        <v>12</v>
      </c>
      <c r="B17" s="101" t="n"/>
      <c r="C17" s="101" t="n"/>
      <c r="D17" s="301" t="n"/>
      <c r="E17" s="665" t="n"/>
      <c r="F17" s="665" t="n"/>
      <c r="G17" s="666" t="n"/>
      <c r="H17" s="667">
        <f>ROUND(E17+F17-G17,2)</f>
        <v/>
      </c>
      <c r="I17" s="569" t="n"/>
      <c r="J17" s="645">
        <f>ROUND(H17+I17,2)</f>
        <v/>
      </c>
      <c r="K17" s="647" t="n"/>
      <c r="L17" s="648">
        <f>J17+K17</f>
        <v/>
      </c>
      <c r="M17" s="649" t="n"/>
      <c r="N17" s="102" t="n"/>
      <c r="O17" s="300" t="n"/>
      <c r="P17" s="649" t="n"/>
      <c r="Q17" s="300" t="n"/>
      <c r="R17" s="300" t="n"/>
      <c r="S17" s="300" t="n"/>
      <c r="T17" s="300" t="n"/>
      <c r="U17" s="649" t="n"/>
      <c r="V17" s="261" t="n"/>
      <c r="W17" s="261" t="n"/>
      <c r="X17" s="261" t="n"/>
      <c r="Y17" s="261" t="n"/>
      <c r="Z17" s="261" t="n"/>
      <c r="AA17" s="261" t="n"/>
      <c r="AB17" s="261" t="n"/>
      <c r="AC17" s="261" t="n"/>
      <c r="AD17" s="261" t="n"/>
      <c r="AE17" s="261" t="n"/>
    </row>
    <row r="18" ht="16" customFormat="1" customHeight="1" s="455">
      <c r="A18" s="427" t="n">
        <v>13</v>
      </c>
      <c r="B18" s="101" t="n"/>
      <c r="C18" s="101" t="n"/>
      <c r="D18" s="301" t="n"/>
      <c r="E18" s="665" t="n"/>
      <c r="F18" s="665" t="n"/>
      <c r="G18" s="666" t="n"/>
      <c r="H18" s="667">
        <f>ROUND(E18+F18-G18,2)</f>
        <v/>
      </c>
      <c r="I18" s="569" t="n"/>
      <c r="J18" s="645">
        <f>ROUND(H18+I18,2)</f>
        <v/>
      </c>
      <c r="K18" s="647" t="n"/>
      <c r="L18" s="648">
        <f>J18+K18</f>
        <v/>
      </c>
      <c r="M18" s="649" t="n"/>
      <c r="N18" s="102" t="n"/>
      <c r="O18" s="300" t="n"/>
      <c r="P18" s="649" t="n"/>
      <c r="Q18" s="300" t="n"/>
      <c r="R18" s="300" t="n"/>
      <c r="S18" s="300" t="n"/>
      <c r="T18" s="300" t="n"/>
      <c r="U18" s="649" t="n"/>
      <c r="V18" s="261" t="n"/>
      <c r="W18" s="261" t="n"/>
      <c r="X18" s="261" t="n"/>
      <c r="Y18" s="261" t="n"/>
      <c r="Z18" s="261" t="n"/>
      <c r="AA18" s="261" t="n"/>
      <c r="AB18" s="261" t="n"/>
      <c r="AC18" s="261" t="n"/>
      <c r="AD18" s="261" t="n"/>
      <c r="AE18" s="261" t="n"/>
    </row>
    <row r="19" ht="16" customFormat="1" customHeight="1" s="455">
      <c r="A19" s="427" t="n">
        <v>14</v>
      </c>
      <c r="B19" s="101" t="n"/>
      <c r="C19" s="101" t="n"/>
      <c r="D19" s="301" t="n"/>
      <c r="E19" s="665" t="n"/>
      <c r="F19" s="665" t="n"/>
      <c r="G19" s="666" t="n"/>
      <c r="H19" s="667">
        <f>ROUND(E19+F19-G19,2)</f>
        <v/>
      </c>
      <c r="I19" s="569" t="n"/>
      <c r="J19" s="645">
        <f>ROUND(H19+I19,2)</f>
        <v/>
      </c>
      <c r="K19" s="647" t="n"/>
      <c r="L19" s="648">
        <f>J19+K19</f>
        <v/>
      </c>
      <c r="M19" s="649" t="n"/>
      <c r="N19" s="102" t="n"/>
      <c r="O19" s="300" t="n"/>
      <c r="P19" s="649" t="n"/>
      <c r="Q19" s="300" t="n"/>
      <c r="R19" s="300" t="n"/>
      <c r="S19" s="300" t="n"/>
      <c r="T19" s="300" t="n"/>
      <c r="U19" s="649" t="n"/>
      <c r="V19" s="261" t="n"/>
      <c r="W19" s="261" t="n"/>
      <c r="X19" s="261" t="n"/>
      <c r="Y19" s="261" t="n"/>
      <c r="Z19" s="261" t="n"/>
      <c r="AA19" s="261" t="n"/>
      <c r="AB19" s="261" t="n"/>
      <c r="AC19" s="261" t="n"/>
      <c r="AD19" s="261" t="n"/>
      <c r="AE19" s="261" t="n"/>
    </row>
    <row r="20" ht="16" customFormat="1" customHeight="1" s="455">
      <c r="A20" s="427" t="n">
        <v>15</v>
      </c>
      <c r="B20" s="101" t="n"/>
      <c r="C20" s="101" t="n"/>
      <c r="D20" s="294" t="n"/>
      <c r="E20" s="665" t="n"/>
      <c r="F20" s="665" t="n"/>
      <c r="G20" s="666" t="n"/>
      <c r="H20" s="667">
        <f>ROUND(E20+F20-G20,2)</f>
        <v/>
      </c>
      <c r="I20" s="569" t="n"/>
      <c r="J20" s="645">
        <f>ROUND(H20+I20,2)</f>
        <v/>
      </c>
      <c r="K20" s="647" t="n"/>
      <c r="L20" s="648">
        <f>J20+K20</f>
        <v/>
      </c>
      <c r="M20" s="649" t="n"/>
      <c r="N20" s="102" t="n"/>
      <c r="O20" s="300" t="n"/>
      <c r="P20" s="649" t="n"/>
      <c r="Q20" s="300" t="n"/>
      <c r="R20" s="300" t="n"/>
      <c r="S20" s="300" t="n"/>
      <c r="T20" s="300" t="n"/>
      <c r="U20" s="649" t="n"/>
      <c r="V20" s="261" t="n"/>
      <c r="W20" s="261" t="n"/>
      <c r="X20" s="261" t="n"/>
      <c r="Y20" s="261" t="n"/>
      <c r="Z20" s="261" t="n"/>
      <c r="AA20" s="261" t="n"/>
      <c r="AB20" s="261" t="n"/>
      <c r="AC20" s="261" t="n"/>
      <c r="AD20" s="261" t="n"/>
      <c r="AE20" s="261" t="n"/>
    </row>
    <row r="21" ht="16" customFormat="1" customHeight="1" s="455">
      <c r="A21" s="427" t="n">
        <v>16</v>
      </c>
      <c r="B21" s="101" t="n"/>
      <c r="C21" s="101" t="n"/>
      <c r="D21" s="294" t="n"/>
      <c r="E21" s="665" t="n"/>
      <c r="F21" s="665" t="n"/>
      <c r="G21" s="666" t="n"/>
      <c r="H21" s="667">
        <f>ROUND(E21+F21-G21,2)</f>
        <v/>
      </c>
      <c r="I21" s="569" t="n"/>
      <c r="J21" s="645">
        <f>ROUND(H21+I21,2)</f>
        <v/>
      </c>
      <c r="K21" s="647" t="n"/>
      <c r="L21" s="648">
        <f>J21+K21</f>
        <v/>
      </c>
      <c r="M21" s="649" t="n"/>
      <c r="N21" s="102" t="n"/>
      <c r="O21" s="300" t="n"/>
      <c r="P21" s="649" t="n"/>
      <c r="Q21" s="300" t="n"/>
      <c r="R21" s="300" t="n"/>
      <c r="S21" s="300" t="n"/>
      <c r="T21" s="300" t="n"/>
      <c r="U21" s="649" t="n"/>
      <c r="V21" s="261" t="n"/>
      <c r="W21" s="261" t="n"/>
      <c r="X21" s="261" t="n"/>
      <c r="Y21" s="261" t="n"/>
      <c r="Z21" s="261" t="n"/>
      <c r="AA21" s="261" t="n"/>
      <c r="AB21" s="261" t="n"/>
      <c r="AC21" s="261" t="n"/>
      <c r="AD21" s="261" t="n"/>
      <c r="AE21" s="261" t="n"/>
    </row>
    <row r="22" ht="16" customFormat="1" customHeight="1" s="455">
      <c r="A22" s="427" t="n">
        <v>17</v>
      </c>
      <c r="B22" s="101" t="n"/>
      <c r="C22" s="101" t="n"/>
      <c r="D22" s="294" t="n"/>
      <c r="E22" s="665" t="n"/>
      <c r="F22" s="665" t="n"/>
      <c r="G22" s="666" t="n"/>
      <c r="H22" s="667">
        <f>ROUND(E22+F22-G22,2)</f>
        <v/>
      </c>
      <c r="I22" s="569" t="n"/>
      <c r="J22" s="645">
        <f>ROUND(H22+I22,2)</f>
        <v/>
      </c>
      <c r="K22" s="647" t="n"/>
      <c r="L22" s="648">
        <f>J22+K22</f>
        <v/>
      </c>
      <c r="M22" s="649" t="n"/>
      <c r="N22" s="102" t="n"/>
      <c r="O22" s="300" t="n"/>
      <c r="P22" s="649" t="n"/>
      <c r="Q22" s="300" t="n"/>
      <c r="R22" s="300" t="n"/>
      <c r="S22" s="300" t="n"/>
      <c r="T22" s="300" t="n"/>
      <c r="U22" s="649" t="n"/>
      <c r="V22" s="261" t="n"/>
      <c r="W22" s="261" t="n"/>
      <c r="X22" s="261" t="n"/>
      <c r="Y22" s="261" t="n"/>
      <c r="Z22" s="261" t="n"/>
      <c r="AA22" s="261" t="n"/>
      <c r="AB22" s="261" t="n"/>
      <c r="AC22" s="261" t="n"/>
      <c r="AD22" s="261" t="n"/>
      <c r="AE22" s="261" t="n"/>
    </row>
    <row r="23" ht="16" customFormat="1" customHeight="1" s="455">
      <c r="A23" s="427" t="n">
        <v>18</v>
      </c>
      <c r="B23" s="101" t="n"/>
      <c r="C23" s="101" t="n"/>
      <c r="D23" s="294" t="n"/>
      <c r="E23" s="665" t="n"/>
      <c r="F23" s="665" t="n"/>
      <c r="G23" s="666" t="n"/>
      <c r="H23" s="667">
        <f>ROUND(E23+F23-G23,2)</f>
        <v/>
      </c>
      <c r="I23" s="569" t="n"/>
      <c r="J23" s="645">
        <f>ROUND(H23+I23,2)</f>
        <v/>
      </c>
      <c r="K23" s="647" t="n"/>
      <c r="L23" s="648">
        <f>J23+K23</f>
        <v/>
      </c>
      <c r="M23" s="649" t="n"/>
      <c r="N23" s="102" t="n"/>
      <c r="O23" s="300" t="n"/>
      <c r="P23" s="649" t="n"/>
      <c r="Q23" s="300" t="n"/>
      <c r="R23" s="300" t="n"/>
      <c r="S23" s="300" t="n"/>
      <c r="T23" s="300" t="n"/>
      <c r="U23" s="649" t="n"/>
      <c r="V23" s="261" t="n"/>
      <c r="W23" s="261" t="n"/>
      <c r="X23" s="261" t="n"/>
      <c r="Y23" s="261" t="n"/>
      <c r="Z23" s="261" t="n"/>
      <c r="AA23" s="261" t="n"/>
      <c r="AB23" s="261" t="n"/>
      <c r="AC23" s="261" t="n"/>
      <c r="AD23" s="261" t="n"/>
      <c r="AE23" s="261" t="n"/>
    </row>
    <row r="24" ht="16" customFormat="1" customHeight="1" s="455">
      <c r="A24" s="427" t="n">
        <v>19</v>
      </c>
      <c r="B24" s="101" t="n"/>
      <c r="C24" s="101" t="n"/>
      <c r="D24" s="294" t="n"/>
      <c r="E24" s="665" t="n"/>
      <c r="F24" s="665" t="n"/>
      <c r="G24" s="666" t="n"/>
      <c r="H24" s="667">
        <f>ROUND(E24+F24-G24,2)</f>
        <v/>
      </c>
      <c r="I24" s="569" t="n"/>
      <c r="J24" s="645">
        <f>ROUND(H24+I24,2)</f>
        <v/>
      </c>
      <c r="K24" s="647" t="n"/>
      <c r="L24" s="648">
        <f>J24+K24</f>
        <v/>
      </c>
      <c r="M24" s="649" t="n"/>
      <c r="N24" s="102" t="n"/>
      <c r="O24" s="300" t="n"/>
      <c r="P24" s="649" t="n"/>
      <c r="Q24" s="300" t="n"/>
      <c r="R24" s="300" t="n"/>
      <c r="S24" s="300" t="n"/>
      <c r="T24" s="300" t="n"/>
      <c r="U24" s="649" t="n"/>
      <c r="V24" s="261" t="n"/>
      <c r="W24" s="261" t="n"/>
      <c r="X24" s="261" t="n"/>
      <c r="Y24" s="261" t="n"/>
      <c r="Z24" s="261" t="n"/>
      <c r="AA24" s="261" t="n"/>
      <c r="AB24" s="261" t="n"/>
      <c r="AC24" s="261" t="n"/>
      <c r="AD24" s="261" t="n"/>
      <c r="AE24" s="261" t="n"/>
    </row>
    <row r="25" ht="16" customFormat="1" customHeight="1" s="455">
      <c r="A25" s="427" t="n">
        <v>20</v>
      </c>
      <c r="B25" s="101" t="n"/>
      <c r="C25" s="101" t="n"/>
      <c r="D25" s="301" t="n"/>
      <c r="E25" s="665" t="n"/>
      <c r="F25" s="665" t="n"/>
      <c r="G25" s="666" t="n"/>
      <c r="H25" s="667">
        <f>ROUND(E25+F25-G25,2)</f>
        <v/>
      </c>
      <c r="I25" s="569" t="n"/>
      <c r="J25" s="645">
        <f>ROUND(H25+I25,2)</f>
        <v/>
      </c>
      <c r="K25" s="647" t="n"/>
      <c r="L25" s="648">
        <f>J25+K25</f>
        <v/>
      </c>
      <c r="M25" s="649" t="n"/>
      <c r="N25" s="102" t="n"/>
      <c r="O25" s="300" t="n"/>
      <c r="P25" s="649" t="n"/>
      <c r="Q25" s="300" t="n"/>
      <c r="R25" s="300" t="n"/>
      <c r="S25" s="300" t="n"/>
      <c r="T25" s="300" t="n"/>
      <c r="U25" s="649" t="n"/>
      <c r="V25" s="261" t="n"/>
      <c r="W25" s="261" t="n"/>
      <c r="X25" s="261" t="n"/>
      <c r="Y25" s="261" t="n"/>
      <c r="Z25" s="261" t="n"/>
      <c r="AA25" s="261" t="n"/>
      <c r="AB25" s="261" t="n"/>
      <c r="AC25" s="261" t="n"/>
      <c r="AD25" s="261" t="n"/>
      <c r="AE25" s="261" t="n"/>
    </row>
    <row r="26" ht="16" customFormat="1" customHeight="1" s="455">
      <c r="A26" s="427" t="n">
        <v>21</v>
      </c>
      <c r="B26" s="101" t="n"/>
      <c r="C26" s="101" t="n"/>
      <c r="D26" s="294" t="n"/>
      <c r="E26" s="665" t="n"/>
      <c r="F26" s="665" t="n"/>
      <c r="G26" s="666" t="n"/>
      <c r="H26" s="667">
        <f>ROUND(E26+F26-G26,2)</f>
        <v/>
      </c>
      <c r="I26" s="569" t="n"/>
      <c r="J26" s="645">
        <f>ROUND(H26+I26,2)</f>
        <v/>
      </c>
      <c r="K26" s="647" t="n"/>
      <c r="L26" s="648">
        <f>J26+K26</f>
        <v/>
      </c>
      <c r="M26" s="649" t="n"/>
      <c r="N26" s="102" t="n"/>
      <c r="O26" s="300" t="n"/>
      <c r="P26" s="649" t="n"/>
      <c r="Q26" s="300" t="n"/>
      <c r="R26" s="300" t="n"/>
      <c r="S26" s="300" t="n"/>
      <c r="T26" s="300" t="n"/>
      <c r="U26" s="649" t="n"/>
      <c r="V26" s="261" t="n"/>
      <c r="W26" s="261" t="n"/>
      <c r="X26" s="261" t="n"/>
      <c r="Y26" s="261" t="n"/>
      <c r="Z26" s="261" t="n"/>
      <c r="AA26" s="261" t="n"/>
      <c r="AB26" s="261" t="n"/>
      <c r="AC26" s="261" t="n"/>
      <c r="AD26" s="261" t="n"/>
      <c r="AE26" s="261" t="n"/>
    </row>
    <row r="27" ht="16" customFormat="1" customHeight="1" s="455">
      <c r="A27" s="427" t="n">
        <v>22</v>
      </c>
      <c r="B27" s="101" t="n"/>
      <c r="C27" s="101" t="n"/>
      <c r="D27" s="294" t="n"/>
      <c r="E27" s="665" t="n"/>
      <c r="F27" s="665" t="n"/>
      <c r="G27" s="666" t="n"/>
      <c r="H27" s="667">
        <f>ROUND(E27+F27-G27,2)</f>
        <v/>
      </c>
      <c r="I27" s="569" t="n"/>
      <c r="J27" s="645">
        <f>ROUND(H27+I27,2)</f>
        <v/>
      </c>
      <c r="K27" s="647" t="n"/>
      <c r="L27" s="648">
        <f>J27+K27</f>
        <v/>
      </c>
      <c r="M27" s="649" t="n"/>
      <c r="N27" s="102" t="n"/>
      <c r="O27" s="300" t="n"/>
      <c r="P27" s="649" t="n"/>
      <c r="Q27" s="300" t="n"/>
      <c r="R27" s="300" t="n"/>
      <c r="S27" s="300" t="n"/>
      <c r="T27" s="300" t="n"/>
      <c r="U27" s="649" t="n"/>
      <c r="V27" s="261" t="n"/>
      <c r="W27" s="261" t="n"/>
      <c r="X27" s="261" t="n"/>
      <c r="Y27" s="261" t="n"/>
      <c r="Z27" s="261" t="n"/>
      <c r="AA27" s="261" t="n"/>
      <c r="AB27" s="261" t="n"/>
      <c r="AC27" s="261" t="n"/>
      <c r="AD27" s="261" t="n"/>
      <c r="AE27" s="261" t="n"/>
    </row>
    <row r="28" ht="16" customFormat="1" customHeight="1" s="455">
      <c r="A28" s="427" t="n">
        <v>23</v>
      </c>
      <c r="B28" s="101" t="n"/>
      <c r="C28" s="101" t="n"/>
      <c r="D28" s="301" t="n"/>
      <c r="E28" s="665" t="n"/>
      <c r="F28" s="665" t="n"/>
      <c r="G28" s="666" t="n"/>
      <c r="H28" s="667">
        <f>ROUND(E28+F28-G28,2)</f>
        <v/>
      </c>
      <c r="I28" s="569" t="n"/>
      <c r="J28" s="645">
        <f>ROUND(H28+I28,2)</f>
        <v/>
      </c>
      <c r="K28" s="647" t="n"/>
      <c r="L28" s="648">
        <f>J28+K28</f>
        <v/>
      </c>
      <c r="M28" s="649" t="n"/>
      <c r="N28" s="102" t="n"/>
      <c r="O28" s="300" t="n"/>
      <c r="P28" s="649" t="n"/>
      <c r="Q28" s="300" t="n"/>
      <c r="R28" s="300" t="n"/>
      <c r="S28" s="300" t="n"/>
      <c r="T28" s="300" t="n"/>
      <c r="U28" s="649" t="n"/>
      <c r="V28" s="261" t="n"/>
      <c r="W28" s="261" t="n"/>
      <c r="X28" s="261" t="n"/>
      <c r="Y28" s="261" t="n"/>
      <c r="Z28" s="261" t="n"/>
      <c r="AA28" s="261" t="n"/>
      <c r="AB28" s="261" t="n"/>
      <c r="AC28" s="261" t="n"/>
      <c r="AD28" s="261" t="n"/>
      <c r="AE28" s="261" t="n"/>
    </row>
    <row r="29" ht="16" customFormat="1" customHeight="1" s="455">
      <c r="A29" s="427" t="n">
        <v>24</v>
      </c>
      <c r="B29" s="101" t="n"/>
      <c r="C29" s="101" t="n"/>
      <c r="D29" s="301" t="n"/>
      <c r="E29" s="665" t="n"/>
      <c r="F29" s="665" t="n"/>
      <c r="G29" s="666" t="n"/>
      <c r="H29" s="667">
        <f>ROUND(E29+F29-G29,2)</f>
        <v/>
      </c>
      <c r="I29" s="569" t="n"/>
      <c r="J29" s="645">
        <f>ROUND(H29+I29,2)</f>
        <v/>
      </c>
      <c r="K29" s="647" t="n"/>
      <c r="L29" s="648">
        <f>J29+K29</f>
        <v/>
      </c>
      <c r="M29" s="649" t="n"/>
      <c r="N29" s="102" t="n"/>
      <c r="O29" s="300" t="n"/>
      <c r="P29" s="649" t="n"/>
      <c r="Q29" s="300" t="n"/>
      <c r="R29" s="300" t="n"/>
      <c r="S29" s="300" t="n"/>
      <c r="T29" s="300" t="n"/>
      <c r="U29" s="649" t="n"/>
      <c r="V29" s="261" t="n"/>
      <c r="W29" s="261" t="n"/>
      <c r="X29" s="261" t="n"/>
      <c r="Y29" s="261" t="n"/>
      <c r="Z29" s="261" t="n"/>
      <c r="AA29" s="261" t="n"/>
      <c r="AB29" s="261" t="n"/>
      <c r="AC29" s="261" t="n"/>
      <c r="AD29" s="261" t="n"/>
      <c r="AE29" s="261" t="n"/>
    </row>
    <row r="30" ht="16" customFormat="1" customHeight="1" s="455">
      <c r="A30" s="427" t="n">
        <v>25</v>
      </c>
      <c r="B30" s="101" t="n"/>
      <c r="C30" s="101" t="n"/>
      <c r="D30" s="301" t="n"/>
      <c r="E30" s="665" t="n"/>
      <c r="F30" s="665" t="n"/>
      <c r="G30" s="666" t="n"/>
      <c r="H30" s="667">
        <f>ROUND(E30+F30-G30,2)</f>
        <v/>
      </c>
      <c r="I30" s="569" t="n"/>
      <c r="J30" s="645">
        <f>ROUND(H30+I30,2)</f>
        <v/>
      </c>
      <c r="K30" s="647" t="n"/>
      <c r="L30" s="648">
        <f>J30+K30</f>
        <v/>
      </c>
      <c r="M30" s="649" t="n"/>
      <c r="N30" s="102" t="n"/>
      <c r="O30" s="300" t="n"/>
      <c r="P30" s="649" t="n"/>
      <c r="Q30" s="300" t="n"/>
      <c r="R30" s="300" t="n"/>
      <c r="S30" s="300" t="n"/>
      <c r="T30" s="300" t="n"/>
      <c r="U30" s="649" t="n"/>
      <c r="V30" s="261" t="n"/>
      <c r="W30" s="261" t="n"/>
      <c r="X30" s="261" t="n"/>
      <c r="Y30" s="261" t="n"/>
      <c r="Z30" s="261" t="n"/>
      <c r="AA30" s="261" t="n"/>
      <c r="AB30" s="261" t="n"/>
      <c r="AC30" s="261" t="n"/>
      <c r="AD30" s="261" t="n"/>
      <c r="AE30" s="261" t="n"/>
    </row>
    <row r="31" ht="16" customFormat="1" customHeight="1" s="455">
      <c r="A31" s="427" t="n">
        <v>26</v>
      </c>
      <c r="B31" s="101" t="n"/>
      <c r="C31" s="101" t="n"/>
      <c r="D31" s="301" t="n"/>
      <c r="E31" s="665" t="n"/>
      <c r="F31" s="665" t="n"/>
      <c r="G31" s="666" t="n"/>
      <c r="H31" s="667">
        <f>ROUND(E31+F31-G31,2)</f>
        <v/>
      </c>
      <c r="I31" s="569" t="n"/>
      <c r="J31" s="645">
        <f>ROUND(H31+I31,2)</f>
        <v/>
      </c>
      <c r="K31" s="647" t="n"/>
      <c r="L31" s="648">
        <f>J31+K31</f>
        <v/>
      </c>
      <c r="M31" s="649" t="n"/>
      <c r="N31" s="102" t="n"/>
      <c r="O31" s="300" t="n"/>
      <c r="P31" s="649" t="n"/>
      <c r="Q31" s="300" t="n"/>
      <c r="R31" s="300" t="n"/>
      <c r="S31" s="300" t="n"/>
      <c r="T31" s="300" t="n"/>
      <c r="U31" s="649" t="n"/>
      <c r="V31" s="261" t="n"/>
      <c r="W31" s="261" t="n"/>
      <c r="X31" s="261" t="n"/>
      <c r="Y31" s="261" t="n"/>
      <c r="Z31" s="261" t="n"/>
      <c r="AA31" s="261" t="n"/>
      <c r="AB31" s="261" t="n"/>
      <c r="AC31" s="261" t="n"/>
      <c r="AD31" s="261" t="n"/>
      <c r="AE31" s="261" t="n"/>
    </row>
    <row r="32" ht="16" customFormat="1" customHeight="1" s="455">
      <c r="A32" s="427" t="n">
        <v>27</v>
      </c>
      <c r="B32" s="101" t="n"/>
      <c r="C32" s="101" t="n"/>
      <c r="D32" s="301" t="n"/>
      <c r="E32" s="665" t="n"/>
      <c r="F32" s="665" t="n"/>
      <c r="G32" s="666" t="n"/>
      <c r="H32" s="667">
        <f>ROUND(E32+F32-G32,2)</f>
        <v/>
      </c>
      <c r="I32" s="569" t="n"/>
      <c r="J32" s="645">
        <f>ROUND(H32+I32,2)</f>
        <v/>
      </c>
      <c r="K32" s="647" t="n"/>
      <c r="L32" s="648">
        <f>J32+K32</f>
        <v/>
      </c>
      <c r="M32" s="649" t="n"/>
      <c r="N32" s="102" t="n"/>
      <c r="O32" s="300" t="n"/>
      <c r="P32" s="649" t="n"/>
      <c r="Q32" s="300" t="n"/>
      <c r="R32" s="300" t="n"/>
      <c r="S32" s="300" t="n"/>
      <c r="T32" s="300" t="n"/>
      <c r="U32" s="649" t="n"/>
      <c r="V32" s="261" t="n"/>
      <c r="W32" s="261" t="n"/>
      <c r="X32" s="261" t="n"/>
      <c r="Y32" s="261" t="n"/>
      <c r="Z32" s="261" t="n"/>
      <c r="AA32" s="261" t="n"/>
      <c r="AB32" s="261" t="n"/>
      <c r="AC32" s="261" t="n"/>
      <c r="AD32" s="261" t="n"/>
      <c r="AE32" s="261" t="n"/>
    </row>
    <row r="33" ht="16" customFormat="1" customHeight="1" s="455">
      <c r="A33" s="427" t="n">
        <v>28</v>
      </c>
      <c r="B33" s="101" t="n"/>
      <c r="C33" s="101" t="n"/>
      <c r="D33" s="301" t="n"/>
      <c r="E33" s="665" t="n"/>
      <c r="F33" s="665" t="n"/>
      <c r="G33" s="666" t="n"/>
      <c r="H33" s="667">
        <f>ROUND(E33+F33-G33,2)</f>
        <v/>
      </c>
      <c r="I33" s="569" t="n"/>
      <c r="J33" s="645">
        <f>ROUND(H33+I33,2)</f>
        <v/>
      </c>
      <c r="K33" s="647" t="n"/>
      <c r="L33" s="648">
        <f>J33+K33</f>
        <v/>
      </c>
      <c r="M33" s="649" t="n"/>
      <c r="N33" s="102" t="n"/>
      <c r="O33" s="302" t="n"/>
      <c r="P33" s="649" t="n"/>
      <c r="Q33" s="302" t="n"/>
      <c r="R33" s="302" t="n"/>
      <c r="S33" s="302" t="n"/>
      <c r="T33" s="302" t="n"/>
      <c r="U33" s="649" t="n"/>
      <c r="V33" s="261" t="n"/>
      <c r="W33" s="261" t="n"/>
      <c r="X33" s="261" t="n"/>
      <c r="Y33" s="261" t="n"/>
      <c r="Z33" s="261" t="n"/>
      <c r="AA33" s="261" t="n"/>
      <c r="AB33" s="261" t="n"/>
      <c r="AC33" s="261" t="n"/>
      <c r="AD33" s="261" t="n"/>
      <c r="AE33" s="261" t="n"/>
    </row>
    <row r="34" ht="16" customFormat="1" customHeight="1" s="455">
      <c r="A34" s="427" t="n">
        <v>29</v>
      </c>
      <c r="B34" s="101" t="n"/>
      <c r="C34" s="101" t="n"/>
      <c r="D34" s="301" t="n"/>
      <c r="E34" s="665" t="n"/>
      <c r="F34" s="665" t="n"/>
      <c r="G34" s="666" t="n"/>
      <c r="H34" s="667">
        <f>ROUND(E34+F34-G34,2)</f>
        <v/>
      </c>
      <c r="I34" s="569" t="n"/>
      <c r="J34" s="645">
        <f>ROUND(H34+I34,2)</f>
        <v/>
      </c>
      <c r="K34" s="647" t="n"/>
      <c r="L34" s="648">
        <f>J34+K34</f>
        <v/>
      </c>
      <c r="M34" s="649" t="n"/>
      <c r="N34" s="102" t="n"/>
      <c r="O34" s="300" t="n"/>
      <c r="P34" s="649" t="n"/>
      <c r="Q34" s="300" t="n"/>
      <c r="R34" s="300" t="n"/>
      <c r="S34" s="300" t="n"/>
      <c r="T34" s="300" t="n"/>
      <c r="U34" s="649" t="n"/>
      <c r="V34" s="261" t="n"/>
      <c r="W34" s="261" t="n"/>
      <c r="X34" s="261" t="n"/>
      <c r="Y34" s="261" t="n"/>
      <c r="Z34" s="261" t="n"/>
      <c r="AA34" s="261" t="n"/>
      <c r="AB34" s="261" t="n"/>
      <c r="AC34" s="261" t="n"/>
      <c r="AD34" s="261" t="n"/>
      <c r="AE34" s="261" t="n"/>
    </row>
    <row r="35" ht="16" customFormat="1" customHeight="1" s="455">
      <c r="A35" s="427" t="n">
        <v>30</v>
      </c>
      <c r="B35" s="101" t="n"/>
      <c r="C35" s="101" t="n"/>
      <c r="D35" s="301" t="n"/>
      <c r="E35" s="665" t="n"/>
      <c r="F35" s="665" t="n"/>
      <c r="G35" s="666" t="n"/>
      <c r="H35" s="667">
        <f>ROUND(E35+F35-G35,2)</f>
        <v/>
      </c>
      <c r="I35" s="569" t="n"/>
      <c r="J35" s="645">
        <f>ROUND(H35+I35,2)</f>
        <v/>
      </c>
      <c r="K35" s="647" t="n"/>
      <c r="L35" s="648">
        <f>J35+K35</f>
        <v/>
      </c>
      <c r="M35" s="649" t="n"/>
      <c r="N35" s="102" t="n"/>
      <c r="O35" s="300" t="n"/>
      <c r="P35" s="649" t="n"/>
      <c r="Q35" s="300" t="n"/>
      <c r="R35" s="300" t="n"/>
      <c r="S35" s="300" t="n"/>
      <c r="T35" s="300" t="n"/>
      <c r="U35" s="649" t="n"/>
      <c r="V35" s="261" t="n"/>
      <c r="W35" s="261" t="n"/>
      <c r="X35" s="261" t="n"/>
      <c r="Y35" s="261" t="n"/>
      <c r="Z35" s="261" t="n"/>
      <c r="AA35" s="261" t="n"/>
      <c r="AB35" s="261" t="n"/>
      <c r="AC35" s="261" t="n"/>
      <c r="AD35" s="261" t="n"/>
      <c r="AE35" s="261" t="n"/>
    </row>
    <row r="36" ht="16" customFormat="1" customHeight="1" s="455">
      <c r="A36" s="427" t="n">
        <v>31</v>
      </c>
      <c r="B36" s="101" t="n"/>
      <c r="C36" s="101" t="n"/>
      <c r="D36" s="301" t="n"/>
      <c r="E36" s="665" t="n"/>
      <c r="F36" s="665" t="n"/>
      <c r="G36" s="666" t="n"/>
      <c r="H36" s="667">
        <f>ROUND(E36+F36-G36,2)</f>
        <v/>
      </c>
      <c r="I36" s="569" t="n"/>
      <c r="J36" s="645">
        <f>ROUND(H36+I36,2)</f>
        <v/>
      </c>
      <c r="K36" s="647" t="n"/>
      <c r="L36" s="648">
        <f>J36+K36</f>
        <v/>
      </c>
      <c r="M36" s="649" t="n"/>
      <c r="N36" s="102" t="n"/>
      <c r="O36" s="300" t="n"/>
      <c r="P36" s="649" t="n"/>
      <c r="Q36" s="300" t="n"/>
      <c r="R36" s="300" t="n"/>
      <c r="S36" s="300" t="n"/>
      <c r="T36" s="300" t="n"/>
      <c r="U36" s="649" t="n"/>
      <c r="V36" s="261" t="n"/>
      <c r="W36" s="261" t="n"/>
      <c r="X36" s="261" t="n"/>
      <c r="Y36" s="261" t="n"/>
      <c r="Z36" s="261" t="n"/>
      <c r="AA36" s="261" t="n"/>
      <c r="AB36" s="261" t="n"/>
      <c r="AC36" s="261" t="n"/>
      <c r="AD36" s="261" t="n"/>
      <c r="AE36" s="261" t="n"/>
    </row>
    <row r="37" ht="16" customFormat="1" customHeight="1" s="455">
      <c r="A37" s="427" t="n">
        <v>32</v>
      </c>
      <c r="B37" s="101" t="n"/>
      <c r="C37" s="101" t="n"/>
      <c r="D37" s="301" t="n"/>
      <c r="E37" s="665" t="n"/>
      <c r="F37" s="665" t="n"/>
      <c r="G37" s="666" t="n"/>
      <c r="H37" s="667">
        <f>ROUND(E37+F37-G37,2)</f>
        <v/>
      </c>
      <c r="I37" s="569" t="n"/>
      <c r="J37" s="645">
        <f>ROUND(H37+I37,2)</f>
        <v/>
      </c>
      <c r="K37" s="647" t="n"/>
      <c r="L37" s="648">
        <f>J37+K37</f>
        <v/>
      </c>
      <c r="M37" s="649" t="n"/>
      <c r="N37" s="102" t="n"/>
      <c r="O37" s="300" t="n"/>
      <c r="P37" s="649" t="n"/>
      <c r="Q37" s="300" t="n"/>
      <c r="R37" s="300" t="n"/>
      <c r="S37" s="300" t="n"/>
      <c r="T37" s="300" t="n"/>
      <c r="U37" s="649" t="n"/>
      <c r="V37" s="261" t="n"/>
      <c r="W37" s="261" t="n"/>
      <c r="X37" s="261" t="n"/>
      <c r="Y37" s="261" t="n"/>
      <c r="Z37" s="261" t="n"/>
      <c r="AA37" s="261" t="n"/>
      <c r="AB37" s="261" t="n"/>
      <c r="AC37" s="261" t="n"/>
      <c r="AD37" s="261" t="n"/>
      <c r="AE37" s="261" t="n"/>
    </row>
    <row r="38" ht="16" customFormat="1" customHeight="1" s="455">
      <c r="A38" s="427" t="n">
        <v>33</v>
      </c>
      <c r="B38" s="101" t="n"/>
      <c r="C38" s="101" t="n"/>
      <c r="D38" s="301" t="n"/>
      <c r="E38" s="665" t="n"/>
      <c r="F38" s="665" t="n"/>
      <c r="G38" s="666" t="n"/>
      <c r="H38" s="667">
        <f>ROUND(E38+F38-G38,2)</f>
        <v/>
      </c>
      <c r="I38" s="569" t="n"/>
      <c r="J38" s="645">
        <f>ROUND(H38+I38,2)</f>
        <v/>
      </c>
      <c r="K38" s="647" t="n"/>
      <c r="L38" s="648">
        <f>J38+K38</f>
        <v/>
      </c>
      <c r="M38" s="649" t="n"/>
      <c r="N38" s="102" t="n"/>
      <c r="O38" s="300" t="n"/>
      <c r="P38" s="649" t="n"/>
      <c r="Q38" s="300" t="n"/>
      <c r="R38" s="300" t="n"/>
      <c r="S38" s="300" t="n"/>
      <c r="T38" s="300" t="n"/>
      <c r="U38" s="649" t="n"/>
      <c r="V38" s="261" t="n"/>
      <c r="W38" s="261" t="n"/>
      <c r="X38" s="261" t="n"/>
      <c r="Y38" s="261" t="n"/>
      <c r="Z38" s="261" t="n"/>
      <c r="AA38" s="261" t="n"/>
      <c r="AB38" s="261" t="n"/>
      <c r="AC38" s="261" t="n"/>
      <c r="AD38" s="261" t="n"/>
      <c r="AE38" s="261" t="n"/>
    </row>
    <row r="39" ht="16" customFormat="1" customHeight="1" s="455">
      <c r="A39" s="427" t="n">
        <v>34</v>
      </c>
      <c r="B39" s="101" t="n"/>
      <c r="C39" s="101" t="n"/>
      <c r="D39" s="301" t="n"/>
      <c r="E39" s="665" t="n"/>
      <c r="F39" s="665" t="n"/>
      <c r="G39" s="666" t="n"/>
      <c r="H39" s="667">
        <f>ROUND(E39+F39-G39,2)</f>
        <v/>
      </c>
      <c r="I39" s="569" t="n"/>
      <c r="J39" s="645">
        <f>ROUND(H39+I39,2)</f>
        <v/>
      </c>
      <c r="K39" s="647" t="n"/>
      <c r="L39" s="648">
        <f>J39+K39</f>
        <v/>
      </c>
      <c r="M39" s="649" t="n"/>
      <c r="N39" s="102" t="n"/>
      <c r="O39" s="300" t="n"/>
      <c r="P39" s="649" t="n"/>
      <c r="Q39" s="300" t="n"/>
      <c r="R39" s="300" t="n"/>
      <c r="S39" s="300" t="n"/>
      <c r="T39" s="300" t="n"/>
      <c r="U39" s="649" t="n"/>
      <c r="V39" s="261" t="n"/>
      <c r="W39" s="261" t="n"/>
      <c r="X39" s="261" t="n"/>
      <c r="Y39" s="261" t="n"/>
      <c r="Z39" s="261" t="n"/>
      <c r="AA39" s="261" t="n"/>
      <c r="AB39" s="261" t="n"/>
      <c r="AC39" s="261" t="n"/>
      <c r="AD39" s="261" t="n"/>
      <c r="AE39" s="261" t="n"/>
    </row>
    <row r="40" ht="16" customFormat="1" customHeight="1" s="455">
      <c r="A40" s="427" t="n">
        <v>35</v>
      </c>
      <c r="B40" s="101" t="n"/>
      <c r="C40" s="101" t="n"/>
      <c r="D40" s="301" t="n"/>
      <c r="E40" s="665" t="n"/>
      <c r="F40" s="665" t="n"/>
      <c r="G40" s="666" t="n"/>
      <c r="H40" s="667">
        <f>ROUND(E40+F40-G40,2)</f>
        <v/>
      </c>
      <c r="I40" s="569" t="n"/>
      <c r="J40" s="645">
        <f>ROUND(H40+I40,2)</f>
        <v/>
      </c>
      <c r="K40" s="647" t="n"/>
      <c r="L40" s="648">
        <f>J40+K40</f>
        <v/>
      </c>
      <c r="M40" s="649" t="n"/>
      <c r="N40" s="102" t="n"/>
      <c r="O40" s="300" t="n"/>
      <c r="P40" s="649" t="n"/>
      <c r="Q40" s="300" t="n"/>
      <c r="R40" s="300" t="n"/>
      <c r="S40" s="300" t="n"/>
      <c r="T40" s="300" t="n"/>
      <c r="U40" s="649" t="n"/>
      <c r="V40" s="261" t="n"/>
      <c r="W40" s="261" t="n"/>
      <c r="X40" s="261" t="n"/>
      <c r="Y40" s="261" t="n"/>
      <c r="Z40" s="261" t="n"/>
      <c r="AA40" s="261" t="n"/>
      <c r="AB40" s="261" t="n"/>
      <c r="AC40" s="261" t="n"/>
      <c r="AD40" s="261" t="n"/>
      <c r="AE40" s="261" t="n"/>
    </row>
    <row r="41" ht="16" customFormat="1" customHeight="1" s="455">
      <c r="A41" s="427" t="n">
        <v>36</v>
      </c>
      <c r="B41" s="101" t="n"/>
      <c r="C41" s="101" t="n"/>
      <c r="D41" s="301" t="n"/>
      <c r="E41" s="665" t="n"/>
      <c r="F41" s="665" t="n"/>
      <c r="G41" s="666" t="n"/>
      <c r="H41" s="667">
        <f>ROUND(E41+F41-G41,2)</f>
        <v/>
      </c>
      <c r="I41" s="569" t="n"/>
      <c r="J41" s="645">
        <f>ROUND(H41+I41,2)</f>
        <v/>
      </c>
      <c r="K41" s="647" t="n"/>
      <c r="L41" s="648">
        <f>J41+K41</f>
        <v/>
      </c>
      <c r="M41" s="649" t="n"/>
      <c r="N41" s="102" t="n"/>
      <c r="O41" s="300" t="n"/>
      <c r="P41" s="649" t="n"/>
      <c r="Q41" s="300" t="n"/>
      <c r="R41" s="300" t="n"/>
      <c r="S41" s="300" t="n"/>
      <c r="T41" s="300" t="n"/>
      <c r="U41" s="649" t="n"/>
      <c r="V41" s="261" t="n"/>
      <c r="W41" s="261" t="n"/>
      <c r="X41" s="261" t="n"/>
      <c r="Y41" s="261" t="n"/>
      <c r="Z41" s="261" t="n"/>
      <c r="AA41" s="261" t="n"/>
      <c r="AB41" s="261" t="n"/>
      <c r="AC41" s="261" t="n"/>
      <c r="AD41" s="261" t="n"/>
      <c r="AE41" s="261" t="n"/>
    </row>
    <row r="42" ht="16" customFormat="1" customHeight="1" s="455">
      <c r="A42" s="427" t="n">
        <v>37</v>
      </c>
      <c r="B42" s="101" t="n"/>
      <c r="C42" s="101" t="n"/>
      <c r="D42" s="301" t="n"/>
      <c r="E42" s="665" t="n"/>
      <c r="F42" s="665" t="n"/>
      <c r="G42" s="666" t="n"/>
      <c r="H42" s="667">
        <f>ROUND(E42+F42-G42,2)</f>
        <v/>
      </c>
      <c r="I42" s="569" t="n"/>
      <c r="J42" s="645">
        <f>ROUND(H42+I42,2)</f>
        <v/>
      </c>
      <c r="K42" s="647" t="n"/>
      <c r="L42" s="648">
        <f>J42+K42</f>
        <v/>
      </c>
      <c r="M42" s="649" t="n"/>
      <c r="N42" s="102" t="n"/>
      <c r="O42" s="300" t="n"/>
      <c r="P42" s="649" t="n"/>
      <c r="Q42" s="300" t="n"/>
      <c r="R42" s="300" t="n"/>
      <c r="S42" s="300" t="n"/>
      <c r="T42" s="300" t="n"/>
      <c r="U42" s="649" t="n"/>
      <c r="V42" s="261" t="n"/>
      <c r="W42" s="261" t="n"/>
      <c r="X42" s="261" t="n"/>
      <c r="Y42" s="261" t="n"/>
      <c r="Z42" s="261" t="n"/>
      <c r="AA42" s="261" t="n"/>
      <c r="AB42" s="261" t="n"/>
      <c r="AC42" s="261" t="n"/>
      <c r="AD42" s="261" t="n"/>
      <c r="AE42" s="261" t="n"/>
    </row>
    <row r="43" ht="16" customFormat="1" customHeight="1" s="455">
      <c r="A43" s="427" t="n">
        <v>38</v>
      </c>
      <c r="B43" s="101" t="n"/>
      <c r="C43" s="101" t="n"/>
      <c r="D43" s="301" t="n"/>
      <c r="E43" s="665" t="n"/>
      <c r="F43" s="665" t="n"/>
      <c r="G43" s="666" t="n"/>
      <c r="H43" s="667">
        <f>ROUND(E43+F43-G43,2)</f>
        <v/>
      </c>
      <c r="I43" s="569" t="n"/>
      <c r="J43" s="645">
        <f>ROUND(H43+I43,2)</f>
        <v/>
      </c>
      <c r="K43" s="647" t="n"/>
      <c r="L43" s="648">
        <f>J43+K43</f>
        <v/>
      </c>
      <c r="M43" s="649" t="n"/>
      <c r="N43" s="102" t="n"/>
      <c r="O43" s="300" t="n"/>
      <c r="P43" s="649" t="n"/>
      <c r="Q43" s="300" t="n"/>
      <c r="R43" s="300" t="n"/>
      <c r="S43" s="300" t="n"/>
      <c r="T43" s="300" t="n"/>
      <c r="U43" s="649" t="n"/>
      <c r="V43" s="261" t="n"/>
      <c r="W43" s="261" t="n"/>
      <c r="X43" s="261" t="n"/>
      <c r="Y43" s="261" t="n"/>
      <c r="Z43" s="261" t="n"/>
      <c r="AA43" s="261" t="n"/>
      <c r="AB43" s="261" t="n"/>
      <c r="AC43" s="261" t="n"/>
      <c r="AD43" s="261" t="n"/>
      <c r="AE43" s="261" t="n"/>
    </row>
    <row r="44" ht="16" customFormat="1" customHeight="1" s="455">
      <c r="A44" s="427" t="n">
        <v>39</v>
      </c>
      <c r="B44" s="101" t="n"/>
      <c r="C44" s="101" t="n"/>
      <c r="D44" s="301" t="n"/>
      <c r="E44" s="665" t="n"/>
      <c r="F44" s="665" t="n"/>
      <c r="G44" s="666" t="n"/>
      <c r="H44" s="667">
        <f>ROUND(E44+F44-G44,2)</f>
        <v/>
      </c>
      <c r="I44" s="569" t="n"/>
      <c r="J44" s="645">
        <f>ROUND(H44+I44,2)</f>
        <v/>
      </c>
      <c r="K44" s="647" t="n"/>
      <c r="L44" s="648">
        <f>J44+K44</f>
        <v/>
      </c>
      <c r="M44" s="649" t="n"/>
      <c r="N44" s="102" t="n"/>
      <c r="O44" s="300" t="n"/>
      <c r="P44" s="649" t="n"/>
      <c r="Q44" s="300" t="n"/>
      <c r="R44" s="300" t="n"/>
      <c r="S44" s="300" t="n"/>
      <c r="T44" s="300" t="n"/>
      <c r="U44" s="649" t="n"/>
      <c r="V44" s="261" t="n"/>
      <c r="W44" s="261" t="n"/>
      <c r="X44" s="261" t="n"/>
      <c r="Y44" s="261" t="n"/>
      <c r="Z44" s="261" t="n"/>
      <c r="AA44" s="261" t="n"/>
      <c r="AB44" s="261" t="n"/>
      <c r="AC44" s="261" t="n"/>
      <c r="AD44" s="261" t="n"/>
      <c r="AE44" s="261" t="n"/>
    </row>
    <row r="45" ht="16" customFormat="1" customHeight="1" s="455">
      <c r="A45" s="427" t="n">
        <v>40</v>
      </c>
      <c r="B45" s="101" t="n"/>
      <c r="C45" s="101" t="n"/>
      <c r="D45" s="301" t="n"/>
      <c r="E45" s="665" t="n"/>
      <c r="F45" s="665" t="n"/>
      <c r="G45" s="666" t="n"/>
      <c r="H45" s="667">
        <f>ROUND(E45+F45-G45,2)</f>
        <v/>
      </c>
      <c r="I45" s="569" t="n"/>
      <c r="J45" s="645">
        <f>ROUND(H45+I45,2)</f>
        <v/>
      </c>
      <c r="K45" s="647" t="n"/>
      <c r="L45" s="648">
        <f>J45+K45</f>
        <v/>
      </c>
      <c r="M45" s="649" t="n"/>
      <c r="N45" s="102" t="n"/>
      <c r="O45" s="300" t="n"/>
      <c r="P45" s="649" t="n"/>
      <c r="Q45" s="300" t="n"/>
      <c r="R45" s="300" t="n"/>
      <c r="S45" s="300" t="n"/>
      <c r="T45" s="300" t="n"/>
      <c r="U45" s="649" t="n"/>
      <c r="V45" s="261" t="n"/>
      <c r="W45" s="261" t="n"/>
      <c r="X45" s="261" t="n"/>
      <c r="Y45" s="261" t="n"/>
      <c r="Z45" s="261" t="n"/>
      <c r="AA45" s="261" t="n"/>
      <c r="AB45" s="261" t="n"/>
      <c r="AC45" s="261" t="n"/>
      <c r="AD45" s="261" t="n"/>
      <c r="AE45" s="261" t="n"/>
    </row>
    <row r="46" ht="16" customFormat="1" customHeight="1" s="455">
      <c r="A46" s="427" t="n">
        <v>41</v>
      </c>
      <c r="B46" s="101" t="n"/>
      <c r="C46" s="101" t="n"/>
      <c r="D46" s="301" t="n"/>
      <c r="E46" s="665" t="n"/>
      <c r="F46" s="665" t="n"/>
      <c r="G46" s="666" t="n"/>
      <c r="H46" s="667">
        <f>ROUND(E46+F46-G46,2)</f>
        <v/>
      </c>
      <c r="I46" s="569" t="n"/>
      <c r="J46" s="645">
        <f>ROUND(H46+I46,2)</f>
        <v/>
      </c>
      <c r="K46" s="647" t="n"/>
      <c r="L46" s="648">
        <f>J46+K46</f>
        <v/>
      </c>
      <c r="M46" s="649" t="n"/>
      <c r="N46" s="102" t="n"/>
      <c r="O46" s="300" t="n"/>
      <c r="P46" s="649" t="n"/>
      <c r="Q46" s="300" t="n"/>
      <c r="R46" s="300" t="n"/>
      <c r="S46" s="300" t="n"/>
      <c r="T46" s="300" t="n"/>
      <c r="U46" s="649" t="n"/>
      <c r="V46" s="261" t="n"/>
      <c r="W46" s="261" t="n"/>
      <c r="X46" s="261" t="n"/>
      <c r="Y46" s="261" t="n"/>
      <c r="Z46" s="261" t="n"/>
      <c r="AA46" s="261" t="n"/>
      <c r="AB46" s="261" t="n"/>
      <c r="AC46" s="261" t="n"/>
      <c r="AD46" s="261" t="n"/>
      <c r="AE46" s="261" t="n"/>
    </row>
    <row r="47" ht="16" customFormat="1" customHeight="1" s="455">
      <c r="A47" s="427" t="n">
        <v>42</v>
      </c>
      <c r="B47" s="101" t="n"/>
      <c r="C47" s="101" t="n"/>
      <c r="D47" s="301" t="n"/>
      <c r="E47" s="665" t="n"/>
      <c r="F47" s="665" t="n"/>
      <c r="G47" s="666" t="n"/>
      <c r="H47" s="667">
        <f>ROUND(E47+F47-G47,2)</f>
        <v/>
      </c>
      <c r="I47" s="569" t="n"/>
      <c r="J47" s="645">
        <f>ROUND(H47+I47,2)</f>
        <v/>
      </c>
      <c r="K47" s="647" t="n"/>
      <c r="L47" s="648">
        <f>J47+K47</f>
        <v/>
      </c>
      <c r="M47" s="649" t="n"/>
      <c r="N47" s="102" t="n"/>
      <c r="O47" s="300" t="n"/>
      <c r="P47" s="649" t="n"/>
      <c r="Q47" s="300" t="n"/>
      <c r="R47" s="300" t="n"/>
      <c r="S47" s="300" t="n"/>
      <c r="T47" s="300" t="n"/>
      <c r="U47" s="649" t="n"/>
      <c r="V47" s="261" t="n"/>
      <c r="W47" s="261" t="n"/>
      <c r="X47" s="261" t="n"/>
      <c r="Y47" s="261" t="n"/>
      <c r="Z47" s="261" t="n"/>
      <c r="AA47" s="261" t="n"/>
      <c r="AB47" s="261" t="n"/>
      <c r="AC47" s="261" t="n"/>
      <c r="AD47" s="261" t="n"/>
      <c r="AE47" s="261" t="n"/>
    </row>
    <row r="48" ht="16" customFormat="1" customHeight="1" s="455">
      <c r="A48" s="427" t="n">
        <v>43</v>
      </c>
      <c r="B48" s="101" t="n"/>
      <c r="C48" s="101" t="n"/>
      <c r="D48" s="301" t="n"/>
      <c r="E48" s="665" t="n"/>
      <c r="F48" s="665" t="n"/>
      <c r="G48" s="666" t="n"/>
      <c r="H48" s="667">
        <f>ROUND(E48+F48-G48,2)</f>
        <v/>
      </c>
      <c r="I48" s="569" t="n"/>
      <c r="J48" s="645">
        <f>ROUND(H48+I48,2)</f>
        <v/>
      </c>
      <c r="K48" s="647" t="n"/>
      <c r="L48" s="648">
        <f>J48+K48</f>
        <v/>
      </c>
      <c r="M48" s="649" t="n"/>
      <c r="N48" s="102" t="n"/>
      <c r="O48" s="300" t="n"/>
      <c r="P48" s="649" t="n"/>
      <c r="Q48" s="300" t="n"/>
      <c r="R48" s="300" t="n"/>
      <c r="S48" s="300" t="n"/>
      <c r="T48" s="300" t="n"/>
      <c r="U48" s="649" t="n"/>
      <c r="V48" s="261" t="n"/>
      <c r="W48" s="261" t="n"/>
      <c r="X48" s="261" t="n"/>
      <c r="Y48" s="261" t="n"/>
      <c r="Z48" s="261" t="n"/>
      <c r="AA48" s="261" t="n"/>
      <c r="AB48" s="261" t="n"/>
      <c r="AC48" s="261" t="n"/>
      <c r="AD48" s="261" t="n"/>
      <c r="AE48" s="261" t="n"/>
    </row>
    <row r="49" ht="16" customFormat="1" customHeight="1" s="455">
      <c r="A49" s="427" t="n">
        <v>44</v>
      </c>
      <c r="B49" s="101" t="n"/>
      <c r="C49" s="101" t="n"/>
      <c r="D49" s="301" t="n"/>
      <c r="E49" s="665" t="n"/>
      <c r="F49" s="665" t="n"/>
      <c r="G49" s="666" t="n"/>
      <c r="H49" s="667">
        <f>ROUND(E49+F49-G49,2)</f>
        <v/>
      </c>
      <c r="I49" s="569" t="n"/>
      <c r="J49" s="645">
        <f>ROUND(H49+I49,2)</f>
        <v/>
      </c>
      <c r="K49" s="647" t="n"/>
      <c r="L49" s="648">
        <f>J49+K49</f>
        <v/>
      </c>
      <c r="M49" s="649" t="n"/>
      <c r="N49" s="102" t="n"/>
      <c r="O49" s="300" t="n"/>
      <c r="P49" s="649" t="n"/>
      <c r="Q49" s="300" t="n"/>
      <c r="R49" s="300" t="n"/>
      <c r="S49" s="300" t="n"/>
      <c r="T49" s="300" t="n"/>
      <c r="U49" s="649" t="n"/>
      <c r="V49" s="261" t="n"/>
      <c r="W49" s="261" t="n"/>
      <c r="X49" s="261" t="n"/>
      <c r="Y49" s="261" t="n"/>
      <c r="Z49" s="261" t="n"/>
      <c r="AA49" s="261" t="n"/>
      <c r="AB49" s="261" t="n"/>
      <c r="AC49" s="261" t="n"/>
      <c r="AD49" s="261" t="n"/>
      <c r="AE49" s="261" t="n"/>
    </row>
    <row r="50" ht="16" customFormat="1" customHeight="1" s="455">
      <c r="A50" s="427" t="n">
        <v>45</v>
      </c>
      <c r="B50" s="101" t="n"/>
      <c r="C50" s="101" t="n"/>
      <c r="D50" s="301" t="n"/>
      <c r="E50" s="665" t="n"/>
      <c r="F50" s="665" t="n"/>
      <c r="G50" s="666" t="n"/>
      <c r="H50" s="667">
        <f>ROUND(E50+F50-G50,2)</f>
        <v/>
      </c>
      <c r="I50" s="569" t="n"/>
      <c r="J50" s="645">
        <f>ROUND(H50+I50,2)</f>
        <v/>
      </c>
      <c r="K50" s="647" t="n"/>
      <c r="L50" s="648">
        <f>J50+K50</f>
        <v/>
      </c>
      <c r="M50" s="649" t="n"/>
      <c r="N50" s="102" t="n"/>
      <c r="O50" s="300" t="n"/>
      <c r="P50" s="649" t="n"/>
      <c r="Q50" s="300" t="n"/>
      <c r="R50" s="300" t="n"/>
      <c r="S50" s="300" t="n"/>
      <c r="T50" s="300" t="n"/>
      <c r="U50" s="649" t="n"/>
      <c r="V50" s="261" t="n"/>
      <c r="W50" s="261" t="n"/>
      <c r="X50" s="261" t="n"/>
      <c r="Y50" s="261" t="n"/>
      <c r="Z50" s="261" t="n"/>
      <c r="AA50" s="261" t="n"/>
      <c r="AB50" s="261" t="n"/>
      <c r="AC50" s="261" t="n"/>
      <c r="AD50" s="261" t="n"/>
      <c r="AE50" s="261" t="n"/>
    </row>
    <row r="51" ht="16" customFormat="1" customHeight="1" s="455">
      <c r="A51" s="427" t="n">
        <v>46</v>
      </c>
      <c r="B51" s="101" t="n"/>
      <c r="C51" s="101" t="n"/>
      <c r="D51" s="301" t="n"/>
      <c r="E51" s="665" t="n"/>
      <c r="F51" s="665" t="n"/>
      <c r="G51" s="666" t="n"/>
      <c r="H51" s="667">
        <f>ROUND(E51+F51-G51,2)</f>
        <v/>
      </c>
      <c r="I51" s="569" t="n"/>
      <c r="J51" s="645">
        <f>ROUND(H51+I51,2)</f>
        <v/>
      </c>
      <c r="K51" s="647" t="n"/>
      <c r="L51" s="648">
        <f>J51+K51</f>
        <v/>
      </c>
      <c r="M51" s="649" t="n"/>
      <c r="N51" s="102" t="n"/>
      <c r="O51" s="300" t="n"/>
      <c r="P51" s="649" t="n"/>
      <c r="Q51" s="300" t="n"/>
      <c r="R51" s="300" t="n"/>
      <c r="S51" s="300" t="n"/>
      <c r="T51" s="300" t="n"/>
      <c r="U51" s="649" t="n"/>
      <c r="V51" s="261" t="n"/>
      <c r="W51" s="261" t="n"/>
      <c r="X51" s="261" t="n"/>
      <c r="Y51" s="261" t="n"/>
      <c r="Z51" s="261" t="n"/>
      <c r="AA51" s="261" t="n"/>
      <c r="AB51" s="261" t="n"/>
      <c r="AC51" s="261" t="n"/>
      <c r="AD51" s="261" t="n"/>
      <c r="AE51" s="261" t="n"/>
    </row>
    <row r="52" ht="16" customFormat="1" customHeight="1" s="455">
      <c r="A52" s="427" t="n">
        <v>47</v>
      </c>
      <c r="B52" s="101" t="n"/>
      <c r="C52" s="101" t="n"/>
      <c r="D52" s="301" t="n"/>
      <c r="E52" s="665" t="n"/>
      <c r="F52" s="665" t="n"/>
      <c r="G52" s="666" t="n"/>
      <c r="H52" s="667">
        <f>ROUND(E52+F52-G52,2)</f>
        <v/>
      </c>
      <c r="I52" s="569" t="n"/>
      <c r="J52" s="645">
        <f>ROUND(H52+I52,2)</f>
        <v/>
      </c>
      <c r="K52" s="647" t="n"/>
      <c r="L52" s="648">
        <f>J52+K52</f>
        <v/>
      </c>
      <c r="M52" s="649" t="n"/>
      <c r="N52" s="102" t="n"/>
      <c r="O52" s="300" t="n"/>
      <c r="P52" s="649" t="n"/>
      <c r="Q52" s="300" t="n"/>
      <c r="R52" s="300" t="n"/>
      <c r="S52" s="300" t="n"/>
      <c r="T52" s="300" t="n"/>
      <c r="U52" s="649" t="n"/>
      <c r="V52" s="261" t="n"/>
      <c r="W52" s="261" t="n"/>
      <c r="X52" s="261" t="n"/>
      <c r="Y52" s="261" t="n"/>
      <c r="Z52" s="261" t="n"/>
      <c r="AA52" s="261" t="n"/>
      <c r="AB52" s="261" t="n"/>
      <c r="AC52" s="261" t="n"/>
      <c r="AD52" s="261" t="n"/>
      <c r="AE52" s="261" t="n"/>
    </row>
    <row r="53" ht="16" customFormat="1" customHeight="1" s="455">
      <c r="A53" s="427" t="n">
        <v>48</v>
      </c>
      <c r="B53" s="101" t="n"/>
      <c r="C53" s="101" t="n"/>
      <c r="D53" s="301" t="n"/>
      <c r="E53" s="665" t="n"/>
      <c r="F53" s="665" t="n"/>
      <c r="G53" s="666" t="n"/>
      <c r="H53" s="667">
        <f>ROUND(E53+F53-G53,2)</f>
        <v/>
      </c>
      <c r="I53" s="569" t="n"/>
      <c r="J53" s="645">
        <f>ROUND(H53+I53,2)</f>
        <v/>
      </c>
      <c r="K53" s="647" t="n"/>
      <c r="L53" s="648">
        <f>J53+K53</f>
        <v/>
      </c>
      <c r="M53" s="649" t="n"/>
      <c r="N53" s="102" t="n"/>
      <c r="O53" s="300" t="n"/>
      <c r="P53" s="649" t="n"/>
      <c r="Q53" s="300" t="n"/>
      <c r="R53" s="300" t="n"/>
      <c r="S53" s="300" t="n"/>
      <c r="T53" s="300" t="n"/>
      <c r="U53" s="649" t="n"/>
      <c r="V53" s="261" t="n"/>
      <c r="W53" s="261" t="n"/>
      <c r="X53" s="261" t="n"/>
      <c r="Y53" s="261" t="n"/>
      <c r="Z53" s="261" t="n"/>
      <c r="AA53" s="261" t="n"/>
      <c r="AB53" s="261" t="n"/>
      <c r="AC53" s="261" t="n"/>
      <c r="AD53" s="261" t="n"/>
      <c r="AE53" s="261" t="n"/>
    </row>
    <row r="54" ht="16" customFormat="1" customHeight="1" s="455">
      <c r="A54" s="427" t="n">
        <v>49</v>
      </c>
      <c r="B54" s="101" t="n"/>
      <c r="C54" s="101" t="n"/>
      <c r="D54" s="301" t="n"/>
      <c r="E54" s="665" t="n"/>
      <c r="F54" s="665" t="n"/>
      <c r="G54" s="666" t="n"/>
      <c r="H54" s="667">
        <f>ROUND(E54+F54-G54,2)</f>
        <v/>
      </c>
      <c r="I54" s="569" t="n"/>
      <c r="J54" s="645">
        <f>ROUND(H54+I54,2)</f>
        <v/>
      </c>
      <c r="K54" s="647" t="n"/>
      <c r="L54" s="648">
        <f>J54+K54</f>
        <v/>
      </c>
      <c r="M54" s="649" t="n"/>
      <c r="N54" s="102" t="n"/>
      <c r="O54" s="300" t="n"/>
      <c r="P54" s="649" t="n"/>
      <c r="Q54" s="300" t="n"/>
      <c r="R54" s="300" t="n"/>
      <c r="S54" s="300" t="n"/>
      <c r="T54" s="300" t="n"/>
      <c r="U54" s="649" t="n"/>
      <c r="V54" s="261" t="n"/>
      <c r="W54" s="261" t="n"/>
      <c r="X54" s="261" t="n"/>
      <c r="Y54" s="261" t="n"/>
      <c r="Z54" s="261" t="n"/>
      <c r="AA54" s="261" t="n"/>
      <c r="AB54" s="261" t="n"/>
      <c r="AC54" s="261" t="n"/>
      <c r="AD54" s="261" t="n"/>
      <c r="AE54" s="261" t="n"/>
    </row>
    <row r="55" ht="16" customFormat="1" customHeight="1" s="455">
      <c r="A55" s="427" t="n">
        <v>50</v>
      </c>
      <c r="B55" s="101" t="n"/>
      <c r="C55" s="101" t="n"/>
      <c r="D55" s="301" t="n"/>
      <c r="E55" s="665" t="n"/>
      <c r="F55" s="665" t="n"/>
      <c r="G55" s="666" t="n"/>
      <c r="H55" s="667">
        <f>ROUND(E55+F55-G55,2)</f>
        <v/>
      </c>
      <c r="I55" s="569" t="n"/>
      <c r="J55" s="645">
        <f>ROUND(H55+I55,2)</f>
        <v/>
      </c>
      <c r="K55" s="647" t="n"/>
      <c r="L55" s="648">
        <f>J55+K55</f>
        <v/>
      </c>
      <c r="M55" s="649" t="n"/>
      <c r="N55" s="102" t="n"/>
      <c r="O55" s="300" t="n"/>
      <c r="P55" s="649" t="n"/>
      <c r="Q55" s="300" t="n"/>
      <c r="R55" s="300" t="n"/>
      <c r="S55" s="300" t="n"/>
      <c r="T55" s="300" t="n"/>
      <c r="U55" s="649" t="n"/>
      <c r="V55" s="261" t="n"/>
      <c r="W55" s="261" t="n"/>
      <c r="X55" s="261" t="n"/>
      <c r="Y55" s="261" t="n"/>
      <c r="Z55" s="261" t="n"/>
      <c r="AA55" s="261" t="n"/>
      <c r="AB55" s="261" t="n"/>
      <c r="AC55" s="261" t="n"/>
      <c r="AD55" s="261" t="n"/>
      <c r="AE55" s="261" t="n"/>
    </row>
    <row r="56" ht="16" customFormat="1" customHeight="1" s="455">
      <c r="A56" s="427" t="n">
        <v>51</v>
      </c>
      <c r="B56" s="101" t="n"/>
      <c r="C56" s="101" t="n"/>
      <c r="D56" s="301" t="n"/>
      <c r="E56" s="665" t="n"/>
      <c r="F56" s="665" t="n"/>
      <c r="G56" s="666" t="n"/>
      <c r="H56" s="667">
        <f>ROUND(E56+F56-G56,2)</f>
        <v/>
      </c>
      <c r="I56" s="569" t="n"/>
      <c r="J56" s="645">
        <f>ROUND(H56+I56,2)</f>
        <v/>
      </c>
      <c r="K56" s="647" t="n"/>
      <c r="L56" s="648">
        <f>J56+K56</f>
        <v/>
      </c>
      <c r="M56" s="649" t="n"/>
      <c r="N56" s="102" t="n"/>
      <c r="O56" s="300" t="n"/>
      <c r="P56" s="649" t="n"/>
      <c r="Q56" s="300" t="n"/>
      <c r="R56" s="300" t="n"/>
      <c r="S56" s="300" t="n"/>
      <c r="T56" s="300" t="n"/>
      <c r="U56" s="649" t="n"/>
      <c r="V56" s="261" t="n"/>
      <c r="W56" s="261" t="n"/>
      <c r="X56" s="261" t="n"/>
      <c r="Y56" s="261" t="n"/>
      <c r="Z56" s="261" t="n"/>
      <c r="AA56" s="261" t="n"/>
      <c r="AB56" s="261" t="n"/>
      <c r="AC56" s="261" t="n"/>
      <c r="AD56" s="261" t="n"/>
      <c r="AE56" s="261" t="n"/>
    </row>
    <row r="57" ht="16" customFormat="1" customHeight="1" s="455">
      <c r="A57" s="427" t="n">
        <v>52</v>
      </c>
      <c r="B57" s="101" t="n"/>
      <c r="C57" s="101" t="n"/>
      <c r="D57" s="301" t="n"/>
      <c r="E57" s="665" t="n"/>
      <c r="F57" s="665" t="n"/>
      <c r="G57" s="666" t="n"/>
      <c r="H57" s="667">
        <f>ROUND(E57+F57-G57,2)</f>
        <v/>
      </c>
      <c r="I57" s="569" t="n"/>
      <c r="J57" s="645">
        <f>ROUND(H57+I57,2)</f>
        <v/>
      </c>
      <c r="K57" s="647" t="n"/>
      <c r="L57" s="648">
        <f>J57+K57</f>
        <v/>
      </c>
      <c r="M57" s="649" t="n"/>
      <c r="N57" s="102" t="n"/>
      <c r="O57" s="300" t="n"/>
      <c r="P57" s="649" t="n"/>
      <c r="Q57" s="300" t="n"/>
      <c r="R57" s="300" t="n"/>
      <c r="S57" s="300" t="n"/>
      <c r="T57" s="300" t="n"/>
      <c r="U57" s="649" t="n"/>
      <c r="V57" s="261" t="n"/>
      <c r="W57" s="261" t="n"/>
      <c r="X57" s="261" t="n"/>
      <c r="Y57" s="261" t="n"/>
      <c r="Z57" s="261" t="n"/>
      <c r="AA57" s="261" t="n"/>
      <c r="AB57" s="261" t="n"/>
      <c r="AC57" s="261" t="n"/>
      <c r="AD57" s="261" t="n"/>
      <c r="AE57" s="261" t="n"/>
    </row>
    <row r="58" ht="16" customFormat="1" customHeight="1" s="455">
      <c r="A58" s="427" t="n">
        <v>53</v>
      </c>
      <c r="B58" s="101" t="n"/>
      <c r="C58" s="101" t="n"/>
      <c r="D58" s="301" t="n"/>
      <c r="E58" s="665" t="n"/>
      <c r="F58" s="665" t="n"/>
      <c r="G58" s="666" t="n"/>
      <c r="H58" s="667">
        <f>ROUND(E58+F58-G58,2)</f>
        <v/>
      </c>
      <c r="I58" s="569" t="n"/>
      <c r="J58" s="645">
        <f>ROUND(H58+I58,2)</f>
        <v/>
      </c>
      <c r="K58" s="647" t="n"/>
      <c r="L58" s="648">
        <f>J58+K58</f>
        <v/>
      </c>
      <c r="M58" s="649" t="n"/>
      <c r="N58" s="102" t="n"/>
      <c r="O58" s="300" t="n"/>
      <c r="P58" s="649" t="n"/>
      <c r="Q58" s="300" t="n"/>
      <c r="R58" s="300" t="n"/>
      <c r="S58" s="300" t="n"/>
      <c r="T58" s="300" t="n"/>
      <c r="U58" s="649" t="n"/>
      <c r="V58" s="261" t="n"/>
      <c r="W58" s="261" t="n"/>
      <c r="X58" s="261" t="n"/>
      <c r="Y58" s="261" t="n"/>
      <c r="Z58" s="261" t="n"/>
      <c r="AA58" s="261" t="n"/>
      <c r="AB58" s="261" t="n"/>
      <c r="AC58" s="261" t="n"/>
      <c r="AD58" s="261" t="n"/>
      <c r="AE58" s="261" t="n"/>
    </row>
    <row r="59" ht="16" customFormat="1" customHeight="1" s="455">
      <c r="A59" s="427" t="n">
        <v>54</v>
      </c>
      <c r="B59" s="101" t="n"/>
      <c r="C59" s="101" t="n"/>
      <c r="D59" s="301" t="n"/>
      <c r="E59" s="665" t="n"/>
      <c r="F59" s="665" t="n"/>
      <c r="G59" s="666" t="n"/>
      <c r="H59" s="667">
        <f>ROUND(E59+F59-G59,2)</f>
        <v/>
      </c>
      <c r="I59" s="569" t="n"/>
      <c r="J59" s="645">
        <f>ROUND(H59+I59,2)</f>
        <v/>
      </c>
      <c r="K59" s="647" t="n"/>
      <c r="L59" s="648">
        <f>J59+K59</f>
        <v/>
      </c>
      <c r="M59" s="649" t="n"/>
      <c r="N59" s="102" t="n"/>
      <c r="O59" s="300" t="n"/>
      <c r="P59" s="649" t="n"/>
      <c r="Q59" s="300" t="n"/>
      <c r="R59" s="300" t="n"/>
      <c r="S59" s="300" t="n"/>
      <c r="T59" s="300" t="n"/>
      <c r="U59" s="649" t="n"/>
      <c r="V59" s="261" t="n"/>
      <c r="W59" s="261" t="n"/>
      <c r="X59" s="261" t="n"/>
      <c r="Y59" s="261" t="n"/>
      <c r="Z59" s="261" t="n"/>
      <c r="AA59" s="261" t="n"/>
      <c r="AB59" s="261" t="n"/>
      <c r="AC59" s="261" t="n"/>
      <c r="AD59" s="261" t="n"/>
      <c r="AE59" s="261" t="n"/>
    </row>
    <row r="60" ht="16" customFormat="1" customHeight="1" s="455">
      <c r="A60" s="427" t="n">
        <v>55</v>
      </c>
      <c r="B60" s="101" t="n"/>
      <c r="C60" s="101" t="n"/>
      <c r="D60" s="301" t="n"/>
      <c r="E60" s="665" t="n"/>
      <c r="F60" s="665" t="n"/>
      <c r="G60" s="666" t="n"/>
      <c r="H60" s="667">
        <f>ROUND(E60+F60-G60,2)</f>
        <v/>
      </c>
      <c r="I60" s="569" t="n"/>
      <c r="J60" s="645">
        <f>ROUND(H60+I60,2)</f>
        <v/>
      </c>
      <c r="K60" s="647" t="n"/>
      <c r="L60" s="648">
        <f>J60+K60</f>
        <v/>
      </c>
      <c r="M60" s="649" t="n"/>
      <c r="N60" s="102" t="n"/>
      <c r="O60" s="300" t="n"/>
      <c r="P60" s="649" t="n"/>
      <c r="Q60" s="300" t="n"/>
      <c r="R60" s="300" t="n"/>
      <c r="S60" s="300" t="n"/>
      <c r="T60" s="300" t="n"/>
      <c r="U60" s="649" t="n"/>
      <c r="V60" s="261" t="n"/>
      <c r="W60" s="261" t="n"/>
      <c r="X60" s="261" t="n"/>
      <c r="Y60" s="261" t="n"/>
      <c r="Z60" s="261" t="n"/>
      <c r="AA60" s="261" t="n"/>
      <c r="AB60" s="261" t="n"/>
      <c r="AC60" s="261" t="n"/>
      <c r="AD60" s="261" t="n"/>
      <c r="AE60" s="261" t="n"/>
    </row>
    <row r="61" ht="16" customFormat="1" customHeight="1" s="455">
      <c r="A61" s="427" t="n">
        <v>56</v>
      </c>
      <c r="B61" s="101" t="n"/>
      <c r="C61" s="101" t="n"/>
      <c r="D61" s="301" t="n"/>
      <c r="E61" s="665" t="n"/>
      <c r="F61" s="665" t="n"/>
      <c r="G61" s="666" t="n"/>
      <c r="H61" s="667">
        <f>ROUND(E61+F61-G61,2)</f>
        <v/>
      </c>
      <c r="I61" s="569" t="n"/>
      <c r="J61" s="645">
        <f>ROUND(H61+I61,2)</f>
        <v/>
      </c>
      <c r="K61" s="647" t="n"/>
      <c r="L61" s="648">
        <f>J61+K61</f>
        <v/>
      </c>
      <c r="M61" s="649" t="n"/>
      <c r="N61" s="102" t="n"/>
      <c r="O61" s="300" t="n"/>
      <c r="P61" s="649" t="n"/>
      <c r="Q61" s="300" t="n"/>
      <c r="R61" s="300" t="n"/>
      <c r="S61" s="300" t="n"/>
      <c r="T61" s="300" t="n"/>
      <c r="U61" s="649" t="n"/>
      <c r="V61" s="261" t="n"/>
      <c r="W61" s="261" t="n"/>
      <c r="X61" s="261" t="n"/>
      <c r="Y61" s="261" t="n"/>
      <c r="Z61" s="261" t="n"/>
      <c r="AA61" s="261" t="n"/>
      <c r="AB61" s="261" t="n"/>
      <c r="AC61" s="261" t="n"/>
      <c r="AD61" s="261" t="n"/>
      <c r="AE61" s="261" t="n"/>
    </row>
    <row r="62" ht="16" customFormat="1" customHeight="1" s="455">
      <c r="A62" s="427" t="n">
        <v>57</v>
      </c>
      <c r="B62" s="101" t="n"/>
      <c r="C62" s="101" t="n"/>
      <c r="D62" s="301" t="n"/>
      <c r="E62" s="665" t="n"/>
      <c r="F62" s="665" t="n"/>
      <c r="G62" s="666" t="n"/>
      <c r="H62" s="667">
        <f>ROUND(E62+F62-G62,2)</f>
        <v/>
      </c>
      <c r="I62" s="569" t="n"/>
      <c r="J62" s="645">
        <f>ROUND(H62+I62,2)</f>
        <v/>
      </c>
      <c r="K62" s="647" t="n"/>
      <c r="L62" s="648">
        <f>J62+K62</f>
        <v/>
      </c>
      <c r="M62" s="649" t="n"/>
      <c r="N62" s="102" t="n"/>
      <c r="O62" s="300" t="n"/>
      <c r="P62" s="649" t="n"/>
      <c r="Q62" s="300" t="n"/>
      <c r="R62" s="300" t="n"/>
      <c r="S62" s="300" t="n"/>
      <c r="T62" s="300" t="n"/>
      <c r="U62" s="649" t="n"/>
      <c r="V62" s="261" t="n"/>
      <c r="W62" s="261" t="n"/>
      <c r="X62" s="261" t="n"/>
      <c r="Y62" s="261" t="n"/>
      <c r="Z62" s="261" t="n"/>
      <c r="AA62" s="261" t="n"/>
      <c r="AB62" s="261" t="n"/>
      <c r="AC62" s="261" t="n"/>
      <c r="AD62" s="261" t="n"/>
      <c r="AE62" s="261" t="n"/>
    </row>
    <row r="63" ht="16" customFormat="1" customHeight="1" s="455">
      <c r="A63" s="427" t="n">
        <v>58</v>
      </c>
      <c r="B63" s="101" t="n"/>
      <c r="C63" s="101" t="n"/>
      <c r="D63" s="301" t="n"/>
      <c r="E63" s="665" t="n"/>
      <c r="F63" s="665" t="n"/>
      <c r="G63" s="666" t="n"/>
      <c r="H63" s="667">
        <f>ROUND(E63+F63-G63,2)</f>
        <v/>
      </c>
      <c r="I63" s="569" t="n"/>
      <c r="J63" s="645">
        <f>ROUND(H63+I63,2)</f>
        <v/>
      </c>
      <c r="K63" s="647" t="n"/>
      <c r="L63" s="648">
        <f>J63+K63</f>
        <v/>
      </c>
      <c r="M63" s="649" t="n"/>
      <c r="N63" s="102" t="n"/>
      <c r="O63" s="300" t="n"/>
      <c r="P63" s="649" t="n"/>
      <c r="Q63" s="300" t="n"/>
      <c r="R63" s="300" t="n"/>
      <c r="S63" s="300" t="n"/>
      <c r="T63" s="300" t="n"/>
      <c r="U63" s="649" t="n"/>
      <c r="V63" s="261" t="n"/>
      <c r="W63" s="261" t="n"/>
      <c r="X63" s="261" t="n"/>
      <c r="Y63" s="261" t="n"/>
      <c r="Z63" s="261" t="n"/>
      <c r="AA63" s="261" t="n"/>
      <c r="AB63" s="261" t="n"/>
      <c r="AC63" s="261" t="n"/>
      <c r="AD63" s="261" t="n"/>
      <c r="AE63" s="261" t="n"/>
    </row>
    <row r="64" ht="16" customFormat="1" customHeight="1" s="455">
      <c r="A64" s="427" t="n">
        <v>59</v>
      </c>
      <c r="B64" s="101" t="n"/>
      <c r="C64" s="101" t="n"/>
      <c r="D64" s="301" t="n"/>
      <c r="E64" s="665" t="n"/>
      <c r="F64" s="665" t="n"/>
      <c r="G64" s="666" t="n"/>
      <c r="H64" s="667">
        <f>ROUND(E64+F64-G64,2)</f>
        <v/>
      </c>
      <c r="I64" s="569" t="n"/>
      <c r="J64" s="645">
        <f>ROUND(H64+I64,2)</f>
        <v/>
      </c>
      <c r="K64" s="647" t="n"/>
      <c r="L64" s="648">
        <f>J64+K64</f>
        <v/>
      </c>
      <c r="M64" s="649" t="n"/>
      <c r="N64" s="102" t="n"/>
      <c r="O64" s="300" t="n"/>
      <c r="P64" s="649" t="n"/>
      <c r="Q64" s="300" t="n"/>
      <c r="R64" s="300" t="n"/>
      <c r="S64" s="300" t="n"/>
      <c r="T64" s="300" t="n"/>
      <c r="U64" s="649" t="n"/>
      <c r="V64" s="261" t="n"/>
      <c r="W64" s="261" t="n"/>
      <c r="X64" s="261" t="n"/>
      <c r="Y64" s="261" t="n"/>
      <c r="Z64" s="261" t="n"/>
      <c r="AA64" s="261" t="n"/>
      <c r="AB64" s="261" t="n"/>
      <c r="AC64" s="261" t="n"/>
      <c r="AD64" s="261" t="n"/>
      <c r="AE64" s="261" t="n"/>
    </row>
    <row r="65" ht="16" customFormat="1" customHeight="1" s="455">
      <c r="A65" s="427" t="n">
        <v>60</v>
      </c>
      <c r="B65" s="101" t="n"/>
      <c r="C65" s="101" t="n"/>
      <c r="D65" s="301" t="n"/>
      <c r="E65" s="665" t="n"/>
      <c r="F65" s="665" t="n"/>
      <c r="G65" s="666" t="n"/>
      <c r="H65" s="667">
        <f>ROUND(E65+F65-G65,2)</f>
        <v/>
      </c>
      <c r="I65" s="569" t="n"/>
      <c r="J65" s="645">
        <f>ROUND(H65+I65,2)</f>
        <v/>
      </c>
      <c r="K65" s="647" t="n"/>
      <c r="L65" s="648">
        <f>J65+K65</f>
        <v/>
      </c>
      <c r="M65" s="649" t="n"/>
      <c r="N65" s="102" t="n"/>
      <c r="O65" s="300" t="n"/>
      <c r="P65" s="649" t="n"/>
      <c r="Q65" s="300" t="n"/>
      <c r="R65" s="300" t="n"/>
      <c r="S65" s="300" t="n"/>
      <c r="T65" s="300" t="n"/>
      <c r="U65" s="649" t="n"/>
      <c r="V65" s="261" t="n"/>
      <c r="W65" s="261" t="n"/>
      <c r="X65" s="261" t="n"/>
      <c r="Y65" s="261" t="n"/>
      <c r="Z65" s="261" t="n"/>
      <c r="AA65" s="261" t="n"/>
      <c r="AB65" s="261" t="n"/>
      <c r="AC65" s="261" t="n"/>
      <c r="AD65" s="261" t="n"/>
      <c r="AE65" s="261" t="n"/>
    </row>
    <row r="66" ht="16" customFormat="1" customHeight="1" s="455">
      <c r="A66" s="427" t="n">
        <v>61</v>
      </c>
      <c r="B66" s="101" t="n"/>
      <c r="C66" s="101" t="n"/>
      <c r="D66" s="301" t="n"/>
      <c r="E66" s="665" t="n"/>
      <c r="F66" s="665" t="n"/>
      <c r="G66" s="666" t="n"/>
      <c r="H66" s="667">
        <f>ROUND(E66+F66-G66,2)</f>
        <v/>
      </c>
      <c r="I66" s="569" t="n"/>
      <c r="J66" s="645">
        <f>ROUND(H66+I66,2)</f>
        <v/>
      </c>
      <c r="K66" s="647" t="n"/>
      <c r="L66" s="648">
        <f>J66+K66</f>
        <v/>
      </c>
      <c r="M66" s="649" t="n"/>
      <c r="N66" s="102" t="n"/>
      <c r="O66" s="300" t="n"/>
      <c r="P66" s="649" t="n"/>
      <c r="Q66" s="300" t="n"/>
      <c r="R66" s="300" t="n"/>
      <c r="S66" s="300" t="n"/>
      <c r="T66" s="300" t="n"/>
      <c r="U66" s="649" t="n"/>
      <c r="V66" s="261" t="n"/>
      <c r="W66" s="261" t="n"/>
      <c r="X66" s="261" t="n"/>
      <c r="Y66" s="261" t="n"/>
      <c r="Z66" s="261" t="n"/>
      <c r="AA66" s="261" t="n"/>
      <c r="AB66" s="261" t="n"/>
      <c r="AC66" s="261" t="n"/>
      <c r="AD66" s="261" t="n"/>
      <c r="AE66" s="261" t="n"/>
    </row>
    <row r="67" ht="16" customFormat="1" customHeight="1" s="455">
      <c r="A67" s="427" t="n">
        <v>62</v>
      </c>
      <c r="B67" s="101" t="n"/>
      <c r="C67" s="101" t="n"/>
      <c r="D67" s="301" t="n"/>
      <c r="E67" s="665" t="n"/>
      <c r="F67" s="665" t="n"/>
      <c r="G67" s="666" t="n"/>
      <c r="H67" s="667">
        <f>ROUND(E67+F67-G67,2)</f>
        <v/>
      </c>
      <c r="I67" s="569" t="n"/>
      <c r="J67" s="645">
        <f>ROUND(H67+I67,2)</f>
        <v/>
      </c>
      <c r="K67" s="647" t="n"/>
      <c r="L67" s="648">
        <f>J67+K67</f>
        <v/>
      </c>
      <c r="M67" s="649" t="n"/>
      <c r="N67" s="102" t="n"/>
      <c r="O67" s="300" t="n"/>
      <c r="P67" s="649" t="n"/>
      <c r="Q67" s="300" t="n"/>
      <c r="R67" s="300" t="n"/>
      <c r="S67" s="300" t="n"/>
      <c r="T67" s="300" t="n"/>
      <c r="U67" s="649" t="n"/>
      <c r="V67" s="261" t="n"/>
      <c r="W67" s="261" t="n"/>
      <c r="X67" s="261" t="n"/>
      <c r="Y67" s="261" t="n"/>
      <c r="Z67" s="261" t="n"/>
      <c r="AA67" s="261" t="n"/>
      <c r="AB67" s="261" t="n"/>
      <c r="AC67" s="261" t="n"/>
      <c r="AD67" s="261" t="n"/>
      <c r="AE67" s="261" t="n"/>
    </row>
    <row r="68" ht="16" customFormat="1" customHeight="1" s="455">
      <c r="A68" s="427" t="n">
        <v>63</v>
      </c>
      <c r="B68" s="101" t="n"/>
      <c r="C68" s="101" t="n"/>
      <c r="D68" s="301" t="n"/>
      <c r="E68" s="665" t="n"/>
      <c r="F68" s="665" t="n"/>
      <c r="G68" s="666" t="n"/>
      <c r="H68" s="667">
        <f>ROUND(E68+F68-G68,2)</f>
        <v/>
      </c>
      <c r="I68" s="569" t="n"/>
      <c r="J68" s="645">
        <f>ROUND(H68+I68,2)</f>
        <v/>
      </c>
      <c r="K68" s="647" t="n"/>
      <c r="L68" s="648">
        <f>J68+K68</f>
        <v/>
      </c>
      <c r="M68" s="649" t="n"/>
      <c r="N68" s="102" t="n"/>
      <c r="O68" s="300" t="n"/>
      <c r="P68" s="649" t="n"/>
      <c r="Q68" s="300" t="n"/>
      <c r="R68" s="300" t="n"/>
      <c r="S68" s="300" t="n"/>
      <c r="T68" s="300" t="n"/>
      <c r="U68" s="649" t="n"/>
      <c r="V68" s="261" t="n"/>
      <c r="W68" s="261" t="n"/>
      <c r="X68" s="261" t="n"/>
      <c r="Y68" s="261" t="n"/>
      <c r="Z68" s="261" t="n"/>
      <c r="AA68" s="261" t="n"/>
      <c r="AB68" s="261" t="n"/>
      <c r="AC68" s="261" t="n"/>
      <c r="AD68" s="261" t="n"/>
      <c r="AE68" s="261" t="n"/>
    </row>
    <row r="69" ht="16" customFormat="1" customHeight="1" s="455">
      <c r="A69" s="427" t="n">
        <v>64</v>
      </c>
      <c r="B69" s="101" t="n"/>
      <c r="C69" s="101" t="n"/>
      <c r="D69" s="301" t="n"/>
      <c r="E69" s="665" t="n"/>
      <c r="F69" s="665" t="n"/>
      <c r="G69" s="666" t="n"/>
      <c r="H69" s="667">
        <f>ROUND(E69+F69-G69,2)</f>
        <v/>
      </c>
      <c r="I69" s="569" t="n"/>
      <c r="J69" s="645">
        <f>ROUND(H69+I69,2)</f>
        <v/>
      </c>
      <c r="K69" s="647" t="n"/>
      <c r="L69" s="648">
        <f>J69+K69</f>
        <v/>
      </c>
      <c r="M69" s="649" t="n"/>
      <c r="N69" s="102" t="n"/>
      <c r="O69" s="300" t="n"/>
      <c r="P69" s="649" t="n"/>
      <c r="Q69" s="300" t="n"/>
      <c r="R69" s="300" t="n"/>
      <c r="S69" s="300" t="n"/>
      <c r="T69" s="300" t="n"/>
      <c r="U69" s="649" t="n"/>
      <c r="V69" s="261" t="n"/>
      <c r="W69" s="261" t="n"/>
      <c r="X69" s="261" t="n"/>
      <c r="Y69" s="261" t="n"/>
      <c r="Z69" s="261" t="n"/>
      <c r="AA69" s="261" t="n"/>
      <c r="AB69" s="261" t="n"/>
      <c r="AC69" s="261" t="n"/>
      <c r="AD69" s="261" t="n"/>
      <c r="AE69" s="261" t="n"/>
    </row>
    <row r="70" ht="16" customFormat="1" customHeight="1" s="455">
      <c r="A70" s="427" t="n">
        <v>65</v>
      </c>
      <c r="B70" s="101" t="n"/>
      <c r="C70" s="101" t="n"/>
      <c r="D70" s="301" t="n"/>
      <c r="E70" s="665" t="n"/>
      <c r="F70" s="665" t="n"/>
      <c r="G70" s="666" t="n"/>
      <c r="H70" s="667">
        <f>ROUND(E70+F70-G70,2)</f>
        <v/>
      </c>
      <c r="I70" s="569" t="n"/>
      <c r="J70" s="645">
        <f>ROUND(H70+I70,2)</f>
        <v/>
      </c>
      <c r="K70" s="647" t="n"/>
      <c r="L70" s="648">
        <f>J70+K70</f>
        <v/>
      </c>
      <c r="M70" s="649" t="n"/>
      <c r="N70" s="102" t="n"/>
      <c r="O70" s="300" t="n"/>
      <c r="P70" s="649" t="n"/>
      <c r="Q70" s="300" t="n"/>
      <c r="R70" s="300" t="n"/>
      <c r="S70" s="300" t="n"/>
      <c r="T70" s="300" t="n"/>
      <c r="U70" s="649" t="n"/>
      <c r="V70" s="261" t="n"/>
      <c r="W70" s="261" t="n"/>
      <c r="X70" s="261" t="n"/>
      <c r="Y70" s="261" t="n"/>
      <c r="Z70" s="261" t="n"/>
      <c r="AA70" s="261" t="n"/>
      <c r="AB70" s="261" t="n"/>
      <c r="AC70" s="261" t="n"/>
      <c r="AD70" s="261" t="n"/>
      <c r="AE70" s="261" t="n"/>
    </row>
    <row r="71" ht="16" customFormat="1" customHeight="1" s="455">
      <c r="A71" s="427" t="n">
        <v>66</v>
      </c>
      <c r="B71" s="101" t="n"/>
      <c r="C71" s="101" t="n"/>
      <c r="D71" s="301" t="n"/>
      <c r="E71" s="665" t="n"/>
      <c r="F71" s="665" t="n"/>
      <c r="G71" s="666" t="n"/>
      <c r="H71" s="667">
        <f>ROUND(E71+F71-G71,2)</f>
        <v/>
      </c>
      <c r="I71" s="569" t="n"/>
      <c r="J71" s="645">
        <f>ROUND(H71+I71,2)</f>
        <v/>
      </c>
      <c r="K71" s="647" t="n"/>
      <c r="L71" s="648">
        <f>J71+K71</f>
        <v/>
      </c>
      <c r="M71" s="649" t="n"/>
      <c r="N71" s="102" t="n"/>
      <c r="O71" s="300" t="n"/>
      <c r="P71" s="649" t="n"/>
      <c r="Q71" s="300" t="n"/>
      <c r="R71" s="300" t="n"/>
      <c r="S71" s="300" t="n"/>
      <c r="T71" s="300" t="n"/>
      <c r="U71" s="649" t="n"/>
      <c r="V71" s="261" t="n"/>
      <c r="W71" s="261" t="n"/>
      <c r="X71" s="261" t="n"/>
      <c r="Y71" s="261" t="n"/>
      <c r="Z71" s="261" t="n"/>
      <c r="AA71" s="261" t="n"/>
      <c r="AB71" s="261" t="n"/>
      <c r="AC71" s="261" t="n"/>
      <c r="AD71" s="261" t="n"/>
      <c r="AE71" s="261" t="n"/>
    </row>
    <row r="72" ht="16" customFormat="1" customHeight="1" s="455">
      <c r="A72" s="427" t="n">
        <v>67</v>
      </c>
      <c r="B72" s="101" t="n"/>
      <c r="C72" s="101" t="n"/>
      <c r="D72" s="301" t="n"/>
      <c r="E72" s="665" t="n"/>
      <c r="F72" s="665" t="n"/>
      <c r="G72" s="666" t="n"/>
      <c r="H72" s="667">
        <f>ROUND(E72+F72-G72,2)</f>
        <v/>
      </c>
      <c r="I72" s="569" t="n"/>
      <c r="J72" s="645">
        <f>ROUND(H72+I72,2)</f>
        <v/>
      </c>
      <c r="K72" s="647" t="n"/>
      <c r="L72" s="648">
        <f>J72+K72</f>
        <v/>
      </c>
      <c r="M72" s="649" t="n"/>
      <c r="N72" s="102" t="n"/>
      <c r="O72" s="300" t="n"/>
      <c r="P72" s="649" t="n"/>
      <c r="Q72" s="300" t="n"/>
      <c r="R72" s="300" t="n"/>
      <c r="S72" s="300" t="n"/>
      <c r="T72" s="300" t="n"/>
      <c r="U72" s="649" t="n"/>
      <c r="V72" s="261" t="n"/>
      <c r="W72" s="261" t="n"/>
      <c r="X72" s="261" t="n"/>
      <c r="Y72" s="261" t="n"/>
      <c r="Z72" s="261" t="n"/>
      <c r="AA72" s="261" t="n"/>
      <c r="AB72" s="261" t="n"/>
      <c r="AC72" s="261" t="n"/>
      <c r="AD72" s="261" t="n"/>
      <c r="AE72" s="261" t="n"/>
    </row>
    <row r="73" ht="16" customFormat="1" customHeight="1" s="455">
      <c r="A73" s="427" t="n">
        <v>68</v>
      </c>
      <c r="B73" s="101" t="n"/>
      <c r="C73" s="101" t="n"/>
      <c r="D73" s="301" t="n"/>
      <c r="E73" s="665" t="n"/>
      <c r="F73" s="665" t="n"/>
      <c r="G73" s="666" t="n"/>
      <c r="H73" s="667">
        <f>ROUND(E73+F73-G73,2)</f>
        <v/>
      </c>
      <c r="I73" s="569" t="n"/>
      <c r="J73" s="645">
        <f>ROUND(H73+I73,2)</f>
        <v/>
      </c>
      <c r="K73" s="647" t="n"/>
      <c r="L73" s="648">
        <f>J73+K73</f>
        <v/>
      </c>
      <c r="M73" s="649" t="n"/>
      <c r="N73" s="102" t="n"/>
      <c r="O73" s="300" t="n"/>
      <c r="P73" s="649" t="n"/>
      <c r="Q73" s="300" t="n"/>
      <c r="R73" s="300" t="n"/>
      <c r="S73" s="300" t="n"/>
      <c r="T73" s="300" t="n"/>
      <c r="U73" s="649" t="n"/>
      <c r="V73" s="261" t="n"/>
      <c r="W73" s="261" t="n"/>
      <c r="X73" s="261" t="n"/>
      <c r="Y73" s="261" t="n"/>
      <c r="Z73" s="261" t="n"/>
      <c r="AA73" s="261" t="n"/>
      <c r="AB73" s="261" t="n"/>
      <c r="AC73" s="261" t="n"/>
      <c r="AD73" s="261" t="n"/>
      <c r="AE73" s="261" t="n"/>
    </row>
    <row r="74" ht="16" customFormat="1" customHeight="1" s="455">
      <c r="A74" s="427" t="n">
        <v>69</v>
      </c>
      <c r="B74" s="101" t="n"/>
      <c r="C74" s="101" t="n"/>
      <c r="D74" s="301" t="n"/>
      <c r="E74" s="665" t="n"/>
      <c r="F74" s="665" t="n"/>
      <c r="G74" s="666" t="n"/>
      <c r="H74" s="667">
        <f>ROUND(E74+F74-G74,2)</f>
        <v/>
      </c>
      <c r="I74" s="569" t="n"/>
      <c r="J74" s="645">
        <f>ROUND(H74+I74,2)</f>
        <v/>
      </c>
      <c r="K74" s="647" t="n"/>
      <c r="L74" s="648">
        <f>J74+K74</f>
        <v/>
      </c>
      <c r="M74" s="649" t="n"/>
      <c r="N74" s="102" t="n"/>
      <c r="O74" s="300" t="n"/>
      <c r="P74" s="649" t="n"/>
      <c r="Q74" s="300" t="n"/>
      <c r="R74" s="300" t="n"/>
      <c r="S74" s="300" t="n"/>
      <c r="T74" s="300" t="n"/>
      <c r="U74" s="649" t="n"/>
      <c r="V74" s="261" t="n"/>
      <c r="W74" s="261" t="n"/>
      <c r="X74" s="261" t="n"/>
      <c r="Y74" s="261" t="n"/>
      <c r="Z74" s="261" t="n"/>
      <c r="AA74" s="261" t="n"/>
      <c r="AB74" s="261" t="n"/>
      <c r="AC74" s="261" t="n"/>
      <c r="AD74" s="261" t="n"/>
      <c r="AE74" s="261" t="n"/>
    </row>
    <row r="75" ht="16" customFormat="1" customHeight="1" s="455">
      <c r="A75" s="427" t="n">
        <v>70</v>
      </c>
      <c r="B75" s="101" t="n"/>
      <c r="C75" s="101" t="n"/>
      <c r="D75" s="301" t="n"/>
      <c r="E75" s="665" t="n"/>
      <c r="F75" s="665" t="n"/>
      <c r="G75" s="666" t="n"/>
      <c r="H75" s="667">
        <f>ROUND(E75+F75-G75,2)</f>
        <v/>
      </c>
      <c r="I75" s="569" t="n"/>
      <c r="J75" s="645">
        <f>ROUND(H75+I75,2)</f>
        <v/>
      </c>
      <c r="K75" s="647" t="n"/>
      <c r="L75" s="648">
        <f>J75+K75</f>
        <v/>
      </c>
      <c r="M75" s="649" t="n"/>
      <c r="N75" s="102" t="n"/>
      <c r="O75" s="300" t="n"/>
      <c r="P75" s="649" t="n"/>
      <c r="Q75" s="300" t="n"/>
      <c r="R75" s="300" t="n"/>
      <c r="S75" s="300" t="n"/>
      <c r="T75" s="300" t="n"/>
      <c r="U75" s="649" t="n"/>
      <c r="V75" s="261" t="n"/>
      <c r="W75" s="261" t="n"/>
      <c r="X75" s="261" t="n"/>
      <c r="Y75" s="261" t="n"/>
      <c r="Z75" s="261" t="n"/>
      <c r="AA75" s="261" t="n"/>
      <c r="AB75" s="261" t="n"/>
      <c r="AC75" s="261" t="n"/>
      <c r="AD75" s="261" t="n"/>
      <c r="AE75" s="261" t="n"/>
    </row>
    <row r="76" ht="16" customFormat="1" customHeight="1" s="455">
      <c r="A76" s="427" t="n">
        <v>71</v>
      </c>
      <c r="B76" s="101" t="n"/>
      <c r="C76" s="101" t="n"/>
      <c r="D76" s="301" t="n"/>
      <c r="E76" s="665" t="n"/>
      <c r="F76" s="665" t="n"/>
      <c r="G76" s="666" t="n"/>
      <c r="H76" s="667">
        <f>ROUND(E76+F76-G76,2)</f>
        <v/>
      </c>
      <c r="I76" s="569" t="n"/>
      <c r="J76" s="645">
        <f>ROUND(H76+I76,2)</f>
        <v/>
      </c>
      <c r="K76" s="647" t="n"/>
      <c r="L76" s="648">
        <f>J76+K76</f>
        <v/>
      </c>
      <c r="M76" s="649" t="n"/>
      <c r="N76" s="102" t="n"/>
      <c r="O76" s="300" t="n"/>
      <c r="P76" s="649" t="n"/>
      <c r="Q76" s="300" t="n"/>
      <c r="R76" s="300" t="n"/>
      <c r="S76" s="300" t="n"/>
      <c r="T76" s="300" t="n"/>
      <c r="U76" s="649" t="n"/>
      <c r="V76" s="261" t="n"/>
      <c r="W76" s="261" t="n"/>
      <c r="X76" s="261" t="n"/>
      <c r="Y76" s="261" t="n"/>
      <c r="Z76" s="261" t="n"/>
      <c r="AA76" s="261" t="n"/>
      <c r="AB76" s="261" t="n"/>
      <c r="AC76" s="261" t="n"/>
      <c r="AD76" s="261" t="n"/>
      <c r="AE76" s="261" t="n"/>
    </row>
    <row r="77" ht="16" customFormat="1" customHeight="1" s="455">
      <c r="A77" s="427" t="n">
        <v>72</v>
      </c>
      <c r="B77" s="101" t="n"/>
      <c r="C77" s="101" t="n"/>
      <c r="D77" s="301" t="n"/>
      <c r="E77" s="665" t="n"/>
      <c r="F77" s="665" t="n"/>
      <c r="G77" s="666" t="n"/>
      <c r="H77" s="667">
        <f>ROUND(E77+F77-G77,2)</f>
        <v/>
      </c>
      <c r="I77" s="569" t="n"/>
      <c r="J77" s="645">
        <f>ROUND(H77+I77,2)</f>
        <v/>
      </c>
      <c r="K77" s="647" t="n"/>
      <c r="L77" s="648">
        <f>J77+K77</f>
        <v/>
      </c>
      <c r="M77" s="649" t="n"/>
      <c r="N77" s="102" t="n"/>
      <c r="O77" s="300" t="n"/>
      <c r="P77" s="649" t="n"/>
      <c r="Q77" s="300" t="n"/>
      <c r="R77" s="300" t="n"/>
      <c r="S77" s="300" t="n"/>
      <c r="T77" s="300" t="n"/>
      <c r="U77" s="649" t="n"/>
      <c r="V77" s="261" t="n"/>
      <c r="W77" s="261" t="n"/>
      <c r="X77" s="261" t="n"/>
      <c r="Y77" s="261" t="n"/>
      <c r="Z77" s="261" t="n"/>
      <c r="AA77" s="261" t="n"/>
      <c r="AB77" s="261" t="n"/>
      <c r="AC77" s="261" t="n"/>
      <c r="AD77" s="261" t="n"/>
      <c r="AE77" s="261" t="n"/>
    </row>
    <row r="78" ht="16" customFormat="1" customHeight="1" s="455">
      <c r="A78" s="427" t="n">
        <v>73</v>
      </c>
      <c r="B78" s="101" t="n"/>
      <c r="C78" s="101" t="n"/>
      <c r="D78" s="301" t="n"/>
      <c r="E78" s="665" t="n"/>
      <c r="F78" s="665" t="n"/>
      <c r="G78" s="666" t="n"/>
      <c r="H78" s="667">
        <f>ROUND(E78+F78-G78,2)</f>
        <v/>
      </c>
      <c r="I78" s="569" t="n"/>
      <c r="J78" s="645">
        <f>ROUND(H78+I78,2)</f>
        <v/>
      </c>
      <c r="K78" s="647" t="n"/>
      <c r="L78" s="648">
        <f>J78+K78</f>
        <v/>
      </c>
      <c r="M78" s="649" t="n"/>
      <c r="N78" s="102" t="n"/>
      <c r="O78" s="300" t="n"/>
      <c r="P78" s="649" t="n"/>
      <c r="Q78" s="300" t="n"/>
      <c r="R78" s="300" t="n"/>
      <c r="S78" s="300" t="n"/>
      <c r="T78" s="300" t="n"/>
      <c r="U78" s="649" t="n"/>
      <c r="V78" s="261" t="n"/>
      <c r="W78" s="261" t="n"/>
      <c r="X78" s="261" t="n"/>
      <c r="Y78" s="261" t="n"/>
      <c r="Z78" s="261" t="n"/>
      <c r="AA78" s="261" t="n"/>
      <c r="AB78" s="261" t="n"/>
      <c r="AC78" s="261" t="n"/>
      <c r="AD78" s="261" t="n"/>
      <c r="AE78" s="261" t="n"/>
    </row>
    <row r="79" ht="16" customFormat="1" customHeight="1" s="455">
      <c r="A79" s="427" t="n">
        <v>74</v>
      </c>
      <c r="B79" s="101" t="n"/>
      <c r="C79" s="101" t="n"/>
      <c r="D79" s="301" t="n"/>
      <c r="E79" s="665" t="n"/>
      <c r="F79" s="665" t="n"/>
      <c r="G79" s="666" t="n"/>
      <c r="H79" s="667">
        <f>ROUND(E79+F79-G79,2)</f>
        <v/>
      </c>
      <c r="I79" s="569" t="n"/>
      <c r="J79" s="645">
        <f>ROUND(H79+I79,2)</f>
        <v/>
      </c>
      <c r="K79" s="647" t="n"/>
      <c r="L79" s="648">
        <f>J79+K79</f>
        <v/>
      </c>
      <c r="M79" s="649" t="n"/>
      <c r="N79" s="102" t="n"/>
      <c r="O79" s="300" t="n"/>
      <c r="P79" s="649" t="n"/>
      <c r="Q79" s="300" t="n"/>
      <c r="R79" s="300" t="n"/>
      <c r="S79" s="300" t="n"/>
      <c r="T79" s="300" t="n"/>
      <c r="U79" s="649" t="n"/>
      <c r="V79" s="261" t="n"/>
      <c r="W79" s="261" t="n"/>
      <c r="X79" s="261" t="n"/>
      <c r="Y79" s="261" t="n"/>
      <c r="Z79" s="261" t="n"/>
      <c r="AA79" s="261" t="n"/>
      <c r="AB79" s="261" t="n"/>
      <c r="AC79" s="261" t="n"/>
      <c r="AD79" s="261" t="n"/>
      <c r="AE79" s="261" t="n"/>
    </row>
    <row r="80" ht="16" customFormat="1" customHeight="1" s="455">
      <c r="A80" s="427" t="n">
        <v>75</v>
      </c>
      <c r="B80" s="101" t="n"/>
      <c r="C80" s="101" t="n"/>
      <c r="D80" s="301" t="n"/>
      <c r="E80" s="665" t="n"/>
      <c r="F80" s="665" t="n"/>
      <c r="G80" s="666" t="n"/>
      <c r="H80" s="667">
        <f>ROUND(E80+F80-G80,2)</f>
        <v/>
      </c>
      <c r="I80" s="569" t="n"/>
      <c r="J80" s="645">
        <f>ROUND(H80+I80,2)</f>
        <v/>
      </c>
      <c r="K80" s="647" t="n"/>
      <c r="L80" s="648">
        <f>J80+K80</f>
        <v/>
      </c>
      <c r="M80" s="649" t="n"/>
      <c r="N80" s="102" t="n"/>
      <c r="O80" s="300" t="n"/>
      <c r="P80" s="649" t="n"/>
      <c r="Q80" s="300" t="n"/>
      <c r="R80" s="300" t="n"/>
      <c r="S80" s="300" t="n"/>
      <c r="T80" s="300" t="n"/>
      <c r="U80" s="649" t="n"/>
      <c r="V80" s="261" t="n"/>
      <c r="W80" s="261" t="n"/>
      <c r="X80" s="261" t="n"/>
      <c r="Y80" s="261" t="n"/>
      <c r="Z80" s="261" t="n"/>
      <c r="AA80" s="261" t="n"/>
      <c r="AB80" s="261" t="n"/>
      <c r="AC80" s="261" t="n"/>
      <c r="AD80" s="261" t="n"/>
      <c r="AE80" s="261" t="n"/>
    </row>
    <row r="81" ht="16" customFormat="1" customHeight="1" s="455">
      <c r="A81" s="427" t="n">
        <v>76</v>
      </c>
      <c r="B81" s="101" t="n"/>
      <c r="C81" s="101" t="n"/>
      <c r="D81" s="301" t="n"/>
      <c r="E81" s="665" t="n"/>
      <c r="F81" s="665" t="n"/>
      <c r="G81" s="666" t="n"/>
      <c r="H81" s="667">
        <f>ROUND(E81+F81-G81,2)</f>
        <v/>
      </c>
      <c r="I81" s="569" t="n"/>
      <c r="J81" s="645">
        <f>ROUND(H81+I81,2)</f>
        <v/>
      </c>
      <c r="K81" s="647" t="n"/>
      <c r="L81" s="648">
        <f>J81+K81</f>
        <v/>
      </c>
      <c r="M81" s="649" t="n"/>
      <c r="N81" s="102" t="n"/>
      <c r="O81" s="300" t="n"/>
      <c r="P81" s="649" t="n"/>
      <c r="Q81" s="300" t="n"/>
      <c r="R81" s="300" t="n"/>
      <c r="S81" s="300" t="n"/>
      <c r="T81" s="300" t="n"/>
      <c r="U81" s="649" t="n"/>
      <c r="V81" s="261" t="n"/>
      <c r="W81" s="261" t="n"/>
      <c r="X81" s="261" t="n"/>
      <c r="Y81" s="261" t="n"/>
      <c r="Z81" s="261" t="n"/>
      <c r="AA81" s="261" t="n"/>
      <c r="AB81" s="261" t="n"/>
      <c r="AC81" s="261" t="n"/>
      <c r="AD81" s="261" t="n"/>
      <c r="AE81" s="261" t="n"/>
    </row>
    <row r="82" ht="16" customFormat="1" customHeight="1" s="455">
      <c r="A82" s="427" t="n">
        <v>77</v>
      </c>
      <c r="B82" s="101" t="n"/>
      <c r="C82" s="101" t="n"/>
      <c r="D82" s="301" t="n"/>
      <c r="E82" s="665" t="n"/>
      <c r="F82" s="665" t="n"/>
      <c r="G82" s="666" t="n"/>
      <c r="H82" s="667">
        <f>ROUND(E82+F82-G82,2)</f>
        <v/>
      </c>
      <c r="I82" s="569" t="n"/>
      <c r="J82" s="645">
        <f>ROUND(H82+I82,2)</f>
        <v/>
      </c>
      <c r="K82" s="647" t="n"/>
      <c r="L82" s="648">
        <f>J82+K82</f>
        <v/>
      </c>
      <c r="M82" s="649" t="n"/>
      <c r="N82" s="102" t="n"/>
      <c r="O82" s="300" t="n"/>
      <c r="P82" s="649" t="n"/>
      <c r="Q82" s="300" t="n"/>
      <c r="R82" s="300" t="n"/>
      <c r="S82" s="300" t="n"/>
      <c r="T82" s="300" t="n"/>
      <c r="U82" s="649" t="n"/>
      <c r="V82" s="261" t="n"/>
      <c r="W82" s="261" t="n"/>
      <c r="X82" s="261" t="n"/>
      <c r="Y82" s="261" t="n"/>
      <c r="Z82" s="261" t="n"/>
      <c r="AA82" s="261" t="n"/>
      <c r="AB82" s="261" t="n"/>
      <c r="AC82" s="261" t="n"/>
      <c r="AD82" s="261" t="n"/>
      <c r="AE82" s="261" t="n"/>
    </row>
    <row r="83" ht="16" customFormat="1" customHeight="1" s="455">
      <c r="A83" s="427" t="n">
        <v>78</v>
      </c>
      <c r="B83" s="101" t="n"/>
      <c r="C83" s="101" t="n"/>
      <c r="D83" s="301" t="n"/>
      <c r="E83" s="665" t="n"/>
      <c r="F83" s="665" t="n"/>
      <c r="G83" s="666" t="n"/>
      <c r="H83" s="667">
        <f>ROUND(E83+F83-G83,2)</f>
        <v/>
      </c>
      <c r="I83" s="569" t="n"/>
      <c r="J83" s="645">
        <f>ROUND(H83+I83,2)</f>
        <v/>
      </c>
      <c r="K83" s="647" t="n"/>
      <c r="L83" s="648">
        <f>J83+K83</f>
        <v/>
      </c>
      <c r="M83" s="649" t="n"/>
      <c r="N83" s="102" t="n"/>
      <c r="O83" s="300" t="n"/>
      <c r="P83" s="649" t="n"/>
      <c r="Q83" s="300" t="n"/>
      <c r="R83" s="300" t="n"/>
      <c r="S83" s="300" t="n"/>
      <c r="T83" s="300" t="n"/>
      <c r="U83" s="649" t="n"/>
      <c r="V83" s="261" t="n"/>
      <c r="W83" s="261" t="n"/>
      <c r="X83" s="261" t="n"/>
      <c r="Y83" s="261" t="n"/>
      <c r="Z83" s="261" t="n"/>
      <c r="AA83" s="261" t="n"/>
      <c r="AB83" s="261" t="n"/>
      <c r="AC83" s="261" t="n"/>
      <c r="AD83" s="261" t="n"/>
      <c r="AE83" s="261" t="n"/>
    </row>
    <row r="84" ht="16" customFormat="1" customHeight="1" s="455">
      <c r="A84" s="427" t="n">
        <v>79</v>
      </c>
      <c r="B84" s="101" t="n"/>
      <c r="C84" s="101" t="n"/>
      <c r="D84" s="301" t="n"/>
      <c r="E84" s="665" t="n"/>
      <c r="F84" s="665" t="n"/>
      <c r="G84" s="666" t="n"/>
      <c r="H84" s="667">
        <f>ROUND(E84+F84-G84,2)</f>
        <v/>
      </c>
      <c r="I84" s="569" t="n"/>
      <c r="J84" s="645">
        <f>ROUND(H84+I84,2)</f>
        <v/>
      </c>
      <c r="K84" s="647" t="n"/>
      <c r="L84" s="648">
        <f>J84+K84</f>
        <v/>
      </c>
      <c r="M84" s="649" t="n"/>
      <c r="N84" s="102" t="n"/>
      <c r="O84" s="300" t="n"/>
      <c r="P84" s="649" t="n"/>
      <c r="Q84" s="300" t="n"/>
      <c r="R84" s="300" t="n"/>
      <c r="S84" s="300" t="n"/>
      <c r="T84" s="300" t="n"/>
      <c r="U84" s="649" t="n"/>
      <c r="V84" s="261" t="n"/>
      <c r="W84" s="261" t="n"/>
      <c r="X84" s="261" t="n"/>
      <c r="Y84" s="261" t="n"/>
      <c r="Z84" s="261" t="n"/>
      <c r="AA84" s="261" t="n"/>
      <c r="AB84" s="261" t="n"/>
      <c r="AC84" s="261" t="n"/>
      <c r="AD84" s="261" t="n"/>
      <c r="AE84" s="261" t="n"/>
    </row>
    <row r="85" ht="16" customFormat="1" customHeight="1" s="455">
      <c r="A85" s="427" t="n">
        <v>80</v>
      </c>
      <c r="B85" s="101" t="n"/>
      <c r="C85" s="101" t="n"/>
      <c r="D85" s="301" t="n"/>
      <c r="E85" s="665" t="n"/>
      <c r="F85" s="665" t="n"/>
      <c r="G85" s="666" t="n"/>
      <c r="H85" s="667">
        <f>ROUND(E85+F85-G85,2)</f>
        <v/>
      </c>
      <c r="I85" s="569" t="n"/>
      <c r="J85" s="645">
        <f>ROUND(H85+I85,2)</f>
        <v/>
      </c>
      <c r="K85" s="647" t="n"/>
      <c r="L85" s="648">
        <f>J85+K85</f>
        <v/>
      </c>
      <c r="M85" s="649" t="n"/>
      <c r="N85" s="102" t="n"/>
      <c r="O85" s="300" t="n"/>
      <c r="P85" s="649" t="n"/>
      <c r="Q85" s="300" t="n"/>
      <c r="R85" s="300" t="n"/>
      <c r="S85" s="300" t="n"/>
      <c r="T85" s="300" t="n"/>
      <c r="U85" s="649" t="n"/>
      <c r="V85" s="261" t="n"/>
      <c r="W85" s="261" t="n"/>
      <c r="X85" s="261" t="n"/>
      <c r="Y85" s="261" t="n"/>
      <c r="Z85" s="261" t="n"/>
      <c r="AA85" s="261" t="n"/>
      <c r="AB85" s="261" t="n"/>
      <c r="AC85" s="261" t="n"/>
      <c r="AD85" s="261" t="n"/>
      <c r="AE85" s="261" t="n"/>
    </row>
    <row r="86" ht="16" customFormat="1" customHeight="1" s="455">
      <c r="A86" s="427" t="n">
        <v>81</v>
      </c>
      <c r="B86" s="101" t="n"/>
      <c r="C86" s="101" t="n"/>
      <c r="D86" s="301" t="n"/>
      <c r="E86" s="665" t="n"/>
      <c r="F86" s="665" t="n"/>
      <c r="G86" s="666" t="n"/>
      <c r="H86" s="667">
        <f>ROUND(E86+F86-G86,2)</f>
        <v/>
      </c>
      <c r="I86" s="569" t="n"/>
      <c r="J86" s="645">
        <f>ROUND(H86+I86,2)</f>
        <v/>
      </c>
      <c r="K86" s="647" t="n"/>
      <c r="L86" s="648">
        <f>J86+K86</f>
        <v/>
      </c>
      <c r="M86" s="649" t="n"/>
      <c r="N86" s="102" t="n"/>
      <c r="O86" s="300" t="n"/>
      <c r="P86" s="649" t="n"/>
      <c r="Q86" s="300" t="n"/>
      <c r="R86" s="300" t="n"/>
      <c r="S86" s="300" t="n"/>
      <c r="T86" s="300" t="n"/>
      <c r="U86" s="649" t="n"/>
      <c r="V86" s="261" t="n"/>
      <c r="W86" s="261" t="n"/>
      <c r="X86" s="261" t="n"/>
      <c r="Y86" s="261" t="n"/>
      <c r="Z86" s="261" t="n"/>
      <c r="AA86" s="261" t="n"/>
      <c r="AB86" s="261" t="n"/>
      <c r="AC86" s="261" t="n"/>
      <c r="AD86" s="261" t="n"/>
      <c r="AE86" s="261" t="n"/>
    </row>
    <row r="87" ht="16" customFormat="1" customHeight="1" s="455">
      <c r="A87" s="427" t="n">
        <v>82</v>
      </c>
      <c r="B87" s="101" t="n"/>
      <c r="C87" s="101" t="n"/>
      <c r="D87" s="301" t="n"/>
      <c r="E87" s="665" t="n"/>
      <c r="F87" s="665" t="n"/>
      <c r="G87" s="666" t="n"/>
      <c r="H87" s="667">
        <f>ROUND(E87+F87-G87,2)</f>
        <v/>
      </c>
      <c r="I87" s="569" t="n"/>
      <c r="J87" s="645">
        <f>ROUND(H87+I87,2)</f>
        <v/>
      </c>
      <c r="K87" s="647" t="n"/>
      <c r="L87" s="648">
        <f>J87+K87</f>
        <v/>
      </c>
      <c r="M87" s="649" t="n"/>
      <c r="N87" s="102" t="n"/>
      <c r="O87" s="300" t="n"/>
      <c r="P87" s="649" t="n"/>
      <c r="Q87" s="300" t="n"/>
      <c r="R87" s="300" t="n"/>
      <c r="S87" s="300" t="n"/>
      <c r="T87" s="300" t="n"/>
      <c r="U87" s="649" t="n"/>
      <c r="V87" s="261" t="n"/>
      <c r="W87" s="261" t="n"/>
      <c r="X87" s="261" t="n"/>
      <c r="Y87" s="261" t="n"/>
      <c r="Z87" s="261" t="n"/>
      <c r="AA87" s="261" t="n"/>
      <c r="AB87" s="261" t="n"/>
      <c r="AC87" s="261" t="n"/>
      <c r="AD87" s="261" t="n"/>
      <c r="AE87" s="261" t="n"/>
    </row>
    <row r="88" ht="16" customFormat="1" customHeight="1" s="455">
      <c r="A88" s="427" t="n">
        <v>83</v>
      </c>
      <c r="B88" s="101" t="n"/>
      <c r="C88" s="101" t="n"/>
      <c r="D88" s="301" t="n"/>
      <c r="E88" s="665" t="n"/>
      <c r="F88" s="665" t="n"/>
      <c r="G88" s="666" t="n"/>
      <c r="H88" s="667">
        <f>ROUND(E88+F88-G88,2)</f>
        <v/>
      </c>
      <c r="I88" s="569" t="n"/>
      <c r="J88" s="645">
        <f>ROUND(H88+I88,2)</f>
        <v/>
      </c>
      <c r="K88" s="647" t="n"/>
      <c r="L88" s="648">
        <f>J88+K88</f>
        <v/>
      </c>
      <c r="M88" s="649" t="n"/>
      <c r="N88" s="102" t="n"/>
      <c r="O88" s="300" t="n"/>
      <c r="P88" s="649" t="n"/>
      <c r="Q88" s="300" t="n"/>
      <c r="R88" s="300" t="n"/>
      <c r="S88" s="300" t="n"/>
      <c r="T88" s="300" t="n"/>
      <c r="U88" s="649" t="n"/>
      <c r="V88" s="261" t="n"/>
      <c r="W88" s="261" t="n"/>
      <c r="X88" s="261" t="n"/>
      <c r="Y88" s="261" t="n"/>
      <c r="Z88" s="261" t="n"/>
      <c r="AA88" s="261" t="n"/>
      <c r="AB88" s="261" t="n"/>
      <c r="AC88" s="261" t="n"/>
      <c r="AD88" s="261" t="n"/>
      <c r="AE88" s="261" t="n"/>
    </row>
    <row r="89" ht="16" customFormat="1" customHeight="1" s="455">
      <c r="A89" s="427" t="n">
        <v>84</v>
      </c>
      <c r="B89" s="101" t="n"/>
      <c r="C89" s="101" t="n"/>
      <c r="D89" s="301" t="n"/>
      <c r="E89" s="665" t="n"/>
      <c r="F89" s="665" t="n"/>
      <c r="G89" s="666" t="n"/>
      <c r="H89" s="667">
        <f>ROUND(E89+F89-G89,2)</f>
        <v/>
      </c>
      <c r="I89" s="569" t="n"/>
      <c r="J89" s="645">
        <f>ROUND(H89+I89,2)</f>
        <v/>
      </c>
      <c r="K89" s="647" t="n"/>
      <c r="L89" s="648">
        <f>J89+K89</f>
        <v/>
      </c>
      <c r="M89" s="649" t="n"/>
      <c r="N89" s="102" t="n"/>
      <c r="O89" s="300" t="n"/>
      <c r="P89" s="649" t="n"/>
      <c r="Q89" s="300" t="n"/>
      <c r="R89" s="300" t="n"/>
      <c r="S89" s="300" t="n"/>
      <c r="T89" s="300" t="n"/>
      <c r="U89" s="649" t="n"/>
      <c r="V89" s="261" t="n"/>
      <c r="W89" s="261" t="n"/>
      <c r="X89" s="261" t="n"/>
      <c r="Y89" s="261" t="n"/>
      <c r="Z89" s="261" t="n"/>
      <c r="AA89" s="261" t="n"/>
      <c r="AB89" s="261" t="n"/>
      <c r="AC89" s="261" t="n"/>
      <c r="AD89" s="261" t="n"/>
      <c r="AE89" s="261" t="n"/>
    </row>
    <row r="90" ht="16" customFormat="1" customHeight="1" s="455">
      <c r="A90" s="427" t="n">
        <v>85</v>
      </c>
      <c r="B90" s="101" t="n"/>
      <c r="C90" s="101" t="n"/>
      <c r="D90" s="301" t="n"/>
      <c r="E90" s="665" t="n"/>
      <c r="F90" s="665" t="n"/>
      <c r="G90" s="666" t="n"/>
      <c r="H90" s="667">
        <f>ROUND(E90+F90-G90,2)</f>
        <v/>
      </c>
      <c r="I90" s="569" t="n"/>
      <c r="J90" s="645">
        <f>ROUND(H90+I90,2)</f>
        <v/>
      </c>
      <c r="K90" s="647" t="n"/>
      <c r="L90" s="648">
        <f>J90+K90</f>
        <v/>
      </c>
      <c r="M90" s="649" t="n"/>
      <c r="N90" s="102" t="n"/>
      <c r="O90" s="300" t="n"/>
      <c r="P90" s="649" t="n"/>
      <c r="Q90" s="300" t="n"/>
      <c r="R90" s="300" t="n"/>
      <c r="S90" s="300" t="n"/>
      <c r="T90" s="300" t="n"/>
      <c r="U90" s="649" t="n"/>
      <c r="V90" s="261" t="n"/>
      <c r="W90" s="261" t="n"/>
      <c r="X90" s="261" t="n"/>
      <c r="Y90" s="261" t="n"/>
      <c r="Z90" s="261" t="n"/>
      <c r="AA90" s="261" t="n"/>
      <c r="AB90" s="261" t="n"/>
      <c r="AC90" s="261" t="n"/>
      <c r="AD90" s="261" t="n"/>
      <c r="AE90" s="261" t="n"/>
    </row>
    <row r="91" ht="16" customFormat="1" customHeight="1" s="455">
      <c r="A91" s="427" t="n">
        <v>86</v>
      </c>
      <c r="B91" s="101" t="n"/>
      <c r="C91" s="101" t="n"/>
      <c r="D91" s="301" t="n"/>
      <c r="E91" s="665" t="n"/>
      <c r="F91" s="665" t="n"/>
      <c r="G91" s="666" t="n"/>
      <c r="H91" s="667">
        <f>ROUND(E91+F91-G91,2)</f>
        <v/>
      </c>
      <c r="I91" s="569" t="n"/>
      <c r="J91" s="645">
        <f>ROUND(H91+I91,2)</f>
        <v/>
      </c>
      <c r="K91" s="647" t="n"/>
      <c r="L91" s="648">
        <f>J91+K91</f>
        <v/>
      </c>
      <c r="M91" s="649" t="n"/>
      <c r="N91" s="102" t="n"/>
      <c r="O91" s="300" t="n"/>
      <c r="P91" s="649" t="n"/>
      <c r="Q91" s="300" t="n"/>
      <c r="R91" s="300" t="n"/>
      <c r="S91" s="300" t="n"/>
      <c r="T91" s="300" t="n"/>
      <c r="U91" s="649" t="n"/>
      <c r="V91" s="261" t="n"/>
      <c r="W91" s="261" t="n"/>
      <c r="X91" s="261" t="n"/>
      <c r="Y91" s="261" t="n"/>
      <c r="Z91" s="261" t="n"/>
      <c r="AA91" s="261" t="n"/>
      <c r="AB91" s="261" t="n"/>
      <c r="AC91" s="261" t="n"/>
      <c r="AD91" s="261" t="n"/>
      <c r="AE91" s="261" t="n"/>
    </row>
    <row r="92" ht="16" customFormat="1" customHeight="1" s="455">
      <c r="A92" s="427" t="n">
        <v>87</v>
      </c>
      <c r="B92" s="101" t="n"/>
      <c r="C92" s="101" t="n"/>
      <c r="D92" s="301" t="n"/>
      <c r="E92" s="665" t="n"/>
      <c r="F92" s="665" t="n"/>
      <c r="G92" s="666" t="n"/>
      <c r="H92" s="667">
        <f>ROUND(E92+F92-G92,2)</f>
        <v/>
      </c>
      <c r="I92" s="569" t="n"/>
      <c r="J92" s="645">
        <f>ROUND(H92+I92,2)</f>
        <v/>
      </c>
      <c r="K92" s="647" t="n"/>
      <c r="L92" s="648">
        <f>J92+K92</f>
        <v/>
      </c>
      <c r="M92" s="649" t="n"/>
      <c r="N92" s="102" t="n"/>
      <c r="O92" s="300" t="n"/>
      <c r="P92" s="649" t="n"/>
      <c r="Q92" s="300" t="n"/>
      <c r="R92" s="300" t="n"/>
      <c r="S92" s="300" t="n"/>
      <c r="T92" s="300" t="n"/>
      <c r="U92" s="649" t="n"/>
      <c r="V92" s="261" t="n"/>
      <c r="W92" s="261" t="n"/>
      <c r="X92" s="261" t="n"/>
      <c r="Y92" s="261" t="n"/>
      <c r="Z92" s="261" t="n"/>
      <c r="AA92" s="261" t="n"/>
      <c r="AB92" s="261" t="n"/>
      <c r="AC92" s="261" t="n"/>
      <c r="AD92" s="261" t="n"/>
      <c r="AE92" s="261" t="n"/>
    </row>
    <row r="93" ht="16" customFormat="1" customHeight="1" s="455">
      <c r="A93" s="427" t="n">
        <v>88</v>
      </c>
      <c r="B93" s="101" t="n"/>
      <c r="C93" s="101" t="n"/>
      <c r="D93" s="301" t="n"/>
      <c r="E93" s="665" t="n"/>
      <c r="F93" s="665" t="n"/>
      <c r="G93" s="666" t="n"/>
      <c r="H93" s="667">
        <f>ROUND(E93+F93-G93,2)</f>
        <v/>
      </c>
      <c r="I93" s="569" t="n"/>
      <c r="J93" s="645">
        <f>ROUND(H93+I93,2)</f>
        <v/>
      </c>
      <c r="K93" s="647" t="n"/>
      <c r="L93" s="648">
        <f>J93+K93</f>
        <v/>
      </c>
      <c r="M93" s="649" t="n"/>
      <c r="N93" s="102" t="n"/>
      <c r="O93" s="300" t="n"/>
      <c r="P93" s="649" t="n"/>
      <c r="Q93" s="300" t="n"/>
      <c r="R93" s="300" t="n"/>
      <c r="S93" s="300" t="n"/>
      <c r="T93" s="300" t="n"/>
      <c r="U93" s="649" t="n"/>
      <c r="V93" s="261" t="n"/>
      <c r="W93" s="261" t="n"/>
      <c r="X93" s="261" t="n"/>
      <c r="Y93" s="261" t="n"/>
      <c r="Z93" s="261" t="n"/>
      <c r="AA93" s="261" t="n"/>
      <c r="AB93" s="261" t="n"/>
      <c r="AC93" s="261" t="n"/>
      <c r="AD93" s="261" t="n"/>
      <c r="AE93" s="261" t="n"/>
    </row>
    <row r="94" ht="16" customFormat="1" customHeight="1" s="455">
      <c r="A94" s="427" t="n">
        <v>89</v>
      </c>
      <c r="B94" s="101" t="n"/>
      <c r="C94" s="101" t="n"/>
      <c r="D94" s="301" t="n"/>
      <c r="E94" s="665" t="n"/>
      <c r="F94" s="665" t="n"/>
      <c r="G94" s="666" t="n"/>
      <c r="H94" s="667">
        <f>ROUND(E94+F94-G94,2)</f>
        <v/>
      </c>
      <c r="I94" s="569" t="n"/>
      <c r="J94" s="645">
        <f>ROUND(H94+I94,2)</f>
        <v/>
      </c>
      <c r="K94" s="647" t="n"/>
      <c r="L94" s="648">
        <f>J94+K94</f>
        <v/>
      </c>
      <c r="M94" s="649" t="n"/>
      <c r="N94" s="102" t="n"/>
      <c r="O94" s="300" t="n"/>
      <c r="P94" s="649" t="n"/>
      <c r="Q94" s="300" t="n"/>
      <c r="R94" s="300" t="n"/>
      <c r="S94" s="300" t="n"/>
      <c r="T94" s="300" t="n"/>
      <c r="U94" s="649" t="n"/>
      <c r="V94" s="261" t="n"/>
      <c r="W94" s="261" t="n"/>
      <c r="X94" s="261" t="n"/>
      <c r="Y94" s="261" t="n"/>
      <c r="Z94" s="261" t="n"/>
      <c r="AA94" s="261" t="n"/>
      <c r="AB94" s="261" t="n"/>
      <c r="AC94" s="261" t="n"/>
      <c r="AD94" s="261" t="n"/>
      <c r="AE94" s="261" t="n"/>
    </row>
    <row r="95" ht="16" customFormat="1" customHeight="1" s="455">
      <c r="A95" s="427" t="n">
        <v>90</v>
      </c>
      <c r="B95" s="101" t="n"/>
      <c r="C95" s="101" t="n"/>
      <c r="D95" s="301" t="n"/>
      <c r="E95" s="665" t="n"/>
      <c r="F95" s="665" t="n"/>
      <c r="G95" s="666" t="n"/>
      <c r="H95" s="667">
        <f>ROUND(E95+F95-G95,2)</f>
        <v/>
      </c>
      <c r="I95" s="569" t="n"/>
      <c r="J95" s="645">
        <f>ROUND(H95+I95,2)</f>
        <v/>
      </c>
      <c r="K95" s="647" t="n"/>
      <c r="L95" s="648">
        <f>J95+K95</f>
        <v/>
      </c>
      <c r="M95" s="649" t="n"/>
      <c r="N95" s="102" t="n"/>
      <c r="O95" s="300" t="n"/>
      <c r="P95" s="649" t="n"/>
      <c r="Q95" s="300" t="n"/>
      <c r="R95" s="300" t="n"/>
      <c r="S95" s="300" t="n"/>
      <c r="T95" s="300" t="n"/>
      <c r="U95" s="649" t="n"/>
      <c r="V95" s="261" t="n"/>
      <c r="W95" s="261" t="n"/>
      <c r="X95" s="261" t="n"/>
      <c r="Y95" s="261" t="n"/>
      <c r="Z95" s="261" t="n"/>
      <c r="AA95" s="261" t="n"/>
      <c r="AB95" s="261" t="n"/>
      <c r="AC95" s="261" t="n"/>
      <c r="AD95" s="261" t="n"/>
      <c r="AE95" s="261" t="n"/>
    </row>
    <row r="96" ht="16" customFormat="1" customHeight="1" s="455">
      <c r="A96" s="427" t="n">
        <v>91</v>
      </c>
      <c r="B96" s="101" t="n"/>
      <c r="C96" s="101" t="n"/>
      <c r="D96" s="301" t="n"/>
      <c r="E96" s="665" t="n"/>
      <c r="F96" s="665" t="n"/>
      <c r="G96" s="666" t="n"/>
      <c r="H96" s="667">
        <f>ROUND(E96+F96-G96,2)</f>
        <v/>
      </c>
      <c r="I96" s="569" t="n"/>
      <c r="J96" s="645">
        <f>ROUND(H96+I96,2)</f>
        <v/>
      </c>
      <c r="K96" s="647" t="n"/>
      <c r="L96" s="648">
        <f>J96+K96</f>
        <v/>
      </c>
      <c r="M96" s="649" t="n"/>
      <c r="N96" s="102" t="n"/>
      <c r="O96" s="300" t="n"/>
      <c r="P96" s="649" t="n"/>
      <c r="Q96" s="300" t="n"/>
      <c r="R96" s="300" t="n"/>
      <c r="S96" s="300" t="n"/>
      <c r="T96" s="300" t="n"/>
      <c r="U96" s="649" t="n"/>
      <c r="V96" s="261" t="n"/>
      <c r="W96" s="261" t="n"/>
      <c r="X96" s="261" t="n"/>
      <c r="Y96" s="261" t="n"/>
      <c r="Z96" s="261" t="n"/>
      <c r="AA96" s="261" t="n"/>
      <c r="AB96" s="261" t="n"/>
      <c r="AC96" s="261" t="n"/>
      <c r="AD96" s="261" t="n"/>
      <c r="AE96" s="261" t="n"/>
    </row>
    <row r="97" ht="16" customFormat="1" customHeight="1" s="455">
      <c r="A97" s="427" t="n">
        <v>92</v>
      </c>
      <c r="B97" s="101" t="n"/>
      <c r="C97" s="101" t="n"/>
      <c r="D97" s="301" t="n"/>
      <c r="E97" s="665" t="n"/>
      <c r="F97" s="665" t="n"/>
      <c r="G97" s="666" t="n"/>
      <c r="H97" s="667">
        <f>ROUND(E97+F97-G97,2)</f>
        <v/>
      </c>
      <c r="I97" s="569" t="n"/>
      <c r="J97" s="645">
        <f>ROUND(H97+I97,2)</f>
        <v/>
      </c>
      <c r="K97" s="647" t="n"/>
      <c r="L97" s="648">
        <f>J97+K97</f>
        <v/>
      </c>
      <c r="M97" s="649" t="n"/>
      <c r="N97" s="102" t="n"/>
      <c r="O97" s="300" t="n"/>
      <c r="P97" s="649" t="n"/>
      <c r="Q97" s="300" t="n"/>
      <c r="R97" s="300" t="n"/>
      <c r="S97" s="300" t="n"/>
      <c r="T97" s="300" t="n"/>
      <c r="U97" s="649" t="n"/>
      <c r="V97" s="261" t="n"/>
      <c r="W97" s="261" t="n"/>
      <c r="X97" s="261" t="n"/>
      <c r="Y97" s="261" t="n"/>
      <c r="Z97" s="261" t="n"/>
      <c r="AA97" s="261" t="n"/>
      <c r="AB97" s="261" t="n"/>
      <c r="AC97" s="261" t="n"/>
      <c r="AD97" s="261" t="n"/>
      <c r="AE97" s="261" t="n"/>
    </row>
    <row r="98" ht="16" customFormat="1" customHeight="1" s="455">
      <c r="A98" s="427" t="n">
        <v>93</v>
      </c>
      <c r="B98" s="101" t="n"/>
      <c r="C98" s="101" t="n"/>
      <c r="D98" s="301" t="n"/>
      <c r="E98" s="665" t="n"/>
      <c r="F98" s="665" t="n"/>
      <c r="G98" s="666" t="n"/>
      <c r="H98" s="667">
        <f>ROUND(E98+F98-G98,2)</f>
        <v/>
      </c>
      <c r="I98" s="569" t="n"/>
      <c r="J98" s="645">
        <f>ROUND(H98+I98,2)</f>
        <v/>
      </c>
      <c r="K98" s="647" t="n"/>
      <c r="L98" s="648">
        <f>J98+K98</f>
        <v/>
      </c>
      <c r="M98" s="649" t="n"/>
      <c r="N98" s="102" t="n"/>
      <c r="O98" s="300" t="n"/>
      <c r="P98" s="649" t="n"/>
      <c r="Q98" s="300" t="n"/>
      <c r="R98" s="300" t="n"/>
      <c r="S98" s="300" t="n"/>
      <c r="T98" s="300" t="n"/>
      <c r="U98" s="649" t="n"/>
      <c r="V98" s="261" t="n"/>
      <c r="W98" s="261" t="n"/>
      <c r="X98" s="261" t="n"/>
      <c r="Y98" s="261" t="n"/>
      <c r="Z98" s="261" t="n"/>
      <c r="AA98" s="261" t="n"/>
      <c r="AB98" s="261" t="n"/>
      <c r="AC98" s="261" t="n"/>
      <c r="AD98" s="261" t="n"/>
      <c r="AE98" s="261" t="n"/>
    </row>
    <row r="99" ht="16" customFormat="1" customHeight="1" s="455">
      <c r="A99" s="427" t="n">
        <v>94</v>
      </c>
      <c r="B99" s="101" t="n"/>
      <c r="C99" s="101" t="n"/>
      <c r="D99" s="301" t="n"/>
      <c r="E99" s="665" t="n"/>
      <c r="F99" s="665" t="n"/>
      <c r="G99" s="666" t="n"/>
      <c r="H99" s="667">
        <f>ROUND(E99+F99-G99,2)</f>
        <v/>
      </c>
      <c r="I99" s="569" t="n"/>
      <c r="J99" s="645">
        <f>ROUND(H99+I99,2)</f>
        <v/>
      </c>
      <c r="K99" s="647" t="n"/>
      <c r="L99" s="648">
        <f>J99+K99</f>
        <v/>
      </c>
      <c r="M99" s="649" t="n"/>
      <c r="N99" s="102" t="n"/>
      <c r="O99" s="300" t="n"/>
      <c r="P99" s="649" t="n"/>
      <c r="Q99" s="300" t="n"/>
      <c r="R99" s="300" t="n"/>
      <c r="S99" s="300" t="n"/>
      <c r="T99" s="300" t="n"/>
      <c r="U99" s="649" t="n"/>
      <c r="V99" s="261" t="n"/>
      <c r="W99" s="261" t="n"/>
      <c r="X99" s="261" t="n"/>
      <c r="Y99" s="261" t="n"/>
      <c r="Z99" s="261" t="n"/>
      <c r="AA99" s="261" t="n"/>
      <c r="AB99" s="261" t="n"/>
      <c r="AC99" s="261" t="n"/>
      <c r="AD99" s="261" t="n"/>
      <c r="AE99" s="261" t="n"/>
    </row>
    <row r="100" ht="16" customFormat="1" customHeight="1" s="455">
      <c r="A100" s="427" t="n">
        <v>95</v>
      </c>
      <c r="B100" s="101" t="n"/>
      <c r="C100" s="101" t="n"/>
      <c r="D100" s="301" t="n"/>
      <c r="E100" s="665" t="n"/>
      <c r="F100" s="665" t="n"/>
      <c r="G100" s="666" t="n"/>
      <c r="H100" s="667">
        <f>ROUND(E100+F100-G100,2)</f>
        <v/>
      </c>
      <c r="I100" s="569" t="n"/>
      <c r="J100" s="645">
        <f>ROUND(H100+I100,2)</f>
        <v/>
      </c>
      <c r="K100" s="647" t="n"/>
      <c r="L100" s="648">
        <f>J100+K100</f>
        <v/>
      </c>
      <c r="M100" s="649" t="n"/>
      <c r="N100" s="102" t="n"/>
      <c r="O100" s="300" t="n"/>
      <c r="P100" s="649" t="n"/>
      <c r="Q100" s="300" t="n"/>
      <c r="R100" s="300" t="n"/>
      <c r="S100" s="300" t="n"/>
      <c r="T100" s="300" t="n"/>
      <c r="U100" s="649" t="n"/>
      <c r="V100" s="261" t="n"/>
      <c r="W100" s="261" t="n"/>
      <c r="X100" s="261" t="n"/>
      <c r="Y100" s="261" t="n"/>
      <c r="Z100" s="261" t="n"/>
      <c r="AA100" s="261" t="n"/>
      <c r="AB100" s="261" t="n"/>
      <c r="AC100" s="261" t="n"/>
      <c r="AD100" s="261" t="n"/>
      <c r="AE100" s="261" t="n"/>
    </row>
    <row r="101" ht="16" customFormat="1" customHeight="1" s="455">
      <c r="A101" s="427" t="n">
        <v>96</v>
      </c>
      <c r="B101" s="101" t="n"/>
      <c r="C101" s="101" t="n"/>
      <c r="D101" s="301" t="n"/>
      <c r="E101" s="665" t="n"/>
      <c r="F101" s="665" t="n"/>
      <c r="G101" s="666" t="n"/>
      <c r="H101" s="667">
        <f>ROUND(E101+F101-G101,2)</f>
        <v/>
      </c>
      <c r="I101" s="569" t="n"/>
      <c r="J101" s="645">
        <f>ROUND(H101+I101,2)</f>
        <v/>
      </c>
      <c r="K101" s="647" t="n"/>
      <c r="L101" s="648">
        <f>J101+K101</f>
        <v/>
      </c>
      <c r="M101" s="649" t="n"/>
      <c r="N101" s="102" t="n"/>
      <c r="O101" s="300" t="n"/>
      <c r="P101" s="649" t="n"/>
      <c r="Q101" s="300" t="n"/>
      <c r="R101" s="300" t="n"/>
      <c r="S101" s="300" t="n"/>
      <c r="T101" s="300" t="n"/>
      <c r="U101" s="649" t="n"/>
      <c r="V101" s="261" t="n"/>
      <c r="W101" s="261" t="n"/>
      <c r="X101" s="261" t="n"/>
      <c r="Y101" s="261" t="n"/>
      <c r="Z101" s="261" t="n"/>
      <c r="AA101" s="261" t="n"/>
      <c r="AB101" s="261" t="n"/>
      <c r="AC101" s="261" t="n"/>
      <c r="AD101" s="261" t="n"/>
      <c r="AE101" s="261" t="n"/>
    </row>
    <row r="102" ht="16" customFormat="1" customHeight="1" s="455">
      <c r="A102" s="427" t="n">
        <v>97</v>
      </c>
      <c r="B102" s="101" t="n"/>
      <c r="C102" s="101" t="n"/>
      <c r="D102" s="301" t="n"/>
      <c r="E102" s="665" t="n"/>
      <c r="F102" s="665" t="n"/>
      <c r="G102" s="666" t="n"/>
      <c r="H102" s="667">
        <f>ROUND(E102+F102-G102,2)</f>
        <v/>
      </c>
      <c r="I102" s="569" t="n"/>
      <c r="J102" s="645">
        <f>ROUND(H102+I102,2)</f>
        <v/>
      </c>
      <c r="K102" s="647" t="n"/>
      <c r="L102" s="648">
        <f>J102+K102</f>
        <v/>
      </c>
      <c r="M102" s="649" t="n"/>
      <c r="N102" s="102" t="n"/>
      <c r="O102" s="300" t="n"/>
      <c r="P102" s="649" t="n"/>
      <c r="Q102" s="300" t="n"/>
      <c r="R102" s="300" t="n"/>
      <c r="S102" s="300" t="n"/>
      <c r="T102" s="300" t="n"/>
      <c r="U102" s="649" t="n"/>
      <c r="V102" s="261" t="n"/>
      <c r="W102" s="261" t="n"/>
      <c r="X102" s="261" t="n"/>
      <c r="Y102" s="261" t="n"/>
      <c r="Z102" s="261" t="n"/>
      <c r="AA102" s="261" t="n"/>
      <c r="AB102" s="261" t="n"/>
      <c r="AC102" s="261" t="n"/>
      <c r="AD102" s="261" t="n"/>
      <c r="AE102" s="261" t="n"/>
    </row>
    <row r="103" ht="16" customFormat="1" customHeight="1" s="455">
      <c r="A103" s="427" t="n">
        <v>98</v>
      </c>
      <c r="B103" s="101" t="n"/>
      <c r="C103" s="101" t="n"/>
      <c r="D103" s="301" t="n"/>
      <c r="E103" s="665" t="n"/>
      <c r="F103" s="665" t="n"/>
      <c r="G103" s="666" t="n"/>
      <c r="H103" s="667">
        <f>ROUND(E103+F103-G103,2)</f>
        <v/>
      </c>
      <c r="I103" s="569" t="n"/>
      <c r="J103" s="645">
        <f>ROUND(H103+I103,2)</f>
        <v/>
      </c>
      <c r="K103" s="647" t="n"/>
      <c r="L103" s="648">
        <f>J103+K103</f>
        <v/>
      </c>
      <c r="M103" s="649" t="n"/>
      <c r="N103" s="102" t="n"/>
      <c r="O103" s="300" t="n"/>
      <c r="P103" s="649" t="n"/>
      <c r="Q103" s="300" t="n"/>
      <c r="R103" s="300" t="n"/>
      <c r="S103" s="300" t="n"/>
      <c r="T103" s="300" t="n"/>
      <c r="U103" s="649" t="n"/>
      <c r="V103" s="261" t="n"/>
      <c r="W103" s="261" t="n"/>
      <c r="X103" s="261" t="n"/>
      <c r="Y103" s="261" t="n"/>
      <c r="Z103" s="261" t="n"/>
      <c r="AA103" s="261" t="n"/>
      <c r="AB103" s="261" t="n"/>
      <c r="AC103" s="261" t="n"/>
      <c r="AD103" s="261" t="n"/>
      <c r="AE103" s="261" t="n"/>
    </row>
    <row r="104" ht="16" customFormat="1" customHeight="1" s="455">
      <c r="A104" s="427" t="n">
        <v>99</v>
      </c>
      <c r="B104" s="101" t="n"/>
      <c r="C104" s="101" t="n"/>
      <c r="D104" s="301" t="n"/>
      <c r="E104" s="665" t="n"/>
      <c r="F104" s="665" t="n"/>
      <c r="G104" s="666" t="n"/>
      <c r="H104" s="667">
        <f>ROUND(E104+F104-G104,2)</f>
        <v/>
      </c>
      <c r="I104" s="569" t="n"/>
      <c r="J104" s="645">
        <f>ROUND(H104+I104,2)</f>
        <v/>
      </c>
      <c r="K104" s="647" t="n"/>
      <c r="L104" s="648">
        <f>J104+K104</f>
        <v/>
      </c>
      <c r="M104" s="649" t="n"/>
      <c r="N104" s="102" t="n"/>
      <c r="O104" s="300" t="n"/>
      <c r="P104" s="649" t="n"/>
      <c r="Q104" s="300" t="n"/>
      <c r="R104" s="300" t="n"/>
      <c r="S104" s="300" t="n"/>
      <c r="T104" s="300" t="n"/>
      <c r="U104" s="649" t="n"/>
      <c r="V104" s="261" t="n"/>
      <c r="W104" s="261" t="n"/>
      <c r="X104" s="261" t="n"/>
      <c r="Y104" s="261" t="n"/>
      <c r="Z104" s="261" t="n"/>
      <c r="AA104" s="261" t="n"/>
      <c r="AB104" s="261" t="n"/>
      <c r="AC104" s="261" t="n"/>
      <c r="AD104" s="261" t="n"/>
      <c r="AE104" s="261" t="n"/>
    </row>
    <row r="105" ht="16" customFormat="1" customHeight="1" s="455">
      <c r="A105" s="427" t="n">
        <v>100</v>
      </c>
      <c r="B105" s="101" t="n"/>
      <c r="C105" s="101" t="n"/>
      <c r="D105" s="301" t="n"/>
      <c r="E105" s="665" t="n"/>
      <c r="F105" s="665" t="n"/>
      <c r="G105" s="666" t="n"/>
      <c r="H105" s="667">
        <f>ROUND(E105+F105-G105,2)</f>
        <v/>
      </c>
      <c r="I105" s="569" t="n"/>
      <c r="J105" s="645">
        <f>ROUND(H105+I105,2)</f>
        <v/>
      </c>
      <c r="K105" s="647" t="n"/>
      <c r="L105" s="648">
        <f>J105+K105</f>
        <v/>
      </c>
      <c r="M105" s="649" t="n"/>
      <c r="N105" s="102" t="n"/>
      <c r="O105" s="300" t="n"/>
      <c r="P105" s="649" t="n"/>
      <c r="Q105" s="300" t="n"/>
      <c r="R105" s="300" t="n"/>
      <c r="S105" s="300" t="n"/>
      <c r="T105" s="300" t="n"/>
      <c r="U105" s="649" t="n"/>
      <c r="V105" s="261" t="n"/>
      <c r="W105" s="261" t="n"/>
      <c r="X105" s="261" t="n"/>
      <c r="Y105" s="261" t="n"/>
      <c r="Z105" s="261" t="n"/>
      <c r="AA105" s="261" t="n"/>
      <c r="AB105" s="261" t="n"/>
      <c r="AC105" s="261" t="n"/>
      <c r="AD105" s="261" t="n"/>
      <c r="AE105" s="261" t="n"/>
    </row>
    <row r="106" ht="16" customFormat="1" customHeight="1" s="455">
      <c r="A106" s="427" t="n">
        <v>101</v>
      </c>
      <c r="B106" s="101" t="n"/>
      <c r="C106" s="101" t="n"/>
      <c r="D106" s="301" t="n"/>
      <c r="E106" s="665" t="n"/>
      <c r="F106" s="665" t="n"/>
      <c r="G106" s="666" t="n"/>
      <c r="H106" s="667">
        <f>ROUND(E106+F106-G106,2)</f>
        <v/>
      </c>
      <c r="I106" s="569" t="n"/>
      <c r="J106" s="645">
        <f>ROUND(H106+I106,2)</f>
        <v/>
      </c>
      <c r="K106" s="647" t="n"/>
      <c r="L106" s="648">
        <f>J106+K106</f>
        <v/>
      </c>
      <c r="M106" s="649" t="n"/>
      <c r="N106" s="102" t="n"/>
      <c r="O106" s="300" t="n"/>
      <c r="P106" s="649" t="n"/>
      <c r="Q106" s="300" t="n"/>
      <c r="R106" s="300" t="n"/>
      <c r="S106" s="300" t="n"/>
      <c r="T106" s="300" t="n"/>
      <c r="U106" s="649" t="n"/>
      <c r="V106" s="261" t="n"/>
      <c r="W106" s="261" t="n"/>
      <c r="X106" s="261" t="n"/>
      <c r="Y106" s="261" t="n"/>
      <c r="Z106" s="261" t="n"/>
      <c r="AA106" s="261" t="n"/>
      <c r="AB106" s="261" t="n"/>
      <c r="AC106" s="261" t="n"/>
      <c r="AD106" s="261" t="n"/>
      <c r="AE106" s="261" t="n"/>
    </row>
    <row r="107" ht="16" customFormat="1" customHeight="1" s="455">
      <c r="A107" s="427" t="n">
        <v>102</v>
      </c>
      <c r="B107" s="101" t="n"/>
      <c r="C107" s="101" t="n"/>
      <c r="D107" s="301" t="n"/>
      <c r="E107" s="665" t="n"/>
      <c r="F107" s="665" t="n"/>
      <c r="G107" s="666" t="n"/>
      <c r="H107" s="667">
        <f>ROUND(E107+F107-G107,2)</f>
        <v/>
      </c>
      <c r="I107" s="569" t="n"/>
      <c r="J107" s="645">
        <f>ROUND(H107+I107,2)</f>
        <v/>
      </c>
      <c r="K107" s="647" t="n"/>
      <c r="L107" s="648">
        <f>J107+K107</f>
        <v/>
      </c>
      <c r="M107" s="649" t="n"/>
      <c r="N107" s="102" t="n"/>
      <c r="O107" s="300" t="n"/>
      <c r="P107" s="649" t="n"/>
      <c r="Q107" s="300" t="n"/>
      <c r="R107" s="300" t="n"/>
      <c r="S107" s="300" t="n"/>
      <c r="T107" s="300" t="n"/>
      <c r="U107" s="649" t="n"/>
      <c r="V107" s="261" t="n"/>
      <c r="W107" s="261" t="n"/>
      <c r="X107" s="261" t="n"/>
      <c r="Y107" s="261" t="n"/>
      <c r="Z107" s="261" t="n"/>
      <c r="AA107" s="261" t="n"/>
      <c r="AB107" s="261" t="n"/>
      <c r="AC107" s="261" t="n"/>
      <c r="AD107" s="261" t="n"/>
      <c r="AE107" s="261" t="n"/>
    </row>
    <row r="108" ht="16" customFormat="1" customHeight="1" s="455">
      <c r="A108" s="427" t="n">
        <v>103</v>
      </c>
      <c r="B108" s="101" t="n"/>
      <c r="C108" s="101" t="n"/>
      <c r="D108" s="301" t="n"/>
      <c r="E108" s="665" t="n"/>
      <c r="F108" s="665" t="n"/>
      <c r="G108" s="666" t="n"/>
      <c r="H108" s="667">
        <f>ROUND(E108+F108-G108,2)</f>
        <v/>
      </c>
      <c r="I108" s="569" t="n"/>
      <c r="J108" s="645">
        <f>ROUND(H108+I108,2)</f>
        <v/>
      </c>
      <c r="K108" s="647" t="n"/>
      <c r="L108" s="648">
        <f>J108+K108</f>
        <v/>
      </c>
      <c r="M108" s="649" t="n"/>
      <c r="N108" s="102" t="n"/>
      <c r="O108" s="300" t="n"/>
      <c r="P108" s="649" t="n"/>
      <c r="Q108" s="300" t="n"/>
      <c r="R108" s="300" t="n"/>
      <c r="S108" s="300" t="n"/>
      <c r="T108" s="300" t="n"/>
      <c r="U108" s="649" t="n"/>
      <c r="V108" s="261" t="n"/>
      <c r="W108" s="261" t="n"/>
      <c r="X108" s="261" t="n"/>
      <c r="Y108" s="261" t="n"/>
      <c r="Z108" s="261" t="n"/>
      <c r="AA108" s="261" t="n"/>
      <c r="AB108" s="261" t="n"/>
      <c r="AC108" s="261" t="n"/>
      <c r="AD108" s="261" t="n"/>
      <c r="AE108" s="261" t="n"/>
    </row>
    <row r="109" ht="16" customFormat="1" customHeight="1" s="455">
      <c r="A109" s="427" t="n">
        <v>104</v>
      </c>
      <c r="B109" s="101" t="n"/>
      <c r="C109" s="101" t="n"/>
      <c r="D109" s="301" t="n"/>
      <c r="E109" s="665" t="n"/>
      <c r="F109" s="665" t="n"/>
      <c r="G109" s="666" t="n"/>
      <c r="H109" s="667">
        <f>ROUND(E109+F109-G109,2)</f>
        <v/>
      </c>
      <c r="I109" s="569" t="n"/>
      <c r="J109" s="645">
        <f>ROUND(H109+I109,2)</f>
        <v/>
      </c>
      <c r="K109" s="647" t="n"/>
      <c r="L109" s="648">
        <f>J109+K109</f>
        <v/>
      </c>
      <c r="M109" s="649" t="n"/>
      <c r="N109" s="102" t="n"/>
      <c r="O109" s="300" t="n"/>
      <c r="P109" s="649" t="n"/>
      <c r="Q109" s="300" t="n"/>
      <c r="R109" s="300" t="n"/>
      <c r="S109" s="300" t="n"/>
      <c r="T109" s="300" t="n"/>
      <c r="U109" s="649" t="n"/>
      <c r="V109" s="261" t="n"/>
      <c r="W109" s="261" t="n"/>
      <c r="X109" s="261" t="n"/>
      <c r="Y109" s="261" t="n"/>
      <c r="Z109" s="261" t="n"/>
      <c r="AA109" s="261" t="n"/>
      <c r="AB109" s="261" t="n"/>
      <c r="AC109" s="261" t="n"/>
      <c r="AD109" s="261" t="n"/>
      <c r="AE109" s="261" t="n"/>
    </row>
    <row r="110" ht="16" customFormat="1" customHeight="1" s="455">
      <c r="A110" s="427" t="n">
        <v>105</v>
      </c>
      <c r="B110" s="101" t="n"/>
      <c r="C110" s="101" t="n"/>
      <c r="D110" s="301" t="n"/>
      <c r="E110" s="665" t="n"/>
      <c r="F110" s="665" t="n"/>
      <c r="G110" s="666" t="n"/>
      <c r="H110" s="667">
        <f>ROUND(E110+F110-G110,2)</f>
        <v/>
      </c>
      <c r="I110" s="569" t="n"/>
      <c r="J110" s="645">
        <f>ROUND(H110+I110,2)</f>
        <v/>
      </c>
      <c r="K110" s="647" t="n"/>
      <c r="L110" s="648">
        <f>J110+K110</f>
        <v/>
      </c>
      <c r="M110" s="649" t="n"/>
      <c r="N110" s="102" t="n"/>
      <c r="O110" s="300" t="n"/>
      <c r="P110" s="649" t="n"/>
      <c r="Q110" s="300" t="n"/>
      <c r="R110" s="300" t="n"/>
      <c r="S110" s="300" t="n"/>
      <c r="T110" s="300" t="n"/>
      <c r="U110" s="649" t="n"/>
      <c r="V110" s="261" t="n"/>
      <c r="W110" s="261" t="n"/>
      <c r="X110" s="261" t="n"/>
      <c r="Y110" s="261" t="n"/>
      <c r="Z110" s="261" t="n"/>
      <c r="AA110" s="261" t="n"/>
      <c r="AB110" s="261" t="n"/>
      <c r="AC110" s="261" t="n"/>
      <c r="AD110" s="261" t="n"/>
      <c r="AE110" s="261" t="n"/>
    </row>
    <row r="111" ht="16" customFormat="1" customHeight="1" s="455">
      <c r="A111" s="427" t="n">
        <v>106</v>
      </c>
      <c r="B111" s="101" t="n"/>
      <c r="C111" s="101" t="n"/>
      <c r="D111" s="301" t="n"/>
      <c r="E111" s="665" t="n"/>
      <c r="F111" s="665" t="n"/>
      <c r="G111" s="666" t="n"/>
      <c r="H111" s="667">
        <f>ROUND(E111+F111-G111,2)</f>
        <v/>
      </c>
      <c r="I111" s="569" t="n"/>
      <c r="J111" s="645">
        <f>ROUND(H111+I111,2)</f>
        <v/>
      </c>
      <c r="K111" s="647" t="n"/>
      <c r="L111" s="648">
        <f>J111+K111</f>
        <v/>
      </c>
      <c r="M111" s="649" t="n"/>
      <c r="N111" s="102" t="n"/>
      <c r="O111" s="300" t="n"/>
      <c r="P111" s="649" t="n"/>
      <c r="Q111" s="300" t="n"/>
      <c r="R111" s="300" t="n"/>
      <c r="S111" s="300" t="n"/>
      <c r="T111" s="300" t="n"/>
      <c r="U111" s="649" t="n"/>
      <c r="V111" s="261" t="n"/>
      <c r="W111" s="261" t="n"/>
      <c r="X111" s="261" t="n"/>
      <c r="Y111" s="261" t="n"/>
      <c r="Z111" s="261" t="n"/>
      <c r="AA111" s="261" t="n"/>
      <c r="AB111" s="261" t="n"/>
      <c r="AC111" s="261" t="n"/>
      <c r="AD111" s="261" t="n"/>
      <c r="AE111" s="261" t="n"/>
    </row>
    <row r="112" ht="16" customFormat="1" customHeight="1" s="455">
      <c r="A112" s="427" t="n">
        <v>107</v>
      </c>
      <c r="B112" s="101" t="n"/>
      <c r="C112" s="101" t="n"/>
      <c r="D112" s="301" t="n"/>
      <c r="E112" s="665" t="n"/>
      <c r="F112" s="665" t="n"/>
      <c r="G112" s="666" t="n"/>
      <c r="H112" s="667">
        <f>ROUND(E112+F112-G112,2)</f>
        <v/>
      </c>
      <c r="I112" s="569" t="n"/>
      <c r="J112" s="645">
        <f>ROUND(H112+I112,2)</f>
        <v/>
      </c>
      <c r="K112" s="647" t="n"/>
      <c r="L112" s="648">
        <f>J112+K112</f>
        <v/>
      </c>
      <c r="M112" s="649" t="n"/>
      <c r="N112" s="102" t="n"/>
      <c r="O112" s="300" t="n"/>
      <c r="P112" s="649" t="n"/>
      <c r="Q112" s="300" t="n"/>
      <c r="R112" s="300" t="n"/>
      <c r="S112" s="300" t="n"/>
      <c r="T112" s="300" t="n"/>
      <c r="U112" s="649" t="n"/>
      <c r="V112" s="261" t="n"/>
      <c r="W112" s="261" t="n"/>
      <c r="X112" s="261" t="n"/>
      <c r="Y112" s="261" t="n"/>
      <c r="Z112" s="261" t="n"/>
      <c r="AA112" s="261" t="n"/>
      <c r="AB112" s="261" t="n"/>
      <c r="AC112" s="261" t="n"/>
      <c r="AD112" s="261" t="n"/>
      <c r="AE112" s="261" t="n"/>
    </row>
    <row r="113" ht="16" customFormat="1" customHeight="1" s="455">
      <c r="A113" s="427" t="n">
        <v>108</v>
      </c>
      <c r="B113" s="101" t="n"/>
      <c r="C113" s="101" t="n"/>
      <c r="D113" s="301" t="n"/>
      <c r="E113" s="665" t="n"/>
      <c r="F113" s="665" t="n"/>
      <c r="G113" s="666" t="n"/>
      <c r="H113" s="667">
        <f>ROUND(E113+F113-G113,2)</f>
        <v/>
      </c>
      <c r="I113" s="569" t="n"/>
      <c r="J113" s="645">
        <f>ROUND(H113+I113,2)</f>
        <v/>
      </c>
      <c r="K113" s="647" t="n"/>
      <c r="L113" s="648">
        <f>J113+K113</f>
        <v/>
      </c>
      <c r="M113" s="649" t="n"/>
      <c r="N113" s="102" t="n"/>
      <c r="O113" s="300" t="n"/>
      <c r="P113" s="649" t="n"/>
      <c r="Q113" s="300" t="n"/>
      <c r="R113" s="300" t="n"/>
      <c r="S113" s="300" t="n"/>
      <c r="T113" s="300" t="n"/>
      <c r="U113" s="649" t="n"/>
      <c r="V113" s="261" t="n"/>
      <c r="W113" s="261" t="n"/>
      <c r="X113" s="261" t="n"/>
      <c r="Y113" s="261" t="n"/>
      <c r="Z113" s="261" t="n"/>
      <c r="AA113" s="261" t="n"/>
      <c r="AB113" s="261" t="n"/>
      <c r="AC113" s="261" t="n"/>
      <c r="AD113" s="261" t="n"/>
      <c r="AE113" s="261" t="n"/>
    </row>
    <row r="114" ht="16" customFormat="1" customHeight="1" s="455">
      <c r="A114" s="427" t="n">
        <v>109</v>
      </c>
      <c r="B114" s="101" t="n"/>
      <c r="C114" s="101" t="n"/>
      <c r="D114" s="301" t="n"/>
      <c r="E114" s="665" t="n"/>
      <c r="F114" s="665" t="n"/>
      <c r="G114" s="666" t="n"/>
      <c r="H114" s="667">
        <f>ROUND(E114+F114-G114,2)</f>
        <v/>
      </c>
      <c r="I114" s="569" t="n"/>
      <c r="J114" s="645">
        <f>ROUND(H114+I114,2)</f>
        <v/>
      </c>
      <c r="K114" s="647" t="n"/>
      <c r="L114" s="648">
        <f>J114+K114</f>
        <v/>
      </c>
      <c r="M114" s="649" t="n"/>
      <c r="N114" s="102" t="n"/>
      <c r="O114" s="300" t="n"/>
      <c r="P114" s="649" t="n"/>
      <c r="Q114" s="300" t="n"/>
      <c r="R114" s="300" t="n"/>
      <c r="S114" s="300" t="n"/>
      <c r="T114" s="300" t="n"/>
      <c r="U114" s="649" t="n"/>
      <c r="V114" s="261" t="n"/>
      <c r="W114" s="261" t="n"/>
      <c r="X114" s="261" t="n"/>
      <c r="Y114" s="261" t="n"/>
      <c r="Z114" s="261" t="n"/>
      <c r="AA114" s="261" t="n"/>
      <c r="AB114" s="261" t="n"/>
      <c r="AC114" s="261" t="n"/>
      <c r="AD114" s="261" t="n"/>
      <c r="AE114" s="261" t="n"/>
    </row>
    <row r="115" ht="16" customFormat="1" customHeight="1" s="455">
      <c r="A115" s="427" t="n">
        <v>110</v>
      </c>
      <c r="B115" s="101" t="n"/>
      <c r="C115" s="101" t="n"/>
      <c r="D115" s="301" t="n"/>
      <c r="E115" s="665" t="n"/>
      <c r="F115" s="665" t="n"/>
      <c r="G115" s="666" t="n"/>
      <c r="H115" s="667">
        <f>ROUND(E115+F115-G115,2)</f>
        <v/>
      </c>
      <c r="I115" s="569" t="n"/>
      <c r="J115" s="645">
        <f>ROUND(H115+I115,2)</f>
        <v/>
      </c>
      <c r="K115" s="647" t="n"/>
      <c r="L115" s="648">
        <f>J115+K115</f>
        <v/>
      </c>
      <c r="M115" s="649" t="n"/>
      <c r="N115" s="102" t="n"/>
      <c r="O115" s="300" t="n"/>
      <c r="P115" s="649" t="n"/>
      <c r="Q115" s="300" t="n"/>
      <c r="R115" s="300" t="n"/>
      <c r="S115" s="300" t="n"/>
      <c r="T115" s="300" t="n"/>
      <c r="U115" s="649" t="n"/>
      <c r="V115" s="261" t="n"/>
      <c r="W115" s="261" t="n"/>
      <c r="X115" s="261" t="n"/>
      <c r="Y115" s="261" t="n"/>
      <c r="Z115" s="261" t="n"/>
      <c r="AA115" s="261" t="n"/>
      <c r="AB115" s="261" t="n"/>
      <c r="AC115" s="261" t="n"/>
      <c r="AD115" s="261" t="n"/>
      <c r="AE115" s="261" t="n"/>
    </row>
    <row r="116" ht="16" customFormat="1" customHeight="1" s="455">
      <c r="A116" s="427" t="n">
        <v>111</v>
      </c>
      <c r="B116" s="101" t="n"/>
      <c r="C116" s="101" t="n"/>
      <c r="D116" s="301" t="n"/>
      <c r="E116" s="665" t="n"/>
      <c r="F116" s="665" t="n"/>
      <c r="G116" s="666" t="n"/>
      <c r="H116" s="667">
        <f>ROUND(E116+F116-G116,2)</f>
        <v/>
      </c>
      <c r="I116" s="569" t="n"/>
      <c r="J116" s="645">
        <f>ROUND(H116+I116,2)</f>
        <v/>
      </c>
      <c r="K116" s="647" t="n"/>
      <c r="L116" s="648">
        <f>J116+K116</f>
        <v/>
      </c>
      <c r="M116" s="649" t="n"/>
      <c r="N116" s="102" t="n"/>
      <c r="O116" s="300" t="n"/>
      <c r="P116" s="649" t="n"/>
      <c r="Q116" s="300" t="n"/>
      <c r="R116" s="300" t="n"/>
      <c r="S116" s="300" t="n"/>
      <c r="T116" s="300" t="n"/>
      <c r="U116" s="649" t="n"/>
      <c r="V116" s="261" t="n"/>
      <c r="W116" s="261" t="n"/>
      <c r="X116" s="261" t="n"/>
      <c r="Y116" s="261" t="n"/>
      <c r="Z116" s="261" t="n"/>
      <c r="AA116" s="261" t="n"/>
      <c r="AB116" s="261" t="n"/>
      <c r="AC116" s="261" t="n"/>
      <c r="AD116" s="261" t="n"/>
      <c r="AE116" s="261" t="n"/>
    </row>
    <row r="117" ht="16" customFormat="1" customHeight="1" s="455">
      <c r="A117" s="427" t="n">
        <v>112</v>
      </c>
      <c r="B117" s="101" t="n"/>
      <c r="C117" s="101" t="n"/>
      <c r="D117" s="301" t="n"/>
      <c r="E117" s="665" t="n"/>
      <c r="F117" s="665" t="n"/>
      <c r="G117" s="666" t="n"/>
      <c r="H117" s="667">
        <f>ROUND(E117+F117-G117,2)</f>
        <v/>
      </c>
      <c r="I117" s="569" t="n"/>
      <c r="J117" s="645">
        <f>ROUND(H117+I117,2)</f>
        <v/>
      </c>
      <c r="K117" s="647" t="n"/>
      <c r="L117" s="648">
        <f>J117+K117</f>
        <v/>
      </c>
      <c r="M117" s="649" t="n"/>
      <c r="N117" s="102" t="n"/>
      <c r="O117" s="300" t="n"/>
      <c r="P117" s="649" t="n"/>
      <c r="Q117" s="300" t="n"/>
      <c r="R117" s="300" t="n"/>
      <c r="S117" s="300" t="n"/>
      <c r="T117" s="300" t="n"/>
      <c r="U117" s="649" t="n"/>
      <c r="V117" s="261" t="n"/>
      <c r="W117" s="261" t="n"/>
      <c r="X117" s="261" t="n"/>
      <c r="Y117" s="261" t="n"/>
      <c r="Z117" s="261" t="n"/>
      <c r="AA117" s="261" t="n"/>
      <c r="AB117" s="261" t="n"/>
      <c r="AC117" s="261" t="n"/>
      <c r="AD117" s="261" t="n"/>
      <c r="AE117" s="261" t="n"/>
    </row>
    <row r="118" ht="16" customFormat="1" customHeight="1" s="455">
      <c r="A118" s="427" t="n">
        <v>113</v>
      </c>
      <c r="B118" s="101" t="n"/>
      <c r="C118" s="101" t="n"/>
      <c r="D118" s="301" t="n"/>
      <c r="E118" s="665" t="n"/>
      <c r="F118" s="665" t="n"/>
      <c r="G118" s="666" t="n"/>
      <c r="H118" s="667">
        <f>ROUND(E118+F118-G118,2)</f>
        <v/>
      </c>
      <c r="I118" s="569" t="n"/>
      <c r="J118" s="645">
        <f>ROUND(H118+I118,2)</f>
        <v/>
      </c>
      <c r="K118" s="647" t="n"/>
      <c r="L118" s="648">
        <f>J118+K118</f>
        <v/>
      </c>
      <c r="M118" s="649" t="n"/>
      <c r="N118" s="102" t="n"/>
      <c r="O118" s="300" t="n"/>
      <c r="P118" s="649" t="n"/>
      <c r="Q118" s="300" t="n"/>
      <c r="R118" s="300" t="n"/>
      <c r="S118" s="300" t="n"/>
      <c r="T118" s="300" t="n"/>
      <c r="U118" s="649" t="n"/>
      <c r="V118" s="261" t="n"/>
      <c r="W118" s="261" t="n"/>
      <c r="X118" s="261" t="n"/>
      <c r="Y118" s="261" t="n"/>
      <c r="Z118" s="261" t="n"/>
      <c r="AA118" s="261" t="n"/>
      <c r="AB118" s="261" t="n"/>
      <c r="AC118" s="261" t="n"/>
      <c r="AD118" s="261" t="n"/>
      <c r="AE118" s="261" t="n"/>
    </row>
    <row r="119" ht="16" customFormat="1" customHeight="1" s="455">
      <c r="A119" s="427" t="n">
        <v>114</v>
      </c>
      <c r="B119" s="101" t="n"/>
      <c r="C119" s="101" t="n"/>
      <c r="D119" s="301" t="n"/>
      <c r="E119" s="665" t="n"/>
      <c r="F119" s="665" t="n"/>
      <c r="G119" s="666" t="n"/>
      <c r="H119" s="667">
        <f>ROUND(E119+F119-G119,2)</f>
        <v/>
      </c>
      <c r="I119" s="569" t="n"/>
      <c r="J119" s="645">
        <f>ROUND(H119+I119,2)</f>
        <v/>
      </c>
      <c r="K119" s="647" t="n"/>
      <c r="L119" s="648">
        <f>J119+K119</f>
        <v/>
      </c>
      <c r="M119" s="649" t="n"/>
      <c r="N119" s="102" t="n"/>
      <c r="O119" s="300" t="n"/>
      <c r="P119" s="649" t="n"/>
      <c r="Q119" s="300" t="n"/>
      <c r="R119" s="300" t="n"/>
      <c r="S119" s="300" t="n"/>
      <c r="T119" s="300" t="n"/>
      <c r="U119" s="649" t="n"/>
      <c r="V119" s="261" t="n"/>
      <c r="W119" s="261" t="n"/>
      <c r="X119" s="261" t="n"/>
      <c r="Y119" s="261" t="n"/>
      <c r="Z119" s="261" t="n"/>
      <c r="AA119" s="261" t="n"/>
      <c r="AB119" s="261" t="n"/>
      <c r="AC119" s="261" t="n"/>
      <c r="AD119" s="261" t="n"/>
      <c r="AE119" s="261" t="n"/>
    </row>
    <row r="120" ht="16" customFormat="1" customHeight="1" s="455">
      <c r="A120" s="427" t="n">
        <v>115</v>
      </c>
      <c r="B120" s="101" t="n"/>
      <c r="C120" s="101" t="n"/>
      <c r="D120" s="301" t="n"/>
      <c r="E120" s="665" t="n"/>
      <c r="F120" s="665" t="n"/>
      <c r="G120" s="666" t="n"/>
      <c r="H120" s="667">
        <f>ROUND(E120+F120-G120,2)</f>
        <v/>
      </c>
      <c r="I120" s="569" t="n"/>
      <c r="J120" s="645">
        <f>ROUND(H120+I120,2)</f>
        <v/>
      </c>
      <c r="K120" s="647" t="n"/>
      <c r="L120" s="648">
        <f>J120+K120</f>
        <v/>
      </c>
      <c r="M120" s="649" t="n"/>
      <c r="N120" s="102" t="n"/>
      <c r="O120" s="300" t="n"/>
      <c r="P120" s="649" t="n"/>
      <c r="Q120" s="300" t="n"/>
      <c r="R120" s="300" t="n"/>
      <c r="S120" s="300" t="n"/>
      <c r="T120" s="300" t="n"/>
      <c r="U120" s="649" t="n"/>
      <c r="V120" s="261" t="n"/>
      <c r="W120" s="261" t="n"/>
      <c r="X120" s="261" t="n"/>
      <c r="Y120" s="261" t="n"/>
      <c r="Z120" s="261" t="n"/>
      <c r="AA120" s="261" t="n"/>
      <c r="AB120" s="261" t="n"/>
      <c r="AC120" s="261" t="n"/>
      <c r="AD120" s="261" t="n"/>
      <c r="AE120" s="261" t="n"/>
    </row>
    <row r="121" ht="16" customFormat="1" customHeight="1" s="455">
      <c r="A121" s="427" t="n">
        <v>116</v>
      </c>
      <c r="B121" s="101" t="n"/>
      <c r="C121" s="101" t="n"/>
      <c r="D121" s="301" t="n"/>
      <c r="E121" s="665" t="n"/>
      <c r="F121" s="665" t="n"/>
      <c r="G121" s="666" t="n"/>
      <c r="H121" s="667">
        <f>ROUND(E121+F121-G121,2)</f>
        <v/>
      </c>
      <c r="I121" s="569" t="n"/>
      <c r="J121" s="645">
        <f>ROUND(H121+I121,2)</f>
        <v/>
      </c>
      <c r="K121" s="647" t="n"/>
      <c r="L121" s="648">
        <f>J121+K121</f>
        <v/>
      </c>
      <c r="M121" s="649" t="n"/>
      <c r="N121" s="102" t="n"/>
      <c r="O121" s="300" t="n"/>
      <c r="P121" s="649" t="n"/>
      <c r="Q121" s="300" t="n"/>
      <c r="R121" s="300" t="n"/>
      <c r="S121" s="300" t="n"/>
      <c r="T121" s="300" t="n"/>
      <c r="U121" s="649" t="n"/>
      <c r="V121" s="261" t="n"/>
      <c r="W121" s="261" t="n"/>
      <c r="X121" s="261" t="n"/>
      <c r="Y121" s="261" t="n"/>
      <c r="Z121" s="261" t="n"/>
      <c r="AA121" s="261" t="n"/>
      <c r="AB121" s="261" t="n"/>
      <c r="AC121" s="261" t="n"/>
      <c r="AD121" s="261" t="n"/>
      <c r="AE121" s="261" t="n"/>
    </row>
    <row r="122" ht="16" customFormat="1" customHeight="1" s="455">
      <c r="A122" s="427" t="n">
        <v>117</v>
      </c>
      <c r="B122" s="101" t="n"/>
      <c r="C122" s="101" t="n"/>
      <c r="D122" s="301" t="n"/>
      <c r="E122" s="665" t="n"/>
      <c r="F122" s="665" t="n"/>
      <c r="G122" s="666" t="n"/>
      <c r="H122" s="667">
        <f>ROUND(E122+F122-G122,2)</f>
        <v/>
      </c>
      <c r="I122" s="569" t="n"/>
      <c r="J122" s="645">
        <f>ROUND(H122+I122,2)</f>
        <v/>
      </c>
      <c r="K122" s="647" t="n"/>
      <c r="L122" s="648">
        <f>J122+K122</f>
        <v/>
      </c>
      <c r="M122" s="649" t="n"/>
      <c r="N122" s="102" t="n"/>
      <c r="O122" s="300" t="n"/>
      <c r="P122" s="649" t="n"/>
      <c r="Q122" s="300" t="n"/>
      <c r="R122" s="300" t="n"/>
      <c r="S122" s="300" t="n"/>
      <c r="T122" s="300" t="n"/>
      <c r="U122" s="649" t="n"/>
      <c r="V122" s="261" t="n"/>
      <c r="W122" s="261" t="n"/>
      <c r="X122" s="261" t="n"/>
      <c r="Y122" s="261" t="n"/>
      <c r="Z122" s="261" t="n"/>
      <c r="AA122" s="261" t="n"/>
      <c r="AB122" s="261" t="n"/>
      <c r="AC122" s="261" t="n"/>
      <c r="AD122" s="261" t="n"/>
      <c r="AE122" s="261" t="n"/>
    </row>
    <row r="123" ht="16" customFormat="1" customHeight="1" s="455">
      <c r="A123" s="427" t="n">
        <v>118</v>
      </c>
      <c r="B123" s="101" t="n"/>
      <c r="C123" s="101" t="n"/>
      <c r="D123" s="301" t="n"/>
      <c r="E123" s="665" t="n"/>
      <c r="F123" s="665" t="n"/>
      <c r="G123" s="666" t="n"/>
      <c r="H123" s="667">
        <f>ROUND(E123+F123-G123,2)</f>
        <v/>
      </c>
      <c r="I123" s="569" t="n"/>
      <c r="J123" s="645">
        <f>ROUND(H123+I123,2)</f>
        <v/>
      </c>
      <c r="K123" s="647" t="n"/>
      <c r="L123" s="648">
        <f>J123+K123</f>
        <v/>
      </c>
      <c r="M123" s="649" t="n"/>
      <c r="N123" s="102" t="n"/>
      <c r="O123" s="300" t="n"/>
      <c r="P123" s="649" t="n"/>
      <c r="Q123" s="300" t="n"/>
      <c r="R123" s="300" t="n"/>
      <c r="S123" s="300" t="n"/>
      <c r="T123" s="300" t="n"/>
      <c r="U123" s="649" t="n"/>
      <c r="V123" s="261" t="n"/>
      <c r="W123" s="261" t="n"/>
      <c r="X123" s="261" t="n"/>
      <c r="Y123" s="261" t="n"/>
      <c r="Z123" s="261" t="n"/>
      <c r="AA123" s="261" t="n"/>
      <c r="AB123" s="261" t="n"/>
      <c r="AC123" s="261" t="n"/>
      <c r="AD123" s="261" t="n"/>
      <c r="AE123" s="261" t="n"/>
    </row>
    <row r="124" ht="16" customFormat="1" customHeight="1" s="455">
      <c r="A124" s="427" t="n">
        <v>119</v>
      </c>
      <c r="B124" s="101" t="n"/>
      <c r="C124" s="101" t="n"/>
      <c r="D124" s="301" t="n"/>
      <c r="E124" s="665" t="n"/>
      <c r="F124" s="665" t="n"/>
      <c r="G124" s="666" t="n"/>
      <c r="H124" s="667">
        <f>ROUND(E124+F124-G124,2)</f>
        <v/>
      </c>
      <c r="I124" s="569" t="n"/>
      <c r="J124" s="645">
        <f>ROUND(H124+I124,2)</f>
        <v/>
      </c>
      <c r="K124" s="647" t="n"/>
      <c r="L124" s="648">
        <f>J124+K124</f>
        <v/>
      </c>
      <c r="M124" s="649" t="n"/>
      <c r="N124" s="102" t="n"/>
      <c r="O124" s="300" t="n"/>
      <c r="P124" s="649" t="n"/>
      <c r="Q124" s="300" t="n"/>
      <c r="R124" s="300" t="n"/>
      <c r="S124" s="300" t="n"/>
      <c r="T124" s="300" t="n"/>
      <c r="U124" s="649" t="n"/>
      <c r="V124" s="261" t="n"/>
      <c r="W124" s="261" t="n"/>
      <c r="X124" s="261" t="n"/>
      <c r="Y124" s="261" t="n"/>
      <c r="Z124" s="261" t="n"/>
      <c r="AA124" s="261" t="n"/>
      <c r="AB124" s="261" t="n"/>
      <c r="AC124" s="261" t="n"/>
      <c r="AD124" s="261" t="n"/>
      <c r="AE124" s="261" t="n"/>
    </row>
    <row r="125" ht="16" customFormat="1" customHeight="1" s="455">
      <c r="A125" s="427" t="n">
        <v>120</v>
      </c>
      <c r="B125" s="101" t="n"/>
      <c r="C125" s="101" t="n"/>
      <c r="D125" s="301" t="n"/>
      <c r="E125" s="665" t="n"/>
      <c r="F125" s="665" t="n"/>
      <c r="G125" s="666" t="n"/>
      <c r="H125" s="667">
        <f>ROUND(E125+F125-G125,2)</f>
        <v/>
      </c>
      <c r="I125" s="569" t="n"/>
      <c r="J125" s="645">
        <f>ROUND(H125+I125,2)</f>
        <v/>
      </c>
      <c r="K125" s="647" t="n"/>
      <c r="L125" s="648">
        <f>J125+K125</f>
        <v/>
      </c>
      <c r="M125" s="649" t="n"/>
      <c r="N125" s="102" t="n"/>
      <c r="O125" s="300" t="n"/>
      <c r="P125" s="649" t="n"/>
      <c r="Q125" s="300" t="n"/>
      <c r="R125" s="300" t="n"/>
      <c r="S125" s="300" t="n"/>
      <c r="T125" s="300" t="n"/>
      <c r="U125" s="649" t="n"/>
      <c r="V125" s="261" t="n"/>
      <c r="W125" s="261" t="n"/>
      <c r="X125" s="261" t="n"/>
      <c r="Y125" s="261" t="n"/>
      <c r="Z125" s="261" t="n"/>
      <c r="AA125" s="261" t="n"/>
      <c r="AB125" s="261" t="n"/>
      <c r="AC125" s="261" t="n"/>
      <c r="AD125" s="261" t="n"/>
      <c r="AE125" s="261" t="n"/>
    </row>
    <row r="126" ht="16" customFormat="1" customHeight="1" s="455">
      <c r="A126" s="427" t="n">
        <v>121</v>
      </c>
      <c r="B126" s="101" t="n"/>
      <c r="C126" s="101" t="n"/>
      <c r="D126" s="301" t="n"/>
      <c r="E126" s="665" t="n"/>
      <c r="F126" s="665" t="n"/>
      <c r="G126" s="666" t="n"/>
      <c r="H126" s="667">
        <f>ROUND(E126+F126-G126,2)</f>
        <v/>
      </c>
      <c r="I126" s="569" t="n"/>
      <c r="J126" s="645">
        <f>ROUND(H126+I126,2)</f>
        <v/>
      </c>
      <c r="K126" s="647" t="n"/>
      <c r="L126" s="648">
        <f>J126+K126</f>
        <v/>
      </c>
      <c r="M126" s="649" t="n"/>
      <c r="N126" s="102" t="n"/>
      <c r="O126" s="300" t="n"/>
      <c r="P126" s="649" t="n"/>
      <c r="Q126" s="300" t="n"/>
      <c r="R126" s="300" t="n"/>
      <c r="S126" s="300" t="n"/>
      <c r="T126" s="300" t="n"/>
      <c r="U126" s="649" t="n"/>
      <c r="V126" s="261" t="n"/>
      <c r="W126" s="261" t="n"/>
      <c r="X126" s="261" t="n"/>
      <c r="Y126" s="261" t="n"/>
      <c r="Z126" s="261" t="n"/>
      <c r="AA126" s="261" t="n"/>
      <c r="AB126" s="261" t="n"/>
      <c r="AC126" s="261" t="n"/>
      <c r="AD126" s="261" t="n"/>
      <c r="AE126" s="261" t="n"/>
    </row>
    <row r="127" ht="16" customFormat="1" customHeight="1" s="455">
      <c r="A127" s="427" t="n">
        <v>122</v>
      </c>
      <c r="B127" s="101" t="n"/>
      <c r="C127" s="101" t="n"/>
      <c r="D127" s="301" t="n"/>
      <c r="E127" s="665" t="n"/>
      <c r="F127" s="665" t="n"/>
      <c r="G127" s="666" t="n"/>
      <c r="H127" s="667">
        <f>ROUND(E127+F127-G127,2)</f>
        <v/>
      </c>
      <c r="I127" s="569" t="n"/>
      <c r="J127" s="645">
        <f>ROUND(H127+I127,2)</f>
        <v/>
      </c>
      <c r="K127" s="647" t="n"/>
      <c r="L127" s="648">
        <f>J127+K127</f>
        <v/>
      </c>
      <c r="M127" s="649" t="n"/>
      <c r="N127" s="102" t="n"/>
      <c r="O127" s="300" t="n"/>
      <c r="P127" s="649" t="n"/>
      <c r="Q127" s="300" t="n"/>
      <c r="R127" s="300" t="n"/>
      <c r="S127" s="300" t="n"/>
      <c r="T127" s="300" t="n"/>
      <c r="U127" s="649" t="n"/>
      <c r="V127" s="261" t="n"/>
      <c r="W127" s="261" t="n"/>
      <c r="X127" s="261" t="n"/>
      <c r="Y127" s="261" t="n"/>
      <c r="Z127" s="261" t="n"/>
      <c r="AA127" s="261" t="n"/>
      <c r="AB127" s="261" t="n"/>
      <c r="AC127" s="261" t="n"/>
      <c r="AD127" s="261" t="n"/>
      <c r="AE127" s="261" t="n"/>
    </row>
    <row r="128" ht="16" customFormat="1" customHeight="1" s="455">
      <c r="A128" s="427" t="n">
        <v>123</v>
      </c>
      <c r="B128" s="101" t="n"/>
      <c r="C128" s="101" t="n"/>
      <c r="D128" s="301" t="n"/>
      <c r="E128" s="665" t="n"/>
      <c r="F128" s="665" t="n"/>
      <c r="G128" s="666" t="n"/>
      <c r="H128" s="667">
        <f>ROUND(E128+F128-G128,2)</f>
        <v/>
      </c>
      <c r="I128" s="569" t="n"/>
      <c r="J128" s="645">
        <f>ROUND(H128+I128,2)</f>
        <v/>
      </c>
      <c r="K128" s="647" t="n"/>
      <c r="L128" s="648">
        <f>J128+K128</f>
        <v/>
      </c>
      <c r="M128" s="649" t="n"/>
      <c r="N128" s="102" t="n"/>
      <c r="O128" s="300" t="n"/>
      <c r="P128" s="649" t="n"/>
      <c r="Q128" s="300" t="n"/>
      <c r="R128" s="300" t="n"/>
      <c r="S128" s="300" t="n"/>
      <c r="T128" s="300" t="n"/>
      <c r="U128" s="649" t="n"/>
      <c r="V128" s="261" t="n"/>
      <c r="W128" s="261" t="n"/>
      <c r="X128" s="261" t="n"/>
      <c r="Y128" s="261" t="n"/>
      <c r="Z128" s="261" t="n"/>
      <c r="AA128" s="261" t="n"/>
      <c r="AB128" s="261" t="n"/>
      <c r="AC128" s="261" t="n"/>
      <c r="AD128" s="261" t="n"/>
      <c r="AE128" s="261" t="n"/>
    </row>
    <row r="129" ht="16" customFormat="1" customHeight="1" s="455">
      <c r="A129" s="427" t="n">
        <v>124</v>
      </c>
      <c r="B129" s="101" t="n"/>
      <c r="C129" s="101" t="n"/>
      <c r="D129" s="301" t="n"/>
      <c r="E129" s="665" t="n"/>
      <c r="F129" s="665" t="n"/>
      <c r="G129" s="666" t="n"/>
      <c r="H129" s="667">
        <f>ROUND(E129+F129-G129,2)</f>
        <v/>
      </c>
      <c r="I129" s="569" t="n"/>
      <c r="J129" s="645">
        <f>ROUND(H129+I129,2)</f>
        <v/>
      </c>
      <c r="K129" s="647" t="n"/>
      <c r="L129" s="648">
        <f>J129+K129</f>
        <v/>
      </c>
      <c r="M129" s="649" t="n"/>
      <c r="N129" s="102" t="n"/>
      <c r="O129" s="300" t="n"/>
      <c r="P129" s="649" t="n"/>
      <c r="Q129" s="300" t="n"/>
      <c r="R129" s="300" t="n"/>
      <c r="S129" s="300" t="n"/>
      <c r="T129" s="300" t="n"/>
      <c r="U129" s="649" t="n"/>
      <c r="V129" s="261" t="n"/>
      <c r="W129" s="261" t="n"/>
      <c r="X129" s="261" t="n"/>
      <c r="Y129" s="261" t="n"/>
      <c r="Z129" s="261" t="n"/>
      <c r="AA129" s="261" t="n"/>
      <c r="AB129" s="261" t="n"/>
      <c r="AC129" s="261" t="n"/>
      <c r="AD129" s="261" t="n"/>
      <c r="AE129" s="261" t="n"/>
    </row>
    <row r="130" ht="16" customFormat="1" customHeight="1" s="455">
      <c r="A130" s="427" t="n">
        <v>125</v>
      </c>
      <c r="B130" s="101" t="n"/>
      <c r="C130" s="101" t="n"/>
      <c r="D130" s="301" t="n"/>
      <c r="E130" s="665" t="n"/>
      <c r="F130" s="665" t="n"/>
      <c r="G130" s="666" t="n"/>
      <c r="H130" s="667">
        <f>ROUND(E130+F130-G130,2)</f>
        <v/>
      </c>
      <c r="I130" s="569" t="n"/>
      <c r="J130" s="645">
        <f>ROUND(H130+I130,2)</f>
        <v/>
      </c>
      <c r="K130" s="647" t="n"/>
      <c r="L130" s="648">
        <f>J130+K130</f>
        <v/>
      </c>
      <c r="M130" s="649" t="n"/>
      <c r="N130" s="102" t="n"/>
      <c r="O130" s="300" t="n"/>
      <c r="P130" s="649" t="n"/>
      <c r="Q130" s="300" t="n"/>
      <c r="R130" s="300" t="n"/>
      <c r="S130" s="300" t="n"/>
      <c r="T130" s="300" t="n"/>
      <c r="U130" s="649" t="n"/>
      <c r="V130" s="261" t="n"/>
      <c r="W130" s="261" t="n"/>
      <c r="X130" s="261" t="n"/>
      <c r="Y130" s="261" t="n"/>
      <c r="Z130" s="261" t="n"/>
      <c r="AA130" s="261" t="n"/>
      <c r="AB130" s="261" t="n"/>
      <c r="AC130" s="261" t="n"/>
      <c r="AD130" s="261" t="n"/>
      <c r="AE130" s="261" t="n"/>
    </row>
    <row r="131" ht="16" customFormat="1" customHeight="1" s="455">
      <c r="A131" s="427" t="n">
        <v>126</v>
      </c>
      <c r="B131" s="101" t="n"/>
      <c r="C131" s="101" t="n"/>
      <c r="D131" s="301" t="n"/>
      <c r="E131" s="665" t="n"/>
      <c r="F131" s="665" t="n"/>
      <c r="G131" s="666" t="n"/>
      <c r="H131" s="667">
        <f>ROUND(E131+F131-G131,2)</f>
        <v/>
      </c>
      <c r="I131" s="569" t="n"/>
      <c r="J131" s="645">
        <f>ROUND(H131+I131,2)</f>
        <v/>
      </c>
      <c r="K131" s="647" t="n"/>
      <c r="L131" s="648">
        <f>J131+K131</f>
        <v/>
      </c>
      <c r="M131" s="649" t="n"/>
      <c r="N131" s="102" t="n"/>
      <c r="O131" s="300" t="n"/>
      <c r="P131" s="649" t="n"/>
      <c r="Q131" s="300" t="n"/>
      <c r="R131" s="300" t="n"/>
      <c r="S131" s="300" t="n"/>
      <c r="T131" s="300" t="n"/>
      <c r="U131" s="649" t="n"/>
      <c r="V131" s="261" t="n"/>
      <c r="W131" s="261" t="n"/>
      <c r="X131" s="261" t="n"/>
      <c r="Y131" s="261" t="n"/>
      <c r="Z131" s="261" t="n"/>
      <c r="AA131" s="261" t="n"/>
      <c r="AB131" s="261" t="n"/>
      <c r="AC131" s="261" t="n"/>
      <c r="AD131" s="261" t="n"/>
      <c r="AE131" s="261" t="n"/>
    </row>
    <row r="132" ht="16" customFormat="1" customHeight="1" s="455">
      <c r="A132" s="427" t="n">
        <v>127</v>
      </c>
      <c r="B132" s="101" t="n"/>
      <c r="C132" s="101" t="n"/>
      <c r="D132" s="301" t="n"/>
      <c r="E132" s="665" t="n"/>
      <c r="F132" s="665" t="n"/>
      <c r="G132" s="666" t="n"/>
      <c r="H132" s="667">
        <f>ROUND(E132+F132-G132,2)</f>
        <v/>
      </c>
      <c r="I132" s="569" t="n"/>
      <c r="J132" s="645">
        <f>ROUND(H132+I132,2)</f>
        <v/>
      </c>
      <c r="K132" s="647" t="n"/>
      <c r="L132" s="648">
        <f>J132+K132</f>
        <v/>
      </c>
      <c r="M132" s="649" t="n"/>
      <c r="N132" s="102" t="n"/>
      <c r="O132" s="300" t="n"/>
      <c r="P132" s="649" t="n"/>
      <c r="Q132" s="300" t="n"/>
      <c r="R132" s="300" t="n"/>
      <c r="S132" s="300" t="n"/>
      <c r="T132" s="300" t="n"/>
      <c r="U132" s="649" t="n"/>
      <c r="V132" s="261" t="n"/>
      <c r="W132" s="261" t="n"/>
      <c r="X132" s="261" t="n"/>
      <c r="Y132" s="261" t="n"/>
      <c r="Z132" s="261" t="n"/>
      <c r="AA132" s="261" t="n"/>
      <c r="AB132" s="261" t="n"/>
      <c r="AC132" s="261" t="n"/>
      <c r="AD132" s="261" t="n"/>
      <c r="AE132" s="261" t="n"/>
    </row>
    <row r="133" ht="16" customFormat="1" customHeight="1" s="455">
      <c r="A133" s="427" t="n">
        <v>128</v>
      </c>
      <c r="B133" s="101" t="n"/>
      <c r="C133" s="101" t="n"/>
      <c r="D133" s="301" t="n"/>
      <c r="E133" s="665" t="n"/>
      <c r="F133" s="665" t="n"/>
      <c r="G133" s="666" t="n"/>
      <c r="H133" s="667">
        <f>ROUND(E133+F133-G133,2)</f>
        <v/>
      </c>
      <c r="I133" s="569" t="n"/>
      <c r="J133" s="645">
        <f>ROUND(H133+I133,2)</f>
        <v/>
      </c>
      <c r="K133" s="647" t="n"/>
      <c r="L133" s="648">
        <f>J133+K133</f>
        <v/>
      </c>
      <c r="M133" s="649" t="n"/>
      <c r="N133" s="102" t="n"/>
      <c r="O133" s="300" t="n"/>
      <c r="P133" s="649" t="n"/>
      <c r="Q133" s="300" t="n"/>
      <c r="R133" s="300" t="n"/>
      <c r="S133" s="300" t="n"/>
      <c r="T133" s="300" t="n"/>
      <c r="U133" s="649" t="n"/>
      <c r="V133" s="261" t="n"/>
      <c r="W133" s="261" t="n"/>
      <c r="X133" s="261" t="n"/>
      <c r="Y133" s="261" t="n"/>
      <c r="Z133" s="261" t="n"/>
      <c r="AA133" s="261" t="n"/>
      <c r="AB133" s="261" t="n"/>
      <c r="AC133" s="261" t="n"/>
      <c r="AD133" s="261" t="n"/>
      <c r="AE133" s="261" t="n"/>
    </row>
    <row r="134" ht="16" customFormat="1" customHeight="1" s="455">
      <c r="A134" s="427" t="n">
        <v>129</v>
      </c>
      <c r="B134" s="101" t="n"/>
      <c r="C134" s="101" t="n"/>
      <c r="D134" s="301" t="n"/>
      <c r="E134" s="665" t="n"/>
      <c r="F134" s="665" t="n"/>
      <c r="G134" s="666" t="n"/>
      <c r="H134" s="667">
        <f>ROUND(E134+F134-G134,2)</f>
        <v/>
      </c>
      <c r="I134" s="569" t="n"/>
      <c r="J134" s="645">
        <f>ROUND(H134+I134,2)</f>
        <v/>
      </c>
      <c r="K134" s="647" t="n"/>
      <c r="L134" s="648">
        <f>J134+K134</f>
        <v/>
      </c>
      <c r="M134" s="649" t="n"/>
      <c r="N134" s="102" t="n"/>
      <c r="O134" s="300" t="n"/>
      <c r="P134" s="649" t="n"/>
      <c r="Q134" s="300" t="n"/>
      <c r="R134" s="300" t="n"/>
      <c r="S134" s="300" t="n"/>
      <c r="T134" s="300" t="n"/>
      <c r="U134" s="649" t="n"/>
      <c r="V134" s="261" t="n"/>
      <c r="W134" s="261" t="n"/>
      <c r="X134" s="261" t="n"/>
      <c r="Y134" s="261" t="n"/>
      <c r="Z134" s="261" t="n"/>
      <c r="AA134" s="261" t="n"/>
      <c r="AB134" s="261" t="n"/>
      <c r="AC134" s="261" t="n"/>
      <c r="AD134" s="261" t="n"/>
      <c r="AE134" s="261" t="n"/>
    </row>
    <row r="135" ht="16" customFormat="1" customHeight="1" s="455">
      <c r="A135" s="427" t="n">
        <v>130</v>
      </c>
      <c r="B135" s="101" t="n"/>
      <c r="C135" s="101" t="n"/>
      <c r="D135" s="301" t="n"/>
      <c r="E135" s="665" t="n"/>
      <c r="F135" s="665" t="n"/>
      <c r="G135" s="666" t="n"/>
      <c r="H135" s="667">
        <f>ROUND(E135+F135-G135,2)</f>
        <v/>
      </c>
      <c r="I135" s="569" t="n"/>
      <c r="J135" s="645">
        <f>ROUND(H135+I135,2)</f>
        <v/>
      </c>
      <c r="K135" s="647" t="n"/>
      <c r="L135" s="648">
        <f>J135+K135</f>
        <v/>
      </c>
      <c r="M135" s="649" t="n"/>
      <c r="N135" s="102" t="n"/>
      <c r="O135" s="300" t="n"/>
      <c r="P135" s="649" t="n"/>
      <c r="Q135" s="300" t="n"/>
      <c r="R135" s="300" t="n"/>
      <c r="S135" s="300" t="n"/>
      <c r="T135" s="300" t="n"/>
      <c r="U135" s="649" t="n"/>
      <c r="V135" s="261" t="n"/>
      <c r="W135" s="261" t="n"/>
      <c r="X135" s="261" t="n"/>
      <c r="Y135" s="261" t="n"/>
      <c r="Z135" s="261" t="n"/>
      <c r="AA135" s="261" t="n"/>
      <c r="AB135" s="261" t="n"/>
      <c r="AC135" s="261" t="n"/>
      <c r="AD135" s="261" t="n"/>
      <c r="AE135" s="261" t="n"/>
    </row>
    <row r="136" ht="16" customFormat="1" customHeight="1" s="455">
      <c r="A136" s="427" t="n">
        <v>131</v>
      </c>
      <c r="B136" s="101" t="n"/>
      <c r="C136" s="101" t="n"/>
      <c r="D136" s="301" t="n"/>
      <c r="E136" s="665" t="n"/>
      <c r="F136" s="665" t="n"/>
      <c r="G136" s="666" t="n"/>
      <c r="H136" s="667">
        <f>ROUND(E136+F136-G136,2)</f>
        <v/>
      </c>
      <c r="I136" s="569" t="n"/>
      <c r="J136" s="645">
        <f>ROUND(H136+I136,2)</f>
        <v/>
      </c>
      <c r="K136" s="647" t="n"/>
      <c r="L136" s="648">
        <f>J136+K136</f>
        <v/>
      </c>
      <c r="M136" s="649" t="n"/>
      <c r="N136" s="102" t="n"/>
      <c r="O136" s="300" t="n"/>
      <c r="P136" s="649" t="n"/>
      <c r="Q136" s="300" t="n"/>
      <c r="R136" s="300" t="n"/>
      <c r="S136" s="300" t="n"/>
      <c r="T136" s="300" t="n"/>
      <c r="U136" s="649" t="n"/>
      <c r="V136" s="261" t="n"/>
      <c r="W136" s="261" t="n"/>
      <c r="X136" s="261" t="n"/>
      <c r="Y136" s="261" t="n"/>
      <c r="Z136" s="261" t="n"/>
      <c r="AA136" s="261" t="n"/>
      <c r="AB136" s="261" t="n"/>
      <c r="AC136" s="261" t="n"/>
      <c r="AD136" s="261" t="n"/>
      <c r="AE136" s="261" t="n"/>
    </row>
    <row r="137" ht="16" customFormat="1" customHeight="1" s="455">
      <c r="A137" s="427" t="n">
        <v>132</v>
      </c>
      <c r="B137" s="101" t="n"/>
      <c r="C137" s="101" t="n"/>
      <c r="D137" s="301" t="n"/>
      <c r="E137" s="665" t="n"/>
      <c r="F137" s="665" t="n"/>
      <c r="G137" s="666" t="n"/>
      <c r="H137" s="667">
        <f>ROUND(E137+F137-G137,2)</f>
        <v/>
      </c>
      <c r="I137" s="569" t="n"/>
      <c r="J137" s="645">
        <f>ROUND(H137+I137,2)</f>
        <v/>
      </c>
      <c r="K137" s="647" t="n"/>
      <c r="L137" s="648">
        <f>J137+K137</f>
        <v/>
      </c>
      <c r="M137" s="649" t="n"/>
      <c r="N137" s="102" t="n"/>
      <c r="O137" s="300" t="n"/>
      <c r="P137" s="649" t="n"/>
      <c r="Q137" s="300" t="n"/>
      <c r="R137" s="300" t="n"/>
      <c r="S137" s="300" t="n"/>
      <c r="T137" s="300" t="n"/>
      <c r="U137" s="649" t="n"/>
      <c r="V137" s="261" t="n"/>
      <c r="W137" s="261" t="n"/>
      <c r="X137" s="261" t="n"/>
      <c r="Y137" s="261" t="n"/>
      <c r="Z137" s="261" t="n"/>
      <c r="AA137" s="261" t="n"/>
      <c r="AB137" s="261" t="n"/>
      <c r="AC137" s="261" t="n"/>
      <c r="AD137" s="261" t="n"/>
      <c r="AE137" s="261" t="n"/>
    </row>
    <row r="138" ht="16" customFormat="1" customHeight="1" s="455">
      <c r="A138" s="427" t="n">
        <v>133</v>
      </c>
      <c r="B138" s="101" t="n"/>
      <c r="C138" s="101" t="n"/>
      <c r="D138" s="301" t="n"/>
      <c r="E138" s="665" t="n"/>
      <c r="F138" s="665" t="n"/>
      <c r="G138" s="666" t="n"/>
      <c r="H138" s="667">
        <f>ROUND(E138+F138-G138,2)</f>
        <v/>
      </c>
      <c r="I138" s="569" t="n"/>
      <c r="J138" s="645">
        <f>ROUND(H138+I138,2)</f>
        <v/>
      </c>
      <c r="K138" s="647" t="n"/>
      <c r="L138" s="648">
        <f>J138+K138</f>
        <v/>
      </c>
      <c r="M138" s="649" t="n"/>
      <c r="N138" s="102" t="n"/>
      <c r="O138" s="300" t="n"/>
      <c r="P138" s="649" t="n"/>
      <c r="Q138" s="300" t="n"/>
      <c r="R138" s="300" t="n"/>
      <c r="S138" s="300" t="n"/>
      <c r="T138" s="300" t="n"/>
      <c r="U138" s="649" t="n"/>
      <c r="V138" s="261" t="n"/>
      <c r="W138" s="261" t="n"/>
      <c r="X138" s="261" t="n"/>
      <c r="Y138" s="261" t="n"/>
      <c r="Z138" s="261" t="n"/>
      <c r="AA138" s="261" t="n"/>
      <c r="AB138" s="261" t="n"/>
      <c r="AC138" s="261" t="n"/>
      <c r="AD138" s="261" t="n"/>
      <c r="AE138" s="261" t="n"/>
    </row>
    <row r="139" ht="16" customFormat="1" customHeight="1" s="455">
      <c r="A139" s="427" t="n">
        <v>134</v>
      </c>
      <c r="B139" s="101" t="n"/>
      <c r="C139" s="101" t="n"/>
      <c r="D139" s="301" t="n"/>
      <c r="E139" s="665" t="n"/>
      <c r="F139" s="665" t="n"/>
      <c r="G139" s="666" t="n"/>
      <c r="H139" s="667">
        <f>ROUND(E139+F139-G139,2)</f>
        <v/>
      </c>
      <c r="I139" s="569" t="n"/>
      <c r="J139" s="645">
        <f>ROUND(H139+I139,2)</f>
        <v/>
      </c>
      <c r="K139" s="647" t="n"/>
      <c r="L139" s="648">
        <f>J139+K139</f>
        <v/>
      </c>
      <c r="M139" s="649" t="n"/>
      <c r="N139" s="102" t="n"/>
      <c r="O139" s="300" t="n"/>
      <c r="P139" s="649" t="n"/>
      <c r="Q139" s="300" t="n"/>
      <c r="R139" s="300" t="n"/>
      <c r="S139" s="300" t="n"/>
      <c r="T139" s="300" t="n"/>
      <c r="U139" s="649" t="n"/>
      <c r="V139" s="261" t="n"/>
      <c r="W139" s="261" t="n"/>
      <c r="X139" s="261" t="n"/>
      <c r="Y139" s="261" t="n"/>
      <c r="Z139" s="261" t="n"/>
      <c r="AA139" s="261" t="n"/>
      <c r="AB139" s="261" t="n"/>
      <c r="AC139" s="261" t="n"/>
      <c r="AD139" s="261" t="n"/>
      <c r="AE139" s="261" t="n"/>
    </row>
    <row r="140" ht="16" customFormat="1" customHeight="1" s="455">
      <c r="A140" s="427" t="n">
        <v>135</v>
      </c>
      <c r="B140" s="101" t="n"/>
      <c r="C140" s="101" t="n"/>
      <c r="D140" s="301" t="n"/>
      <c r="E140" s="665" t="n"/>
      <c r="F140" s="665" t="n"/>
      <c r="G140" s="666" t="n"/>
      <c r="H140" s="667">
        <f>ROUND(E140+F140-G140,2)</f>
        <v/>
      </c>
      <c r="I140" s="569" t="n"/>
      <c r="J140" s="645">
        <f>ROUND(H140+I140,2)</f>
        <v/>
      </c>
      <c r="K140" s="647" t="n"/>
      <c r="L140" s="648">
        <f>J140+K140</f>
        <v/>
      </c>
      <c r="M140" s="649" t="n"/>
      <c r="N140" s="102" t="n"/>
      <c r="O140" s="300" t="n"/>
      <c r="P140" s="649" t="n"/>
      <c r="Q140" s="300" t="n"/>
      <c r="R140" s="300" t="n"/>
      <c r="S140" s="300" t="n"/>
      <c r="T140" s="300" t="n"/>
      <c r="U140" s="649" t="n"/>
      <c r="V140" s="261" t="n"/>
      <c r="W140" s="261" t="n"/>
      <c r="X140" s="261" t="n"/>
      <c r="Y140" s="261" t="n"/>
      <c r="Z140" s="261" t="n"/>
      <c r="AA140" s="261" t="n"/>
      <c r="AB140" s="261" t="n"/>
      <c r="AC140" s="261" t="n"/>
      <c r="AD140" s="261" t="n"/>
      <c r="AE140" s="261" t="n"/>
    </row>
    <row r="141" ht="16" customFormat="1" customHeight="1" s="455">
      <c r="A141" s="427" t="n">
        <v>136</v>
      </c>
      <c r="B141" s="101" t="n"/>
      <c r="C141" s="101" t="n"/>
      <c r="D141" s="301" t="n"/>
      <c r="E141" s="665" t="n"/>
      <c r="F141" s="665" t="n"/>
      <c r="G141" s="666" t="n"/>
      <c r="H141" s="667">
        <f>ROUND(E141+F141-G141,2)</f>
        <v/>
      </c>
      <c r="I141" s="569" t="n"/>
      <c r="J141" s="645">
        <f>ROUND(H141+I141,2)</f>
        <v/>
      </c>
      <c r="K141" s="647" t="n"/>
      <c r="L141" s="648">
        <f>J141+K141</f>
        <v/>
      </c>
      <c r="M141" s="649" t="n"/>
      <c r="N141" s="102" t="n"/>
      <c r="O141" s="300" t="n"/>
      <c r="P141" s="649" t="n"/>
      <c r="Q141" s="300" t="n"/>
      <c r="R141" s="300" t="n"/>
      <c r="S141" s="300" t="n"/>
      <c r="T141" s="300" t="n"/>
      <c r="U141" s="649" t="n"/>
      <c r="V141" s="261" t="n"/>
      <c r="W141" s="261" t="n"/>
      <c r="X141" s="261" t="n"/>
      <c r="Y141" s="261" t="n"/>
      <c r="Z141" s="261" t="n"/>
      <c r="AA141" s="261" t="n"/>
      <c r="AB141" s="261" t="n"/>
      <c r="AC141" s="261" t="n"/>
      <c r="AD141" s="261" t="n"/>
      <c r="AE141" s="261" t="n"/>
    </row>
    <row r="142" ht="16" customFormat="1" customHeight="1" s="455">
      <c r="A142" s="427" t="n">
        <v>137</v>
      </c>
      <c r="B142" s="101" t="n"/>
      <c r="C142" s="101" t="n"/>
      <c r="D142" s="301" t="n"/>
      <c r="E142" s="665" t="n"/>
      <c r="F142" s="665" t="n"/>
      <c r="G142" s="666" t="n"/>
      <c r="H142" s="667">
        <f>ROUND(E142+F142-G142,2)</f>
        <v/>
      </c>
      <c r="I142" s="569" t="n"/>
      <c r="J142" s="645">
        <f>ROUND(H142+I142,2)</f>
        <v/>
      </c>
      <c r="K142" s="647" t="n"/>
      <c r="L142" s="648">
        <f>J142+K142</f>
        <v/>
      </c>
      <c r="M142" s="649" t="n"/>
      <c r="N142" s="102" t="n"/>
      <c r="O142" s="300" t="n"/>
      <c r="P142" s="649" t="n"/>
      <c r="Q142" s="300" t="n"/>
      <c r="R142" s="300" t="n"/>
      <c r="S142" s="300" t="n"/>
      <c r="T142" s="300" t="n"/>
      <c r="U142" s="649" t="n"/>
      <c r="V142" s="261" t="n"/>
      <c r="W142" s="261" t="n"/>
      <c r="X142" s="261" t="n"/>
      <c r="Y142" s="261" t="n"/>
      <c r="Z142" s="261" t="n"/>
      <c r="AA142" s="261" t="n"/>
      <c r="AB142" s="261" t="n"/>
      <c r="AC142" s="261" t="n"/>
      <c r="AD142" s="261" t="n"/>
      <c r="AE142" s="261" t="n"/>
    </row>
    <row r="143" ht="16" customFormat="1" customHeight="1" s="455">
      <c r="A143" s="427" t="n">
        <v>138</v>
      </c>
      <c r="B143" s="101" t="n"/>
      <c r="C143" s="101" t="n"/>
      <c r="D143" s="301" t="n"/>
      <c r="E143" s="665" t="n"/>
      <c r="F143" s="665" t="n"/>
      <c r="G143" s="666" t="n"/>
      <c r="H143" s="667">
        <f>ROUND(E143+F143-G143,2)</f>
        <v/>
      </c>
      <c r="I143" s="569" t="n"/>
      <c r="J143" s="645">
        <f>ROUND(H143+I143,2)</f>
        <v/>
      </c>
      <c r="K143" s="647" t="n"/>
      <c r="L143" s="648">
        <f>J143+K143</f>
        <v/>
      </c>
      <c r="M143" s="649" t="n"/>
      <c r="N143" s="102" t="n"/>
      <c r="O143" s="300" t="n"/>
      <c r="P143" s="649" t="n"/>
      <c r="Q143" s="300" t="n"/>
      <c r="R143" s="300" t="n"/>
      <c r="S143" s="300" t="n"/>
      <c r="T143" s="300" t="n"/>
      <c r="U143" s="649" t="n"/>
      <c r="V143" s="261" t="n"/>
      <c r="W143" s="261" t="n"/>
      <c r="X143" s="261" t="n"/>
      <c r="Y143" s="261" t="n"/>
      <c r="Z143" s="261" t="n"/>
      <c r="AA143" s="261" t="n"/>
      <c r="AB143" s="261" t="n"/>
      <c r="AC143" s="261" t="n"/>
      <c r="AD143" s="261" t="n"/>
      <c r="AE143" s="261" t="n"/>
    </row>
    <row r="144" ht="16" customFormat="1" customHeight="1" s="455">
      <c r="A144" s="427" t="n">
        <v>139</v>
      </c>
      <c r="B144" s="101" t="n"/>
      <c r="C144" s="101" t="n"/>
      <c r="D144" s="301" t="n"/>
      <c r="E144" s="665" t="n"/>
      <c r="F144" s="665" t="n"/>
      <c r="G144" s="666" t="n"/>
      <c r="H144" s="667">
        <f>ROUND(E144+F144-G144,2)</f>
        <v/>
      </c>
      <c r="I144" s="569" t="n"/>
      <c r="J144" s="645">
        <f>ROUND(H144+I144,2)</f>
        <v/>
      </c>
      <c r="K144" s="647" t="n"/>
      <c r="L144" s="648">
        <f>J144+K144</f>
        <v/>
      </c>
      <c r="M144" s="649" t="n"/>
      <c r="N144" s="102" t="n"/>
      <c r="O144" s="300" t="n"/>
      <c r="P144" s="649" t="n"/>
      <c r="Q144" s="300" t="n"/>
      <c r="R144" s="300" t="n"/>
      <c r="S144" s="300" t="n"/>
      <c r="T144" s="300" t="n"/>
      <c r="U144" s="649" t="n"/>
      <c r="V144" s="261" t="n"/>
      <c r="W144" s="261" t="n"/>
      <c r="X144" s="261" t="n"/>
      <c r="Y144" s="261" t="n"/>
      <c r="Z144" s="261" t="n"/>
      <c r="AA144" s="261" t="n"/>
      <c r="AB144" s="261" t="n"/>
      <c r="AC144" s="261" t="n"/>
      <c r="AD144" s="261" t="n"/>
      <c r="AE144" s="261" t="n"/>
    </row>
    <row r="145" ht="16" customFormat="1" customHeight="1" s="455">
      <c r="A145" s="427" t="n">
        <v>140</v>
      </c>
      <c r="B145" s="101" t="n"/>
      <c r="C145" s="101" t="n"/>
      <c r="D145" s="301" t="n"/>
      <c r="E145" s="665" t="n"/>
      <c r="F145" s="665" t="n"/>
      <c r="G145" s="666" t="n"/>
      <c r="H145" s="667">
        <f>ROUND(E145+F145-G145,2)</f>
        <v/>
      </c>
      <c r="I145" s="569" t="n"/>
      <c r="J145" s="645">
        <f>ROUND(H145+I145,2)</f>
        <v/>
      </c>
      <c r="K145" s="647" t="n"/>
      <c r="L145" s="648">
        <f>J145+K145</f>
        <v/>
      </c>
      <c r="M145" s="649" t="n"/>
      <c r="N145" s="102" t="n"/>
      <c r="O145" s="300" t="n"/>
      <c r="P145" s="649" t="n"/>
      <c r="Q145" s="300" t="n"/>
      <c r="R145" s="300" t="n"/>
      <c r="S145" s="300" t="n"/>
      <c r="T145" s="300" t="n"/>
      <c r="U145" s="649" t="n"/>
      <c r="V145" s="261" t="n"/>
      <c r="W145" s="261" t="n"/>
      <c r="X145" s="261" t="n"/>
      <c r="Y145" s="261" t="n"/>
      <c r="Z145" s="261" t="n"/>
      <c r="AA145" s="261" t="n"/>
      <c r="AB145" s="261" t="n"/>
      <c r="AC145" s="261" t="n"/>
      <c r="AD145" s="261" t="n"/>
      <c r="AE145" s="261" t="n"/>
    </row>
    <row r="146" ht="17" customFormat="1" customHeight="1" s="521">
      <c r="A146" s="662" t="inlineStr">
        <is>
          <t>账面余额总计</t>
        </is>
      </c>
      <c r="B146" s="563" t="n"/>
      <c r="C146" s="304" t="n"/>
      <c r="D146" s="262" t="n"/>
      <c r="E146" s="645">
        <f>ROUND(SUM(E6:E145),2)</f>
        <v/>
      </c>
      <c r="F146" s="645">
        <f>ROUND(SUM(F6:F145),2)</f>
        <v/>
      </c>
      <c r="G146" s="645">
        <f>ROUND(SUM(G6:G145),2)</f>
        <v/>
      </c>
      <c r="H146" s="667">
        <f>ROUND(SUM(H6:H145),2)</f>
        <v/>
      </c>
      <c r="I146" s="645">
        <f>ROUND(SUM(I6:I145),2)</f>
        <v/>
      </c>
      <c r="J146" s="645">
        <f>ROUND(SUM(J6:J145),2)</f>
        <v/>
      </c>
      <c r="K146" s="645">
        <f>ROUND(SUM(K6:K145),2)</f>
        <v/>
      </c>
      <c r="L146" s="648">
        <f>J146+K146</f>
        <v/>
      </c>
      <c r="M146" s="657" t="n"/>
      <c r="N146" s="657">
        <f>ROUND(SUM(N6:N145),2)</f>
        <v/>
      </c>
      <c r="O146" s="657" t="n"/>
      <c r="P146" s="657" t="n"/>
      <c r="Q146" s="657" t="n"/>
      <c r="R146" s="657" t="n"/>
      <c r="S146" s="657" t="n"/>
      <c r="T146" s="657" t="n"/>
      <c r="U146" s="657" t="n"/>
      <c r="V146" s="305" t="n"/>
      <c r="W146" s="525" t="n"/>
      <c r="X146" s="525" t="n"/>
      <c r="Y146" s="525" t="n"/>
      <c r="Z146" s="525" t="n"/>
      <c r="AA146" s="525" t="n"/>
      <c r="AB146" s="525" t="n"/>
      <c r="AC146" s="525" t="n"/>
      <c r="AD146" s="525" t="n"/>
      <c r="AE146" s="525" t="n"/>
    </row>
    <row r="147" ht="17" customHeight="1" s="559">
      <c r="A147" s="662" t="inlineStr">
        <is>
          <t>坏账准备</t>
        </is>
      </c>
      <c r="B147" s="563" t="n"/>
      <c r="C147" s="304" t="n"/>
      <c r="D147" s="262" t="n"/>
      <c r="E147" s="665" t="n"/>
      <c r="F147" s="582" t="n"/>
      <c r="G147" s="582" t="n"/>
      <c r="H147" s="668">
        <f>E147+G147-F147</f>
        <v/>
      </c>
      <c r="I147" s="582" t="n"/>
      <c r="J147" s="669">
        <f>H147+I147</f>
        <v/>
      </c>
      <c r="K147" s="579" t="n"/>
      <c r="L147" s="648">
        <f>J147+K147</f>
        <v/>
      </c>
      <c r="M147" s="261" t="n"/>
      <c r="N147" s="261" t="n"/>
      <c r="O147" s="261" t="n"/>
      <c r="P147" s="261" t="n"/>
      <c r="Q147" s="261" t="n"/>
      <c r="R147" s="261" t="n"/>
      <c r="S147" s="261" t="n"/>
      <c r="T147" s="261" t="n"/>
      <c r="U147" s="261" t="n"/>
    </row>
    <row r="148" ht="17" customHeight="1" s="559">
      <c r="A148" s="662" t="inlineStr">
        <is>
          <t>账面价值总计</t>
        </is>
      </c>
      <c r="B148" s="563" t="n"/>
      <c r="C148" s="304" t="n"/>
      <c r="D148" s="262" t="n"/>
      <c r="E148" s="645">
        <f>ROUND(E146-E147,2)</f>
        <v/>
      </c>
      <c r="F148" s="645" t="n"/>
      <c r="G148" s="645" t="n"/>
      <c r="H148" s="667">
        <f>ROUND(H146-H147,2)</f>
        <v/>
      </c>
      <c r="I148" s="645">
        <f>ROUND(I146-I147,2)</f>
        <v/>
      </c>
      <c r="J148" s="645">
        <f>ROUND(J146-J147,2)</f>
        <v/>
      </c>
      <c r="K148" s="645">
        <f>ROUND(K146-K147,2)</f>
        <v/>
      </c>
      <c r="L148" s="648">
        <f>J148+K148</f>
        <v/>
      </c>
      <c r="M148" s="657" t="n"/>
      <c r="N148" s="657" t="n"/>
      <c r="O148" s="657" t="n"/>
      <c r="P148" s="657" t="n"/>
      <c r="Q148" s="657" t="n"/>
      <c r="R148" s="657" t="n"/>
      <c r="S148" s="657" t="n"/>
      <c r="T148" s="657" t="n"/>
      <c r="U148" s="657" t="n"/>
    </row>
    <row r="150" ht="24" customHeight="1" s="559">
      <c r="B150" s="570" t="inlineStr">
        <is>
          <t>审计说明：</t>
        </is>
      </c>
    </row>
  </sheetData>
  <autoFilter ref="A5:AE148"/>
  <mergeCells count="22">
    <mergeCell ref="R4:R5"/>
    <mergeCell ref="A148:B148"/>
    <mergeCell ref="C4:C5"/>
    <mergeCell ref="T4:T5"/>
    <mergeCell ref="O4:O5"/>
    <mergeCell ref="A146:B146"/>
    <mergeCell ref="E4:I4"/>
    <mergeCell ref="Q4:Q5"/>
    <mergeCell ref="D4:D5"/>
    <mergeCell ref="J4:J5"/>
    <mergeCell ref="L4:L5"/>
    <mergeCell ref="A4:A5"/>
    <mergeCell ref="V4:AE4"/>
    <mergeCell ref="K4:K5"/>
    <mergeCell ref="S4:S5"/>
    <mergeCell ref="U4:U5"/>
    <mergeCell ref="A147:B147"/>
    <mergeCell ref="M4:M5"/>
    <mergeCell ref="B4:B5"/>
    <mergeCell ref="N4:N5"/>
    <mergeCell ref="A1:O1"/>
    <mergeCell ref="P4:P5"/>
  </mergeCells>
  <dataValidations count="1">
    <dataValidation sqref="M6:M145 P6:P145 U6:U145" showDropDown="0" showInputMessage="1" showErrorMessage="1" allowBlank="1" type="list">
      <formula1>"√"</formula1>
    </dataValidation>
  </dataValidations>
  <pageMargins left="0.75" right="0.75" top="1" bottom="1" header="0.5" footer="0.5"/>
</worksheet>
</file>

<file path=xl/worksheets/sheet19.xml><?xml version="1.0" encoding="utf-8"?>
<worksheet xmlns="http://schemas.openxmlformats.org/spreadsheetml/2006/main">
  <sheetPr codeName="Sheet16">
    <outlinePr summaryBelow="1" summaryRight="1"/>
    <pageSetUpPr/>
  </sheetPr>
  <dimension ref="A1:J23"/>
  <sheetViews>
    <sheetView zoomScale="90" zoomScaleNormal="90" workbookViewId="0">
      <selection activeCell="J29" sqref="J29"/>
    </sheetView>
  </sheetViews>
  <sheetFormatPr baseColWidth="8" defaultColWidth="8.731481481481479" defaultRowHeight="14.4"/>
  <cols>
    <col width="7.18518518518519" customWidth="1" style="559" min="1" max="1"/>
    <col width="13.4259259259259" customWidth="1" style="559" min="2" max="2"/>
    <col width="14.2685185185185" customWidth="1" style="559" min="3" max="3"/>
    <col width="15.8518518518519" customWidth="1" style="559" min="4" max="4"/>
    <col width="14.9444444444444" customWidth="1" style="559" min="5" max="5"/>
    <col width="12.0185185185185" customWidth="1" style="559" min="6" max="6"/>
    <col width="11.712962962963" customWidth="1" style="559" min="7" max="7"/>
    <col width="13.4351851851852" customWidth="1" style="559" min="8" max="8"/>
    <col width="12.7314814814815" customWidth="1" style="559" min="9" max="9"/>
    <col width="15.037037037037" customWidth="1" style="559" min="10" max="10"/>
    <col width="9.731481481481479" customWidth="1" style="559" min="12" max="12"/>
    <col width="10.0925925925926" customWidth="1" style="559" min="13" max="13"/>
  </cols>
  <sheetData>
    <row r="1" ht="22" customHeight="1" s="559">
      <c r="A1" s="247" t="inlineStr">
        <is>
          <t>关联方交易列示及核对</t>
        </is>
      </c>
    </row>
    <row r="2">
      <c r="A2" s="2">
        <f>备忘录!$A$1</f>
        <v/>
      </c>
      <c r="B2" s="455" t="n"/>
      <c r="C2" s="456" t="n"/>
      <c r="D2" s="456" t="n"/>
      <c r="E2" s="456" t="inlineStr">
        <is>
          <t>编制人：刘喜琴</t>
        </is>
      </c>
      <c r="G2" s="456" t="n"/>
      <c r="H2" s="211">
        <f>备忘录!$C$2</f>
        <v/>
      </c>
      <c r="I2" s="456" t="n"/>
      <c r="J2" s="456" t="n"/>
    </row>
    <row r="3">
      <c r="A3" s="2">
        <f>备忘录!$A$2</f>
        <v/>
      </c>
      <c r="B3" s="455" t="n"/>
      <c r="C3" s="456" t="n"/>
      <c r="D3" s="456" t="n"/>
      <c r="E3" s="456" t="inlineStr">
        <is>
          <t>复核人：赵玮</t>
        </is>
      </c>
      <c r="G3" s="456" t="n"/>
      <c r="H3" s="211">
        <f>备忘录!$C$3</f>
        <v/>
      </c>
      <c r="I3" s="456" t="n"/>
      <c r="J3" s="456" t="n"/>
    </row>
    <row r="4" ht="18" customHeight="1" s="559">
      <c r="A4" s="276" t="inlineStr">
        <is>
          <t>编号</t>
        </is>
      </c>
      <c r="B4" s="670" t="inlineStr">
        <is>
          <t>项目名称</t>
        </is>
      </c>
      <c r="C4" s="670" t="inlineStr">
        <is>
          <t>关联单位名称</t>
        </is>
      </c>
      <c r="D4" s="670" t="inlineStr">
        <is>
          <t>关联方关系</t>
        </is>
      </c>
      <c r="E4" s="671" t="inlineStr">
        <is>
          <t>期末余额</t>
        </is>
      </c>
      <c r="F4" s="279" t="inlineStr">
        <is>
          <t>款项性质</t>
        </is>
      </c>
      <c r="G4" s="280" t="inlineStr">
        <is>
          <t>关联方信息</t>
        </is>
      </c>
      <c r="H4" s="562" t="n"/>
      <c r="I4" s="562" t="n"/>
      <c r="J4" s="563" t="n"/>
    </row>
    <row r="5" ht="18" customHeight="1" s="559">
      <c r="A5" s="672" t="n"/>
      <c r="B5" s="672" t="n"/>
      <c r="C5" s="672" t="n"/>
      <c r="D5" s="672" t="n"/>
      <c r="E5" s="560" t="n"/>
      <c r="F5" s="560" t="n"/>
      <c r="G5" s="280" t="inlineStr">
        <is>
          <t>挂账科目</t>
        </is>
      </c>
      <c r="H5" s="280" t="inlineStr">
        <is>
          <t>期末金额</t>
        </is>
      </c>
      <c r="I5" s="280" t="inlineStr">
        <is>
          <t>款项性质</t>
        </is>
      </c>
      <c r="J5" s="280" t="inlineStr">
        <is>
          <t>核对差异</t>
        </is>
      </c>
    </row>
    <row r="6">
      <c r="A6" s="427" t="n">
        <v>1</v>
      </c>
      <c r="B6" s="283" t="inlineStr">
        <is>
          <t>应收账款</t>
        </is>
      </c>
      <c r="C6" s="261" t="n"/>
      <c r="D6" s="261" t="n"/>
      <c r="E6" s="261" t="n"/>
      <c r="F6" s="261" t="n"/>
      <c r="G6" s="261" t="n"/>
      <c r="H6" s="261" t="n"/>
      <c r="I6" s="261" t="n"/>
      <c r="J6" s="673">
        <f>E6-H6</f>
        <v/>
      </c>
    </row>
    <row r="7">
      <c r="A7" s="427" t="n">
        <v>2</v>
      </c>
      <c r="B7" s="283" t="inlineStr">
        <is>
          <t>应付账款</t>
        </is>
      </c>
      <c r="C7" s="261" t="n"/>
      <c r="D7" s="261" t="n"/>
      <c r="E7" s="261" t="n"/>
      <c r="F7" s="261" t="n"/>
      <c r="G7" s="261" t="n"/>
      <c r="H7" s="261" t="n"/>
      <c r="I7" s="261" t="n"/>
      <c r="J7" s="673">
        <f>E7-H7</f>
        <v/>
      </c>
    </row>
    <row r="8">
      <c r="A8" s="427" t="n">
        <v>3</v>
      </c>
      <c r="B8" s="283" t="inlineStr">
        <is>
          <t>其他应收款</t>
        </is>
      </c>
      <c r="C8" s="261" t="n"/>
      <c r="D8" s="261" t="n"/>
      <c r="E8" s="261" t="n"/>
      <c r="F8" s="261" t="n"/>
      <c r="G8" s="261" t="n"/>
      <c r="H8" s="261" t="n"/>
      <c r="I8" s="261" t="n"/>
      <c r="J8" s="673">
        <f>E8-H8</f>
        <v/>
      </c>
    </row>
    <row r="9">
      <c r="A9" s="427" t="n">
        <v>4</v>
      </c>
      <c r="B9" s="283" t="inlineStr">
        <is>
          <t>其他应付款</t>
        </is>
      </c>
      <c r="C9" s="261" t="n"/>
      <c r="D9" s="261" t="n"/>
      <c r="E9" s="261" t="n"/>
      <c r="F9" s="261" t="n"/>
      <c r="G9" s="261" t="n"/>
      <c r="H9" s="261" t="n"/>
      <c r="I9" s="261" t="n"/>
      <c r="J9" s="673">
        <f>E9-H9</f>
        <v/>
      </c>
    </row>
    <row r="10">
      <c r="A10" s="427" t="n">
        <v>5</v>
      </c>
      <c r="B10" s="285" t="n"/>
      <c r="C10" s="261" t="n"/>
      <c r="D10" s="261" t="n"/>
      <c r="E10" s="261" t="n"/>
      <c r="F10" s="261" t="n"/>
      <c r="G10" s="261" t="n"/>
      <c r="H10" s="261" t="n"/>
      <c r="I10" s="261" t="n"/>
      <c r="J10" s="673">
        <f>E10-H10</f>
        <v/>
      </c>
    </row>
    <row r="11">
      <c r="A11" s="427" t="n">
        <v>6</v>
      </c>
      <c r="B11" s="285" t="n"/>
      <c r="C11" s="261" t="n"/>
      <c r="D11" s="261" t="n"/>
      <c r="E11" s="261" t="n"/>
      <c r="F11" s="261" t="n"/>
      <c r="G11" s="261" t="n"/>
      <c r="H11" s="261" t="n"/>
      <c r="I11" s="261" t="n"/>
      <c r="J11" s="673">
        <f>E11-H11</f>
        <v/>
      </c>
    </row>
    <row r="12">
      <c r="A12" s="427" t="n">
        <v>7</v>
      </c>
      <c r="B12" s="285" t="n"/>
      <c r="C12" s="261" t="n"/>
      <c r="D12" s="261" t="n"/>
      <c r="E12" s="261" t="n"/>
      <c r="F12" s="261" t="n"/>
      <c r="G12" s="261" t="n"/>
      <c r="H12" s="261" t="n"/>
      <c r="I12" s="261" t="n"/>
      <c r="J12" s="673">
        <f>E12-H12</f>
        <v/>
      </c>
    </row>
    <row r="13">
      <c r="A13" s="427" t="n">
        <v>8</v>
      </c>
      <c r="B13" s="285" t="n"/>
      <c r="C13" s="261" t="n"/>
      <c r="D13" s="261" t="n"/>
      <c r="E13" s="261" t="n"/>
      <c r="F13" s="261" t="n"/>
      <c r="G13" s="261" t="n"/>
      <c r="H13" s="261" t="n"/>
      <c r="I13" s="261" t="n"/>
      <c r="J13" s="673">
        <f>E13-H13</f>
        <v/>
      </c>
    </row>
    <row r="14">
      <c r="A14" s="427" t="n">
        <v>9</v>
      </c>
      <c r="B14" s="285" t="n"/>
      <c r="C14" s="261" t="n"/>
      <c r="D14" s="261" t="n"/>
      <c r="E14" s="261" t="n"/>
      <c r="F14" s="261" t="n"/>
      <c r="G14" s="261" t="n"/>
      <c r="H14" s="261" t="n"/>
      <c r="I14" s="261" t="n"/>
      <c r="J14" s="673">
        <f>E14-H14</f>
        <v/>
      </c>
    </row>
    <row r="15">
      <c r="A15" s="427" t="n">
        <v>10</v>
      </c>
      <c r="B15" s="285" t="n"/>
      <c r="C15" s="261" t="n"/>
      <c r="D15" s="261" t="n"/>
      <c r="E15" s="261" t="n"/>
      <c r="F15" s="261" t="n"/>
      <c r="G15" s="261" t="n"/>
      <c r="H15" s="261" t="n"/>
      <c r="I15" s="261" t="n"/>
      <c r="J15" s="673">
        <f>E15-H15</f>
        <v/>
      </c>
    </row>
    <row r="16">
      <c r="A16" s="427" t="n">
        <v>11</v>
      </c>
      <c r="B16" s="285" t="n"/>
      <c r="C16" s="261" t="n"/>
      <c r="D16" s="261" t="n"/>
      <c r="E16" s="261" t="n"/>
      <c r="F16" s="261" t="n"/>
      <c r="G16" s="261" t="n"/>
      <c r="H16" s="261" t="n"/>
      <c r="I16" s="261" t="n"/>
      <c r="J16" s="673">
        <f>E16-H16</f>
        <v/>
      </c>
    </row>
    <row r="17">
      <c r="A17" s="427" t="n">
        <v>12</v>
      </c>
      <c r="B17" s="285" t="n"/>
      <c r="C17" s="261" t="n"/>
      <c r="D17" s="261" t="n"/>
      <c r="E17" s="261" t="n"/>
      <c r="F17" s="261" t="n"/>
      <c r="G17" s="261" t="n"/>
      <c r="H17" s="261" t="n"/>
      <c r="I17" s="261" t="n"/>
      <c r="J17" s="673">
        <f>E17-H17</f>
        <v/>
      </c>
    </row>
    <row r="18">
      <c r="A18" s="427" t="n">
        <v>13</v>
      </c>
      <c r="B18" s="285" t="n"/>
      <c r="C18" s="261" t="n"/>
      <c r="D18" s="261" t="n"/>
      <c r="E18" s="261" t="n"/>
      <c r="F18" s="261" t="n"/>
      <c r="G18" s="261" t="n"/>
      <c r="H18" s="261" t="n"/>
      <c r="I18" s="261" t="n"/>
      <c r="J18" s="673">
        <f>E18-H18</f>
        <v/>
      </c>
    </row>
    <row r="19">
      <c r="A19" s="427" t="n">
        <v>14</v>
      </c>
      <c r="B19" s="285" t="n"/>
      <c r="C19" s="261" t="n"/>
      <c r="D19" s="261" t="n"/>
      <c r="E19" s="261" t="n"/>
      <c r="F19" s="261" t="n"/>
      <c r="G19" s="261" t="n"/>
      <c r="H19" s="261" t="n"/>
      <c r="I19" s="261" t="n"/>
      <c r="J19" s="673">
        <f>E19-H19</f>
        <v/>
      </c>
    </row>
    <row r="20">
      <c r="A20" s="427" t="n">
        <v>15</v>
      </c>
      <c r="B20" s="285" t="n"/>
      <c r="C20" s="261" t="n"/>
      <c r="D20" s="261" t="n"/>
      <c r="E20" s="261" t="n"/>
      <c r="F20" s="261" t="n"/>
      <c r="G20" s="261" t="n"/>
      <c r="H20" s="261" t="n"/>
      <c r="I20" s="261" t="n"/>
      <c r="J20" s="673">
        <f>E20-H20</f>
        <v/>
      </c>
    </row>
    <row r="21">
      <c r="A21" s="670" t="inlineStr">
        <is>
          <t>合计</t>
        </is>
      </c>
      <c r="B21" s="674" t="n"/>
      <c r="C21" s="674" t="n"/>
      <c r="D21" s="675" t="n"/>
      <c r="E21" s="286">
        <f>SUM(E6:E20)</f>
        <v/>
      </c>
      <c r="F21" s="287" t="n"/>
      <c r="G21" s="287" t="n"/>
      <c r="H21" s="286">
        <f>SUM(H6:H20)</f>
        <v/>
      </c>
      <c r="I21" s="286" t="n"/>
      <c r="J21" s="286">
        <f>SUM(J6:J20)</f>
        <v/>
      </c>
    </row>
    <row r="23">
      <c r="B23" s="570" t="inlineStr">
        <is>
          <t>审计说明：</t>
        </is>
      </c>
    </row>
  </sheetData>
  <mergeCells count="9">
    <mergeCell ref="A1:J1"/>
    <mergeCell ref="B4:B5"/>
    <mergeCell ref="C4:C5"/>
    <mergeCell ref="A4:A5"/>
    <mergeCell ref="F4:F5"/>
    <mergeCell ref="G4:J4"/>
    <mergeCell ref="D4:D5"/>
    <mergeCell ref="A21:D21"/>
    <mergeCell ref="E4:E5"/>
  </mergeCells>
  <pageMargins left="0.75" right="0.75" top="1" bottom="1" header="0.5" footer="0.5"/>
</worksheet>
</file>

<file path=xl/worksheets/sheet20.xml><?xml version="1.0" encoding="utf-8"?>
<worksheet xmlns="http://schemas.openxmlformats.org/spreadsheetml/2006/main">
  <sheetPr codeName="Sheet17">
    <outlinePr summaryBelow="1" summaryRight="1"/>
    <pageSetUpPr/>
  </sheetPr>
  <dimension ref="A1:AE22"/>
  <sheetViews>
    <sheetView zoomScale="90" zoomScaleNormal="90" workbookViewId="0">
      <selection activeCell="C4" sqref="C4:D5"/>
    </sheetView>
  </sheetViews>
  <sheetFormatPr baseColWidth="8" defaultColWidth="8.731481481481479" defaultRowHeight="14.4"/>
  <cols>
    <col width="11.4166666666667" customWidth="1" style="559" min="2" max="2"/>
    <col width="21.6111111111111" customWidth="1" style="559" min="3" max="3"/>
    <col width="22.0185185185185" customWidth="1" style="559" min="4" max="4"/>
    <col width="16.5648148148148" customWidth="1" style="559" min="5" max="5"/>
    <col width="14.8148148148148" customWidth="1" style="559" min="6" max="6"/>
    <col width="12.2685185185185" customWidth="1" style="559" min="7" max="7"/>
    <col width="12.8240740740741" customWidth="1" style="559" min="8" max="8"/>
    <col width="13.1296296296296" customWidth="1" style="559" min="9" max="10"/>
    <col width="12.5185185185185" customWidth="1" style="559" min="11" max="11"/>
    <col width="11.2685185185185" customWidth="1" style="559" min="12" max="12"/>
    <col width="10.2037037037037" customWidth="1" style="559" min="13" max="13"/>
    <col width="14.4444444444444" customWidth="1" style="559" min="14" max="14"/>
    <col width="14.0277777777778" customWidth="1" style="559" min="15" max="15"/>
    <col width="12.8148148148148" customWidth="1" style="559" min="16" max="16"/>
    <col width="9.59259259259259" customWidth="1" style="559" min="17" max="17"/>
    <col width="9.28703703703704" customWidth="1" style="559" min="18" max="20"/>
    <col width="13.4259259259259" customWidth="1" style="559" min="21" max="21"/>
    <col width="10.9074074074074" customWidth="1" style="559" min="22" max="22"/>
    <col width="14.4351851851852" customWidth="1" style="559" min="23" max="23"/>
    <col width="12.5185185185185" customWidth="1" style="559" min="24" max="24"/>
    <col width="13.8333333333333" customWidth="1" style="559" min="25" max="25"/>
    <col width="12.4259259259259" customWidth="1" style="559" min="26" max="26"/>
    <col width="15.6481481481481" customWidth="1" style="559" min="27" max="27"/>
    <col width="14.537037037037" customWidth="1" style="559" min="28" max="28"/>
    <col width="12.3148148148148" customWidth="1" style="559" min="29" max="29"/>
    <col width="16.0555555555556" customWidth="1" style="559" min="30" max="30"/>
    <col width="53.5277777777778" customWidth="1" style="559" min="31" max="31"/>
  </cols>
  <sheetData>
    <row r="1" ht="28" customHeight="1" s="559">
      <c r="B1" s="247" t="inlineStr">
        <is>
          <t>应付账款明细表</t>
        </is>
      </c>
      <c r="P1" s="247" t="n"/>
      <c r="Q1" s="247" t="n"/>
      <c r="R1" s="247" t="n"/>
      <c r="S1" s="247" t="n"/>
      <c r="T1" s="247" t="n"/>
      <c r="U1" s="247" t="n"/>
    </row>
    <row r="2">
      <c r="A2" s="2">
        <f>备忘录!$A$1</f>
        <v/>
      </c>
      <c r="D2" s="456" t="n"/>
      <c r="E2" s="456" t="n"/>
      <c r="F2" s="456" t="inlineStr">
        <is>
          <t>编制人：刘喜琴</t>
        </is>
      </c>
      <c r="M2" s="456">
        <f>备忘录!$C$2</f>
        <v/>
      </c>
      <c r="P2" s="289" t="n"/>
    </row>
    <row r="3">
      <c r="A3" s="2">
        <f>备忘录!$A$2</f>
        <v/>
      </c>
      <c r="D3" s="456" t="n"/>
      <c r="E3" s="456" t="n"/>
      <c r="F3" s="456" t="inlineStr">
        <is>
          <t>复核人：赵玮</t>
        </is>
      </c>
      <c r="M3" s="456">
        <f>备忘录!$C$3</f>
        <v/>
      </c>
    </row>
    <row r="4" ht="21"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6"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7" customFormat="1" customHeight="1" s="455">
      <c r="A6" s="427" t="n">
        <v>1</v>
      </c>
      <c r="B6" s="101" t="n"/>
      <c r="C6" s="101" t="n"/>
      <c r="D6" s="267" t="n"/>
      <c r="E6" s="569" t="n"/>
      <c r="F6" s="569" t="n"/>
      <c r="G6" s="569" t="n"/>
      <c r="H6" s="645">
        <f>SUM(E6,G6,-F6)</f>
        <v/>
      </c>
      <c r="I6" s="597" t="n"/>
      <c r="J6" s="645">
        <f>H6+I6</f>
        <v/>
      </c>
      <c r="K6" s="569" t="n"/>
      <c r="L6" s="645">
        <f>J6+K6</f>
        <v/>
      </c>
      <c r="M6" s="647" t="n"/>
      <c r="N6" s="102" t="n"/>
      <c r="O6" s="261" t="n"/>
      <c r="P6" s="649" t="n"/>
      <c r="Q6" s="261" t="n"/>
      <c r="R6" s="261" t="n"/>
      <c r="S6" s="261" t="n"/>
      <c r="T6" s="261" t="n"/>
      <c r="U6" s="649" t="n"/>
      <c r="V6" s="261" t="n"/>
      <c r="W6" s="261" t="n"/>
      <c r="X6" s="261" t="n"/>
      <c r="Y6" s="261" t="n"/>
      <c r="Z6" s="261" t="n"/>
      <c r="AA6" s="261" t="n"/>
      <c r="AB6" s="261" t="n"/>
      <c r="AC6" s="261" t="n"/>
      <c r="AD6" s="261" t="n"/>
      <c r="AE6" s="261" t="n"/>
    </row>
    <row r="7" ht="17" customFormat="1" customHeight="1" s="455">
      <c r="A7" s="427" t="n">
        <v>2</v>
      </c>
      <c r="B7" s="101" t="n"/>
      <c r="C7" s="101" t="n"/>
      <c r="D7" s="267" t="n"/>
      <c r="E7" s="569" t="n"/>
      <c r="F7" s="569" t="n"/>
      <c r="G7" s="569" t="n"/>
      <c r="H7" s="645">
        <f>SUM(E7,G7,-F7)</f>
        <v/>
      </c>
      <c r="I7" s="597" t="n"/>
      <c r="J7" s="645">
        <f>H7+I7</f>
        <v/>
      </c>
      <c r="K7" s="569" t="n"/>
      <c r="L7" s="645">
        <f>J7+K7</f>
        <v/>
      </c>
      <c r="M7" s="647" t="n"/>
      <c r="N7" s="102" t="n"/>
      <c r="O7" s="261" t="n"/>
      <c r="P7" s="649" t="n"/>
      <c r="Q7" s="261" t="n"/>
      <c r="R7" s="261" t="n"/>
      <c r="S7" s="261" t="n"/>
      <c r="T7" s="261" t="n"/>
      <c r="U7" s="649" t="n"/>
      <c r="V7" s="261" t="n"/>
      <c r="W7" s="261" t="n"/>
      <c r="X7" s="261" t="n"/>
      <c r="Y7" s="261" t="n"/>
      <c r="Z7" s="261" t="n"/>
      <c r="AA7" s="261" t="n"/>
      <c r="AB7" s="261" t="n"/>
      <c r="AC7" s="261" t="n"/>
      <c r="AD7" s="261" t="n"/>
      <c r="AE7" s="261" t="n"/>
    </row>
    <row r="8" ht="17" customFormat="1" customHeight="1" s="455">
      <c r="A8" s="427" t="n">
        <v>3</v>
      </c>
      <c r="B8" s="101" t="n"/>
      <c r="C8" s="101" t="n"/>
      <c r="D8" s="267" t="n"/>
      <c r="E8" s="569" t="n"/>
      <c r="F8" s="569" t="n"/>
      <c r="G8" s="569" t="n"/>
      <c r="H8" s="645">
        <f>SUM(E8,G8,-F8)</f>
        <v/>
      </c>
      <c r="I8" s="597" t="n"/>
      <c r="J8" s="645">
        <f>H8+I8</f>
        <v/>
      </c>
      <c r="K8" s="569" t="n"/>
      <c r="L8" s="645">
        <f>J8+K8</f>
        <v/>
      </c>
      <c r="M8" s="647" t="n"/>
      <c r="N8" s="102" t="n"/>
      <c r="O8" s="261" t="n"/>
      <c r="P8" s="649" t="n"/>
      <c r="Q8" s="261" t="n"/>
      <c r="R8" s="261" t="n"/>
      <c r="S8" s="261" t="n"/>
      <c r="T8" s="261" t="n"/>
      <c r="U8" s="649" t="n"/>
      <c r="V8" s="261" t="n"/>
      <c r="W8" s="261" t="n"/>
      <c r="X8" s="261" t="n"/>
      <c r="Y8" s="261" t="n"/>
      <c r="Z8" s="261" t="n"/>
      <c r="AA8" s="261" t="n"/>
      <c r="AB8" s="261" t="n"/>
      <c r="AC8" s="261" t="n"/>
      <c r="AD8" s="261" t="n"/>
      <c r="AE8" s="261" t="n"/>
    </row>
    <row r="9" ht="17" customFormat="1" customHeight="1" s="455">
      <c r="A9" s="427" t="n">
        <v>4</v>
      </c>
      <c r="B9" s="101" t="n"/>
      <c r="C9" s="101" t="n"/>
      <c r="D9" s="267" t="n"/>
      <c r="E9" s="569" t="n"/>
      <c r="F9" s="569" t="n"/>
      <c r="G9" s="569" t="n"/>
      <c r="H9" s="645">
        <f>SUM(E9,G9,-F9)</f>
        <v/>
      </c>
      <c r="I9" s="597" t="n"/>
      <c r="J9" s="645">
        <f>H9+I9</f>
        <v/>
      </c>
      <c r="K9" s="569" t="n"/>
      <c r="L9" s="645">
        <f>J9+K9</f>
        <v/>
      </c>
      <c r="M9" s="647" t="n"/>
      <c r="N9" s="102" t="n"/>
      <c r="O9" s="283" t="n"/>
      <c r="P9" s="649" t="n"/>
      <c r="Q9" s="283" t="n"/>
      <c r="R9" s="283" t="n"/>
      <c r="S9" s="283" t="n"/>
      <c r="T9" s="283" t="n"/>
      <c r="U9" s="649" t="n"/>
      <c r="V9" s="261" t="n"/>
      <c r="W9" s="261" t="n"/>
      <c r="X9" s="261" t="n"/>
      <c r="Y9" s="261" t="n"/>
      <c r="Z9" s="261" t="n"/>
      <c r="AA9" s="261" t="n"/>
      <c r="AB9" s="261" t="n"/>
      <c r="AD9" s="261" t="n"/>
      <c r="AE9" s="261" t="n"/>
    </row>
    <row r="10" ht="17" customFormat="1" customHeight="1" s="455">
      <c r="A10" s="427" t="n">
        <v>5</v>
      </c>
      <c r="B10" s="101" t="n"/>
      <c r="C10" s="101" t="n"/>
      <c r="D10" s="267" t="n"/>
      <c r="E10" s="569" t="n"/>
      <c r="F10" s="569" t="n"/>
      <c r="G10" s="569" t="n"/>
      <c r="H10" s="645">
        <f>SUM(E10,G10,-F10)</f>
        <v/>
      </c>
      <c r="I10" s="597" t="n"/>
      <c r="J10" s="645">
        <f>H10+I10</f>
        <v/>
      </c>
      <c r="K10" s="569" t="n"/>
      <c r="L10" s="645">
        <f>J10+K10</f>
        <v/>
      </c>
      <c r="M10" s="647" t="n"/>
      <c r="N10" s="102" t="n"/>
      <c r="O10" s="261" t="n"/>
      <c r="P10" s="649" t="n"/>
      <c r="Q10" s="261" t="n"/>
      <c r="R10" s="261" t="n"/>
      <c r="S10" s="261" t="n"/>
      <c r="T10" s="261" t="n"/>
      <c r="U10" s="649" t="n"/>
      <c r="V10" s="261" t="n"/>
      <c r="W10" s="261" t="n"/>
      <c r="X10" s="261" t="n"/>
      <c r="Y10" s="261" t="n"/>
      <c r="Z10" s="261" t="n"/>
      <c r="AA10" s="261" t="n"/>
      <c r="AB10" s="261" t="n"/>
      <c r="AC10" s="261" t="n"/>
      <c r="AD10" s="261" t="n"/>
      <c r="AE10" s="261" t="n"/>
    </row>
    <row r="11" customFormat="1" s="455">
      <c r="A11" s="427" t="n">
        <v>6</v>
      </c>
      <c r="B11" s="101" t="n"/>
      <c r="C11" s="101" t="n"/>
      <c r="D11" s="267" t="n"/>
      <c r="E11" s="569" t="n"/>
      <c r="F11" s="569" t="n"/>
      <c r="G11" s="569" t="n"/>
      <c r="H11" s="645">
        <f>SUM(E11,G11,-F11)</f>
        <v/>
      </c>
      <c r="I11" s="597" t="n"/>
      <c r="J11" s="645">
        <f>H11+I11</f>
        <v/>
      </c>
      <c r="K11" s="569" t="n"/>
      <c r="L11" s="645">
        <f>J11+K11</f>
        <v/>
      </c>
      <c r="M11" s="647" t="n"/>
      <c r="N11" s="102" t="n"/>
      <c r="O11" s="261" t="n"/>
      <c r="P11" s="649" t="n"/>
      <c r="Q11" s="261" t="n"/>
      <c r="R11" s="261" t="n"/>
      <c r="S11" s="261" t="n"/>
      <c r="T11" s="261" t="n"/>
      <c r="U11" s="649" t="n"/>
      <c r="V11" s="271" t="n"/>
      <c r="W11" s="272" t="n"/>
      <c r="X11" s="273" t="n"/>
      <c r="Y11" s="273" t="n"/>
      <c r="Z11" s="273" t="n"/>
      <c r="AA11" s="274" t="n"/>
      <c r="AB11" s="275" t="n"/>
      <c r="AC11" s="274" t="n"/>
      <c r="AD11" s="274" t="n"/>
      <c r="AE11" s="272" t="n"/>
    </row>
    <row r="12" ht="17" customFormat="1" customHeight="1" s="455">
      <c r="A12" s="427" t="n">
        <v>7</v>
      </c>
      <c r="B12" s="101" t="n"/>
      <c r="C12" s="101" t="n"/>
      <c r="D12" s="267" t="n"/>
      <c r="E12" s="569" t="n"/>
      <c r="F12" s="569" t="n"/>
      <c r="G12" s="569" t="n"/>
      <c r="H12" s="645">
        <f>SUM(E12,G12,-F12)</f>
        <v/>
      </c>
      <c r="I12" s="597" t="n"/>
      <c r="J12" s="645">
        <f>H12+I12</f>
        <v/>
      </c>
      <c r="K12" s="569" t="n"/>
      <c r="L12" s="645">
        <f>J12+K12</f>
        <v/>
      </c>
      <c r="M12" s="647" t="n"/>
      <c r="N12" s="102" t="n"/>
      <c r="O12" s="261" t="n"/>
      <c r="P12" s="649" t="n"/>
      <c r="Q12" s="261" t="n"/>
      <c r="R12" s="261" t="n"/>
      <c r="S12" s="261" t="n"/>
      <c r="T12" s="261" t="n"/>
      <c r="U12" s="649" t="n"/>
      <c r="V12" s="261" t="n"/>
      <c r="W12" s="261" t="n"/>
      <c r="X12" s="261" t="n"/>
      <c r="Y12" s="261" t="n"/>
      <c r="Z12" s="261" t="n"/>
      <c r="AA12" s="261" t="n"/>
      <c r="AB12" s="261" t="n"/>
      <c r="AC12" s="261" t="n"/>
      <c r="AD12" s="261" t="n"/>
      <c r="AE12" s="261" t="n"/>
    </row>
    <row r="13" ht="17" customFormat="1" customHeight="1" s="455">
      <c r="A13" s="427" t="n">
        <v>8</v>
      </c>
      <c r="B13" s="101" t="n"/>
      <c r="C13" s="101" t="n"/>
      <c r="D13" s="267" t="n"/>
      <c r="E13" s="569" t="n"/>
      <c r="F13" s="569" t="n"/>
      <c r="G13" s="569" t="n"/>
      <c r="H13" s="645">
        <f>SUM(E13,G13,-F13)</f>
        <v/>
      </c>
      <c r="I13" s="597" t="n"/>
      <c r="J13" s="645">
        <f>H13+I13</f>
        <v/>
      </c>
      <c r="K13" s="569" t="n"/>
      <c r="L13" s="645">
        <f>J13+K13</f>
        <v/>
      </c>
      <c r="M13" s="647" t="n"/>
      <c r="N13" s="102" t="n"/>
      <c r="O13" s="261" t="n"/>
      <c r="P13" s="649" t="n"/>
      <c r="Q13" s="261" t="n"/>
      <c r="R13" s="261" t="n"/>
      <c r="S13" s="261" t="n"/>
      <c r="T13" s="261" t="n"/>
      <c r="U13" s="649" t="n"/>
      <c r="V13" s="261" t="n"/>
      <c r="W13" s="261" t="n"/>
      <c r="X13" s="261" t="n"/>
      <c r="Y13" s="261" t="n"/>
      <c r="Z13" s="261" t="n"/>
      <c r="AA13" s="261" t="n"/>
      <c r="AB13" s="261" t="n"/>
      <c r="AC13" s="261" t="n"/>
      <c r="AD13" s="261" t="n"/>
      <c r="AE13" s="261" t="n"/>
    </row>
    <row r="14" ht="17" customFormat="1" customHeight="1" s="455">
      <c r="A14" s="427" t="n">
        <v>9</v>
      </c>
      <c r="B14" s="101" t="n"/>
      <c r="C14" s="101" t="n"/>
      <c r="D14" s="267" t="n"/>
      <c r="E14" s="569" t="n"/>
      <c r="F14" s="569" t="n"/>
      <c r="G14" s="569" t="n"/>
      <c r="H14" s="645">
        <f>SUM(E14,G14,-F14)</f>
        <v/>
      </c>
      <c r="I14" s="597" t="n"/>
      <c r="J14" s="645">
        <f>H14+I14</f>
        <v/>
      </c>
      <c r="K14" s="569" t="n"/>
      <c r="L14" s="645">
        <f>J14+K14</f>
        <v/>
      </c>
      <c r="M14" s="647" t="n"/>
      <c r="N14" s="102" t="n"/>
      <c r="O14" s="261" t="n"/>
      <c r="P14" s="649" t="n"/>
      <c r="Q14" s="261" t="n"/>
      <c r="R14" s="261" t="n"/>
      <c r="S14" s="261" t="n"/>
      <c r="T14" s="261" t="n"/>
      <c r="U14" s="649" t="n"/>
      <c r="V14" s="261" t="n"/>
      <c r="W14" s="261" t="n"/>
      <c r="X14" s="261" t="n"/>
      <c r="Y14" s="261" t="n"/>
      <c r="Z14" s="261" t="n"/>
      <c r="AA14" s="261" t="n"/>
      <c r="AB14" s="261" t="n"/>
      <c r="AC14" s="261" t="n"/>
      <c r="AD14" s="261" t="n"/>
      <c r="AE14" s="261" t="n"/>
    </row>
    <row r="15" ht="17" customFormat="1" customHeight="1" s="455">
      <c r="A15" s="427" t="n">
        <v>10</v>
      </c>
      <c r="B15" s="101" t="n"/>
      <c r="C15" s="101" t="n"/>
      <c r="D15" s="267" t="n"/>
      <c r="E15" s="569" t="n"/>
      <c r="F15" s="569" t="n"/>
      <c r="G15" s="569" t="n"/>
      <c r="H15" s="645">
        <f>SUM(E15,G15,-F15)</f>
        <v/>
      </c>
      <c r="I15" s="597" t="n"/>
      <c r="J15" s="645">
        <f>H15+I15</f>
        <v/>
      </c>
      <c r="K15" s="569" t="n"/>
      <c r="L15" s="645">
        <f>J15+K15</f>
        <v/>
      </c>
      <c r="M15" s="647" t="n"/>
      <c r="N15" s="102" t="n"/>
      <c r="O15" s="261" t="n"/>
      <c r="P15" s="649" t="n"/>
      <c r="Q15" s="261" t="n"/>
      <c r="R15" s="261" t="n"/>
      <c r="S15" s="261" t="n"/>
      <c r="T15" s="261" t="n"/>
      <c r="U15" s="649" t="n"/>
      <c r="V15" s="261" t="n"/>
      <c r="W15" s="261" t="n"/>
      <c r="X15" s="261" t="n"/>
      <c r="Y15" s="261" t="n"/>
      <c r="Z15" s="261" t="n"/>
      <c r="AA15" s="261" t="n"/>
      <c r="AB15" s="261" t="n"/>
      <c r="AC15" s="261" t="n"/>
      <c r="AD15" s="261" t="n"/>
      <c r="AE15" s="261" t="n"/>
    </row>
    <row r="16" ht="17" customFormat="1" customHeight="1" s="455">
      <c r="A16" s="427" t="n">
        <v>11</v>
      </c>
      <c r="B16" s="101" t="n"/>
      <c r="C16" s="101" t="n"/>
      <c r="D16" s="267" t="n"/>
      <c r="E16" s="569" t="n"/>
      <c r="F16" s="569" t="n"/>
      <c r="G16" s="569" t="n"/>
      <c r="H16" s="645">
        <f>SUM(E16,G16,-F16)</f>
        <v/>
      </c>
      <c r="I16" s="597" t="n"/>
      <c r="J16" s="645">
        <f>H16+I16</f>
        <v/>
      </c>
      <c r="K16" s="569" t="n"/>
      <c r="L16" s="645">
        <f>J16+K16</f>
        <v/>
      </c>
      <c r="M16" s="647" t="n"/>
      <c r="N16" s="102" t="n"/>
      <c r="O16" s="261" t="n"/>
      <c r="P16" s="649" t="n"/>
      <c r="Q16" s="261" t="n"/>
      <c r="R16" s="261" t="n"/>
      <c r="S16" s="261" t="n"/>
      <c r="T16" s="261" t="n"/>
      <c r="U16" s="649" t="n"/>
      <c r="V16" s="261" t="n"/>
      <c r="W16" s="261" t="n"/>
      <c r="X16" s="261" t="n"/>
      <c r="Y16" s="261" t="n"/>
      <c r="Z16" s="261" t="n"/>
      <c r="AA16" s="261" t="n"/>
      <c r="AB16" s="261" t="n"/>
      <c r="AC16" s="261" t="n"/>
      <c r="AD16" s="261" t="n"/>
      <c r="AE16" s="261" t="n"/>
    </row>
    <row r="17" ht="17" customFormat="1" customHeight="1" s="455">
      <c r="A17" s="427" t="n">
        <v>12</v>
      </c>
      <c r="B17" s="101" t="n"/>
      <c r="C17" s="101" t="n"/>
      <c r="D17" s="267" t="n"/>
      <c r="E17" s="569" t="n"/>
      <c r="F17" s="569" t="n"/>
      <c r="G17" s="569" t="n"/>
      <c r="H17" s="645">
        <f>SUM(E17,G17,-F17)</f>
        <v/>
      </c>
      <c r="I17" s="597" t="n"/>
      <c r="J17" s="645">
        <f>H17+I17</f>
        <v/>
      </c>
      <c r="K17" s="569" t="n"/>
      <c r="L17" s="645">
        <f>J17+K17</f>
        <v/>
      </c>
      <c r="M17" s="647" t="n"/>
      <c r="N17" s="102" t="n"/>
      <c r="O17" s="261" t="n"/>
      <c r="P17" s="649" t="n"/>
      <c r="Q17" s="261" t="n"/>
      <c r="R17" s="261" t="n"/>
      <c r="S17" s="261" t="n"/>
      <c r="T17" s="261" t="n"/>
      <c r="U17" s="649" t="n"/>
      <c r="V17" s="261" t="n"/>
      <c r="W17" s="261" t="n"/>
      <c r="X17" s="261" t="n"/>
      <c r="Y17" s="261" t="n"/>
      <c r="Z17" s="261" t="n"/>
      <c r="AA17" s="261" t="n"/>
      <c r="AB17" s="261" t="n"/>
      <c r="AC17" s="261" t="n"/>
      <c r="AD17" s="261" t="n"/>
      <c r="AE17" s="261" t="n"/>
    </row>
    <row r="18" ht="17" customFormat="1" customHeight="1" s="455">
      <c r="A18" s="427" t="n">
        <v>13</v>
      </c>
      <c r="B18" s="101" t="n"/>
      <c r="C18" s="101" t="n"/>
      <c r="D18" s="267" t="n"/>
      <c r="E18" s="569" t="n"/>
      <c r="F18" s="569" t="n"/>
      <c r="G18" s="569" t="n"/>
      <c r="H18" s="645">
        <f>SUM(E18,G18,-F18)</f>
        <v/>
      </c>
      <c r="I18" s="597" t="n"/>
      <c r="J18" s="645">
        <f>H18+I18</f>
        <v/>
      </c>
      <c r="K18" s="569" t="n"/>
      <c r="L18" s="645">
        <f>J18+K18</f>
        <v/>
      </c>
      <c r="M18" s="647" t="n"/>
      <c r="N18" s="102" t="n"/>
      <c r="O18" s="261" t="n"/>
      <c r="P18" s="649" t="n"/>
      <c r="Q18" s="261" t="n"/>
      <c r="R18" s="261" t="n"/>
      <c r="S18" s="261" t="n"/>
      <c r="T18" s="261" t="n"/>
      <c r="U18" s="649" t="n"/>
      <c r="V18" s="261" t="n"/>
      <c r="W18" s="261" t="n"/>
      <c r="X18" s="261" t="n"/>
      <c r="Y18" s="261" t="n"/>
      <c r="Z18" s="261" t="n"/>
      <c r="AA18" s="261" t="n"/>
      <c r="AB18" s="261" t="n"/>
      <c r="AC18" s="261" t="n"/>
      <c r="AD18" s="261" t="n"/>
      <c r="AE18" s="261" t="n"/>
    </row>
    <row r="19" ht="17" customFormat="1" customHeight="1" s="455">
      <c r="A19" s="427" t="n">
        <v>14</v>
      </c>
      <c r="B19" s="101" t="n"/>
      <c r="C19" s="101" t="n"/>
      <c r="D19" s="267" t="n"/>
      <c r="E19" s="569" t="n"/>
      <c r="F19" s="569" t="n"/>
      <c r="G19" s="569" t="n"/>
      <c r="H19" s="645">
        <f>SUM(E19,G19,-F19)</f>
        <v/>
      </c>
      <c r="I19" s="597" t="n"/>
      <c r="J19" s="645">
        <f>H19+I19</f>
        <v/>
      </c>
      <c r="K19" s="569" t="n"/>
      <c r="L19" s="645">
        <f>J19+K19</f>
        <v/>
      </c>
      <c r="M19" s="647" t="n"/>
      <c r="N19" s="102" t="n"/>
      <c r="O19" s="261" t="n"/>
      <c r="P19" s="649" t="n"/>
      <c r="Q19" s="261" t="n"/>
      <c r="R19" s="261" t="n"/>
      <c r="S19" s="261" t="n"/>
      <c r="T19" s="261" t="n"/>
      <c r="U19" s="649" t="n"/>
      <c r="V19" s="261" t="n"/>
      <c r="W19" s="261" t="n"/>
      <c r="X19" s="261" t="n"/>
      <c r="Y19" s="261" t="n"/>
      <c r="Z19" s="261" t="n"/>
      <c r="AA19" s="261" t="n"/>
      <c r="AB19" s="261" t="n"/>
      <c r="AC19" s="261" t="n"/>
      <c r="AD19" s="261" t="n"/>
      <c r="AE19" s="261" t="n"/>
    </row>
    <row r="20" ht="19" customFormat="1" customHeight="1" s="521">
      <c r="A20" s="262" t="n"/>
      <c r="B20" s="23" t="inlineStr">
        <is>
          <t>合计</t>
        </is>
      </c>
      <c r="C20" s="23" t="n"/>
      <c r="D20" s="262" t="n"/>
      <c r="E20" s="645">
        <f>ROUND(SUM(E6:E19),2)</f>
        <v/>
      </c>
      <c r="F20" s="645">
        <f>ROUND(SUM(F6:F19),2)</f>
        <v/>
      </c>
      <c r="G20" s="645">
        <f>ROUND(SUM(G6:G19),2)</f>
        <v/>
      </c>
      <c r="H20" s="645">
        <f>SUM(E20,G20,-F20)</f>
        <v/>
      </c>
      <c r="I20" s="645" t="n"/>
      <c r="J20" s="645">
        <f>H20+I20</f>
        <v/>
      </c>
      <c r="K20" s="645">
        <f>ROUND(SUM(K6:K19),2)</f>
        <v/>
      </c>
      <c r="L20" s="645">
        <f>J20+K20</f>
        <v/>
      </c>
      <c r="M20" s="25" t="n"/>
      <c r="N20" s="657">
        <f>ROUND(SUM(N6:N19),2)</f>
        <v/>
      </c>
      <c r="O20" s="265" t="n"/>
      <c r="P20" s="265" t="n"/>
      <c r="Q20" s="265" t="n"/>
      <c r="R20" s="265" t="n"/>
      <c r="S20" s="265" t="n"/>
      <c r="T20" s="265" t="n"/>
      <c r="U20" s="265" t="n"/>
      <c r="V20" s="521" t="n"/>
      <c r="W20" s="521" t="n"/>
      <c r="X20" s="521" t="n"/>
      <c r="Y20" s="521" t="n"/>
      <c r="Z20" s="521" t="n"/>
      <c r="AA20" s="521" t="n"/>
      <c r="AB20" s="521" t="n"/>
      <c r="AC20" s="521" t="n"/>
      <c r="AD20" s="521" t="n"/>
      <c r="AE20" s="521" t="n"/>
    </row>
    <row r="22" ht="23" customHeight="1" s="559">
      <c r="B22" s="570" t="inlineStr">
        <is>
          <t>审计说明：</t>
        </is>
      </c>
    </row>
  </sheetData>
  <autoFilter ref="B5:AE20"/>
  <mergeCells count="19">
    <mergeCell ref="R4:R5"/>
    <mergeCell ref="C4:C5"/>
    <mergeCell ref="T4:T5"/>
    <mergeCell ref="O4:O5"/>
    <mergeCell ref="E4:I4"/>
    <mergeCell ref="Q4:Q5"/>
    <mergeCell ref="D4:D5"/>
    <mergeCell ref="J4:J5"/>
    <mergeCell ref="L4:L5"/>
    <mergeCell ref="B1:O1"/>
    <mergeCell ref="A4:A5"/>
    <mergeCell ref="V4:AE4"/>
    <mergeCell ref="K4:K5"/>
    <mergeCell ref="S4:S5"/>
    <mergeCell ref="U4:U5"/>
    <mergeCell ref="M4:M5"/>
    <mergeCell ref="B4:B5"/>
    <mergeCell ref="N4:N5"/>
    <mergeCell ref="P4:P5"/>
  </mergeCells>
  <dataValidations count="1">
    <dataValidation sqref="M6:M19 P6:P19 U6:U19" showDropDown="0" showInputMessage="1" showErrorMessage="1" allowBlank="1" type="list">
      <formula1>"√"</formula1>
    </dataValidation>
  </dataValidations>
  <pageMargins left="0.75" right="0.75" top="1" bottom="1" header="0.5" footer="0.5"/>
</worksheet>
</file>

<file path=xl/worksheets/sheet21.xml><?xml version="1.0" encoding="utf-8"?>
<worksheet xmlns="http://schemas.openxmlformats.org/spreadsheetml/2006/main">
  <sheetPr codeName="Sheet18">
    <outlinePr summaryBelow="1" summaryRight="1"/>
    <pageSetUpPr/>
  </sheetPr>
  <dimension ref="A1:AE28"/>
  <sheetViews>
    <sheetView zoomScale="90" zoomScaleNormal="90" workbookViewId="0">
      <pane ySplit="5" topLeftCell="A6" activePane="bottomLeft" state="frozen"/>
      <selection activeCell="A1" sqref="A1"/>
      <selection pane="bottomLeft" activeCell="C4" sqref="C4:D5"/>
    </sheetView>
  </sheetViews>
  <sheetFormatPr baseColWidth="8" defaultColWidth="8.731481481481479" defaultRowHeight="14.4"/>
  <cols>
    <col width="14.9444444444444" customWidth="1" style="559" min="2" max="2"/>
    <col width="21.712962962963" customWidth="1" style="559" min="3" max="3"/>
    <col width="20.7962962962963" customWidth="1" style="559" min="4" max="4"/>
    <col width="17.6759259259259" customWidth="1" style="559" min="5" max="5"/>
    <col width="11.8148148148148" customWidth="1" style="559" min="6" max="7"/>
    <col width="14.4351851851852" customWidth="1" style="559" min="8" max="10"/>
    <col width="13.537037037037" customWidth="1" style="559" min="11" max="11"/>
    <col width="14.6481481481481" customWidth="1" style="559" min="12" max="12"/>
    <col width="10.3981481481481" customWidth="1" style="559" min="13" max="13"/>
    <col width="14.3333333333333" customWidth="1" style="559" min="14" max="14"/>
    <col width="8.81481481481481" customWidth="1" style="559" min="15" max="15"/>
    <col width="15.4537037037037" customWidth="1" style="559" min="16" max="16"/>
    <col width="8.81481481481481" customWidth="1" style="559" min="17" max="20"/>
    <col width="13.7407407407407" customWidth="1" style="559" min="21" max="21"/>
    <col width="16.2592592592593" customWidth="1" style="559" min="22" max="22"/>
    <col width="15.8518518518519" customWidth="1" style="559" min="23" max="23"/>
    <col width="19.8981481481481" customWidth="1" style="559" min="24" max="24"/>
    <col width="18.1759259259259" customWidth="1" style="559" min="25" max="25"/>
    <col width="11.9166666666667" customWidth="1" style="559" min="26" max="26"/>
    <col width="12.9166666666667" customWidth="1" style="559" min="27" max="27"/>
    <col width="13.8333333333333" customWidth="1" style="559" min="28" max="28"/>
    <col width="11.212962962963" customWidth="1" style="559" min="29" max="29"/>
    <col width="12.6203703703704" customWidth="1" style="559" min="30" max="30"/>
    <col width="34.5462962962963" customWidth="1" style="559" min="31" max="31"/>
  </cols>
  <sheetData>
    <row r="1" ht="25" customHeight="1" s="559">
      <c r="B1" s="247" t="inlineStr">
        <is>
          <t>预收账款明细表</t>
        </is>
      </c>
    </row>
    <row r="2">
      <c r="A2" s="2">
        <f>备忘录!$A$1</f>
        <v/>
      </c>
      <c r="D2" s="456" t="n"/>
      <c r="E2" s="456" t="n"/>
      <c r="F2" s="456" t="inlineStr">
        <is>
          <t>编制人：刘喜琴</t>
        </is>
      </c>
      <c r="K2" s="456" t="n"/>
      <c r="L2" s="456">
        <f>备忘录!$C$2</f>
        <v/>
      </c>
      <c r="M2" s="456" t="n"/>
      <c r="N2" s="456" t="n"/>
      <c r="P2" s="289" t="n"/>
    </row>
    <row r="3">
      <c r="A3" s="2">
        <f>备忘录!$A$2</f>
        <v/>
      </c>
      <c r="D3" s="456" t="n"/>
      <c r="E3" s="456" t="n"/>
      <c r="F3" s="456" t="inlineStr">
        <is>
          <t>复核人：赵玮</t>
        </is>
      </c>
      <c r="K3" s="456" t="n"/>
      <c r="L3" s="456">
        <f>备忘录!$C$3</f>
        <v/>
      </c>
      <c r="M3" s="456" t="n"/>
      <c r="N3" s="456" t="n"/>
    </row>
    <row r="4" ht="23" customFormat="1" customHeight="1" s="455">
      <c r="A4" s="89" t="inlineStr">
        <is>
          <t>序号</t>
        </is>
      </c>
      <c r="B4" s="633" t="inlineStr">
        <is>
          <t>科目名称</t>
        </is>
      </c>
      <c r="C4" s="633" t="inlineStr">
        <is>
          <t>核算项目1</t>
        </is>
      </c>
      <c r="D4" s="633" t="inlineStr">
        <is>
          <t>核算项目2</t>
        </is>
      </c>
      <c r="E4" s="160" t="inlineStr">
        <is>
          <t>账面数据</t>
        </is>
      </c>
      <c r="F4" s="562" t="n"/>
      <c r="G4" s="562" t="n"/>
      <c r="H4" s="562" t="n"/>
      <c r="I4" s="562"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39"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160"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21" customFormat="1" customHeight="1" s="455">
      <c r="A6" s="427" t="n">
        <v>1</v>
      </c>
      <c r="B6" s="101" t="n"/>
      <c r="C6" s="101" t="n"/>
      <c r="D6" s="267" t="n"/>
      <c r="E6" s="54" t="n"/>
      <c r="F6" s="676" t="n"/>
      <c r="G6" s="676" t="n"/>
      <c r="H6" s="645">
        <f>SUM(E6,G6,-F6)</f>
        <v/>
      </c>
      <c r="I6" s="597" t="n"/>
      <c r="J6" s="645">
        <f>H6+I6</f>
        <v/>
      </c>
      <c r="K6" s="17" t="n"/>
      <c r="L6" s="645">
        <f>J6+K6</f>
        <v/>
      </c>
      <c r="M6" s="647" t="n"/>
      <c r="N6" s="102" t="n"/>
      <c r="O6" s="102" t="n"/>
      <c r="P6" s="649" t="n"/>
      <c r="Q6" s="102" t="n"/>
      <c r="R6" s="102" t="n"/>
      <c r="S6" s="102" t="n"/>
      <c r="T6" s="102" t="n"/>
      <c r="U6" s="649" t="n"/>
      <c r="V6" s="261" t="n"/>
      <c r="W6" s="261" t="n"/>
      <c r="X6" s="261" t="n"/>
      <c r="Y6" s="261" t="n"/>
      <c r="Z6" s="261" t="n"/>
      <c r="AA6" s="261" t="n"/>
      <c r="AB6" s="261" t="n"/>
      <c r="AC6" s="261" t="n"/>
      <c r="AD6" s="261" t="n"/>
      <c r="AE6" s="261" t="n"/>
    </row>
    <row r="7" customFormat="1" s="455">
      <c r="A7" s="427" t="n">
        <v>2</v>
      </c>
      <c r="B7" s="101" t="n"/>
      <c r="C7" s="101" t="n"/>
      <c r="D7" s="101" t="n"/>
      <c r="E7" s="676" t="n"/>
      <c r="F7" s="676" t="n"/>
      <c r="G7" s="676" t="n"/>
      <c r="H7" s="645">
        <f>SUM(E7,G7,-F7)</f>
        <v/>
      </c>
      <c r="I7" s="597" t="n"/>
      <c r="J7" s="645">
        <f>H7+I7</f>
        <v/>
      </c>
      <c r="K7" s="17" t="n"/>
      <c r="L7" s="645">
        <f>J7+K7</f>
        <v/>
      </c>
      <c r="M7" s="647" t="n"/>
      <c r="N7" s="102" t="n"/>
      <c r="O7" s="102" t="n"/>
      <c r="P7" s="649" t="n"/>
      <c r="Q7" s="102" t="n"/>
      <c r="R7" s="102" t="n"/>
      <c r="S7" s="102" t="n"/>
      <c r="T7" s="102" t="n"/>
      <c r="U7" s="649" t="n"/>
      <c r="V7" s="261" t="n"/>
      <c r="W7" s="261" t="n"/>
      <c r="X7" s="261" t="n"/>
      <c r="Y7" s="261" t="n"/>
      <c r="Z7" s="261" t="n"/>
      <c r="AA7" s="261" t="n"/>
      <c r="AB7" s="261" t="n"/>
      <c r="AC7" s="261" t="n"/>
      <c r="AD7" s="261" t="n"/>
      <c r="AE7" s="261" t="n"/>
    </row>
    <row r="8" customFormat="1" s="455">
      <c r="A8" s="427" t="n">
        <v>3</v>
      </c>
      <c r="B8" s="101" t="n"/>
      <c r="C8" s="101" t="n"/>
      <c r="D8" s="101" t="n"/>
      <c r="E8" s="676" t="n"/>
      <c r="F8" s="676" t="n"/>
      <c r="G8" s="676" t="n"/>
      <c r="H8" s="645">
        <f>SUM(E8,G8,-F8)</f>
        <v/>
      </c>
      <c r="I8" s="597" t="n"/>
      <c r="J8" s="645">
        <f>H8+I8</f>
        <v/>
      </c>
      <c r="K8" s="17" t="n"/>
      <c r="L8" s="645">
        <f>J8+K8</f>
        <v/>
      </c>
      <c r="M8" s="647" t="n"/>
      <c r="N8" s="102" t="n"/>
      <c r="O8" s="102" t="n"/>
      <c r="P8" s="649" t="n"/>
      <c r="Q8" s="102" t="n"/>
      <c r="R8" s="102" t="n"/>
      <c r="S8" s="102" t="n"/>
      <c r="T8" s="102" t="n"/>
      <c r="U8" s="649" t="n"/>
      <c r="V8" s="261" t="n"/>
      <c r="W8" s="261" t="n"/>
      <c r="X8" s="261" t="n"/>
      <c r="Y8" s="261" t="n"/>
      <c r="Z8" s="261" t="n"/>
      <c r="AA8" s="261" t="n"/>
      <c r="AB8" s="261" t="n"/>
      <c r="AC8" s="261" t="n"/>
      <c r="AD8" s="261" t="n"/>
      <c r="AE8" s="261" t="n"/>
    </row>
    <row r="9" customFormat="1" s="455">
      <c r="A9" s="427" t="n">
        <v>4</v>
      </c>
      <c r="B9" s="101" t="n"/>
      <c r="C9" s="101" t="n"/>
      <c r="D9" s="101" t="n"/>
      <c r="E9" s="676" t="n"/>
      <c r="F9" s="676" t="n"/>
      <c r="G9" s="676" t="n"/>
      <c r="H9" s="645">
        <f>SUM(E9,G9,-F9)</f>
        <v/>
      </c>
      <c r="I9" s="597" t="n"/>
      <c r="J9" s="645">
        <f>H9+I9</f>
        <v/>
      </c>
      <c r="K9" s="17" t="n"/>
      <c r="L9" s="645">
        <f>J9+K9</f>
        <v/>
      </c>
      <c r="M9" s="647" t="n"/>
      <c r="N9" s="102" t="n"/>
      <c r="O9" s="102" t="n"/>
      <c r="P9" s="649" t="n"/>
      <c r="Q9" s="102" t="n"/>
      <c r="R9" s="102" t="n"/>
      <c r="S9" s="102" t="n"/>
      <c r="T9" s="102" t="n"/>
      <c r="U9" s="649" t="n"/>
      <c r="V9" s="261" t="n"/>
      <c r="W9" s="261" t="n"/>
      <c r="X9" s="261" t="n"/>
      <c r="Y9" s="261" t="n"/>
      <c r="Z9" s="261" t="n"/>
      <c r="AA9" s="261" t="n"/>
      <c r="AB9" s="261" t="n"/>
      <c r="AC9" s="261" t="n"/>
      <c r="AD9" s="261" t="n"/>
      <c r="AE9" s="261" t="n"/>
    </row>
    <row r="10" customFormat="1" s="455">
      <c r="A10" s="427" t="n">
        <v>5</v>
      </c>
      <c r="B10" s="101" t="n"/>
      <c r="C10" s="101" t="n"/>
      <c r="D10" s="101" t="n"/>
      <c r="E10" s="676" t="n"/>
      <c r="F10" s="676" t="n"/>
      <c r="G10" s="676" t="n"/>
      <c r="H10" s="645">
        <f>SUM(E10,G10,-F10)</f>
        <v/>
      </c>
      <c r="I10" s="597" t="n"/>
      <c r="J10" s="645">
        <f>H10+I10</f>
        <v/>
      </c>
      <c r="K10" s="17" t="n"/>
      <c r="L10" s="645">
        <f>J10+K10</f>
        <v/>
      </c>
      <c r="M10" s="647"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customFormat="1" s="455">
      <c r="A11" s="427" t="n">
        <v>6</v>
      </c>
      <c r="B11" s="101" t="n"/>
      <c r="C11" s="101" t="n"/>
      <c r="D11" s="101" t="n"/>
      <c r="E11" s="676" t="n"/>
      <c r="F11" s="676" t="n"/>
      <c r="G11" s="676" t="n"/>
      <c r="H11" s="645">
        <f>SUM(E11,G11,-F11)</f>
        <v/>
      </c>
      <c r="I11" s="597" t="n"/>
      <c r="J11" s="645">
        <f>H11+I11</f>
        <v/>
      </c>
      <c r="K11" s="17" t="n"/>
      <c r="L11" s="645">
        <f>J11+K11</f>
        <v/>
      </c>
      <c r="M11" s="647"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customFormat="1" s="455">
      <c r="A12" s="427" t="n">
        <v>7</v>
      </c>
      <c r="B12" s="101" t="n"/>
      <c r="C12" s="101" t="n"/>
      <c r="D12" s="101" t="n"/>
      <c r="E12" s="676" t="n"/>
      <c r="F12" s="676" t="n"/>
      <c r="G12" s="676" t="n"/>
      <c r="H12" s="645">
        <f>SUM(E12,G12,-F12)</f>
        <v/>
      </c>
      <c r="I12" s="597" t="n"/>
      <c r="J12" s="645">
        <f>H12+I12</f>
        <v/>
      </c>
      <c r="K12" s="17" t="n"/>
      <c r="L12" s="645">
        <f>J12+K12</f>
        <v/>
      </c>
      <c r="M12" s="647"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customFormat="1" s="455">
      <c r="A13" s="427" t="n">
        <v>8</v>
      </c>
      <c r="B13" s="101" t="n"/>
      <c r="C13" s="101" t="n"/>
      <c r="D13" s="101" t="n"/>
      <c r="E13" s="676" t="n"/>
      <c r="F13" s="676" t="n"/>
      <c r="G13" s="676" t="n"/>
      <c r="H13" s="645">
        <f>SUM(E13,G13,-F13)</f>
        <v/>
      </c>
      <c r="I13" s="597" t="n"/>
      <c r="J13" s="645">
        <f>H13+I13</f>
        <v/>
      </c>
      <c r="K13" s="17" t="n"/>
      <c r="L13" s="645">
        <f>J13+K13</f>
        <v/>
      </c>
      <c r="M13" s="647"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customFormat="1" s="455">
      <c r="A14" s="427" t="n">
        <v>9</v>
      </c>
      <c r="B14" s="101" t="n"/>
      <c r="C14" s="101" t="n"/>
      <c r="D14" s="101" t="n"/>
      <c r="E14" s="676" t="n"/>
      <c r="F14" s="676" t="n"/>
      <c r="G14" s="676" t="n"/>
      <c r="H14" s="645">
        <f>SUM(E14,G14,-F14)</f>
        <v/>
      </c>
      <c r="I14" s="597" t="n"/>
      <c r="J14" s="645">
        <f>H14+I14</f>
        <v/>
      </c>
      <c r="K14" s="17" t="n"/>
      <c r="L14" s="645">
        <f>J14+K14</f>
        <v/>
      </c>
      <c r="M14" s="647"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customFormat="1" s="455">
      <c r="A15" s="427" t="n">
        <v>10</v>
      </c>
      <c r="B15" s="101" t="n"/>
      <c r="C15" s="101" t="n"/>
      <c r="D15" s="101" t="n"/>
      <c r="E15" s="676" t="n"/>
      <c r="F15" s="676" t="n"/>
      <c r="G15" s="676" t="n"/>
      <c r="H15" s="645">
        <f>SUM(E15,G15,-F15)</f>
        <v/>
      </c>
      <c r="I15" s="597" t="n"/>
      <c r="J15" s="645">
        <f>H15+I15</f>
        <v/>
      </c>
      <c r="K15" s="17" t="n"/>
      <c r="L15" s="645">
        <f>J15+K15</f>
        <v/>
      </c>
      <c r="M15" s="647"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customFormat="1" s="455">
      <c r="A16" s="427" t="n">
        <v>11</v>
      </c>
      <c r="B16" s="101" t="n"/>
      <c r="C16" s="101" t="n"/>
      <c r="D16" s="101" t="n"/>
      <c r="E16" s="676" t="n"/>
      <c r="F16" s="676" t="n"/>
      <c r="G16" s="676" t="n"/>
      <c r="H16" s="645">
        <f>SUM(E16,G16,-F16)</f>
        <v/>
      </c>
      <c r="I16" s="597" t="n"/>
      <c r="J16" s="645">
        <f>H16+I16</f>
        <v/>
      </c>
      <c r="K16" s="17" t="n"/>
      <c r="L16" s="645">
        <f>J16+K16</f>
        <v/>
      </c>
      <c r="M16" s="647"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customFormat="1" s="455">
      <c r="A17" s="427" t="n">
        <v>12</v>
      </c>
      <c r="B17" s="101" t="n"/>
      <c r="C17" s="101" t="n"/>
      <c r="D17" s="101" t="n"/>
      <c r="E17" s="676" t="n"/>
      <c r="F17" s="676" t="n"/>
      <c r="G17" s="676" t="n"/>
      <c r="H17" s="645">
        <f>SUM(E17,G17,-F17)</f>
        <v/>
      </c>
      <c r="I17" s="597" t="n"/>
      <c r="J17" s="645">
        <f>H17+I17</f>
        <v/>
      </c>
      <c r="K17" s="17" t="n"/>
      <c r="L17" s="645">
        <f>J17+K17</f>
        <v/>
      </c>
      <c r="M17" s="647"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customFormat="1" s="455">
      <c r="A18" s="427" t="n">
        <v>13</v>
      </c>
      <c r="B18" s="101" t="n"/>
      <c r="C18" s="101" t="n"/>
      <c r="D18" s="101" t="n"/>
      <c r="E18" s="676" t="n"/>
      <c r="F18" s="676" t="n"/>
      <c r="G18" s="676" t="n"/>
      <c r="H18" s="645">
        <f>SUM(E18,G18,-F18)</f>
        <v/>
      </c>
      <c r="I18" s="597" t="n"/>
      <c r="J18" s="645">
        <f>H18+I18</f>
        <v/>
      </c>
      <c r="K18" s="17" t="n"/>
      <c r="L18" s="645">
        <f>J18+K18</f>
        <v/>
      </c>
      <c r="M18" s="647"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customFormat="1" s="455">
      <c r="A19" s="427" t="n">
        <v>14</v>
      </c>
      <c r="B19" s="101" t="n"/>
      <c r="C19" s="101" t="n"/>
      <c r="D19" s="101" t="n"/>
      <c r="E19" s="676" t="n"/>
      <c r="F19" s="676" t="n"/>
      <c r="G19" s="676" t="n"/>
      <c r="H19" s="645">
        <f>SUM(E19,G19,-F19)</f>
        <v/>
      </c>
      <c r="I19" s="597" t="n"/>
      <c r="J19" s="645">
        <f>H19+I19</f>
        <v/>
      </c>
      <c r="K19" s="17" t="n"/>
      <c r="L19" s="645">
        <f>J19+K19</f>
        <v/>
      </c>
      <c r="M19" s="647"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customFormat="1" s="455">
      <c r="A20" s="427" t="n">
        <v>15</v>
      </c>
      <c r="B20" s="101" t="n"/>
      <c r="C20" s="101" t="n"/>
      <c r="D20" s="101" t="n"/>
      <c r="E20" s="676" t="n"/>
      <c r="F20" s="676" t="n"/>
      <c r="G20" s="676" t="n"/>
      <c r="H20" s="645">
        <f>SUM(E20,G20,-F20)</f>
        <v/>
      </c>
      <c r="I20" s="597" t="n"/>
      <c r="J20" s="645">
        <f>H20+I20</f>
        <v/>
      </c>
      <c r="K20" s="17" t="n"/>
      <c r="L20" s="645">
        <f>J20+K20</f>
        <v/>
      </c>
      <c r="M20" s="647"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customFormat="1" s="455">
      <c r="A21" s="427" t="n">
        <v>16</v>
      </c>
      <c r="B21" s="101" t="n"/>
      <c r="C21" s="101" t="n"/>
      <c r="D21" s="101" t="n"/>
      <c r="E21" s="676" t="n"/>
      <c r="F21" s="676" t="n"/>
      <c r="G21" s="676" t="n"/>
      <c r="H21" s="645">
        <f>SUM(E21,G21,-F21)</f>
        <v/>
      </c>
      <c r="I21" s="597" t="n"/>
      <c r="J21" s="645">
        <f>H21+I21</f>
        <v/>
      </c>
      <c r="K21" s="17" t="n"/>
      <c r="L21" s="645">
        <f>J21+K21</f>
        <v/>
      </c>
      <c r="M21" s="647"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customFormat="1" s="455">
      <c r="A22" s="427" t="n">
        <v>17</v>
      </c>
      <c r="B22" s="101" t="n"/>
      <c r="C22" s="101" t="n"/>
      <c r="D22" s="101" t="n"/>
      <c r="E22" s="676" t="n"/>
      <c r="F22" s="676" t="n"/>
      <c r="G22" s="676" t="n"/>
      <c r="H22" s="645">
        <f>SUM(E22,G22,-F22)</f>
        <v/>
      </c>
      <c r="I22" s="597" t="n"/>
      <c r="J22" s="645">
        <f>H22+I22</f>
        <v/>
      </c>
      <c r="K22" s="17" t="n"/>
      <c r="L22" s="645">
        <f>J22+K22</f>
        <v/>
      </c>
      <c r="M22" s="647"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customFormat="1" s="455">
      <c r="A23" s="427" t="n">
        <v>18</v>
      </c>
      <c r="B23" s="101" t="n"/>
      <c r="C23" s="101" t="n"/>
      <c r="D23" s="101" t="n"/>
      <c r="E23" s="676" t="n"/>
      <c r="F23" s="676" t="n"/>
      <c r="G23" s="676" t="n"/>
      <c r="H23" s="645">
        <f>SUM(E23,G23,-F23)</f>
        <v/>
      </c>
      <c r="I23" s="597" t="n"/>
      <c r="J23" s="645">
        <f>H23+I23</f>
        <v/>
      </c>
      <c r="K23" s="17" t="n"/>
      <c r="L23" s="645">
        <f>J23+K23</f>
        <v/>
      </c>
      <c r="M23" s="647"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customFormat="1" s="455">
      <c r="A24" s="427" t="n">
        <v>19</v>
      </c>
      <c r="B24" s="101" t="n"/>
      <c r="C24" s="101" t="n"/>
      <c r="D24" s="101" t="n"/>
      <c r="E24" s="676" t="n"/>
      <c r="F24" s="676" t="n"/>
      <c r="G24" s="676" t="n"/>
      <c r="H24" s="645">
        <f>SUM(E24,G24,-F24)</f>
        <v/>
      </c>
      <c r="I24" s="597" t="n"/>
      <c r="J24" s="645">
        <f>H24+I24</f>
        <v/>
      </c>
      <c r="K24" s="17" t="n"/>
      <c r="L24" s="645">
        <f>J24+K24</f>
        <v/>
      </c>
      <c r="M24" s="647"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customFormat="1" s="455">
      <c r="A25" s="427" t="n">
        <v>20</v>
      </c>
      <c r="B25" s="101" t="n"/>
      <c r="C25" s="101" t="n"/>
      <c r="D25" s="101" t="n"/>
      <c r="E25" s="676" t="n"/>
      <c r="F25" s="676" t="n"/>
      <c r="G25" s="676" t="n"/>
      <c r="H25" s="645">
        <f>SUM(E25,G25,-F25)</f>
        <v/>
      </c>
      <c r="I25" s="597" t="n"/>
      <c r="J25" s="645">
        <f>H25+I25</f>
        <v/>
      </c>
      <c r="K25" s="17" t="n"/>
      <c r="L25" s="645">
        <f>J25+K25</f>
        <v/>
      </c>
      <c r="M25" s="647"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22" customFormat="1" customHeight="1" s="521">
      <c r="A26" s="262" t="n"/>
      <c r="B26" s="23" t="inlineStr">
        <is>
          <t>合计</t>
        </is>
      </c>
      <c r="C26" s="23" t="n"/>
      <c r="D26" s="262" t="n"/>
      <c r="E26" s="645">
        <f>ROUND(SUM(E6:E25),2)</f>
        <v/>
      </c>
      <c r="F26" s="645">
        <f>ROUND(SUM(F6:F25),2)</f>
        <v/>
      </c>
      <c r="G26" s="645">
        <f>ROUND(SUM(G6:G25),2)</f>
        <v/>
      </c>
      <c r="H26" s="645">
        <f>SUM(E26,G26,-F26)</f>
        <v/>
      </c>
      <c r="I26" s="645" t="n"/>
      <c r="J26" s="645">
        <f>H26+I26</f>
        <v/>
      </c>
      <c r="K26" s="645">
        <f>ROUND(SUM(K6:K25),2)</f>
        <v/>
      </c>
      <c r="L26" s="645">
        <f>J26+K26</f>
        <v/>
      </c>
      <c r="M26" s="25" t="n"/>
      <c r="N26" s="657">
        <f>ROUND(SUM(N6:N25),2)</f>
        <v/>
      </c>
      <c r="O26" s="265" t="n"/>
      <c r="P26" s="265" t="n"/>
      <c r="Q26" s="265" t="n"/>
      <c r="R26" s="265" t="n"/>
      <c r="S26" s="265" t="n"/>
      <c r="T26" s="265" t="n"/>
      <c r="U26" s="265" t="n"/>
      <c r="V26" s="525" t="n"/>
      <c r="W26" s="525" t="n"/>
      <c r="X26" s="525" t="n"/>
      <c r="Y26" s="525" t="n"/>
      <c r="Z26" s="525" t="n"/>
      <c r="AA26" s="525" t="n"/>
      <c r="AB26" s="525" t="n"/>
      <c r="AC26" s="525" t="n"/>
      <c r="AD26" s="525" t="n"/>
      <c r="AE26" s="525" t="n"/>
    </row>
    <row r="28" ht="26" customHeight="1" s="559">
      <c r="B28" s="570" t="inlineStr">
        <is>
          <t>审计说明：</t>
        </is>
      </c>
    </row>
  </sheetData>
  <autoFilter ref="B5:AE26"/>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25 P6:P25 U6:U25" showDropDown="0" showInputMessage="1" showErrorMessage="1" allowBlank="1" type="list">
      <formula1>"√"</formula1>
    </dataValidation>
  </dataValidations>
  <pageMargins left="0.75" right="0.75" top="1" bottom="1" header="0.5" footer="0.5"/>
</worksheet>
</file>

<file path=xl/worksheets/sheet22.xml><?xml version="1.0" encoding="utf-8"?>
<worksheet xmlns="http://schemas.openxmlformats.org/spreadsheetml/2006/main">
  <sheetPr codeName="Sheet19">
    <outlinePr summaryBelow="1" summaryRight="1"/>
    <pageSetUpPr/>
  </sheetPr>
  <dimension ref="A1:AE77"/>
  <sheetViews>
    <sheetView zoomScale="90" zoomScaleNormal="90" workbookViewId="0">
      <pane ySplit="5" topLeftCell="A6" activePane="bottomLeft" state="frozen"/>
      <selection activeCell="A1" sqref="A1"/>
      <selection pane="bottomLeft" activeCell="B8" sqref="B8"/>
    </sheetView>
  </sheetViews>
  <sheetFormatPr baseColWidth="8" defaultColWidth="8.731481481481479" defaultRowHeight="14.4"/>
  <cols>
    <col width="6.18518518518519" customWidth="1" style="559" min="1" max="1"/>
    <col width="12.7222222222222" customWidth="1" style="559" min="2" max="2"/>
    <col width="18.7777777777778" customWidth="1" style="559" min="3" max="3"/>
    <col width="18.5833333333333" customWidth="1" style="559" min="4" max="4"/>
    <col width="15.0462962962963" customWidth="1" style="559" min="5" max="7"/>
    <col width="14.037037037037" customWidth="1" style="559" min="8" max="10"/>
    <col width="13.6388888888889" customWidth="1" style="559" min="11" max="11"/>
    <col width="15.25" customWidth="1" style="559" min="12" max="12"/>
    <col width="12.2685185185185" customWidth="1" style="559" min="13" max="13"/>
    <col width="15.0925925925926" customWidth="1" style="559" min="14" max="14"/>
    <col width="12.2685185185185" customWidth="1" style="559" min="15" max="15"/>
    <col width="12.3611111111111" customWidth="1" style="559" min="16" max="16"/>
    <col width="8" customWidth="1" style="559" min="17" max="20"/>
    <col width="13" customWidth="1" style="559" min="21" max="21"/>
    <col width="16.6388888888889" customWidth="1" style="559" min="22" max="22"/>
    <col width="14.2685185185185" customWidth="1" style="559" min="23" max="23"/>
    <col width="12.9074074074074" customWidth="1" style="559" min="24" max="24"/>
    <col width="19.4537037037037" customWidth="1" style="559" min="25" max="25"/>
    <col width="10.1851851851852" customWidth="1" style="559" min="26" max="26"/>
    <col width="12.8148148148148" customWidth="1" style="559" min="27" max="28"/>
    <col width="14.1851851851852" customWidth="1" style="559" min="30" max="30"/>
    <col width="37.9074074074074" customWidth="1" style="559" min="31" max="31"/>
  </cols>
  <sheetData>
    <row r="1" ht="26" customHeight="1" s="559">
      <c r="B1" s="247" t="inlineStr">
        <is>
          <t>其他应付款明细表</t>
        </is>
      </c>
    </row>
    <row r="2">
      <c r="A2" s="2">
        <f>备忘录!$A$1</f>
        <v/>
      </c>
      <c r="D2" s="456" t="n"/>
      <c r="E2" s="456" t="n"/>
      <c r="F2" s="456" t="n"/>
      <c r="H2" s="456" t="inlineStr">
        <is>
          <t>编制人：刘喜琴</t>
        </is>
      </c>
      <c r="I2" s="456" t="n"/>
      <c r="J2" s="456" t="n"/>
      <c r="N2" s="456">
        <f>备忘录!$C$2</f>
        <v/>
      </c>
      <c r="P2" s="289" t="n"/>
    </row>
    <row r="3">
      <c r="A3" s="2">
        <f>备忘录!$A$2</f>
        <v/>
      </c>
      <c r="D3" s="456" t="n"/>
      <c r="E3" s="456" t="n"/>
      <c r="F3" s="456" t="n"/>
      <c r="H3" s="456" t="inlineStr">
        <is>
          <t>复核人：赵玮</t>
        </is>
      </c>
      <c r="I3" s="456" t="n"/>
      <c r="J3" s="456" t="n"/>
      <c r="N3" s="456">
        <f>备忘录!$C$3</f>
        <v/>
      </c>
    </row>
    <row r="4" ht="21" customFormat="1" customHeight="1" s="455">
      <c r="A4" s="89" t="inlineStr">
        <is>
          <t>序号</t>
        </is>
      </c>
      <c r="B4" s="633" t="inlineStr">
        <is>
          <t>科目名称</t>
        </is>
      </c>
      <c r="C4" s="633" t="inlineStr">
        <is>
          <t>核算项目1</t>
        </is>
      </c>
      <c r="D4" s="633" t="inlineStr">
        <is>
          <t>核算项目2</t>
        </is>
      </c>
      <c r="E4" s="89" t="inlineStr">
        <is>
          <t>账面数据</t>
        </is>
      </c>
      <c r="F4" s="562" t="n"/>
      <c r="G4" s="562" t="n"/>
      <c r="H4" s="562" t="n"/>
      <c r="I4" s="563" t="n"/>
      <c r="J4" s="248" t="inlineStr">
        <is>
          <t>期末报表列报</t>
        </is>
      </c>
      <c r="K4" s="248" t="inlineStr">
        <is>
          <t>审计调整</t>
        </is>
      </c>
      <c r="L4" s="248" t="inlineStr">
        <is>
          <t>期末审定余额</t>
        </is>
      </c>
      <c r="M4" s="526" t="inlineStr">
        <is>
          <t>余额核对
(√)</t>
        </is>
      </c>
      <c r="N4" s="250" t="inlineStr">
        <is>
          <t>核对确认金额</t>
        </is>
      </c>
      <c r="O4" s="250" t="inlineStr">
        <is>
          <t>备注</t>
        </is>
      </c>
      <c r="P4" s="250" t="inlineStr">
        <is>
          <t>重要客户/供应商账龄划分（√）</t>
        </is>
      </c>
      <c r="Q4" s="250" t="inlineStr">
        <is>
          <t>1个月以内</t>
        </is>
      </c>
      <c r="R4" s="250" t="inlineStr">
        <is>
          <t>2-3月</t>
        </is>
      </c>
      <c r="S4" s="250" t="inlineStr">
        <is>
          <t>4-6月</t>
        </is>
      </c>
      <c r="T4" s="250" t="inlineStr">
        <is>
          <t>6个月以上</t>
        </is>
      </c>
      <c r="U4" s="658" t="inlineStr">
        <is>
          <t>重要客户/供应商背调(√)</t>
        </is>
      </c>
      <c r="V4" s="251" t="inlineStr">
        <is>
          <t>背景调查</t>
        </is>
      </c>
      <c r="W4" s="562" t="n"/>
      <c r="X4" s="562" t="n"/>
      <c r="Y4" s="562" t="n"/>
      <c r="Z4" s="562" t="n"/>
      <c r="AA4" s="562" t="n"/>
      <c r="AB4" s="562" t="n"/>
      <c r="AC4" s="562" t="n"/>
      <c r="AD4" s="562" t="n"/>
      <c r="AE4" s="563" t="n"/>
    </row>
    <row r="5" ht="41" customFormat="1" customHeight="1" s="455">
      <c r="A5" s="560" t="n"/>
      <c r="B5" s="560" t="n"/>
      <c r="C5" s="560" t="n"/>
      <c r="D5" s="560" t="n"/>
      <c r="E5" s="526" t="inlineStr">
        <is>
          <t>期初金额（取数为：科目余额表期初贷方-借方）</t>
        </is>
      </c>
      <c r="F5" s="526" t="inlineStr">
        <is>
          <t>本期借方</t>
        </is>
      </c>
      <c r="G5" s="526" t="inlineStr">
        <is>
          <t>本期贷方</t>
        </is>
      </c>
      <c r="H5" s="526" t="inlineStr">
        <is>
          <t>期末金额</t>
        </is>
      </c>
      <c r="I5" s="89" t="inlineStr">
        <is>
          <t>企业调整</t>
        </is>
      </c>
      <c r="J5" s="561" t="n"/>
      <c r="K5" s="561" t="n"/>
      <c r="L5" s="561" t="n"/>
      <c r="M5" s="560" t="n"/>
      <c r="N5" s="561" t="n"/>
      <c r="O5" s="561" t="n"/>
      <c r="P5" s="561" t="n"/>
      <c r="Q5" s="561" t="n"/>
      <c r="R5" s="561" t="n"/>
      <c r="S5" s="561" t="n"/>
      <c r="T5" s="561" t="n"/>
      <c r="U5" s="560" t="n"/>
      <c r="V5" s="257" t="inlineStr">
        <is>
          <t>法定代表人</t>
        </is>
      </c>
      <c r="W5" s="257" t="inlineStr">
        <is>
          <t>成立日期</t>
        </is>
      </c>
      <c r="X5" s="257" t="inlineStr">
        <is>
          <t>注册地址</t>
        </is>
      </c>
      <c r="Y5" s="257" t="inlineStr">
        <is>
          <t>注册资本（万元）</t>
        </is>
      </c>
      <c r="Z5" s="257" t="inlineStr">
        <is>
          <t>行业</t>
        </is>
      </c>
      <c r="AA5" s="257" t="inlineStr">
        <is>
          <t>股权结构</t>
        </is>
      </c>
      <c r="AB5" s="257" t="inlineStr">
        <is>
          <t>企业规模</t>
        </is>
      </c>
      <c r="AC5" s="257" t="inlineStr">
        <is>
          <t>员工人数</t>
        </is>
      </c>
      <c r="AD5" s="257" t="inlineStr">
        <is>
          <t>纳税人资质</t>
        </is>
      </c>
      <c r="AE5" s="257" t="inlineStr">
        <is>
          <t>经营范围</t>
        </is>
      </c>
    </row>
    <row r="6" ht="19" customFormat="1" customHeight="1" s="455">
      <c r="A6" s="427" t="n">
        <v>1</v>
      </c>
      <c r="B6" s="101" t="n"/>
      <c r="C6" s="101" t="n"/>
      <c r="D6" s="101" t="n"/>
      <c r="E6" s="569" t="n"/>
      <c r="F6" s="569" t="n"/>
      <c r="G6" s="569" t="n"/>
      <c r="H6" s="645">
        <f>SUM(E6,G6,-F6)</f>
        <v/>
      </c>
      <c r="I6" s="597" t="n"/>
      <c r="J6" s="645">
        <f>H6+I6</f>
        <v/>
      </c>
      <c r="K6" s="569" t="n"/>
      <c r="L6" s="645">
        <f>J6+K6</f>
        <v/>
      </c>
      <c r="M6" s="649" t="n"/>
      <c r="N6" s="102" t="n"/>
      <c r="O6" s="102" t="n"/>
      <c r="P6" s="649" t="n"/>
      <c r="Q6" s="102" t="n"/>
      <c r="R6" s="102" t="n"/>
      <c r="S6" s="102" t="n"/>
      <c r="T6" s="102" t="n"/>
      <c r="U6" s="649" t="n"/>
      <c r="V6" s="261" t="n"/>
      <c r="W6" s="261" t="n"/>
      <c r="X6" s="261" t="n"/>
      <c r="Y6" s="261" t="n"/>
      <c r="Z6" s="261" t="n"/>
      <c r="AA6" s="261" t="n"/>
      <c r="AB6" s="261" t="n"/>
      <c r="AC6" s="261" t="n"/>
      <c r="AD6" s="261" t="n"/>
      <c r="AE6" s="261" t="n"/>
    </row>
    <row r="7" ht="19" customFormat="1" customHeight="1" s="455">
      <c r="A7" s="427" t="n">
        <v>2</v>
      </c>
      <c r="B7" s="101" t="n"/>
      <c r="C7" s="101" t="n"/>
      <c r="D7" s="101" t="n"/>
      <c r="E7" s="569" t="n"/>
      <c r="F7" s="569" t="n"/>
      <c r="G7" s="569" t="n"/>
      <c r="H7" s="645">
        <f>SUM(E7,G7,-F7)</f>
        <v/>
      </c>
      <c r="I7" s="597" t="n"/>
      <c r="J7" s="645">
        <f>H7+I7</f>
        <v/>
      </c>
      <c r="K7" s="569" t="n"/>
      <c r="L7" s="645">
        <f>J7+K7</f>
        <v/>
      </c>
      <c r="M7" s="649" t="n"/>
      <c r="N7" s="102" t="n"/>
      <c r="O7" s="102" t="n"/>
      <c r="P7" s="649" t="n"/>
      <c r="Q7" s="102" t="n"/>
      <c r="R7" s="102" t="n"/>
      <c r="S7" s="102" t="n"/>
      <c r="T7" s="102" t="n"/>
      <c r="U7" s="649" t="n"/>
      <c r="V7" s="261" t="n"/>
      <c r="W7" s="261" t="n"/>
      <c r="X7" s="261" t="n"/>
      <c r="Y7" s="261" t="n"/>
      <c r="Z7" s="261" t="n"/>
      <c r="AA7" s="261" t="n"/>
      <c r="AB7" s="261" t="n"/>
      <c r="AC7" s="261" t="n"/>
      <c r="AD7" s="261" t="n"/>
      <c r="AE7" s="261" t="n"/>
    </row>
    <row r="8" ht="19" customFormat="1" customHeight="1" s="455">
      <c r="A8" s="427" t="n">
        <v>3</v>
      </c>
      <c r="B8" s="101" t="n"/>
      <c r="C8" s="101" t="n"/>
      <c r="D8" s="101" t="n"/>
      <c r="E8" s="569" t="n"/>
      <c r="F8" s="569" t="n"/>
      <c r="G8" s="569" t="n"/>
      <c r="H8" s="645">
        <f>SUM(E8,G8,-F8)</f>
        <v/>
      </c>
      <c r="I8" s="597" t="n"/>
      <c r="J8" s="645">
        <f>H8+I8</f>
        <v/>
      </c>
      <c r="K8" s="569" t="n"/>
      <c r="L8" s="645">
        <f>J8+K8</f>
        <v/>
      </c>
      <c r="M8" s="649" t="n"/>
      <c r="N8" s="102" t="n"/>
      <c r="O8" s="102" t="n"/>
      <c r="P8" s="649" t="n"/>
      <c r="Q8" s="102" t="n"/>
      <c r="R8" s="102" t="n"/>
      <c r="S8" s="102" t="n"/>
      <c r="T8" s="102" t="n"/>
      <c r="U8" s="649" t="n"/>
      <c r="V8" s="261" t="n"/>
      <c r="W8" s="261" t="n"/>
      <c r="X8" s="261" t="n"/>
      <c r="Y8" s="261" t="n"/>
      <c r="Z8" s="261" t="n"/>
      <c r="AA8" s="261" t="n"/>
      <c r="AB8" s="261" t="n"/>
      <c r="AC8" s="261" t="n"/>
      <c r="AD8" s="261" t="n"/>
      <c r="AE8" s="261" t="n"/>
    </row>
    <row r="9" ht="19" customFormat="1" customHeight="1" s="455">
      <c r="A9" s="427" t="n">
        <v>4</v>
      </c>
      <c r="B9" s="101" t="n"/>
      <c r="C9" s="101" t="n"/>
      <c r="D9" s="55" t="n"/>
      <c r="E9" s="569" t="n"/>
      <c r="F9" s="569" t="n"/>
      <c r="G9" s="569" t="n"/>
      <c r="H9" s="645">
        <f>SUM(E9,G9,-F9)</f>
        <v/>
      </c>
      <c r="I9" s="597" t="n"/>
      <c r="J9" s="645">
        <f>H9+I9</f>
        <v/>
      </c>
      <c r="K9" s="569" t="n"/>
      <c r="L9" s="645">
        <f>J9+K9</f>
        <v/>
      </c>
      <c r="M9" s="649" t="n"/>
      <c r="N9" s="102" t="n"/>
      <c r="O9" s="102" t="n"/>
      <c r="P9" s="649" t="n"/>
      <c r="Q9" s="102" t="n"/>
      <c r="R9" s="102" t="n"/>
      <c r="S9" s="102" t="n"/>
      <c r="T9" s="102" t="n"/>
      <c r="U9" s="649" t="n"/>
      <c r="V9" s="261" t="n"/>
      <c r="W9" s="261" t="n"/>
      <c r="X9" s="261" t="n"/>
      <c r="Y9" s="261" t="n"/>
      <c r="Z9" s="261" t="n"/>
      <c r="AA9" s="261" t="n"/>
      <c r="AB9" s="261" t="n"/>
      <c r="AC9" s="261" t="n"/>
      <c r="AD9" s="261" t="n"/>
      <c r="AE9" s="261" t="n"/>
    </row>
    <row r="10" ht="19" customFormat="1" customHeight="1" s="455">
      <c r="A10" s="427" t="n">
        <v>5</v>
      </c>
      <c r="B10" s="101" t="n"/>
      <c r="C10" s="101" t="n"/>
      <c r="D10" s="55" t="n"/>
      <c r="E10" s="569" t="n"/>
      <c r="F10" s="569" t="n"/>
      <c r="G10" s="569" t="n"/>
      <c r="H10" s="645">
        <f>SUM(E10,G10,-F10)</f>
        <v/>
      </c>
      <c r="I10" s="597" t="n"/>
      <c r="J10" s="645">
        <f>H10+I10</f>
        <v/>
      </c>
      <c r="K10" s="569" t="n"/>
      <c r="L10" s="645">
        <f>J10+K10</f>
        <v/>
      </c>
      <c r="M10" s="649" t="n"/>
      <c r="N10" s="102" t="n"/>
      <c r="O10" s="102" t="n"/>
      <c r="P10" s="649" t="n"/>
      <c r="Q10" s="102" t="n"/>
      <c r="R10" s="102" t="n"/>
      <c r="S10" s="102" t="n"/>
      <c r="T10" s="102" t="n"/>
      <c r="U10" s="649" t="n"/>
      <c r="V10" s="261" t="n"/>
      <c r="W10" s="261" t="n"/>
      <c r="X10" s="261" t="n"/>
      <c r="Y10" s="261" t="n"/>
      <c r="Z10" s="261" t="n"/>
      <c r="AA10" s="261" t="n"/>
      <c r="AB10" s="261" t="n"/>
      <c r="AC10" s="261" t="n"/>
      <c r="AD10" s="261" t="n"/>
      <c r="AE10" s="261" t="n"/>
    </row>
    <row r="11" ht="19" customFormat="1" customHeight="1" s="455">
      <c r="A11" s="427" t="n">
        <v>6</v>
      </c>
      <c r="B11" s="101" t="n"/>
      <c r="C11" s="101" t="n"/>
      <c r="D11" s="101" t="n"/>
      <c r="E11" s="569" t="n"/>
      <c r="F11" s="569" t="n"/>
      <c r="G11" s="569" t="n"/>
      <c r="H11" s="645">
        <f>SUM(E11,G11,-F11)</f>
        <v/>
      </c>
      <c r="I11" s="597" t="n"/>
      <c r="J11" s="645">
        <f>H11+I11</f>
        <v/>
      </c>
      <c r="K11" s="569" t="n"/>
      <c r="L11" s="645">
        <f>J11+K11</f>
        <v/>
      </c>
      <c r="M11" s="649" t="n"/>
      <c r="N11" s="102" t="n"/>
      <c r="O11" s="102" t="n"/>
      <c r="P11" s="649" t="n"/>
      <c r="Q11" s="102" t="n"/>
      <c r="R11" s="102" t="n"/>
      <c r="S11" s="102" t="n"/>
      <c r="T11" s="102" t="n"/>
      <c r="U11" s="649" t="n"/>
      <c r="V11" s="261" t="n"/>
      <c r="W11" s="261" t="n"/>
      <c r="X11" s="261" t="n"/>
      <c r="Y11" s="261" t="n"/>
      <c r="Z11" s="261" t="n"/>
      <c r="AA11" s="261" t="n"/>
      <c r="AB11" s="261" t="n"/>
      <c r="AC11" s="261" t="n"/>
      <c r="AD11" s="261" t="n"/>
      <c r="AE11" s="261" t="n"/>
    </row>
    <row r="12" ht="19" customFormat="1" customHeight="1" s="455">
      <c r="A12" s="427" t="n">
        <v>7</v>
      </c>
      <c r="B12" s="101" t="n"/>
      <c r="C12" s="101" t="n"/>
      <c r="D12" s="101" t="n"/>
      <c r="E12" s="569" t="n"/>
      <c r="F12" s="569" t="n"/>
      <c r="G12" s="569" t="n"/>
      <c r="H12" s="645">
        <f>SUM(E12,G12,-F12)</f>
        <v/>
      </c>
      <c r="I12" s="597" t="n"/>
      <c r="J12" s="645">
        <f>H12+I12</f>
        <v/>
      </c>
      <c r="K12" s="569" t="n"/>
      <c r="L12" s="645">
        <f>J12+K12</f>
        <v/>
      </c>
      <c r="M12" s="649" t="n"/>
      <c r="N12" s="102" t="n"/>
      <c r="O12" s="102" t="n"/>
      <c r="P12" s="649" t="n"/>
      <c r="Q12" s="102" t="n"/>
      <c r="R12" s="102" t="n"/>
      <c r="S12" s="102" t="n"/>
      <c r="T12" s="102" t="n"/>
      <c r="U12" s="649" t="n"/>
      <c r="V12" s="261" t="n"/>
      <c r="W12" s="261" t="n"/>
      <c r="X12" s="261" t="n"/>
      <c r="Y12" s="261" t="n"/>
      <c r="Z12" s="261" t="n"/>
      <c r="AA12" s="261" t="n"/>
      <c r="AB12" s="261" t="n"/>
      <c r="AC12" s="261" t="n"/>
      <c r="AD12" s="261" t="n"/>
      <c r="AE12" s="261" t="n"/>
    </row>
    <row r="13" ht="19" customFormat="1" customHeight="1" s="455">
      <c r="A13" s="427" t="n">
        <v>8</v>
      </c>
      <c r="B13" s="101" t="n"/>
      <c r="C13" s="101" t="n"/>
      <c r="D13" s="101" t="n"/>
      <c r="E13" s="569" t="n"/>
      <c r="F13" s="569" t="n"/>
      <c r="G13" s="569" t="n"/>
      <c r="H13" s="645">
        <f>SUM(E13,G13,-F13)</f>
        <v/>
      </c>
      <c r="I13" s="597" t="n"/>
      <c r="J13" s="645">
        <f>H13+I13</f>
        <v/>
      </c>
      <c r="K13" s="569" t="n"/>
      <c r="L13" s="645">
        <f>J13+K13</f>
        <v/>
      </c>
      <c r="M13" s="649" t="n"/>
      <c r="N13" s="102" t="n"/>
      <c r="O13" s="102" t="n"/>
      <c r="P13" s="649" t="n"/>
      <c r="Q13" s="102" t="n"/>
      <c r="R13" s="102" t="n"/>
      <c r="S13" s="102" t="n"/>
      <c r="T13" s="102" t="n"/>
      <c r="U13" s="649" t="n"/>
      <c r="V13" s="261" t="n"/>
      <c r="W13" s="261" t="n"/>
      <c r="X13" s="261" t="n"/>
      <c r="Y13" s="261" t="n"/>
      <c r="Z13" s="261" t="n"/>
      <c r="AA13" s="261" t="n"/>
      <c r="AB13" s="261" t="n"/>
      <c r="AC13" s="261" t="n"/>
      <c r="AD13" s="261" t="n"/>
      <c r="AE13" s="261" t="n"/>
    </row>
    <row r="14" ht="19" customFormat="1" customHeight="1" s="455">
      <c r="A14" s="427" t="n">
        <v>9</v>
      </c>
      <c r="B14" s="101" t="n"/>
      <c r="C14" s="101" t="n"/>
      <c r="D14" s="101" t="n"/>
      <c r="E14" s="569" t="n"/>
      <c r="F14" s="569" t="n"/>
      <c r="G14" s="569" t="n"/>
      <c r="H14" s="645">
        <f>SUM(E14,G14,-F14)</f>
        <v/>
      </c>
      <c r="I14" s="597" t="n"/>
      <c r="J14" s="645">
        <f>H14+I14</f>
        <v/>
      </c>
      <c r="K14" s="569" t="n"/>
      <c r="L14" s="645">
        <f>J14+K14</f>
        <v/>
      </c>
      <c r="M14" s="649" t="n"/>
      <c r="N14" s="102" t="n"/>
      <c r="O14" s="102" t="n"/>
      <c r="P14" s="649" t="n"/>
      <c r="Q14" s="102" t="n"/>
      <c r="R14" s="102" t="n"/>
      <c r="S14" s="102" t="n"/>
      <c r="T14" s="102" t="n"/>
      <c r="U14" s="649" t="n"/>
      <c r="V14" s="261" t="n"/>
      <c r="W14" s="261" t="n"/>
      <c r="X14" s="261" t="n"/>
      <c r="Y14" s="261" t="n"/>
      <c r="Z14" s="261" t="n"/>
      <c r="AA14" s="261" t="n"/>
      <c r="AB14" s="261" t="n"/>
      <c r="AC14" s="261" t="n"/>
      <c r="AD14" s="261" t="n"/>
      <c r="AE14" s="261" t="n"/>
    </row>
    <row r="15" ht="19" customFormat="1" customHeight="1" s="455">
      <c r="A15" s="427" t="n">
        <v>10</v>
      </c>
      <c r="B15" s="101" t="n"/>
      <c r="C15" s="101" t="n"/>
      <c r="D15" s="101" t="n"/>
      <c r="E15" s="569" t="n"/>
      <c r="F15" s="569" t="n"/>
      <c r="G15" s="569" t="n"/>
      <c r="H15" s="645">
        <f>SUM(E15,G15,-F15)</f>
        <v/>
      </c>
      <c r="I15" s="597" t="n"/>
      <c r="J15" s="645">
        <f>H15+I15</f>
        <v/>
      </c>
      <c r="K15" s="569" t="n"/>
      <c r="L15" s="645">
        <f>J15+K15</f>
        <v/>
      </c>
      <c r="M15" s="649" t="n"/>
      <c r="N15" s="102" t="n"/>
      <c r="O15" s="102" t="n"/>
      <c r="P15" s="649" t="n"/>
      <c r="Q15" s="102" t="n"/>
      <c r="R15" s="102" t="n"/>
      <c r="S15" s="102" t="n"/>
      <c r="T15" s="102" t="n"/>
      <c r="U15" s="649" t="n"/>
      <c r="V15" s="261" t="n"/>
      <c r="W15" s="261" t="n"/>
      <c r="X15" s="261" t="n"/>
      <c r="Y15" s="261" t="n"/>
      <c r="Z15" s="261" t="n"/>
      <c r="AA15" s="261" t="n"/>
      <c r="AB15" s="261" t="n"/>
      <c r="AC15" s="261" t="n"/>
      <c r="AD15" s="261" t="n"/>
      <c r="AE15" s="261" t="n"/>
    </row>
    <row r="16" ht="19" customFormat="1" customHeight="1" s="455">
      <c r="A16" s="427" t="n">
        <v>11</v>
      </c>
      <c r="B16" s="101" t="n"/>
      <c r="C16" s="101" t="n"/>
      <c r="D16" s="101" t="n"/>
      <c r="E16" s="569" t="n"/>
      <c r="F16" s="569" t="n"/>
      <c r="G16" s="569" t="n"/>
      <c r="H16" s="645">
        <f>SUM(E16,G16,-F16)</f>
        <v/>
      </c>
      <c r="I16" s="597" t="n"/>
      <c r="J16" s="645">
        <f>H16+I16</f>
        <v/>
      </c>
      <c r="K16" s="569" t="n"/>
      <c r="L16" s="645">
        <f>J16+K16</f>
        <v/>
      </c>
      <c r="M16" s="649" t="n"/>
      <c r="N16" s="102" t="n"/>
      <c r="O16" s="102" t="n"/>
      <c r="P16" s="649" t="n"/>
      <c r="Q16" s="102" t="n"/>
      <c r="R16" s="102" t="n"/>
      <c r="S16" s="102" t="n"/>
      <c r="T16" s="102" t="n"/>
      <c r="U16" s="649" t="n"/>
      <c r="V16" s="261" t="n"/>
      <c r="W16" s="261" t="n"/>
      <c r="X16" s="261" t="n"/>
      <c r="Y16" s="261" t="n"/>
      <c r="Z16" s="261" t="n"/>
      <c r="AA16" s="261" t="n"/>
      <c r="AB16" s="261" t="n"/>
      <c r="AC16" s="261" t="n"/>
      <c r="AD16" s="261" t="n"/>
      <c r="AE16" s="261" t="n"/>
    </row>
    <row r="17" ht="19" customFormat="1" customHeight="1" s="455">
      <c r="A17" s="427" t="n">
        <v>12</v>
      </c>
      <c r="B17" s="101" t="n"/>
      <c r="C17" s="101" t="n"/>
      <c r="D17" s="101" t="n"/>
      <c r="E17" s="569" t="n"/>
      <c r="F17" s="569" t="n"/>
      <c r="G17" s="569" t="n"/>
      <c r="H17" s="645">
        <f>SUM(E17,G17,-F17)</f>
        <v/>
      </c>
      <c r="I17" s="597" t="n"/>
      <c r="J17" s="645">
        <f>H17+I17</f>
        <v/>
      </c>
      <c r="K17" s="569" t="n"/>
      <c r="L17" s="645">
        <f>J17+K17</f>
        <v/>
      </c>
      <c r="M17" s="649" t="n"/>
      <c r="N17" s="102" t="n"/>
      <c r="O17" s="102" t="n"/>
      <c r="P17" s="649" t="n"/>
      <c r="Q17" s="102" t="n"/>
      <c r="R17" s="102" t="n"/>
      <c r="S17" s="102" t="n"/>
      <c r="T17" s="102" t="n"/>
      <c r="U17" s="649" t="n"/>
      <c r="V17" s="261" t="n"/>
      <c r="W17" s="261" t="n"/>
      <c r="X17" s="261" t="n"/>
      <c r="Y17" s="261" t="n"/>
      <c r="Z17" s="261" t="n"/>
      <c r="AA17" s="261" t="n"/>
      <c r="AB17" s="261" t="n"/>
      <c r="AC17" s="261" t="n"/>
      <c r="AD17" s="261" t="n"/>
      <c r="AE17" s="261" t="n"/>
    </row>
    <row r="18" ht="19" customFormat="1" customHeight="1" s="455">
      <c r="A18" s="427" t="n">
        <v>13</v>
      </c>
      <c r="B18" s="101" t="n"/>
      <c r="C18" s="101" t="n"/>
      <c r="D18" s="101" t="n"/>
      <c r="E18" s="569" t="n"/>
      <c r="F18" s="569" t="n"/>
      <c r="G18" s="569" t="n"/>
      <c r="H18" s="645">
        <f>SUM(E18,G18,-F18)</f>
        <v/>
      </c>
      <c r="I18" s="597" t="n"/>
      <c r="J18" s="645">
        <f>H18+I18</f>
        <v/>
      </c>
      <c r="K18" s="569" t="n"/>
      <c r="L18" s="645">
        <f>J18+K18</f>
        <v/>
      </c>
      <c r="M18" s="649" t="n"/>
      <c r="N18" s="102" t="n"/>
      <c r="O18" s="102" t="n"/>
      <c r="P18" s="649" t="n"/>
      <c r="Q18" s="102" t="n"/>
      <c r="R18" s="102" t="n"/>
      <c r="S18" s="102" t="n"/>
      <c r="T18" s="102" t="n"/>
      <c r="U18" s="649" t="n"/>
      <c r="V18" s="261" t="n"/>
      <c r="W18" s="261" t="n"/>
      <c r="X18" s="261" t="n"/>
      <c r="Y18" s="261" t="n"/>
      <c r="Z18" s="261" t="n"/>
      <c r="AA18" s="261" t="n"/>
      <c r="AB18" s="261" t="n"/>
      <c r="AC18" s="261" t="n"/>
      <c r="AD18" s="261" t="n"/>
      <c r="AE18" s="261" t="n"/>
    </row>
    <row r="19" ht="19" customFormat="1" customHeight="1" s="455">
      <c r="A19" s="427" t="n">
        <v>14</v>
      </c>
      <c r="B19" s="101" t="n"/>
      <c r="C19" s="101" t="n"/>
      <c r="D19" s="101" t="n"/>
      <c r="E19" s="569" t="n"/>
      <c r="F19" s="569" t="n"/>
      <c r="G19" s="569" t="n"/>
      <c r="H19" s="645">
        <f>SUM(E19,G19,-F19)</f>
        <v/>
      </c>
      <c r="I19" s="597" t="n"/>
      <c r="J19" s="645">
        <f>H19+I19</f>
        <v/>
      </c>
      <c r="K19" s="569" t="n"/>
      <c r="L19" s="645">
        <f>J19+K19</f>
        <v/>
      </c>
      <c r="M19" s="649" t="n"/>
      <c r="N19" s="102" t="n"/>
      <c r="O19" s="102" t="n"/>
      <c r="P19" s="649" t="n"/>
      <c r="Q19" s="102" t="n"/>
      <c r="R19" s="102" t="n"/>
      <c r="S19" s="102" t="n"/>
      <c r="T19" s="102" t="n"/>
      <c r="U19" s="649" t="n"/>
      <c r="V19" s="261" t="n"/>
      <c r="W19" s="261" t="n"/>
      <c r="X19" s="261" t="n"/>
      <c r="Y19" s="261" t="n"/>
      <c r="Z19" s="261" t="n"/>
      <c r="AA19" s="261" t="n"/>
      <c r="AB19" s="261" t="n"/>
      <c r="AC19" s="261" t="n"/>
      <c r="AD19" s="261" t="n"/>
      <c r="AE19" s="261" t="n"/>
    </row>
    <row r="20" ht="19" customFormat="1" customHeight="1" s="455">
      <c r="A20" s="427" t="n">
        <v>15</v>
      </c>
      <c r="B20" s="101" t="n"/>
      <c r="C20" s="101" t="n"/>
      <c r="D20" s="101" t="n"/>
      <c r="E20" s="569" t="n"/>
      <c r="F20" s="569" t="n"/>
      <c r="G20" s="569" t="n"/>
      <c r="H20" s="645">
        <f>SUM(E20,G20,-F20)</f>
        <v/>
      </c>
      <c r="I20" s="597" t="n"/>
      <c r="J20" s="645">
        <f>H20+I20</f>
        <v/>
      </c>
      <c r="K20" s="569" t="n"/>
      <c r="L20" s="645">
        <f>J20+K20</f>
        <v/>
      </c>
      <c r="M20" s="649" t="n"/>
      <c r="N20" s="102" t="n"/>
      <c r="O20" s="102" t="n"/>
      <c r="P20" s="649" t="n"/>
      <c r="Q20" s="102" t="n"/>
      <c r="R20" s="102" t="n"/>
      <c r="S20" s="102" t="n"/>
      <c r="T20" s="102" t="n"/>
      <c r="U20" s="649" t="n"/>
      <c r="V20" s="261" t="n"/>
      <c r="W20" s="261" t="n"/>
      <c r="X20" s="261" t="n"/>
      <c r="Y20" s="261" t="n"/>
      <c r="Z20" s="261" t="n"/>
      <c r="AA20" s="261" t="n"/>
      <c r="AB20" s="261" t="n"/>
      <c r="AC20" s="261" t="n"/>
      <c r="AD20" s="261" t="n"/>
      <c r="AE20" s="261" t="n"/>
    </row>
    <row r="21" ht="19" customFormat="1" customHeight="1" s="455">
      <c r="A21" s="427" t="n">
        <v>16</v>
      </c>
      <c r="B21" s="101" t="n"/>
      <c r="C21" s="101" t="n"/>
      <c r="D21" s="101" t="n"/>
      <c r="E21" s="569" t="n"/>
      <c r="F21" s="569" t="n"/>
      <c r="G21" s="569" t="n"/>
      <c r="H21" s="645">
        <f>SUM(E21,G21,-F21)</f>
        <v/>
      </c>
      <c r="I21" s="597" t="n"/>
      <c r="J21" s="645">
        <f>H21+I21</f>
        <v/>
      </c>
      <c r="K21" s="569" t="n"/>
      <c r="L21" s="645">
        <f>J21+K21</f>
        <v/>
      </c>
      <c r="M21" s="649" t="n"/>
      <c r="N21" s="102" t="n"/>
      <c r="O21" s="102" t="n"/>
      <c r="P21" s="649" t="n"/>
      <c r="Q21" s="102" t="n"/>
      <c r="R21" s="102" t="n"/>
      <c r="S21" s="102" t="n"/>
      <c r="T21" s="102" t="n"/>
      <c r="U21" s="649" t="n"/>
      <c r="V21" s="261" t="n"/>
      <c r="W21" s="261" t="n"/>
      <c r="X21" s="261" t="n"/>
      <c r="Y21" s="261" t="n"/>
      <c r="Z21" s="261" t="n"/>
      <c r="AA21" s="261" t="n"/>
      <c r="AB21" s="261" t="n"/>
      <c r="AC21" s="261" t="n"/>
      <c r="AD21" s="261" t="n"/>
      <c r="AE21" s="261" t="n"/>
    </row>
    <row r="22" ht="19" customFormat="1" customHeight="1" s="455">
      <c r="A22" s="427" t="n">
        <v>17</v>
      </c>
      <c r="B22" s="101" t="n"/>
      <c r="C22" s="101" t="n"/>
      <c r="D22" s="101" t="n"/>
      <c r="E22" s="569" t="n"/>
      <c r="F22" s="569" t="n"/>
      <c r="G22" s="569" t="n"/>
      <c r="H22" s="645">
        <f>SUM(E22,G22,-F22)</f>
        <v/>
      </c>
      <c r="I22" s="597" t="n"/>
      <c r="J22" s="645">
        <f>H22+I22</f>
        <v/>
      </c>
      <c r="K22" s="569" t="n"/>
      <c r="L22" s="645">
        <f>J22+K22</f>
        <v/>
      </c>
      <c r="M22" s="649" t="n"/>
      <c r="N22" s="102" t="n"/>
      <c r="O22" s="102" t="n"/>
      <c r="P22" s="649" t="n"/>
      <c r="Q22" s="102" t="n"/>
      <c r="R22" s="102" t="n"/>
      <c r="S22" s="102" t="n"/>
      <c r="T22" s="102" t="n"/>
      <c r="U22" s="649" t="n"/>
      <c r="V22" s="261" t="n"/>
      <c r="W22" s="261" t="n"/>
      <c r="X22" s="261" t="n"/>
      <c r="Y22" s="261" t="n"/>
      <c r="Z22" s="261" t="n"/>
      <c r="AA22" s="261" t="n"/>
      <c r="AB22" s="261" t="n"/>
      <c r="AC22" s="261" t="n"/>
      <c r="AD22" s="261" t="n"/>
      <c r="AE22" s="261" t="n"/>
    </row>
    <row r="23" ht="19" customFormat="1" customHeight="1" s="455">
      <c r="A23" s="427" t="n">
        <v>18</v>
      </c>
      <c r="B23" s="101" t="n"/>
      <c r="C23" s="101" t="n"/>
      <c r="D23" s="101" t="n"/>
      <c r="E23" s="569" t="n"/>
      <c r="F23" s="569" t="n"/>
      <c r="G23" s="569" t="n"/>
      <c r="H23" s="645">
        <f>SUM(E23,G23,-F23)</f>
        <v/>
      </c>
      <c r="I23" s="597" t="n"/>
      <c r="J23" s="645">
        <f>H23+I23</f>
        <v/>
      </c>
      <c r="K23" s="569" t="n"/>
      <c r="L23" s="645">
        <f>J23+K23</f>
        <v/>
      </c>
      <c r="M23" s="649" t="n"/>
      <c r="N23" s="102" t="n"/>
      <c r="O23" s="102" t="n"/>
      <c r="P23" s="649" t="n"/>
      <c r="Q23" s="102" t="n"/>
      <c r="R23" s="102" t="n"/>
      <c r="S23" s="102" t="n"/>
      <c r="T23" s="102" t="n"/>
      <c r="U23" s="649" t="n"/>
      <c r="V23" s="261" t="n"/>
      <c r="W23" s="261" t="n"/>
      <c r="X23" s="261" t="n"/>
      <c r="Y23" s="261" t="n"/>
      <c r="Z23" s="261" t="n"/>
      <c r="AA23" s="261" t="n"/>
      <c r="AB23" s="261" t="n"/>
      <c r="AC23" s="261" t="n"/>
      <c r="AD23" s="261" t="n"/>
      <c r="AE23" s="261" t="n"/>
    </row>
    <row r="24" ht="19" customFormat="1" customHeight="1" s="455">
      <c r="A24" s="427" t="n">
        <v>19</v>
      </c>
      <c r="B24" s="101" t="n"/>
      <c r="C24" s="101" t="n"/>
      <c r="D24" s="101" t="n"/>
      <c r="E24" s="569" t="n"/>
      <c r="F24" s="569" t="n"/>
      <c r="G24" s="569" t="n"/>
      <c r="H24" s="645">
        <f>SUM(E24,G24,-F24)</f>
        <v/>
      </c>
      <c r="I24" s="597" t="n"/>
      <c r="J24" s="645">
        <f>H24+I24</f>
        <v/>
      </c>
      <c r="K24" s="569" t="n"/>
      <c r="L24" s="645">
        <f>J24+K24</f>
        <v/>
      </c>
      <c r="M24" s="649" t="n"/>
      <c r="N24" s="102" t="n"/>
      <c r="O24" s="102" t="n"/>
      <c r="P24" s="649" t="n"/>
      <c r="Q24" s="102" t="n"/>
      <c r="R24" s="102" t="n"/>
      <c r="S24" s="102" t="n"/>
      <c r="T24" s="102" t="n"/>
      <c r="U24" s="649" t="n"/>
      <c r="V24" s="261" t="n"/>
      <c r="W24" s="261" t="n"/>
      <c r="X24" s="261" t="n"/>
      <c r="Y24" s="261" t="n"/>
      <c r="Z24" s="261" t="n"/>
      <c r="AA24" s="261" t="n"/>
      <c r="AB24" s="261" t="n"/>
      <c r="AC24" s="261" t="n"/>
      <c r="AD24" s="261" t="n"/>
      <c r="AE24" s="261" t="n"/>
    </row>
    <row r="25" ht="19" customFormat="1" customHeight="1" s="455">
      <c r="A25" s="427" t="n">
        <v>20</v>
      </c>
      <c r="B25" s="101" t="n"/>
      <c r="C25" s="101" t="n"/>
      <c r="D25" s="101" t="n"/>
      <c r="E25" s="569" t="n"/>
      <c r="F25" s="569" t="n"/>
      <c r="G25" s="569" t="n"/>
      <c r="H25" s="645">
        <f>SUM(E25,G25,-F25)</f>
        <v/>
      </c>
      <c r="I25" s="597" t="n"/>
      <c r="J25" s="645">
        <f>H25+I25</f>
        <v/>
      </c>
      <c r="K25" s="569" t="n"/>
      <c r="L25" s="645">
        <f>J25+K25</f>
        <v/>
      </c>
      <c r="M25" s="649" t="n"/>
      <c r="N25" s="102" t="n"/>
      <c r="O25" s="102" t="n"/>
      <c r="P25" s="649" t="n"/>
      <c r="Q25" s="102" t="n"/>
      <c r="R25" s="102" t="n"/>
      <c r="S25" s="102" t="n"/>
      <c r="T25" s="102" t="n"/>
      <c r="U25" s="649" t="n"/>
      <c r="V25" s="261" t="n"/>
      <c r="W25" s="261" t="n"/>
      <c r="X25" s="261" t="n"/>
      <c r="Y25" s="261" t="n"/>
      <c r="Z25" s="261" t="n"/>
      <c r="AA25" s="261" t="n"/>
      <c r="AB25" s="261" t="n"/>
      <c r="AC25" s="261" t="n"/>
      <c r="AD25" s="261" t="n"/>
      <c r="AE25" s="261" t="n"/>
    </row>
    <row r="26" ht="19" customFormat="1" customHeight="1" s="455">
      <c r="A26" s="427" t="n">
        <v>21</v>
      </c>
      <c r="B26" s="101" t="n"/>
      <c r="C26" s="101" t="n"/>
      <c r="D26" s="101" t="n"/>
      <c r="E26" s="569" t="n"/>
      <c r="F26" s="569" t="n"/>
      <c r="G26" s="569" t="n"/>
      <c r="H26" s="645">
        <f>SUM(E26,G26,-F26)</f>
        <v/>
      </c>
      <c r="I26" s="597" t="n"/>
      <c r="J26" s="645">
        <f>H26+I26</f>
        <v/>
      </c>
      <c r="K26" s="569" t="n"/>
      <c r="L26" s="645">
        <f>J26+K26</f>
        <v/>
      </c>
      <c r="M26" s="649" t="n"/>
      <c r="N26" s="102" t="n"/>
      <c r="O26" s="102" t="n"/>
      <c r="P26" s="649" t="n"/>
      <c r="Q26" s="102" t="n"/>
      <c r="R26" s="102" t="n"/>
      <c r="S26" s="102" t="n"/>
      <c r="T26" s="102" t="n"/>
      <c r="U26" s="649" t="n"/>
      <c r="V26" s="261" t="n"/>
      <c r="W26" s="261" t="n"/>
      <c r="X26" s="261" t="n"/>
      <c r="Y26" s="261" t="n"/>
      <c r="Z26" s="261" t="n"/>
      <c r="AA26" s="261" t="n"/>
      <c r="AB26" s="261" t="n"/>
      <c r="AC26" s="261" t="n"/>
      <c r="AD26" s="261" t="n"/>
      <c r="AE26" s="261" t="n"/>
    </row>
    <row r="27" ht="19" customFormat="1" customHeight="1" s="455">
      <c r="A27" s="427" t="n">
        <v>22</v>
      </c>
      <c r="B27" s="101" t="n"/>
      <c r="C27" s="101" t="n"/>
      <c r="D27" s="101" t="n"/>
      <c r="E27" s="569" t="n"/>
      <c r="F27" s="569" t="n"/>
      <c r="G27" s="569" t="n"/>
      <c r="H27" s="645">
        <f>SUM(E27,G27,-F27)</f>
        <v/>
      </c>
      <c r="I27" s="597" t="n"/>
      <c r="J27" s="645">
        <f>H27+I27</f>
        <v/>
      </c>
      <c r="K27" s="569" t="n"/>
      <c r="L27" s="645">
        <f>J27+K27</f>
        <v/>
      </c>
      <c r="M27" s="649" t="n"/>
      <c r="N27" s="102" t="n"/>
      <c r="O27" s="102" t="n"/>
      <c r="P27" s="649" t="n"/>
      <c r="Q27" s="102" t="n"/>
      <c r="R27" s="102" t="n"/>
      <c r="S27" s="102" t="n"/>
      <c r="T27" s="102" t="n"/>
      <c r="U27" s="649" t="n"/>
      <c r="V27" s="261" t="n"/>
      <c r="W27" s="261" t="n"/>
      <c r="X27" s="261" t="n"/>
      <c r="Y27" s="261" t="n"/>
      <c r="Z27" s="261" t="n"/>
      <c r="AA27" s="261" t="n"/>
      <c r="AB27" s="261" t="n"/>
      <c r="AC27" s="261" t="n"/>
      <c r="AD27" s="261" t="n"/>
      <c r="AE27" s="261" t="n"/>
    </row>
    <row r="28" ht="19" customFormat="1" customHeight="1" s="455">
      <c r="A28" s="427" t="n">
        <v>23</v>
      </c>
      <c r="B28" s="101" t="n"/>
      <c r="C28" s="101" t="n"/>
      <c r="D28" s="101" t="n"/>
      <c r="E28" s="569" t="n"/>
      <c r="F28" s="569" t="n"/>
      <c r="G28" s="569" t="n"/>
      <c r="H28" s="645">
        <f>SUM(E28,G28,-F28)</f>
        <v/>
      </c>
      <c r="I28" s="597" t="n"/>
      <c r="J28" s="645">
        <f>H28+I28</f>
        <v/>
      </c>
      <c r="K28" s="569" t="n"/>
      <c r="L28" s="645">
        <f>J28+K28</f>
        <v/>
      </c>
      <c r="M28" s="649" t="n"/>
      <c r="N28" s="102" t="n"/>
      <c r="O28" s="102" t="n"/>
      <c r="P28" s="649" t="n"/>
      <c r="Q28" s="102" t="n"/>
      <c r="R28" s="102" t="n"/>
      <c r="S28" s="102" t="n"/>
      <c r="T28" s="102" t="n"/>
      <c r="U28" s="649" t="n"/>
      <c r="V28" s="261" t="n"/>
      <c r="W28" s="261" t="n"/>
      <c r="X28" s="261" t="n"/>
      <c r="Y28" s="261" t="n"/>
      <c r="Z28" s="261" t="n"/>
      <c r="AA28" s="261" t="n"/>
      <c r="AB28" s="261" t="n"/>
      <c r="AC28" s="261" t="n"/>
      <c r="AD28" s="261" t="n"/>
      <c r="AE28" s="261" t="n"/>
    </row>
    <row r="29" ht="19" customFormat="1" customHeight="1" s="455">
      <c r="A29" s="427" t="n">
        <v>24</v>
      </c>
      <c r="B29" s="101" t="n"/>
      <c r="C29" s="101" t="n"/>
      <c r="D29" s="101" t="n"/>
      <c r="E29" s="569" t="n"/>
      <c r="F29" s="569" t="n"/>
      <c r="G29" s="569" t="n"/>
      <c r="H29" s="645">
        <f>SUM(E29,G29,-F29)</f>
        <v/>
      </c>
      <c r="I29" s="597" t="n"/>
      <c r="J29" s="645">
        <f>H29+I29</f>
        <v/>
      </c>
      <c r="K29" s="569" t="n"/>
      <c r="L29" s="645">
        <f>J29+K29</f>
        <v/>
      </c>
      <c r="M29" s="649" t="n"/>
      <c r="N29" s="102" t="n"/>
      <c r="O29" s="102" t="n"/>
      <c r="P29" s="649" t="n"/>
      <c r="Q29" s="102" t="n"/>
      <c r="R29" s="102" t="n"/>
      <c r="S29" s="102" t="n"/>
      <c r="T29" s="102" t="n"/>
      <c r="U29" s="649" t="n"/>
      <c r="V29" s="261" t="n"/>
      <c r="W29" s="261" t="n"/>
      <c r="X29" s="261" t="n"/>
      <c r="Y29" s="261" t="n"/>
      <c r="Z29" s="261" t="n"/>
      <c r="AA29" s="261" t="n"/>
      <c r="AB29" s="261" t="n"/>
      <c r="AC29" s="261" t="n"/>
      <c r="AD29" s="261" t="n"/>
      <c r="AE29" s="261" t="n"/>
    </row>
    <row r="30" ht="19" customFormat="1" customHeight="1" s="455">
      <c r="A30" s="427" t="n">
        <v>25</v>
      </c>
      <c r="B30" s="101" t="n"/>
      <c r="C30" s="101" t="n"/>
      <c r="D30" s="101" t="n"/>
      <c r="E30" s="569" t="n"/>
      <c r="F30" s="569" t="n"/>
      <c r="G30" s="569" t="n"/>
      <c r="H30" s="645">
        <f>SUM(E30,G30,-F30)</f>
        <v/>
      </c>
      <c r="I30" s="597" t="n"/>
      <c r="J30" s="645">
        <f>H30+I30</f>
        <v/>
      </c>
      <c r="K30" s="569" t="n"/>
      <c r="L30" s="645">
        <f>J30+K30</f>
        <v/>
      </c>
      <c r="M30" s="649" t="n"/>
      <c r="N30" s="102" t="n"/>
      <c r="O30" s="102" t="n"/>
      <c r="P30" s="649" t="n"/>
      <c r="Q30" s="102" t="n"/>
      <c r="R30" s="102" t="n"/>
      <c r="S30" s="102" t="n"/>
      <c r="T30" s="102" t="n"/>
      <c r="U30" s="649" t="n"/>
      <c r="V30" s="261" t="n"/>
      <c r="W30" s="261" t="n"/>
      <c r="X30" s="261" t="n"/>
      <c r="Y30" s="261" t="n"/>
      <c r="Z30" s="261" t="n"/>
      <c r="AA30" s="261" t="n"/>
      <c r="AB30" s="261" t="n"/>
      <c r="AC30" s="261" t="n"/>
      <c r="AD30" s="261" t="n"/>
      <c r="AE30" s="261" t="n"/>
    </row>
    <row r="31" ht="19" customFormat="1" customHeight="1" s="455">
      <c r="A31" s="427" t="n">
        <v>26</v>
      </c>
      <c r="B31" s="101" t="n"/>
      <c r="C31" s="101" t="n"/>
      <c r="D31" s="101" t="n"/>
      <c r="E31" s="569" t="n"/>
      <c r="F31" s="569" t="n"/>
      <c r="G31" s="569" t="n"/>
      <c r="H31" s="645">
        <f>SUM(E31,G31,-F31)</f>
        <v/>
      </c>
      <c r="I31" s="597" t="n"/>
      <c r="J31" s="645">
        <f>H31+I31</f>
        <v/>
      </c>
      <c r="K31" s="569" t="n"/>
      <c r="L31" s="645">
        <f>J31+K31</f>
        <v/>
      </c>
      <c r="M31" s="649" t="n"/>
      <c r="N31" s="102" t="n"/>
      <c r="O31" s="102" t="n"/>
      <c r="P31" s="649" t="n"/>
      <c r="Q31" s="102" t="n"/>
      <c r="R31" s="102" t="n"/>
      <c r="S31" s="102" t="n"/>
      <c r="T31" s="102" t="n"/>
      <c r="U31" s="649" t="n"/>
      <c r="V31" s="261" t="n"/>
      <c r="W31" s="261" t="n"/>
      <c r="X31" s="261" t="n"/>
      <c r="Y31" s="261" t="n"/>
      <c r="Z31" s="261" t="n"/>
      <c r="AA31" s="261" t="n"/>
      <c r="AB31" s="261" t="n"/>
      <c r="AC31" s="261" t="n"/>
      <c r="AD31" s="261" t="n"/>
      <c r="AE31" s="261" t="n"/>
    </row>
    <row r="32" ht="19" customFormat="1" customHeight="1" s="455">
      <c r="A32" s="427" t="n">
        <v>27</v>
      </c>
      <c r="B32" s="101" t="n"/>
      <c r="C32" s="101" t="n"/>
      <c r="D32" s="101" t="n"/>
      <c r="E32" s="569" t="n"/>
      <c r="F32" s="569" t="n"/>
      <c r="G32" s="569" t="n"/>
      <c r="H32" s="645">
        <f>SUM(E32,G32,-F32)</f>
        <v/>
      </c>
      <c r="I32" s="597" t="n"/>
      <c r="J32" s="645">
        <f>H32+I32</f>
        <v/>
      </c>
      <c r="K32" s="569" t="n"/>
      <c r="L32" s="645">
        <f>J32+K32</f>
        <v/>
      </c>
      <c r="M32" s="649" t="n"/>
      <c r="N32" s="102" t="n"/>
      <c r="O32" s="102" t="n"/>
      <c r="P32" s="649" t="n"/>
      <c r="Q32" s="102" t="n"/>
      <c r="R32" s="102" t="n"/>
      <c r="S32" s="102" t="n"/>
      <c r="T32" s="102" t="n"/>
      <c r="U32" s="649" t="n"/>
      <c r="V32" s="261" t="n"/>
      <c r="W32" s="261" t="n"/>
      <c r="X32" s="261" t="n"/>
      <c r="Y32" s="261" t="n"/>
      <c r="Z32" s="261" t="n"/>
      <c r="AA32" s="261" t="n"/>
      <c r="AB32" s="261" t="n"/>
      <c r="AC32" s="261" t="n"/>
      <c r="AD32" s="261" t="n"/>
      <c r="AE32" s="261" t="n"/>
    </row>
    <row r="33" ht="19" customFormat="1" customHeight="1" s="455">
      <c r="A33" s="427" t="n">
        <v>28</v>
      </c>
      <c r="B33" s="101" t="n"/>
      <c r="C33" s="101" t="n"/>
      <c r="D33" s="101" t="n"/>
      <c r="E33" s="569" t="n"/>
      <c r="F33" s="569" t="n"/>
      <c r="G33" s="569" t="n"/>
      <c r="H33" s="645">
        <f>SUM(E33,G33,-F33)</f>
        <v/>
      </c>
      <c r="I33" s="597" t="n"/>
      <c r="J33" s="645">
        <f>H33+I33</f>
        <v/>
      </c>
      <c r="K33" s="569" t="n"/>
      <c r="L33" s="645">
        <f>J33+K33</f>
        <v/>
      </c>
      <c r="M33" s="649" t="n"/>
      <c r="N33" s="102" t="n"/>
      <c r="O33" s="102" t="n"/>
      <c r="P33" s="649" t="n"/>
      <c r="Q33" s="102" t="n"/>
      <c r="R33" s="102" t="n"/>
      <c r="S33" s="102" t="n"/>
      <c r="T33" s="102" t="n"/>
      <c r="U33" s="649" t="n"/>
      <c r="V33" s="261" t="n"/>
      <c r="W33" s="261" t="n"/>
      <c r="X33" s="261" t="n"/>
      <c r="Y33" s="261" t="n"/>
      <c r="Z33" s="261" t="n"/>
      <c r="AA33" s="261" t="n"/>
      <c r="AB33" s="261" t="n"/>
      <c r="AC33" s="261" t="n"/>
      <c r="AD33" s="261" t="n"/>
      <c r="AE33" s="261" t="n"/>
    </row>
    <row r="34" ht="19" customFormat="1" customHeight="1" s="455">
      <c r="A34" s="427" t="n">
        <v>29</v>
      </c>
      <c r="B34" s="101" t="n"/>
      <c r="C34" s="101" t="n"/>
      <c r="D34" s="101" t="n"/>
      <c r="E34" s="569" t="n"/>
      <c r="F34" s="569" t="n"/>
      <c r="G34" s="569" t="n"/>
      <c r="H34" s="645">
        <f>SUM(E34,G34,-F34)</f>
        <v/>
      </c>
      <c r="I34" s="597" t="n"/>
      <c r="J34" s="645">
        <f>H34+I34</f>
        <v/>
      </c>
      <c r="K34" s="569" t="n"/>
      <c r="L34" s="645">
        <f>J34+K34</f>
        <v/>
      </c>
      <c r="M34" s="649" t="n"/>
      <c r="N34" s="102" t="n"/>
      <c r="O34" s="102" t="n"/>
      <c r="P34" s="649" t="n"/>
      <c r="Q34" s="102" t="n"/>
      <c r="R34" s="102" t="n"/>
      <c r="S34" s="102" t="n"/>
      <c r="T34" s="102" t="n"/>
      <c r="U34" s="649" t="n"/>
      <c r="V34" s="261" t="n"/>
      <c r="W34" s="261" t="n"/>
      <c r="X34" s="261" t="n"/>
      <c r="Y34" s="261" t="n"/>
      <c r="Z34" s="261" t="n"/>
      <c r="AA34" s="261" t="n"/>
      <c r="AB34" s="261" t="n"/>
      <c r="AC34" s="261" t="n"/>
      <c r="AD34" s="261" t="n"/>
      <c r="AE34" s="261" t="n"/>
    </row>
    <row r="35" ht="19" customFormat="1" customHeight="1" s="455">
      <c r="A35" s="427" t="n">
        <v>30</v>
      </c>
      <c r="B35" s="101" t="n"/>
      <c r="C35" s="101" t="n"/>
      <c r="D35" s="101" t="n"/>
      <c r="E35" s="569" t="n"/>
      <c r="F35" s="569" t="n"/>
      <c r="G35" s="569" t="n"/>
      <c r="H35" s="645">
        <f>SUM(E35,G35,-F35)</f>
        <v/>
      </c>
      <c r="I35" s="597" t="n"/>
      <c r="J35" s="645">
        <f>H35+I35</f>
        <v/>
      </c>
      <c r="K35" s="569" t="n"/>
      <c r="L35" s="645">
        <f>J35+K35</f>
        <v/>
      </c>
      <c r="M35" s="649" t="n"/>
      <c r="N35" s="102" t="n"/>
      <c r="O35" s="102" t="n"/>
      <c r="P35" s="649" t="n"/>
      <c r="Q35" s="102" t="n"/>
      <c r="R35" s="102" t="n"/>
      <c r="S35" s="102" t="n"/>
      <c r="T35" s="102" t="n"/>
      <c r="U35" s="649" t="n"/>
      <c r="V35" s="261" t="n"/>
      <c r="W35" s="261" t="n"/>
      <c r="X35" s="261" t="n"/>
      <c r="Y35" s="261" t="n"/>
      <c r="Z35" s="261" t="n"/>
      <c r="AA35" s="261" t="n"/>
      <c r="AB35" s="261" t="n"/>
      <c r="AC35" s="261" t="n"/>
      <c r="AD35" s="261" t="n"/>
      <c r="AE35" s="261" t="n"/>
    </row>
    <row r="36" ht="19" customFormat="1" customHeight="1" s="455">
      <c r="A36" s="427" t="n">
        <v>31</v>
      </c>
      <c r="B36" s="101" t="n"/>
      <c r="C36" s="101" t="n"/>
      <c r="D36" s="101" t="n"/>
      <c r="E36" s="569" t="n"/>
      <c r="F36" s="569" t="n"/>
      <c r="G36" s="569" t="n"/>
      <c r="H36" s="645">
        <f>SUM(E36,G36,-F36)</f>
        <v/>
      </c>
      <c r="I36" s="597" t="n"/>
      <c r="J36" s="645">
        <f>H36+I36</f>
        <v/>
      </c>
      <c r="K36" s="569" t="n"/>
      <c r="L36" s="645">
        <f>J36+K36</f>
        <v/>
      </c>
      <c r="M36" s="649" t="n"/>
      <c r="N36" s="102" t="n"/>
      <c r="O36" s="102" t="n"/>
      <c r="P36" s="649" t="n"/>
      <c r="Q36" s="102" t="n"/>
      <c r="R36" s="102" t="n"/>
      <c r="S36" s="102" t="n"/>
      <c r="T36" s="102" t="n"/>
      <c r="U36" s="649" t="n"/>
      <c r="V36" s="261" t="n"/>
      <c r="W36" s="261" t="n"/>
      <c r="X36" s="261" t="n"/>
      <c r="Y36" s="261" t="n"/>
      <c r="Z36" s="261" t="n"/>
      <c r="AA36" s="261" t="n"/>
      <c r="AB36" s="261" t="n"/>
      <c r="AC36" s="261" t="n"/>
      <c r="AD36" s="261" t="n"/>
      <c r="AE36" s="261" t="n"/>
    </row>
    <row r="37" ht="19" customFormat="1" customHeight="1" s="455">
      <c r="A37" s="427" t="n">
        <v>32</v>
      </c>
      <c r="B37" s="101" t="n"/>
      <c r="C37" s="101" t="n"/>
      <c r="D37" s="101" t="n"/>
      <c r="E37" s="569" t="n"/>
      <c r="F37" s="569" t="n"/>
      <c r="G37" s="569" t="n"/>
      <c r="H37" s="645">
        <f>SUM(E37,G37,-F37)</f>
        <v/>
      </c>
      <c r="I37" s="597" t="n"/>
      <c r="J37" s="645">
        <f>H37+I37</f>
        <v/>
      </c>
      <c r="K37" s="569" t="n"/>
      <c r="L37" s="645">
        <f>J37+K37</f>
        <v/>
      </c>
      <c r="M37" s="649" t="n"/>
      <c r="N37" s="102" t="n"/>
      <c r="O37" s="102" t="n"/>
      <c r="P37" s="649" t="n"/>
      <c r="Q37" s="102" t="n"/>
      <c r="R37" s="102" t="n"/>
      <c r="S37" s="102" t="n"/>
      <c r="T37" s="102" t="n"/>
      <c r="U37" s="649" t="n"/>
      <c r="V37" s="261" t="n"/>
      <c r="W37" s="261" t="n"/>
      <c r="X37" s="261" t="n"/>
      <c r="Y37" s="261" t="n"/>
      <c r="Z37" s="261" t="n"/>
      <c r="AA37" s="261" t="n"/>
      <c r="AB37" s="261" t="n"/>
      <c r="AC37" s="261" t="n"/>
      <c r="AD37" s="261" t="n"/>
      <c r="AE37" s="261" t="n"/>
    </row>
    <row r="38" ht="19" customFormat="1" customHeight="1" s="455">
      <c r="A38" s="427" t="n">
        <v>33</v>
      </c>
      <c r="B38" s="101" t="n"/>
      <c r="C38" s="101" t="n"/>
      <c r="D38" s="101" t="n"/>
      <c r="E38" s="569" t="n"/>
      <c r="F38" s="569" t="n"/>
      <c r="G38" s="569" t="n"/>
      <c r="H38" s="645">
        <f>SUM(E38,G38,-F38)</f>
        <v/>
      </c>
      <c r="I38" s="597" t="n"/>
      <c r="J38" s="645">
        <f>H38+I38</f>
        <v/>
      </c>
      <c r="K38" s="569" t="n"/>
      <c r="L38" s="645">
        <f>J38+K38</f>
        <v/>
      </c>
      <c r="M38" s="649" t="n"/>
      <c r="N38" s="102" t="n"/>
      <c r="O38" s="102" t="n"/>
      <c r="P38" s="649" t="n"/>
      <c r="Q38" s="102" t="n"/>
      <c r="R38" s="102" t="n"/>
      <c r="S38" s="102" t="n"/>
      <c r="T38" s="102" t="n"/>
      <c r="U38" s="649" t="n"/>
      <c r="V38" s="261" t="n"/>
      <c r="W38" s="261" t="n"/>
      <c r="X38" s="261" t="n"/>
      <c r="Y38" s="261" t="n"/>
      <c r="Z38" s="261" t="n"/>
      <c r="AA38" s="261" t="n"/>
      <c r="AB38" s="261" t="n"/>
      <c r="AC38" s="261" t="n"/>
      <c r="AD38" s="261" t="n"/>
      <c r="AE38" s="261" t="n"/>
    </row>
    <row r="39" ht="19" customFormat="1" customHeight="1" s="455">
      <c r="A39" s="427" t="n">
        <v>34</v>
      </c>
      <c r="B39" s="101" t="n"/>
      <c r="C39" s="101" t="n"/>
      <c r="D39" s="101" t="n"/>
      <c r="E39" s="569" t="n"/>
      <c r="F39" s="569" t="n"/>
      <c r="G39" s="569" t="n"/>
      <c r="H39" s="645">
        <f>SUM(E39,G39,-F39)</f>
        <v/>
      </c>
      <c r="I39" s="597" t="n"/>
      <c r="J39" s="645">
        <f>H39+I39</f>
        <v/>
      </c>
      <c r="K39" s="569" t="n"/>
      <c r="L39" s="645">
        <f>J39+K39</f>
        <v/>
      </c>
      <c r="M39" s="649" t="n"/>
      <c r="N39" s="102" t="n"/>
      <c r="O39" s="102" t="n"/>
      <c r="P39" s="649" t="n"/>
      <c r="Q39" s="102" t="n"/>
      <c r="R39" s="102" t="n"/>
      <c r="S39" s="102" t="n"/>
      <c r="T39" s="102" t="n"/>
      <c r="U39" s="649" t="n"/>
      <c r="V39" s="261" t="n"/>
      <c r="W39" s="261" t="n"/>
      <c r="X39" s="261" t="n"/>
      <c r="Y39" s="261" t="n"/>
      <c r="Z39" s="261" t="n"/>
      <c r="AA39" s="261" t="n"/>
      <c r="AB39" s="261" t="n"/>
      <c r="AC39" s="261" t="n"/>
      <c r="AD39" s="261" t="n"/>
      <c r="AE39" s="261" t="n"/>
    </row>
    <row r="40" ht="19" customFormat="1" customHeight="1" s="455">
      <c r="A40" s="427" t="n">
        <v>35</v>
      </c>
      <c r="B40" s="101" t="n"/>
      <c r="C40" s="101" t="n"/>
      <c r="D40" s="101" t="n"/>
      <c r="E40" s="569" t="n"/>
      <c r="F40" s="569" t="n"/>
      <c r="G40" s="569" t="n"/>
      <c r="H40" s="645">
        <f>SUM(E40,G40,-F40)</f>
        <v/>
      </c>
      <c r="I40" s="597" t="n"/>
      <c r="J40" s="645">
        <f>H40+I40</f>
        <v/>
      </c>
      <c r="K40" s="569" t="n"/>
      <c r="L40" s="645">
        <f>J40+K40</f>
        <v/>
      </c>
      <c r="M40" s="649" t="n"/>
      <c r="N40" s="102" t="n"/>
      <c r="O40" s="102" t="n"/>
      <c r="P40" s="649" t="n"/>
      <c r="Q40" s="102" t="n"/>
      <c r="R40" s="102" t="n"/>
      <c r="S40" s="102" t="n"/>
      <c r="T40" s="102" t="n"/>
      <c r="U40" s="649" t="n"/>
      <c r="V40" s="261" t="n"/>
      <c r="W40" s="261" t="n"/>
      <c r="X40" s="261" t="n"/>
      <c r="Y40" s="261" t="n"/>
      <c r="Z40" s="261" t="n"/>
      <c r="AA40" s="261" t="n"/>
      <c r="AB40" s="261" t="n"/>
      <c r="AC40" s="261" t="n"/>
      <c r="AD40" s="261" t="n"/>
      <c r="AE40" s="261" t="n"/>
    </row>
    <row r="41" ht="19" customFormat="1" customHeight="1" s="455">
      <c r="A41" s="427" t="n">
        <v>36</v>
      </c>
      <c r="B41" s="101" t="n"/>
      <c r="C41" s="101" t="n"/>
      <c r="D41" s="101" t="n"/>
      <c r="E41" s="569" t="n"/>
      <c r="F41" s="569" t="n"/>
      <c r="G41" s="569" t="n"/>
      <c r="H41" s="645">
        <f>SUM(E41,G41,-F41)</f>
        <v/>
      </c>
      <c r="I41" s="597" t="n"/>
      <c r="J41" s="645">
        <f>H41+I41</f>
        <v/>
      </c>
      <c r="K41" s="569" t="n"/>
      <c r="L41" s="645">
        <f>J41+K41</f>
        <v/>
      </c>
      <c r="M41" s="649" t="n"/>
      <c r="N41" s="102" t="n"/>
      <c r="O41" s="102" t="n"/>
      <c r="P41" s="649" t="n"/>
      <c r="Q41" s="102" t="n"/>
      <c r="R41" s="102" t="n"/>
      <c r="S41" s="102" t="n"/>
      <c r="T41" s="102" t="n"/>
      <c r="U41" s="649" t="n"/>
      <c r="V41" s="261" t="n"/>
      <c r="W41" s="261" t="n"/>
      <c r="X41" s="261" t="n"/>
      <c r="Y41" s="261" t="n"/>
      <c r="Z41" s="261" t="n"/>
      <c r="AA41" s="261" t="n"/>
      <c r="AB41" s="261" t="n"/>
      <c r="AC41" s="261" t="n"/>
      <c r="AD41" s="261" t="n"/>
      <c r="AE41" s="261" t="n"/>
    </row>
    <row r="42" ht="19" customFormat="1" customHeight="1" s="455">
      <c r="A42" s="427" t="n">
        <v>37</v>
      </c>
      <c r="B42" s="101" t="n"/>
      <c r="C42" s="101" t="n"/>
      <c r="D42" s="101" t="n"/>
      <c r="E42" s="569" t="n"/>
      <c r="F42" s="569" t="n"/>
      <c r="G42" s="569" t="n"/>
      <c r="H42" s="645">
        <f>SUM(E42,G42,-F42)</f>
        <v/>
      </c>
      <c r="I42" s="597" t="n"/>
      <c r="J42" s="645">
        <f>H42+I42</f>
        <v/>
      </c>
      <c r="K42" s="569" t="n"/>
      <c r="L42" s="645">
        <f>J42+K42</f>
        <v/>
      </c>
      <c r="M42" s="649" t="n"/>
      <c r="N42" s="102" t="n"/>
      <c r="O42" s="102" t="n"/>
      <c r="P42" s="649" t="n"/>
      <c r="Q42" s="102" t="n"/>
      <c r="R42" s="102" t="n"/>
      <c r="S42" s="102" t="n"/>
      <c r="T42" s="102" t="n"/>
      <c r="U42" s="649" t="n"/>
      <c r="V42" s="261" t="n"/>
      <c r="W42" s="261" t="n"/>
      <c r="X42" s="261" t="n"/>
      <c r="Y42" s="261" t="n"/>
      <c r="Z42" s="261" t="n"/>
      <c r="AA42" s="261" t="n"/>
      <c r="AB42" s="261" t="n"/>
      <c r="AC42" s="261" t="n"/>
      <c r="AD42" s="261" t="n"/>
      <c r="AE42" s="261" t="n"/>
    </row>
    <row r="43" ht="19" customFormat="1" customHeight="1" s="455">
      <c r="A43" s="427" t="n">
        <v>38</v>
      </c>
      <c r="B43" s="101" t="n"/>
      <c r="C43" s="101" t="n"/>
      <c r="D43" s="101" t="n"/>
      <c r="E43" s="569" t="n"/>
      <c r="F43" s="569" t="n"/>
      <c r="G43" s="569" t="n"/>
      <c r="H43" s="645">
        <f>SUM(E43,G43,-F43)</f>
        <v/>
      </c>
      <c r="I43" s="597" t="n"/>
      <c r="J43" s="645">
        <f>H43+I43</f>
        <v/>
      </c>
      <c r="K43" s="569" t="n"/>
      <c r="L43" s="645">
        <f>J43+K43</f>
        <v/>
      </c>
      <c r="M43" s="649" t="n"/>
      <c r="N43" s="102" t="n"/>
      <c r="O43" s="102" t="n"/>
      <c r="P43" s="649" t="n"/>
      <c r="Q43" s="102" t="n"/>
      <c r="R43" s="102" t="n"/>
      <c r="S43" s="102" t="n"/>
      <c r="T43" s="102" t="n"/>
      <c r="U43" s="649" t="n"/>
      <c r="V43" s="261" t="n"/>
      <c r="W43" s="261" t="n"/>
      <c r="X43" s="261" t="n"/>
      <c r="Y43" s="261" t="n"/>
      <c r="Z43" s="261" t="n"/>
      <c r="AA43" s="261" t="n"/>
      <c r="AB43" s="261" t="n"/>
      <c r="AC43" s="261" t="n"/>
      <c r="AD43" s="261" t="n"/>
      <c r="AE43" s="261" t="n"/>
    </row>
    <row r="44" ht="19" customFormat="1" customHeight="1" s="455">
      <c r="A44" s="427" t="n">
        <v>39</v>
      </c>
      <c r="B44" s="101" t="n"/>
      <c r="C44" s="101" t="n"/>
      <c r="D44" s="101" t="n"/>
      <c r="E44" s="569" t="n"/>
      <c r="F44" s="569" t="n"/>
      <c r="G44" s="569" t="n"/>
      <c r="H44" s="645">
        <f>SUM(E44,G44,-F44)</f>
        <v/>
      </c>
      <c r="I44" s="597" t="n"/>
      <c r="J44" s="645">
        <f>H44+I44</f>
        <v/>
      </c>
      <c r="K44" s="569" t="n"/>
      <c r="L44" s="645">
        <f>J44+K44</f>
        <v/>
      </c>
      <c r="M44" s="649" t="n"/>
      <c r="N44" s="102" t="n"/>
      <c r="O44" s="102" t="n"/>
      <c r="P44" s="649" t="n"/>
      <c r="Q44" s="102" t="n"/>
      <c r="R44" s="102" t="n"/>
      <c r="S44" s="102" t="n"/>
      <c r="T44" s="102" t="n"/>
      <c r="U44" s="649" t="n"/>
      <c r="V44" s="261" t="n"/>
      <c r="W44" s="261" t="n"/>
      <c r="X44" s="261" t="n"/>
      <c r="Y44" s="261" t="n"/>
      <c r="Z44" s="261" t="n"/>
      <c r="AA44" s="261" t="n"/>
      <c r="AB44" s="261" t="n"/>
      <c r="AC44" s="261" t="n"/>
      <c r="AD44" s="261" t="n"/>
      <c r="AE44" s="261" t="n"/>
    </row>
    <row r="45" ht="19" customFormat="1" customHeight="1" s="455">
      <c r="A45" s="427" t="n">
        <v>40</v>
      </c>
      <c r="B45" s="101" t="n"/>
      <c r="C45" s="101" t="n"/>
      <c r="D45" s="101" t="n"/>
      <c r="E45" s="569" t="n"/>
      <c r="F45" s="569" t="n"/>
      <c r="G45" s="569" t="n"/>
      <c r="H45" s="645">
        <f>SUM(E45,G45,-F45)</f>
        <v/>
      </c>
      <c r="I45" s="597" t="n"/>
      <c r="J45" s="645">
        <f>H45+I45</f>
        <v/>
      </c>
      <c r="K45" s="569" t="n"/>
      <c r="L45" s="645">
        <f>J45+K45</f>
        <v/>
      </c>
      <c r="M45" s="649" t="n"/>
      <c r="N45" s="102" t="n"/>
      <c r="O45" s="102" t="n"/>
      <c r="P45" s="649" t="n"/>
      <c r="Q45" s="102" t="n"/>
      <c r="R45" s="102" t="n"/>
      <c r="S45" s="102" t="n"/>
      <c r="T45" s="102" t="n"/>
      <c r="U45" s="649" t="n"/>
      <c r="V45" s="261" t="n"/>
      <c r="W45" s="261" t="n"/>
      <c r="X45" s="261" t="n"/>
      <c r="Y45" s="261" t="n"/>
      <c r="Z45" s="261" t="n"/>
      <c r="AA45" s="261" t="n"/>
      <c r="AB45" s="261" t="n"/>
      <c r="AC45" s="261" t="n"/>
      <c r="AD45" s="261" t="n"/>
      <c r="AE45" s="261" t="n"/>
    </row>
    <row r="46" ht="19" customFormat="1" customHeight="1" s="455">
      <c r="A46" s="427" t="n">
        <v>41</v>
      </c>
      <c r="B46" s="101" t="n"/>
      <c r="C46" s="101" t="n"/>
      <c r="D46" s="101" t="n"/>
      <c r="E46" s="569" t="n"/>
      <c r="F46" s="569" t="n"/>
      <c r="G46" s="569" t="n"/>
      <c r="H46" s="645">
        <f>SUM(E46,G46,-F46)</f>
        <v/>
      </c>
      <c r="I46" s="597" t="n"/>
      <c r="J46" s="645">
        <f>H46+I46</f>
        <v/>
      </c>
      <c r="K46" s="569" t="n"/>
      <c r="L46" s="645">
        <f>J46+K46</f>
        <v/>
      </c>
      <c r="M46" s="649" t="n"/>
      <c r="N46" s="102" t="n"/>
      <c r="O46" s="102" t="n"/>
      <c r="P46" s="649" t="n"/>
      <c r="Q46" s="102" t="n"/>
      <c r="R46" s="102" t="n"/>
      <c r="S46" s="102" t="n"/>
      <c r="T46" s="102" t="n"/>
      <c r="U46" s="649" t="n"/>
      <c r="V46" s="261" t="n"/>
      <c r="W46" s="261" t="n"/>
      <c r="X46" s="261" t="n"/>
      <c r="Y46" s="261" t="n"/>
      <c r="Z46" s="261" t="n"/>
      <c r="AA46" s="261" t="n"/>
      <c r="AB46" s="261" t="n"/>
      <c r="AC46" s="261" t="n"/>
      <c r="AD46" s="261" t="n"/>
      <c r="AE46" s="261" t="n"/>
    </row>
    <row r="47" ht="19" customFormat="1" customHeight="1" s="455">
      <c r="A47" s="427" t="n">
        <v>42</v>
      </c>
      <c r="B47" s="101" t="n"/>
      <c r="C47" s="101" t="n"/>
      <c r="D47" s="101" t="n"/>
      <c r="E47" s="569" t="n"/>
      <c r="F47" s="569" t="n"/>
      <c r="G47" s="569" t="n"/>
      <c r="H47" s="645">
        <f>SUM(E47,G47,-F47)</f>
        <v/>
      </c>
      <c r="I47" s="597" t="n"/>
      <c r="J47" s="645">
        <f>H47+I47</f>
        <v/>
      </c>
      <c r="K47" s="569" t="n"/>
      <c r="L47" s="645">
        <f>J47+K47</f>
        <v/>
      </c>
      <c r="M47" s="649" t="n"/>
      <c r="N47" s="102" t="n"/>
      <c r="O47" s="102" t="n"/>
      <c r="P47" s="649" t="n"/>
      <c r="Q47" s="102" t="n"/>
      <c r="R47" s="102" t="n"/>
      <c r="S47" s="102" t="n"/>
      <c r="T47" s="102" t="n"/>
      <c r="U47" s="649" t="n"/>
      <c r="V47" s="261" t="n"/>
      <c r="W47" s="261" t="n"/>
      <c r="X47" s="261" t="n"/>
      <c r="Y47" s="261" t="n"/>
      <c r="Z47" s="261" t="n"/>
      <c r="AA47" s="261" t="n"/>
      <c r="AB47" s="261" t="n"/>
      <c r="AC47" s="261" t="n"/>
      <c r="AD47" s="261" t="n"/>
      <c r="AE47" s="261" t="n"/>
    </row>
    <row r="48" ht="19" customFormat="1" customHeight="1" s="455">
      <c r="A48" s="427" t="n">
        <v>43</v>
      </c>
      <c r="B48" s="101" t="n"/>
      <c r="C48" s="101" t="n"/>
      <c r="D48" s="101" t="n"/>
      <c r="E48" s="569" t="n"/>
      <c r="F48" s="569" t="n"/>
      <c r="G48" s="569" t="n"/>
      <c r="H48" s="645">
        <f>SUM(E48,G48,-F48)</f>
        <v/>
      </c>
      <c r="I48" s="597" t="n"/>
      <c r="J48" s="645">
        <f>H48+I48</f>
        <v/>
      </c>
      <c r="K48" s="569" t="n"/>
      <c r="L48" s="645">
        <f>J48+K48</f>
        <v/>
      </c>
      <c r="M48" s="649" t="n"/>
      <c r="N48" s="102" t="n"/>
      <c r="O48" s="102" t="n"/>
      <c r="P48" s="649" t="n"/>
      <c r="Q48" s="102" t="n"/>
      <c r="R48" s="102" t="n"/>
      <c r="S48" s="102" t="n"/>
      <c r="T48" s="102" t="n"/>
      <c r="U48" s="649" t="n"/>
      <c r="V48" s="261" t="n"/>
      <c r="W48" s="261" t="n"/>
      <c r="X48" s="261" t="n"/>
      <c r="Y48" s="261" t="n"/>
      <c r="Z48" s="261" t="n"/>
      <c r="AA48" s="261" t="n"/>
      <c r="AB48" s="261" t="n"/>
      <c r="AC48" s="261" t="n"/>
      <c r="AD48" s="261" t="n"/>
      <c r="AE48" s="261" t="n"/>
    </row>
    <row r="49" ht="19" customFormat="1" customHeight="1" s="455">
      <c r="A49" s="427" t="n">
        <v>44</v>
      </c>
      <c r="B49" s="101" t="n"/>
      <c r="C49" s="101" t="n"/>
      <c r="D49" s="101" t="n"/>
      <c r="E49" s="569" t="n"/>
      <c r="F49" s="569" t="n"/>
      <c r="G49" s="569" t="n"/>
      <c r="H49" s="645">
        <f>SUM(E49,G49,-F49)</f>
        <v/>
      </c>
      <c r="I49" s="597" t="n"/>
      <c r="J49" s="645">
        <f>H49+I49</f>
        <v/>
      </c>
      <c r="K49" s="569" t="n"/>
      <c r="L49" s="645">
        <f>J49+K49</f>
        <v/>
      </c>
      <c r="M49" s="649" t="n"/>
      <c r="N49" s="102" t="n"/>
      <c r="O49" s="102" t="n"/>
      <c r="P49" s="649" t="n"/>
      <c r="Q49" s="102" t="n"/>
      <c r="R49" s="102" t="n"/>
      <c r="S49" s="102" t="n"/>
      <c r="T49" s="102" t="n"/>
      <c r="U49" s="649" t="n"/>
      <c r="V49" s="261" t="n"/>
      <c r="W49" s="261" t="n"/>
      <c r="X49" s="261" t="n"/>
      <c r="Y49" s="261" t="n"/>
      <c r="Z49" s="261" t="n"/>
      <c r="AA49" s="261" t="n"/>
      <c r="AB49" s="261" t="n"/>
      <c r="AC49" s="261" t="n"/>
      <c r="AD49" s="261" t="n"/>
      <c r="AE49" s="261" t="n"/>
    </row>
    <row r="50" ht="19" customFormat="1" customHeight="1" s="455">
      <c r="A50" s="427" t="n">
        <v>45</v>
      </c>
      <c r="B50" s="101" t="n"/>
      <c r="C50" s="101" t="n"/>
      <c r="D50" s="101" t="n"/>
      <c r="E50" s="569" t="n"/>
      <c r="F50" s="569" t="n"/>
      <c r="G50" s="569" t="n"/>
      <c r="H50" s="645">
        <f>SUM(E50,G50,-F50)</f>
        <v/>
      </c>
      <c r="I50" s="597" t="n"/>
      <c r="J50" s="645">
        <f>H50+I50</f>
        <v/>
      </c>
      <c r="K50" s="569" t="n"/>
      <c r="L50" s="645">
        <f>J50+K50</f>
        <v/>
      </c>
      <c r="M50" s="649" t="n"/>
      <c r="N50" s="102" t="n"/>
      <c r="O50" s="102" t="n"/>
      <c r="P50" s="649" t="n"/>
      <c r="Q50" s="102" t="n"/>
      <c r="R50" s="102" t="n"/>
      <c r="S50" s="102" t="n"/>
      <c r="T50" s="102" t="n"/>
      <c r="U50" s="649" t="n"/>
      <c r="V50" s="261" t="n"/>
      <c r="W50" s="261" t="n"/>
      <c r="X50" s="261" t="n"/>
      <c r="Y50" s="261" t="n"/>
      <c r="Z50" s="261" t="n"/>
      <c r="AA50" s="261" t="n"/>
      <c r="AB50" s="261" t="n"/>
      <c r="AC50" s="261" t="n"/>
      <c r="AD50" s="261" t="n"/>
      <c r="AE50" s="261" t="n"/>
    </row>
    <row r="51" ht="19" customFormat="1" customHeight="1" s="455">
      <c r="A51" s="427" t="n">
        <v>46</v>
      </c>
      <c r="B51" s="101" t="n"/>
      <c r="C51" s="101" t="n"/>
      <c r="D51" s="101" t="n"/>
      <c r="E51" s="569" t="n"/>
      <c r="F51" s="569" t="n"/>
      <c r="G51" s="569" t="n"/>
      <c r="H51" s="645">
        <f>SUM(E51,G51,-F51)</f>
        <v/>
      </c>
      <c r="I51" s="597" t="n"/>
      <c r="J51" s="645">
        <f>H51+I51</f>
        <v/>
      </c>
      <c r="K51" s="569" t="n"/>
      <c r="L51" s="645">
        <f>J51+K51</f>
        <v/>
      </c>
      <c r="M51" s="649" t="n"/>
      <c r="N51" s="102" t="n"/>
      <c r="O51" s="102" t="n"/>
      <c r="P51" s="649" t="n"/>
      <c r="Q51" s="102" t="n"/>
      <c r="R51" s="102" t="n"/>
      <c r="S51" s="102" t="n"/>
      <c r="T51" s="102" t="n"/>
      <c r="U51" s="649" t="n"/>
      <c r="V51" s="261" t="n"/>
      <c r="W51" s="261" t="n"/>
      <c r="X51" s="261" t="n"/>
      <c r="Y51" s="261" t="n"/>
      <c r="Z51" s="261" t="n"/>
      <c r="AA51" s="261" t="n"/>
      <c r="AB51" s="261" t="n"/>
      <c r="AC51" s="261" t="n"/>
      <c r="AD51" s="261" t="n"/>
      <c r="AE51" s="261" t="n"/>
    </row>
    <row r="52" ht="19" customFormat="1" customHeight="1" s="455">
      <c r="A52" s="427" t="n">
        <v>47</v>
      </c>
      <c r="B52" s="101" t="n"/>
      <c r="C52" s="101" t="n"/>
      <c r="D52" s="101" t="n"/>
      <c r="E52" s="569" t="n"/>
      <c r="F52" s="569" t="n"/>
      <c r="G52" s="569" t="n"/>
      <c r="H52" s="645">
        <f>SUM(E52,G52,-F52)</f>
        <v/>
      </c>
      <c r="I52" s="597" t="n"/>
      <c r="J52" s="645">
        <f>H52+I52</f>
        <v/>
      </c>
      <c r="K52" s="569" t="n"/>
      <c r="L52" s="645">
        <f>J52+K52</f>
        <v/>
      </c>
      <c r="M52" s="649" t="n"/>
      <c r="N52" s="102" t="n"/>
      <c r="O52" s="102" t="n"/>
      <c r="P52" s="649" t="n"/>
      <c r="Q52" s="102" t="n"/>
      <c r="R52" s="102" t="n"/>
      <c r="S52" s="102" t="n"/>
      <c r="T52" s="102" t="n"/>
      <c r="U52" s="649" t="n"/>
      <c r="V52" s="261" t="n"/>
      <c r="W52" s="261" t="n"/>
      <c r="X52" s="261" t="n"/>
      <c r="Y52" s="261" t="n"/>
      <c r="Z52" s="261" t="n"/>
      <c r="AA52" s="261" t="n"/>
      <c r="AB52" s="261" t="n"/>
      <c r="AC52" s="261" t="n"/>
      <c r="AD52" s="261" t="n"/>
      <c r="AE52" s="261" t="n"/>
    </row>
    <row r="53" ht="19" customFormat="1" customHeight="1" s="455">
      <c r="A53" s="427" t="n">
        <v>48</v>
      </c>
      <c r="B53" s="101" t="n"/>
      <c r="C53" s="101" t="n"/>
      <c r="D53" s="101" t="n"/>
      <c r="E53" s="569" t="n"/>
      <c r="F53" s="569" t="n"/>
      <c r="G53" s="569" t="n"/>
      <c r="H53" s="645">
        <f>SUM(E53,G53,-F53)</f>
        <v/>
      </c>
      <c r="I53" s="597" t="n"/>
      <c r="J53" s="645">
        <f>H53+I53</f>
        <v/>
      </c>
      <c r="K53" s="569" t="n"/>
      <c r="L53" s="645">
        <f>J53+K53</f>
        <v/>
      </c>
      <c r="M53" s="649" t="n"/>
      <c r="N53" s="102" t="n"/>
      <c r="O53" s="102" t="n"/>
      <c r="P53" s="649" t="n"/>
      <c r="Q53" s="102" t="n"/>
      <c r="R53" s="102" t="n"/>
      <c r="S53" s="102" t="n"/>
      <c r="T53" s="102" t="n"/>
      <c r="U53" s="649" t="n"/>
      <c r="V53" s="261" t="n"/>
      <c r="W53" s="261" t="n"/>
      <c r="X53" s="261" t="n"/>
      <c r="Y53" s="261" t="n"/>
      <c r="Z53" s="261" t="n"/>
      <c r="AA53" s="261" t="n"/>
      <c r="AB53" s="261" t="n"/>
      <c r="AC53" s="261" t="n"/>
      <c r="AD53" s="261" t="n"/>
      <c r="AE53" s="261" t="n"/>
    </row>
    <row r="54" ht="19" customFormat="1" customHeight="1" s="455">
      <c r="A54" s="427" t="n">
        <v>49</v>
      </c>
      <c r="B54" s="101" t="n"/>
      <c r="C54" s="101" t="n"/>
      <c r="D54" s="101" t="n"/>
      <c r="E54" s="569" t="n"/>
      <c r="F54" s="569" t="n"/>
      <c r="G54" s="569" t="n"/>
      <c r="H54" s="645">
        <f>SUM(E54,G54,-F54)</f>
        <v/>
      </c>
      <c r="I54" s="597" t="n"/>
      <c r="J54" s="645">
        <f>H54+I54</f>
        <v/>
      </c>
      <c r="K54" s="569" t="n"/>
      <c r="L54" s="645">
        <f>J54+K54</f>
        <v/>
      </c>
      <c r="M54" s="649" t="n"/>
      <c r="N54" s="102" t="n"/>
      <c r="O54" s="102" t="n"/>
      <c r="P54" s="649" t="n"/>
      <c r="Q54" s="102" t="n"/>
      <c r="R54" s="102" t="n"/>
      <c r="S54" s="102" t="n"/>
      <c r="T54" s="102" t="n"/>
      <c r="U54" s="649" t="n"/>
      <c r="V54" s="261" t="n"/>
      <c r="W54" s="261" t="n"/>
      <c r="X54" s="261" t="n"/>
      <c r="Y54" s="261" t="n"/>
      <c r="Z54" s="261" t="n"/>
      <c r="AA54" s="261" t="n"/>
      <c r="AB54" s="261" t="n"/>
      <c r="AC54" s="261" t="n"/>
      <c r="AD54" s="261" t="n"/>
      <c r="AE54" s="261" t="n"/>
    </row>
    <row r="55" ht="19" customFormat="1" customHeight="1" s="455">
      <c r="A55" s="427" t="n">
        <v>50</v>
      </c>
      <c r="B55" s="101" t="n"/>
      <c r="C55" s="101" t="n"/>
      <c r="D55" s="101" t="n"/>
      <c r="E55" s="569" t="n"/>
      <c r="F55" s="569" t="n"/>
      <c r="G55" s="569" t="n"/>
      <c r="H55" s="645">
        <f>SUM(E55,G55,-F55)</f>
        <v/>
      </c>
      <c r="I55" s="597" t="n"/>
      <c r="J55" s="645">
        <f>H55+I55</f>
        <v/>
      </c>
      <c r="K55" s="569" t="n"/>
      <c r="L55" s="645">
        <f>J55+K55</f>
        <v/>
      </c>
      <c r="M55" s="649" t="n"/>
      <c r="N55" s="102" t="n"/>
      <c r="O55" s="102" t="n"/>
      <c r="P55" s="649" t="n"/>
      <c r="Q55" s="102" t="n"/>
      <c r="R55" s="102" t="n"/>
      <c r="S55" s="102" t="n"/>
      <c r="T55" s="102" t="n"/>
      <c r="U55" s="649" t="n"/>
      <c r="V55" s="261" t="n"/>
      <c r="W55" s="261" t="n"/>
      <c r="X55" s="261" t="n"/>
      <c r="Y55" s="261" t="n"/>
      <c r="Z55" s="261" t="n"/>
      <c r="AA55" s="261" t="n"/>
      <c r="AB55" s="261" t="n"/>
      <c r="AC55" s="261" t="n"/>
      <c r="AD55" s="261" t="n"/>
      <c r="AE55" s="261" t="n"/>
    </row>
    <row r="56" ht="19" customFormat="1" customHeight="1" s="455">
      <c r="A56" s="427" t="n">
        <v>51</v>
      </c>
      <c r="B56" s="101" t="n"/>
      <c r="C56" s="101" t="n"/>
      <c r="D56" s="101" t="n"/>
      <c r="E56" s="569" t="n"/>
      <c r="F56" s="569" t="n"/>
      <c r="G56" s="569" t="n"/>
      <c r="H56" s="645">
        <f>SUM(E56,G56,-F56)</f>
        <v/>
      </c>
      <c r="I56" s="597" t="n"/>
      <c r="J56" s="645">
        <f>H56+I56</f>
        <v/>
      </c>
      <c r="K56" s="569" t="n"/>
      <c r="L56" s="645">
        <f>J56+K56</f>
        <v/>
      </c>
      <c r="M56" s="649" t="n"/>
      <c r="N56" s="102" t="n"/>
      <c r="O56" s="102" t="n"/>
      <c r="P56" s="649" t="n"/>
      <c r="Q56" s="102" t="n"/>
      <c r="R56" s="102" t="n"/>
      <c r="S56" s="102" t="n"/>
      <c r="T56" s="102" t="n"/>
      <c r="U56" s="649" t="n"/>
      <c r="V56" s="261" t="n"/>
      <c r="W56" s="261" t="n"/>
      <c r="X56" s="261" t="n"/>
      <c r="Y56" s="261" t="n"/>
      <c r="Z56" s="261" t="n"/>
      <c r="AA56" s="261" t="n"/>
      <c r="AB56" s="261" t="n"/>
      <c r="AC56" s="261" t="n"/>
      <c r="AD56" s="261" t="n"/>
      <c r="AE56" s="261" t="n"/>
    </row>
    <row r="57" ht="19" customFormat="1" customHeight="1" s="455">
      <c r="A57" s="427" t="n">
        <v>52</v>
      </c>
      <c r="B57" s="101" t="n"/>
      <c r="C57" s="101" t="n"/>
      <c r="D57" s="101" t="n"/>
      <c r="E57" s="569" t="n"/>
      <c r="F57" s="569" t="n"/>
      <c r="G57" s="569" t="n"/>
      <c r="H57" s="645">
        <f>SUM(E57,G57,-F57)</f>
        <v/>
      </c>
      <c r="I57" s="597" t="n"/>
      <c r="J57" s="645">
        <f>H57+I57</f>
        <v/>
      </c>
      <c r="K57" s="569" t="n"/>
      <c r="L57" s="645">
        <f>J57+K57</f>
        <v/>
      </c>
      <c r="M57" s="649" t="n"/>
      <c r="N57" s="102" t="n"/>
      <c r="O57" s="102" t="n"/>
      <c r="P57" s="649" t="n"/>
      <c r="Q57" s="102" t="n"/>
      <c r="R57" s="102" t="n"/>
      <c r="S57" s="102" t="n"/>
      <c r="T57" s="102" t="n"/>
      <c r="U57" s="649" t="n"/>
      <c r="V57" s="261" t="n"/>
      <c r="W57" s="261" t="n"/>
      <c r="X57" s="261" t="n"/>
      <c r="Y57" s="261" t="n"/>
      <c r="Z57" s="261" t="n"/>
      <c r="AA57" s="261" t="n"/>
      <c r="AB57" s="261" t="n"/>
      <c r="AC57" s="261" t="n"/>
      <c r="AD57" s="261" t="n"/>
      <c r="AE57" s="261" t="n"/>
    </row>
    <row r="58" ht="19" customFormat="1" customHeight="1" s="455">
      <c r="A58" s="427" t="n">
        <v>53</v>
      </c>
      <c r="B58" s="101" t="n"/>
      <c r="C58" s="101" t="n"/>
      <c r="D58" s="101" t="n"/>
      <c r="E58" s="569" t="n"/>
      <c r="F58" s="569" t="n"/>
      <c r="G58" s="569" t="n"/>
      <c r="H58" s="645">
        <f>SUM(E58,G58,-F58)</f>
        <v/>
      </c>
      <c r="I58" s="597" t="n"/>
      <c r="J58" s="645">
        <f>H58+I58</f>
        <v/>
      </c>
      <c r="K58" s="569" t="n"/>
      <c r="L58" s="645">
        <f>J58+K58</f>
        <v/>
      </c>
      <c r="M58" s="649" t="n"/>
      <c r="N58" s="102" t="n"/>
      <c r="O58" s="102" t="n"/>
      <c r="P58" s="649" t="n"/>
      <c r="Q58" s="102" t="n"/>
      <c r="R58" s="102" t="n"/>
      <c r="S58" s="102" t="n"/>
      <c r="T58" s="102" t="n"/>
      <c r="U58" s="649" t="n"/>
      <c r="V58" s="261" t="n"/>
      <c r="W58" s="261" t="n"/>
      <c r="X58" s="261" t="n"/>
      <c r="Y58" s="261" t="n"/>
      <c r="Z58" s="261" t="n"/>
      <c r="AA58" s="261" t="n"/>
      <c r="AB58" s="261" t="n"/>
      <c r="AC58" s="261" t="n"/>
      <c r="AD58" s="261" t="n"/>
      <c r="AE58" s="261" t="n"/>
    </row>
    <row r="59" ht="19" customFormat="1" customHeight="1" s="455">
      <c r="A59" s="427" t="n">
        <v>54</v>
      </c>
      <c r="B59" s="101" t="n"/>
      <c r="C59" s="101" t="n"/>
      <c r="D59" s="101" t="n"/>
      <c r="E59" s="569" t="n"/>
      <c r="F59" s="569" t="n"/>
      <c r="G59" s="569" t="n"/>
      <c r="H59" s="645">
        <f>SUM(E59,G59,-F59)</f>
        <v/>
      </c>
      <c r="I59" s="597" t="n"/>
      <c r="J59" s="645">
        <f>H59+I59</f>
        <v/>
      </c>
      <c r="K59" s="569" t="n"/>
      <c r="L59" s="645">
        <f>J59+K59</f>
        <v/>
      </c>
      <c r="M59" s="649" t="n"/>
      <c r="N59" s="102" t="n"/>
      <c r="O59" s="102" t="n"/>
      <c r="P59" s="649" t="n"/>
      <c r="Q59" s="102" t="n"/>
      <c r="R59" s="102" t="n"/>
      <c r="S59" s="102" t="n"/>
      <c r="T59" s="102" t="n"/>
      <c r="U59" s="649" t="n"/>
      <c r="V59" s="261" t="n"/>
      <c r="W59" s="261" t="n"/>
      <c r="X59" s="261" t="n"/>
      <c r="Y59" s="261" t="n"/>
      <c r="Z59" s="261" t="n"/>
      <c r="AA59" s="261" t="n"/>
      <c r="AB59" s="261" t="n"/>
      <c r="AC59" s="261" t="n"/>
      <c r="AD59" s="261" t="n"/>
      <c r="AE59" s="261" t="n"/>
    </row>
    <row r="60" ht="19" customFormat="1" customHeight="1" s="455">
      <c r="A60" s="427" t="n">
        <v>55</v>
      </c>
      <c r="B60" s="101" t="n"/>
      <c r="C60" s="101" t="n"/>
      <c r="D60" s="101" t="n"/>
      <c r="E60" s="569" t="n"/>
      <c r="F60" s="569" t="n"/>
      <c r="G60" s="569" t="n"/>
      <c r="H60" s="645">
        <f>SUM(E60,G60,-F60)</f>
        <v/>
      </c>
      <c r="I60" s="597" t="n"/>
      <c r="J60" s="645">
        <f>H60+I60</f>
        <v/>
      </c>
      <c r="K60" s="569" t="n"/>
      <c r="L60" s="645">
        <f>J60+K60</f>
        <v/>
      </c>
      <c r="M60" s="649" t="n"/>
      <c r="N60" s="102" t="n"/>
      <c r="O60" s="102" t="n"/>
      <c r="P60" s="649" t="n"/>
      <c r="Q60" s="102" t="n"/>
      <c r="R60" s="102" t="n"/>
      <c r="S60" s="102" t="n"/>
      <c r="T60" s="102" t="n"/>
      <c r="U60" s="649" t="n"/>
      <c r="V60" s="261" t="n"/>
      <c r="W60" s="261" t="n"/>
      <c r="X60" s="261" t="n"/>
      <c r="Y60" s="261" t="n"/>
      <c r="Z60" s="261" t="n"/>
      <c r="AA60" s="261" t="n"/>
      <c r="AB60" s="261" t="n"/>
      <c r="AC60" s="261" t="n"/>
      <c r="AD60" s="261" t="n"/>
      <c r="AE60" s="261" t="n"/>
    </row>
    <row r="61" ht="19" customFormat="1" customHeight="1" s="455">
      <c r="A61" s="427" t="n">
        <v>56</v>
      </c>
      <c r="B61" s="101" t="n"/>
      <c r="C61" s="101" t="n"/>
      <c r="D61" s="101" t="n"/>
      <c r="E61" s="569" t="n"/>
      <c r="F61" s="569" t="n"/>
      <c r="G61" s="569" t="n"/>
      <c r="H61" s="645">
        <f>SUM(E61,G61,-F61)</f>
        <v/>
      </c>
      <c r="I61" s="597" t="n"/>
      <c r="J61" s="645">
        <f>H61+I61</f>
        <v/>
      </c>
      <c r="K61" s="569" t="n"/>
      <c r="L61" s="645">
        <f>J61+K61</f>
        <v/>
      </c>
      <c r="M61" s="649" t="n"/>
      <c r="N61" s="102" t="n"/>
      <c r="O61" s="102" t="n"/>
      <c r="P61" s="649" t="n"/>
      <c r="Q61" s="102" t="n"/>
      <c r="R61" s="102" t="n"/>
      <c r="S61" s="102" t="n"/>
      <c r="T61" s="102" t="n"/>
      <c r="U61" s="649" t="n"/>
      <c r="V61" s="261" t="n"/>
      <c r="W61" s="261" t="n"/>
      <c r="X61" s="261" t="n"/>
      <c r="Y61" s="261" t="n"/>
      <c r="Z61" s="261" t="n"/>
      <c r="AA61" s="261" t="n"/>
      <c r="AB61" s="261" t="n"/>
      <c r="AC61" s="261" t="n"/>
      <c r="AD61" s="261" t="n"/>
      <c r="AE61" s="261" t="n"/>
    </row>
    <row r="62" ht="19" customFormat="1" customHeight="1" s="455">
      <c r="A62" s="427" t="n">
        <v>57</v>
      </c>
      <c r="B62" s="101" t="n"/>
      <c r="C62" s="101" t="n"/>
      <c r="D62" s="101" t="n"/>
      <c r="E62" s="569" t="n"/>
      <c r="F62" s="569" t="n"/>
      <c r="G62" s="569" t="n"/>
      <c r="H62" s="645">
        <f>SUM(E62,G62,-F62)</f>
        <v/>
      </c>
      <c r="I62" s="597" t="n"/>
      <c r="J62" s="645">
        <f>H62+I62</f>
        <v/>
      </c>
      <c r="K62" s="569" t="n"/>
      <c r="L62" s="645">
        <f>J62+K62</f>
        <v/>
      </c>
      <c r="M62" s="649" t="n"/>
      <c r="N62" s="102" t="n"/>
      <c r="O62" s="102" t="n"/>
      <c r="P62" s="649" t="n"/>
      <c r="Q62" s="102" t="n"/>
      <c r="R62" s="102" t="n"/>
      <c r="S62" s="102" t="n"/>
      <c r="T62" s="102" t="n"/>
      <c r="U62" s="649" t="n"/>
      <c r="V62" s="261" t="n"/>
      <c r="W62" s="261" t="n"/>
      <c r="X62" s="261" t="n"/>
      <c r="Y62" s="261" t="n"/>
      <c r="Z62" s="261" t="n"/>
      <c r="AA62" s="261" t="n"/>
      <c r="AB62" s="261" t="n"/>
      <c r="AC62" s="261" t="n"/>
      <c r="AD62" s="261" t="n"/>
      <c r="AE62" s="261" t="n"/>
    </row>
    <row r="63" ht="19" customFormat="1" customHeight="1" s="455">
      <c r="A63" s="427" t="n">
        <v>58</v>
      </c>
      <c r="B63" s="101" t="n"/>
      <c r="C63" s="101" t="n"/>
      <c r="D63" s="101" t="n"/>
      <c r="E63" s="569" t="n"/>
      <c r="F63" s="569" t="n"/>
      <c r="G63" s="569" t="n"/>
      <c r="H63" s="645">
        <f>SUM(E63,G63,-F63)</f>
        <v/>
      </c>
      <c r="I63" s="597" t="n"/>
      <c r="J63" s="645">
        <f>H63+I63</f>
        <v/>
      </c>
      <c r="K63" s="569" t="n"/>
      <c r="L63" s="645">
        <f>J63+K63</f>
        <v/>
      </c>
      <c r="M63" s="649" t="n"/>
      <c r="N63" s="102" t="n"/>
      <c r="O63" s="102" t="n"/>
      <c r="P63" s="649" t="n"/>
      <c r="Q63" s="102" t="n"/>
      <c r="R63" s="102" t="n"/>
      <c r="S63" s="102" t="n"/>
      <c r="T63" s="102" t="n"/>
      <c r="U63" s="649" t="n"/>
      <c r="V63" s="261" t="n"/>
      <c r="W63" s="261" t="n"/>
      <c r="X63" s="261" t="n"/>
      <c r="Y63" s="261" t="n"/>
      <c r="Z63" s="261" t="n"/>
      <c r="AA63" s="261" t="n"/>
      <c r="AB63" s="261" t="n"/>
      <c r="AC63" s="261" t="n"/>
      <c r="AD63" s="261" t="n"/>
      <c r="AE63" s="261" t="n"/>
    </row>
    <row r="64" ht="19" customFormat="1" customHeight="1" s="455">
      <c r="A64" s="427" t="n">
        <v>59</v>
      </c>
      <c r="B64" s="101" t="n"/>
      <c r="C64" s="101" t="n"/>
      <c r="D64" s="101" t="n"/>
      <c r="E64" s="569" t="n"/>
      <c r="F64" s="569" t="n"/>
      <c r="G64" s="569" t="n"/>
      <c r="H64" s="645">
        <f>SUM(E64,G64,-F64)</f>
        <v/>
      </c>
      <c r="I64" s="597" t="n"/>
      <c r="J64" s="645">
        <f>H64+I64</f>
        <v/>
      </c>
      <c r="K64" s="569" t="n"/>
      <c r="L64" s="645">
        <f>J64+K64</f>
        <v/>
      </c>
      <c r="M64" s="649" t="n"/>
      <c r="N64" s="102" t="n"/>
      <c r="O64" s="102" t="n"/>
      <c r="P64" s="649" t="n"/>
      <c r="Q64" s="102" t="n"/>
      <c r="R64" s="102" t="n"/>
      <c r="S64" s="102" t="n"/>
      <c r="T64" s="102" t="n"/>
      <c r="U64" s="649" t="n"/>
      <c r="V64" s="261" t="n"/>
      <c r="W64" s="261" t="n"/>
      <c r="X64" s="261" t="n"/>
      <c r="Y64" s="261" t="n"/>
      <c r="Z64" s="261" t="n"/>
      <c r="AA64" s="261" t="n"/>
      <c r="AB64" s="261" t="n"/>
      <c r="AC64" s="261" t="n"/>
      <c r="AD64" s="261" t="n"/>
      <c r="AE64" s="261" t="n"/>
    </row>
    <row r="65" ht="19" customFormat="1" customHeight="1" s="455">
      <c r="A65" s="427" t="n">
        <v>60</v>
      </c>
      <c r="B65" s="101" t="n"/>
      <c r="C65" s="101" t="n"/>
      <c r="D65" s="101" t="n"/>
      <c r="E65" s="569" t="n"/>
      <c r="F65" s="569" t="n"/>
      <c r="G65" s="569" t="n"/>
      <c r="H65" s="645">
        <f>SUM(E65,G65,-F65)</f>
        <v/>
      </c>
      <c r="I65" s="597" t="n"/>
      <c r="J65" s="645">
        <f>H65+I65</f>
        <v/>
      </c>
      <c r="K65" s="569" t="n"/>
      <c r="L65" s="645">
        <f>J65+K65</f>
        <v/>
      </c>
      <c r="M65" s="649" t="n"/>
      <c r="N65" s="102" t="n"/>
      <c r="O65" s="102" t="n"/>
      <c r="P65" s="649" t="n"/>
      <c r="Q65" s="102" t="n"/>
      <c r="R65" s="102" t="n"/>
      <c r="S65" s="102" t="n"/>
      <c r="T65" s="102" t="n"/>
      <c r="U65" s="649" t="n"/>
      <c r="V65" s="261" t="n"/>
      <c r="W65" s="261" t="n"/>
      <c r="X65" s="261" t="n"/>
      <c r="Y65" s="261" t="n"/>
      <c r="Z65" s="261" t="n"/>
      <c r="AA65" s="261" t="n"/>
      <c r="AB65" s="261" t="n"/>
      <c r="AC65" s="261" t="n"/>
      <c r="AD65" s="261" t="n"/>
      <c r="AE65" s="261" t="n"/>
    </row>
    <row r="66" ht="19" customFormat="1" customHeight="1" s="455">
      <c r="A66" s="427" t="n">
        <v>61</v>
      </c>
      <c r="B66" s="101" t="n"/>
      <c r="C66" s="101" t="n"/>
      <c r="D66" s="101" t="n"/>
      <c r="E66" s="569" t="n"/>
      <c r="F66" s="569" t="n"/>
      <c r="G66" s="569" t="n"/>
      <c r="H66" s="645">
        <f>SUM(E66,G66,-F66)</f>
        <v/>
      </c>
      <c r="I66" s="597" t="n"/>
      <c r="J66" s="645">
        <f>H66+I66</f>
        <v/>
      </c>
      <c r="K66" s="569" t="n"/>
      <c r="L66" s="645">
        <f>J66+K66</f>
        <v/>
      </c>
      <c r="M66" s="649" t="n"/>
      <c r="N66" s="102" t="n"/>
      <c r="O66" s="102" t="n"/>
      <c r="P66" s="649" t="n"/>
      <c r="Q66" s="102" t="n"/>
      <c r="R66" s="102" t="n"/>
      <c r="S66" s="102" t="n"/>
      <c r="T66" s="102" t="n"/>
      <c r="U66" s="649" t="n"/>
      <c r="V66" s="261" t="n"/>
      <c r="W66" s="261" t="n"/>
      <c r="X66" s="261" t="n"/>
      <c r="Y66" s="261" t="n"/>
      <c r="Z66" s="261" t="n"/>
      <c r="AA66" s="261" t="n"/>
      <c r="AB66" s="261" t="n"/>
      <c r="AC66" s="261" t="n"/>
      <c r="AD66" s="261" t="n"/>
      <c r="AE66" s="261" t="n"/>
    </row>
    <row r="67" ht="19" customFormat="1" customHeight="1" s="455">
      <c r="A67" s="427" t="n">
        <v>62</v>
      </c>
      <c r="B67" s="101" t="n"/>
      <c r="C67" s="101" t="n"/>
      <c r="D67" s="101" t="n"/>
      <c r="E67" s="569" t="n"/>
      <c r="F67" s="569" t="n"/>
      <c r="G67" s="569" t="n"/>
      <c r="H67" s="645">
        <f>SUM(E67,G67,-F67)</f>
        <v/>
      </c>
      <c r="I67" s="597" t="n"/>
      <c r="J67" s="645">
        <f>H67+I67</f>
        <v/>
      </c>
      <c r="K67" s="569" t="n"/>
      <c r="L67" s="645">
        <f>J67+K67</f>
        <v/>
      </c>
      <c r="M67" s="649" t="n"/>
      <c r="N67" s="102" t="n"/>
      <c r="O67" s="102" t="n"/>
      <c r="P67" s="649" t="n"/>
      <c r="Q67" s="102" t="n"/>
      <c r="R67" s="102" t="n"/>
      <c r="S67" s="102" t="n"/>
      <c r="T67" s="102" t="n"/>
      <c r="U67" s="649" t="n"/>
      <c r="V67" s="261" t="n"/>
      <c r="W67" s="261" t="n"/>
      <c r="X67" s="261" t="n"/>
      <c r="Y67" s="261" t="n"/>
      <c r="Z67" s="261" t="n"/>
      <c r="AA67" s="261" t="n"/>
      <c r="AB67" s="261" t="n"/>
      <c r="AC67" s="261" t="n"/>
      <c r="AD67" s="261" t="n"/>
      <c r="AE67" s="261" t="n"/>
    </row>
    <row r="68" ht="19" customFormat="1" customHeight="1" s="455">
      <c r="A68" s="427" t="n">
        <v>63</v>
      </c>
      <c r="B68" s="101" t="n"/>
      <c r="C68" s="101" t="n"/>
      <c r="D68" s="101" t="n"/>
      <c r="E68" s="569" t="n"/>
      <c r="F68" s="569" t="n"/>
      <c r="G68" s="569" t="n"/>
      <c r="H68" s="645">
        <f>SUM(E68,G68,-F68)</f>
        <v/>
      </c>
      <c r="I68" s="597" t="n"/>
      <c r="J68" s="645">
        <f>H68+I68</f>
        <v/>
      </c>
      <c r="K68" s="569" t="n"/>
      <c r="L68" s="645">
        <f>J68+K68</f>
        <v/>
      </c>
      <c r="M68" s="649" t="n"/>
      <c r="N68" s="102" t="n"/>
      <c r="O68" s="102" t="n"/>
      <c r="P68" s="649" t="n"/>
      <c r="Q68" s="102" t="n"/>
      <c r="R68" s="102" t="n"/>
      <c r="S68" s="102" t="n"/>
      <c r="T68" s="102" t="n"/>
      <c r="U68" s="649" t="n"/>
      <c r="V68" s="261" t="n"/>
      <c r="W68" s="261" t="n"/>
      <c r="X68" s="261" t="n"/>
      <c r="Y68" s="261" t="n"/>
      <c r="Z68" s="261" t="n"/>
      <c r="AA68" s="261" t="n"/>
      <c r="AB68" s="261" t="n"/>
      <c r="AC68" s="261" t="n"/>
      <c r="AD68" s="261" t="n"/>
      <c r="AE68" s="261" t="n"/>
    </row>
    <row r="69" ht="19" customFormat="1" customHeight="1" s="455">
      <c r="A69" s="427" t="n">
        <v>64</v>
      </c>
      <c r="B69" s="101" t="n"/>
      <c r="C69" s="101" t="n"/>
      <c r="D69" s="101" t="n"/>
      <c r="E69" s="569" t="n"/>
      <c r="F69" s="569" t="n"/>
      <c r="G69" s="569" t="n"/>
      <c r="H69" s="645">
        <f>SUM(E69,G69,-F69)</f>
        <v/>
      </c>
      <c r="I69" s="597" t="n"/>
      <c r="J69" s="645">
        <f>H69+I69</f>
        <v/>
      </c>
      <c r="K69" s="569" t="n"/>
      <c r="L69" s="645">
        <f>J69+K69</f>
        <v/>
      </c>
      <c r="M69" s="649" t="n"/>
      <c r="N69" s="102" t="n"/>
      <c r="O69" s="102" t="n"/>
      <c r="P69" s="649" t="n"/>
      <c r="Q69" s="102" t="n"/>
      <c r="R69" s="102" t="n"/>
      <c r="S69" s="102" t="n"/>
      <c r="T69" s="102" t="n"/>
      <c r="U69" s="649" t="n"/>
      <c r="V69" s="261" t="n"/>
      <c r="W69" s="261" t="n"/>
      <c r="X69" s="261" t="n"/>
      <c r="Y69" s="261" t="n"/>
      <c r="Z69" s="261" t="n"/>
      <c r="AA69" s="261" t="n"/>
      <c r="AB69" s="261" t="n"/>
      <c r="AC69" s="261" t="n"/>
      <c r="AD69" s="261" t="n"/>
      <c r="AE69" s="261" t="n"/>
    </row>
    <row r="70" ht="19" customFormat="1" customHeight="1" s="455">
      <c r="A70" s="427" t="n">
        <v>65</v>
      </c>
      <c r="B70" s="101" t="n"/>
      <c r="C70" s="101" t="n"/>
      <c r="D70" s="101" t="n"/>
      <c r="E70" s="569" t="n"/>
      <c r="F70" s="569" t="n"/>
      <c r="G70" s="569" t="n"/>
      <c r="H70" s="645">
        <f>SUM(E70,G70,-F70)</f>
        <v/>
      </c>
      <c r="I70" s="597" t="n"/>
      <c r="J70" s="645">
        <f>H70+I70</f>
        <v/>
      </c>
      <c r="K70" s="569" t="n"/>
      <c r="L70" s="645">
        <f>J70+K70</f>
        <v/>
      </c>
      <c r="M70" s="649" t="n"/>
      <c r="N70" s="102" t="n"/>
      <c r="O70" s="102" t="n"/>
      <c r="P70" s="649" t="n"/>
      <c r="Q70" s="102" t="n"/>
      <c r="R70" s="102" t="n"/>
      <c r="S70" s="102" t="n"/>
      <c r="T70" s="102" t="n"/>
      <c r="U70" s="649" t="n"/>
      <c r="V70" s="261" t="n"/>
      <c r="W70" s="261" t="n"/>
      <c r="X70" s="261" t="n"/>
      <c r="Y70" s="261" t="n"/>
      <c r="Z70" s="261" t="n"/>
      <c r="AA70" s="261" t="n"/>
      <c r="AB70" s="261" t="n"/>
      <c r="AC70" s="261" t="n"/>
      <c r="AD70" s="261" t="n"/>
      <c r="AE70" s="261" t="n"/>
    </row>
    <row r="71" ht="19" customFormat="1" customHeight="1" s="455">
      <c r="A71" s="427" t="n">
        <v>66</v>
      </c>
      <c r="B71" s="101" t="n"/>
      <c r="C71" s="101" t="n"/>
      <c r="D71" s="101" t="n"/>
      <c r="E71" s="569" t="n"/>
      <c r="F71" s="569" t="n"/>
      <c r="G71" s="569" t="n"/>
      <c r="H71" s="645">
        <f>SUM(E71,G71,-F71)</f>
        <v/>
      </c>
      <c r="I71" s="597" t="n"/>
      <c r="J71" s="645">
        <f>H71+I71</f>
        <v/>
      </c>
      <c r="K71" s="569" t="n"/>
      <c r="L71" s="645">
        <f>J71+K71</f>
        <v/>
      </c>
      <c r="M71" s="649" t="n"/>
      <c r="N71" s="102" t="n"/>
      <c r="O71" s="102" t="n"/>
      <c r="P71" s="649" t="n"/>
      <c r="Q71" s="102" t="n"/>
      <c r="R71" s="102" t="n"/>
      <c r="S71" s="102" t="n"/>
      <c r="T71" s="102" t="n"/>
      <c r="U71" s="649" t="n"/>
      <c r="V71" s="261" t="n"/>
      <c r="W71" s="261" t="n"/>
      <c r="X71" s="261" t="n"/>
      <c r="Y71" s="261" t="n"/>
      <c r="Z71" s="261" t="n"/>
      <c r="AA71" s="261" t="n"/>
      <c r="AB71" s="261" t="n"/>
      <c r="AC71" s="261" t="n"/>
      <c r="AD71" s="261" t="n"/>
      <c r="AE71" s="261" t="n"/>
    </row>
    <row r="72" ht="19" customFormat="1" customHeight="1" s="455">
      <c r="A72" s="427" t="n">
        <v>67</v>
      </c>
      <c r="B72" s="101" t="n"/>
      <c r="C72" s="101" t="n"/>
      <c r="D72" s="101" t="n"/>
      <c r="E72" s="569" t="n"/>
      <c r="F72" s="569" t="n"/>
      <c r="G72" s="569" t="n"/>
      <c r="H72" s="645">
        <f>SUM(E72,G72,-F72)</f>
        <v/>
      </c>
      <c r="I72" s="597" t="n"/>
      <c r="J72" s="645">
        <f>H72+I72</f>
        <v/>
      </c>
      <c r="K72" s="569" t="n"/>
      <c r="L72" s="645">
        <f>J72+K72</f>
        <v/>
      </c>
      <c r="M72" s="649" t="n"/>
      <c r="N72" s="102" t="n"/>
      <c r="O72" s="102" t="n"/>
      <c r="P72" s="649" t="n"/>
      <c r="Q72" s="102" t="n"/>
      <c r="R72" s="102" t="n"/>
      <c r="S72" s="102" t="n"/>
      <c r="T72" s="102" t="n"/>
      <c r="U72" s="649" t="n"/>
      <c r="V72" s="261" t="n"/>
      <c r="W72" s="261" t="n"/>
      <c r="X72" s="261" t="n"/>
      <c r="Y72" s="261" t="n"/>
      <c r="Z72" s="261" t="n"/>
      <c r="AA72" s="261" t="n"/>
      <c r="AB72" s="261" t="n"/>
      <c r="AC72" s="261" t="n"/>
      <c r="AD72" s="261" t="n"/>
      <c r="AE72" s="261" t="n"/>
    </row>
    <row r="73" ht="19" customFormat="1" customHeight="1" s="455">
      <c r="A73" s="427" t="n">
        <v>68</v>
      </c>
      <c r="B73" s="101" t="n"/>
      <c r="C73" s="101" t="n"/>
      <c r="D73" s="101" t="n"/>
      <c r="E73" s="569" t="n"/>
      <c r="F73" s="569" t="n"/>
      <c r="G73" s="569" t="n"/>
      <c r="H73" s="645">
        <f>SUM(E73,G73,-F73)</f>
        <v/>
      </c>
      <c r="I73" s="597" t="n"/>
      <c r="J73" s="645">
        <f>H73+I73</f>
        <v/>
      </c>
      <c r="K73" s="569" t="n"/>
      <c r="L73" s="645">
        <f>J73+K73</f>
        <v/>
      </c>
      <c r="M73" s="649" t="n"/>
      <c r="N73" s="102" t="n"/>
      <c r="O73" s="102" t="n"/>
      <c r="P73" s="649" t="n"/>
      <c r="Q73" s="102" t="n"/>
      <c r="R73" s="102" t="n"/>
      <c r="S73" s="102" t="n"/>
      <c r="T73" s="102" t="n"/>
      <c r="U73" s="649" t="n"/>
      <c r="V73" s="261" t="n"/>
      <c r="W73" s="261" t="n"/>
      <c r="X73" s="261" t="n"/>
      <c r="Y73" s="261" t="n"/>
      <c r="Z73" s="261" t="n"/>
      <c r="AA73" s="261" t="n"/>
      <c r="AB73" s="261" t="n"/>
      <c r="AC73" s="261" t="n"/>
      <c r="AD73" s="261" t="n"/>
      <c r="AE73" s="261" t="n"/>
    </row>
    <row r="74" ht="19" customFormat="1" customHeight="1" s="455">
      <c r="A74" s="427" t="n">
        <v>69</v>
      </c>
      <c r="B74" s="101" t="n"/>
      <c r="C74" s="101" t="n"/>
      <c r="D74" s="101" t="n"/>
      <c r="E74" s="569" t="n"/>
      <c r="F74" s="569" t="n"/>
      <c r="G74" s="569" t="n"/>
      <c r="H74" s="645">
        <f>SUM(E74,G74,-F74)</f>
        <v/>
      </c>
      <c r="I74" s="597" t="n"/>
      <c r="J74" s="645">
        <f>H74+I74</f>
        <v/>
      </c>
      <c r="K74" s="569" t="n"/>
      <c r="L74" s="645">
        <f>J74+K74</f>
        <v/>
      </c>
      <c r="M74" s="649" t="n"/>
      <c r="N74" s="102" t="n"/>
      <c r="O74" s="102" t="n"/>
      <c r="P74" s="649" t="n"/>
      <c r="Q74" s="102" t="n"/>
      <c r="R74" s="102" t="n"/>
      <c r="S74" s="102" t="n"/>
      <c r="T74" s="102" t="n"/>
      <c r="U74" s="649" t="n"/>
      <c r="V74" s="261" t="n"/>
      <c r="W74" s="261" t="n"/>
      <c r="X74" s="261" t="n"/>
      <c r="Y74" s="261" t="n"/>
      <c r="Z74" s="261" t="n"/>
      <c r="AA74" s="261" t="n"/>
      <c r="AB74" s="261" t="n"/>
      <c r="AC74" s="261" t="n"/>
      <c r="AD74" s="261" t="n"/>
      <c r="AE74" s="261" t="n"/>
    </row>
    <row r="75" ht="16" customFormat="1" customHeight="1" s="521">
      <c r="A75" s="262" t="inlineStr">
        <is>
          <t>————</t>
        </is>
      </c>
      <c r="B75" s="23" t="inlineStr">
        <is>
          <t>合计</t>
        </is>
      </c>
      <c r="C75" s="23" t="n"/>
      <c r="D75" s="262" t="n"/>
      <c r="E75" s="645">
        <f>ROUND(SUM(E6:E74),2)</f>
        <v/>
      </c>
      <c r="F75" s="645">
        <f>ROUND(SUM(F6:F74),2)</f>
        <v/>
      </c>
      <c r="G75" s="645">
        <f>ROUND(SUM(G6:G74),2)</f>
        <v/>
      </c>
      <c r="H75" s="645">
        <f>ROUND(SUM(H6:H74),2)</f>
        <v/>
      </c>
      <c r="I75" s="645" t="n"/>
      <c r="J75" s="645">
        <f>H75+I75</f>
        <v/>
      </c>
      <c r="K75" s="645">
        <f>ROUND(SUM(K6:K74),2)</f>
        <v/>
      </c>
      <c r="L75" s="645">
        <f>J75+K75</f>
        <v/>
      </c>
      <c r="M75" s="263" t="n"/>
      <c r="N75" s="657">
        <f>ROUND(SUM(N6:N74),2)</f>
        <v/>
      </c>
      <c r="O75" s="265" t="n"/>
      <c r="P75" s="265" t="n"/>
      <c r="Q75" s="265" t="n"/>
      <c r="R75" s="265" t="n"/>
      <c r="S75" s="265" t="n"/>
      <c r="T75" s="265" t="n"/>
      <c r="U75" s="265" t="n"/>
      <c r="V75" s="521" t="n"/>
      <c r="W75" s="521" t="n"/>
      <c r="X75" s="521" t="n"/>
      <c r="Y75" s="521" t="n"/>
      <c r="Z75" s="521" t="n"/>
      <c r="AA75" s="521" t="n"/>
      <c r="AB75" s="521" t="n"/>
      <c r="AC75" s="521" t="n"/>
      <c r="AD75" s="521" t="n"/>
      <c r="AE75" s="521" t="n"/>
    </row>
    <row r="77" ht="22" customHeight="1" s="559">
      <c r="B77" s="570" t="inlineStr">
        <is>
          <t>审计说明：</t>
        </is>
      </c>
    </row>
  </sheetData>
  <mergeCells count="19">
    <mergeCell ref="R4:R5"/>
    <mergeCell ref="C4:C5"/>
    <mergeCell ref="T4:T5"/>
    <mergeCell ref="O4:O5"/>
    <mergeCell ref="E4:I4"/>
    <mergeCell ref="Q4:Q5"/>
    <mergeCell ref="D4:D5"/>
    <mergeCell ref="J4:J5"/>
    <mergeCell ref="L4:L5"/>
    <mergeCell ref="B1:U1"/>
    <mergeCell ref="A4:A5"/>
    <mergeCell ref="V4:AE4"/>
    <mergeCell ref="K4:K5"/>
    <mergeCell ref="S4:S5"/>
    <mergeCell ref="U4:U5"/>
    <mergeCell ref="M4:M5"/>
    <mergeCell ref="B4:B5"/>
    <mergeCell ref="N4:N5"/>
    <mergeCell ref="P4:P5"/>
  </mergeCells>
  <dataValidations count="1">
    <dataValidation sqref="M6:M74 P6:P74 U6:U74" showDropDown="0" showInputMessage="1" showErrorMessage="1" allowBlank="1" type="list">
      <formula1>"√"</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5"/>
  <sheetViews>
    <sheetView workbookViewId="0">
      <selection activeCell="E18" sqref="E18"/>
    </sheetView>
  </sheetViews>
  <sheetFormatPr baseColWidth="8" defaultColWidth="8.731481481481479" defaultRowHeight="14.4"/>
  <cols>
    <col width="23.7314814814815" customWidth="1" style="559" min="1" max="1"/>
    <col width="16.5462962962963" customWidth="1" style="559" min="2" max="2"/>
    <col width="13.7314814814815" customWidth="1" style="559" min="3" max="3"/>
    <col width="16.3611111111111" customWidth="1" style="559" min="4" max="4"/>
    <col width="14.5462962962963" customWidth="1" style="559" min="5" max="5"/>
    <col width="15.4537037037037" customWidth="1" style="559" min="6" max="6"/>
    <col width="14.4537037037037" customWidth="1" style="559" min="7" max="7"/>
  </cols>
  <sheetData>
    <row r="1" ht="23" customHeight="1" s="559">
      <c r="A1" s="247" t="inlineStr">
        <is>
          <t>长期股权投资审定表</t>
        </is>
      </c>
    </row>
    <row r="2">
      <c r="A2" s="2">
        <f>备忘录!$A$1</f>
        <v/>
      </c>
      <c r="B2" s="455" t="n"/>
      <c r="C2" s="456" t="n"/>
      <c r="D2" s="456" t="inlineStr">
        <is>
          <t>编制人：刘喜琴</t>
        </is>
      </c>
      <c r="F2" s="456" t="n"/>
      <c r="G2" s="211">
        <f>备忘录!$C$2</f>
        <v/>
      </c>
      <c r="I2" s="456" t="n"/>
      <c r="J2" s="456" t="n"/>
    </row>
    <row r="3">
      <c r="A3" s="2">
        <f>备忘录!$A$2</f>
        <v/>
      </c>
      <c r="B3" s="455" t="n"/>
      <c r="C3" s="456" t="n"/>
      <c r="D3" s="456" t="inlineStr">
        <is>
          <t>复核人：赵玮</t>
        </is>
      </c>
      <c r="F3" s="456" t="n"/>
      <c r="G3" s="211">
        <f>备忘录!$C$3</f>
        <v/>
      </c>
      <c r="I3" s="456" t="n"/>
      <c r="J3" s="456" t="n"/>
    </row>
    <row r="4" ht="17" customHeight="1" s="559">
      <c r="A4" s="603" t="inlineStr">
        <is>
          <t>项目名称</t>
        </is>
      </c>
      <c r="B4" s="568" t="inlineStr">
        <is>
          <t>账面数据</t>
        </is>
      </c>
      <c r="C4" s="562" t="n"/>
      <c r="D4" s="562" t="n"/>
      <c r="E4" s="562" t="n"/>
      <c r="F4" s="562" t="n"/>
      <c r="G4" s="563" t="n"/>
    </row>
    <row r="5" ht="17" customHeight="1" s="559">
      <c r="A5" s="560" t="n"/>
      <c r="B5" s="677" t="inlineStr">
        <is>
          <t>期初金额</t>
        </is>
      </c>
      <c r="C5" s="677" t="inlineStr">
        <is>
          <t>本期借方</t>
        </is>
      </c>
      <c r="D5" s="677" t="inlineStr">
        <is>
          <t>本期贷方</t>
        </is>
      </c>
      <c r="E5" s="677" t="inlineStr">
        <is>
          <t>期末金额</t>
        </is>
      </c>
      <c r="F5" s="677" t="inlineStr">
        <is>
          <t>企业调整</t>
        </is>
      </c>
      <c r="G5" s="677" t="inlineStr">
        <is>
          <t>期末报表列报</t>
        </is>
      </c>
    </row>
    <row r="6">
      <c r="A6" s="241" t="inlineStr">
        <is>
          <t>一、账面余额</t>
        </is>
      </c>
      <c r="B6" s="678">
        <f>ROUND(SUM(B7:B9),2)</f>
        <v/>
      </c>
      <c r="C6" s="678">
        <f>ROUND(SUM(C7:C9),2)</f>
        <v/>
      </c>
      <c r="D6" s="589">
        <f>ROUND(SUM(D7:D9),2)</f>
        <v/>
      </c>
      <c r="E6" s="589">
        <f>ROUND(SUM(E7:E9),2)</f>
        <v/>
      </c>
      <c r="F6" s="589">
        <f>ROUND(SUM(F7:F9),2)</f>
        <v/>
      </c>
      <c r="G6" s="589">
        <f>ROUND(SUM(G7:G9),2)</f>
        <v/>
      </c>
    </row>
    <row r="7" ht="15" customHeight="1" s="559">
      <c r="A7" s="243" t="inlineStr">
        <is>
          <t>对子公司的股资</t>
        </is>
      </c>
      <c r="B7" s="679" t="n"/>
      <c r="C7" s="679" t="n"/>
      <c r="D7" s="592" t="n"/>
      <c r="E7" s="589">
        <f>B7+C7-D7</f>
        <v/>
      </c>
      <c r="F7" s="592" t="n"/>
      <c r="G7" s="589">
        <f>E7+F7</f>
        <v/>
      </c>
    </row>
    <row r="8" ht="15" customHeight="1" s="559">
      <c r="A8" s="243" t="inlineStr">
        <is>
          <t>对合营企业的投资</t>
        </is>
      </c>
      <c r="B8" s="679" t="n"/>
      <c r="C8" s="679" t="n"/>
      <c r="D8" s="592" t="n"/>
      <c r="E8" s="589">
        <f>B8+C8-D8</f>
        <v/>
      </c>
      <c r="F8" s="592" t="n"/>
      <c r="G8" s="680">
        <f>E8+F8</f>
        <v/>
      </c>
    </row>
    <row r="9" ht="15" customHeight="1" s="559">
      <c r="A9" s="243" t="inlineStr">
        <is>
          <t>对联营企业的投资</t>
        </is>
      </c>
      <c r="B9" s="679" t="n"/>
      <c r="C9" s="679" t="n"/>
      <c r="D9" s="592" t="n"/>
      <c r="E9" s="589">
        <f>B9+C9-D9</f>
        <v/>
      </c>
      <c r="F9" s="592" t="n"/>
      <c r="G9" s="681">
        <f>E9+F9</f>
        <v/>
      </c>
    </row>
    <row r="10">
      <c r="A10" s="241" t="inlineStr">
        <is>
          <t>二、减值准备</t>
        </is>
      </c>
      <c r="B10" s="678">
        <f>ROUND(SUM(B11:B13),2)</f>
        <v/>
      </c>
      <c r="C10" s="678">
        <f>ROUND(SUM(C11:C13),2)</f>
        <v/>
      </c>
      <c r="D10" s="589">
        <f>ROUND(SUM(D11:D13),2)</f>
        <v/>
      </c>
      <c r="E10" s="589">
        <f>ROUND(SUM(E11:E13),2)</f>
        <v/>
      </c>
      <c r="F10" s="589">
        <f>ROUND(SUM(F11:F13),2)</f>
        <v/>
      </c>
      <c r="G10" s="589">
        <f>ROUND(SUM(G11:G13),2)</f>
        <v/>
      </c>
    </row>
    <row r="11" ht="14" customHeight="1" s="559">
      <c r="A11" s="243" t="inlineStr">
        <is>
          <t>对子公司的股资</t>
        </is>
      </c>
      <c r="B11" s="679" t="n"/>
      <c r="C11" s="679" t="n"/>
      <c r="D11" s="592" t="n"/>
      <c r="E11" s="589">
        <f>B11-C11+D11</f>
        <v/>
      </c>
      <c r="F11" s="592" t="n"/>
      <c r="G11" s="681">
        <f>E11+F11</f>
        <v/>
      </c>
    </row>
    <row r="12" ht="14" customHeight="1" s="559">
      <c r="A12" s="243" t="inlineStr">
        <is>
          <t>对合营企业的投资</t>
        </is>
      </c>
      <c r="B12" s="679" t="n"/>
      <c r="C12" s="679" t="n"/>
      <c r="D12" s="592" t="n"/>
      <c r="E12" s="589">
        <f>B12-C12+D12</f>
        <v/>
      </c>
      <c r="F12" s="592" t="n"/>
      <c r="G12" s="681">
        <f>E12+F12</f>
        <v/>
      </c>
    </row>
    <row r="13" ht="14" customHeight="1" s="559">
      <c r="A13" s="243" t="inlineStr">
        <is>
          <t>对联营企业的投资</t>
        </is>
      </c>
      <c r="B13" s="679" t="n"/>
      <c r="C13" s="679" t="n"/>
      <c r="D13" s="592" t="n"/>
      <c r="E13" s="589">
        <f>B13-C13+D13</f>
        <v/>
      </c>
      <c r="F13" s="592" t="n"/>
      <c r="G13" s="681">
        <f>E13+F13</f>
        <v/>
      </c>
    </row>
    <row r="14" ht="14" customHeight="1" s="559">
      <c r="A14" s="241" t="inlineStr">
        <is>
          <t>三、账面净额</t>
        </is>
      </c>
      <c r="B14" s="678">
        <f>ROUND(B6-B10,2)</f>
        <v/>
      </c>
      <c r="C14" s="678">
        <f>ROUND(C6-C10,2)</f>
        <v/>
      </c>
      <c r="D14" s="589">
        <f>ROUND(D6-D10,2)</f>
        <v/>
      </c>
      <c r="E14" s="589">
        <f>ROUND(E6-E10,2)</f>
        <v/>
      </c>
      <c r="F14" s="589">
        <f>ROUND(F6-F10,2)</f>
        <v/>
      </c>
      <c r="G14" s="589">
        <f>ROUND(G6-G10,2)</f>
        <v/>
      </c>
    </row>
    <row r="15">
      <c r="E15" s="3" t="n"/>
    </row>
  </sheetData>
  <mergeCells count="3">
    <mergeCell ref="A1:J1"/>
    <mergeCell ref="B4:G4"/>
    <mergeCell ref="A4:A5"/>
  </mergeCells>
  <dataValidations count="1">
    <dataValidation sqref="A7:A9 A11:A13" showDropDown="0" showInputMessage="1" showErrorMessage="1" allowBlank="1" prompt="下拉菜单中选择"/>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U7"/>
  <sheetViews>
    <sheetView workbookViewId="0">
      <selection activeCell="I7" sqref="I7"/>
    </sheetView>
  </sheetViews>
  <sheetFormatPr baseColWidth="8" defaultColWidth="8.731481481481479" defaultRowHeight="14.4" outlineLevelRow="6"/>
  <cols>
    <col width="12.9074074074074" customWidth="1" style="559" min="1" max="1"/>
    <col width="11.1851851851852" customWidth="1" style="559" min="2" max="2"/>
    <col width="10.8148148148148" customWidth="1" style="559" min="11" max="11"/>
    <col width="11.3611111111111" customWidth="1" style="559" min="12" max="12"/>
    <col width="14.6388888888889" customWidth="1" style="559" min="14" max="14"/>
    <col width="21" customWidth="1" style="559" min="15" max="15"/>
    <col width="14.2685185185185" customWidth="1" style="559" min="16" max="16"/>
    <col width="14.1851851851852" customWidth="1" style="559" min="17" max="17"/>
    <col width="12.5462962962963" customWidth="1" style="559" min="18" max="18"/>
    <col width="15.5462962962963" customWidth="1" style="559" min="19" max="19"/>
    <col width="23.1851851851852" customWidth="1" style="559" min="20" max="20"/>
  </cols>
  <sheetData>
    <row r="1" ht="24" customHeight="1" s="559">
      <c r="A1" s="247" t="inlineStr">
        <is>
          <t>长期股权投资明细表-子公司</t>
        </is>
      </c>
    </row>
    <row r="2">
      <c r="A2" s="2">
        <f>备忘录!$A$1</f>
        <v/>
      </c>
      <c r="B2" s="455" t="n"/>
      <c r="C2" s="456" t="n"/>
      <c r="D2" s="456" t="n"/>
      <c r="G2" s="456" t="inlineStr">
        <is>
          <t>编制人：刘喜琴</t>
        </is>
      </c>
      <c r="K2" s="456" t="n"/>
      <c r="L2" s="211">
        <f>备忘录!$C$2</f>
        <v/>
      </c>
    </row>
    <row r="3">
      <c r="A3" s="2">
        <f>备忘录!$A$2</f>
        <v/>
      </c>
      <c r="B3" s="455" t="n"/>
      <c r="C3" s="456" t="n"/>
      <c r="D3" s="456" t="n"/>
      <c r="G3" s="456" t="inlineStr">
        <is>
          <t>复核人：赵玮</t>
        </is>
      </c>
      <c r="K3" s="456" t="n"/>
      <c r="L3" s="211">
        <f>备忘录!$C$3</f>
        <v/>
      </c>
    </row>
    <row r="4" ht="18" customHeight="1" s="559">
      <c r="A4" s="212" t="inlineStr">
        <is>
          <t>一、基本情况</t>
        </is>
      </c>
      <c r="B4" s="405" t="n"/>
      <c r="C4" s="405" t="n"/>
      <c r="D4" s="405" t="n"/>
      <c r="E4" s="405" t="n"/>
      <c r="F4" s="405" t="n"/>
      <c r="G4" s="405" t="n"/>
      <c r="H4" s="405" t="n"/>
      <c r="I4" s="405" t="n"/>
      <c r="J4" s="405" t="n"/>
      <c r="K4" s="405" t="n"/>
      <c r="L4" s="215" t="n"/>
      <c r="M4" s="405" t="n"/>
      <c r="N4" s="405" t="n"/>
      <c r="O4" s="216" t="inlineStr">
        <is>
          <t>重要性标准：</t>
        </is>
      </c>
      <c r="P4" s="682" t="n"/>
      <c r="Q4" s="218" t="inlineStr">
        <is>
          <t>重要性标准说明：</t>
        </is>
      </c>
      <c r="R4" s="219" t="n"/>
      <c r="S4" s="219" t="n"/>
      <c r="T4" s="220" t="n"/>
      <c r="U4" s="405" t="n"/>
    </row>
    <row r="5" ht="25" customFormat="1" customHeight="1" s="3">
      <c r="A5" s="683" t="inlineStr">
        <is>
          <t>子公司名称</t>
        </is>
      </c>
      <c r="B5" s="683" t="inlineStr">
        <is>
          <t>主要经营地</t>
        </is>
      </c>
      <c r="C5" s="683" t="inlineStr">
        <is>
          <t>注册地</t>
        </is>
      </c>
      <c r="D5" s="683" t="inlineStr">
        <is>
          <t>业务性质</t>
        </is>
      </c>
      <c r="E5" s="683" t="inlineStr">
        <is>
          <t>期初持股比例（%）</t>
        </is>
      </c>
      <c r="F5" s="563" t="n"/>
      <c r="G5" s="683" t="inlineStr">
        <is>
          <t>持股比例本期变动（%）</t>
        </is>
      </c>
      <c r="H5" s="563" t="n"/>
      <c r="I5" s="683" t="inlineStr">
        <is>
          <t>期末持股比例（%）</t>
        </is>
      </c>
      <c r="J5" s="563" t="n"/>
      <c r="K5" s="683" t="inlineStr">
        <is>
          <t>最初投资方式（取得方式）</t>
        </is>
      </c>
      <c r="L5" s="683" t="inlineStr">
        <is>
          <t>最初投资时间</t>
        </is>
      </c>
      <c r="M5" s="683" t="inlineStr">
        <is>
          <t>投资意图</t>
        </is>
      </c>
      <c r="N5" s="683" t="inlineStr">
        <is>
          <t>期末被投资单位所有者权益账面价值</t>
        </is>
      </c>
      <c r="O5" s="683" t="inlineStr">
        <is>
          <t>期末被审计单位享有被投资单位所有权权益账面价值的份额</t>
        </is>
      </c>
      <c r="P5" s="683" t="inlineStr">
        <is>
          <t>期末累计少数股东权益</t>
        </is>
      </c>
      <c r="Q5" s="683" t="inlineStr">
        <is>
          <t>是否属于重要非全资子公司</t>
        </is>
      </c>
      <c r="R5" s="683" t="inlineStr">
        <is>
          <t>初始投资成本</t>
        </is>
      </c>
      <c r="S5" s="683" t="inlineStr">
        <is>
          <t>本期收到的现金红利</t>
        </is>
      </c>
      <c r="T5" s="683" t="inlineStr">
        <is>
          <t>获取的投资协议、公司章程、营业执照、组织架构代码证等文件索引</t>
        </is>
      </c>
      <c r="U5" s="683" t="inlineStr">
        <is>
          <t>备注</t>
        </is>
      </c>
    </row>
    <row r="6" ht="25" customFormat="1" customHeight="1" s="3">
      <c r="A6" s="560" t="n"/>
      <c r="B6" s="560" t="n"/>
      <c r="C6" s="560" t="n"/>
      <c r="D6" s="560" t="n"/>
      <c r="E6" s="684" t="inlineStr">
        <is>
          <t>直接</t>
        </is>
      </c>
      <c r="F6" s="684" t="inlineStr">
        <is>
          <t>间接</t>
        </is>
      </c>
      <c r="G6" s="684" t="inlineStr">
        <is>
          <t>直接</t>
        </is>
      </c>
      <c r="H6" s="684" t="inlineStr">
        <is>
          <t>间接</t>
        </is>
      </c>
      <c r="I6" s="684" t="inlineStr">
        <is>
          <t>直接</t>
        </is>
      </c>
      <c r="J6" s="684" t="inlineStr">
        <is>
          <t>间接</t>
        </is>
      </c>
      <c r="K6" s="560" t="n"/>
      <c r="L6" s="560" t="n"/>
      <c r="M6" s="560" t="n"/>
      <c r="N6" s="560" t="n"/>
      <c r="O6" s="560" t="n"/>
      <c r="P6" s="560" t="n"/>
      <c r="Q6" s="560" t="n"/>
      <c r="R6" s="560" t="n"/>
      <c r="S6" s="560" t="n"/>
      <c r="T6" s="560" t="n"/>
      <c r="U6" s="560" t="n"/>
    </row>
    <row r="7" ht="21" customHeight="1" s="559">
      <c r="A7" s="227" t="n"/>
      <c r="B7" s="228" t="n"/>
      <c r="C7" s="228" t="n"/>
      <c r="D7" s="228" t="n"/>
      <c r="E7" s="229" t="n"/>
      <c r="F7" s="685" t="n"/>
      <c r="G7" s="685" t="n"/>
      <c r="H7" s="685" t="n"/>
      <c r="I7" s="231">
        <f>ROUND(E7+G7,2)</f>
        <v/>
      </c>
      <c r="J7" s="686">
        <f>ROUND(F7+H7,2)</f>
        <v/>
      </c>
      <c r="K7" s="228" t="n"/>
      <c r="L7" s="233" t="n"/>
      <c r="M7" s="228" t="n"/>
      <c r="N7" s="687" t="n"/>
      <c r="O7" s="682" t="n"/>
      <c r="P7" s="688">
        <f>N7-O7</f>
        <v/>
      </c>
      <c r="Q7" s="235" t="inlineStr">
        <is>
          <t>不重要</t>
        </is>
      </c>
      <c r="R7" s="682" t="n"/>
      <c r="S7" s="682" t="n"/>
      <c r="T7" s="236" t="n"/>
      <c r="U7" s="689" t="n"/>
    </row>
  </sheetData>
  <mergeCells count="19">
    <mergeCell ref="O5:O6"/>
    <mergeCell ref="Q5:Q6"/>
    <mergeCell ref="E5:F5"/>
    <mergeCell ref="L5:L6"/>
    <mergeCell ref="N5:N6"/>
    <mergeCell ref="M5:M6"/>
    <mergeCell ref="A5:A6"/>
    <mergeCell ref="S5:S6"/>
    <mergeCell ref="U5:U6"/>
    <mergeCell ref="G5:H5"/>
    <mergeCell ref="I5:J5"/>
    <mergeCell ref="B5:B6"/>
    <mergeCell ref="D5:D6"/>
    <mergeCell ref="P5:P6"/>
    <mergeCell ref="R5:R6"/>
    <mergeCell ref="T5:T6"/>
    <mergeCell ref="A1:U1"/>
    <mergeCell ref="K5:K6"/>
    <mergeCell ref="C5:C6"/>
  </mergeCells>
  <dataValidations count="1">
    <dataValidation sqref="Q7" showDropDown="0" showInputMessage="1" showErrorMessage="1" allowBlank="1" type="list">
      <formula1>"重要,不重要,无财务数据"</formula1>
    </dataValidation>
  </dataValidations>
  <pageMargins left="0.75" right="0.75" top="1" bottom="1" header="0.5" footer="0.5"/>
</worksheet>
</file>

<file path=xl/worksheets/sheet25.xml><?xml version="1.0" encoding="utf-8"?>
<worksheet xmlns="http://schemas.openxmlformats.org/spreadsheetml/2006/main">
  <sheetPr codeName="Sheet20">
    <outlinePr summaryBelow="1" summaryRight="1"/>
    <pageSetUpPr/>
  </sheetPr>
  <dimension ref="A1:M26"/>
  <sheetViews>
    <sheetView zoomScale="90" zoomScaleNormal="90" workbookViewId="0">
      <selection activeCell="B5" sqref="$A5:$XFD5"/>
    </sheetView>
  </sheetViews>
  <sheetFormatPr baseColWidth="8" defaultColWidth="8.731481481481479" defaultRowHeight="14.4"/>
  <cols>
    <col width="31.6111111111111" customWidth="1" style="559" min="1" max="1"/>
    <col width="13.4537037037037" customWidth="1" style="559" min="2" max="7"/>
    <col width="11.1111111111111" customWidth="1" style="559" min="8" max="8"/>
    <col width="10.8055555555556" customWidth="1" style="559" min="9" max="9"/>
    <col width="10" customWidth="1" style="559" min="10" max="10"/>
    <col width="10.1944444444444" customWidth="1" style="559" min="11" max="11"/>
    <col width="10.3888888888889" customWidth="1" style="559" min="13" max="13"/>
  </cols>
  <sheetData>
    <row r="1" ht="26" customHeight="1" s="559">
      <c r="A1" s="1" t="inlineStr">
        <is>
          <t>应付职工薪酬明细表</t>
        </is>
      </c>
    </row>
    <row r="2" ht="17" customHeight="1" s="559">
      <c r="A2" s="2">
        <f>备忘录!$A$1</f>
        <v/>
      </c>
      <c r="B2" s="3" t="n"/>
      <c r="C2" s="3" t="n"/>
      <c r="D2" s="456" t="inlineStr">
        <is>
          <t>编制人：刘喜琴</t>
        </is>
      </c>
      <c r="E2" s="3" t="n"/>
      <c r="G2" s="456">
        <f>备忘录!$C$2</f>
        <v/>
      </c>
    </row>
    <row r="3" ht="17" customHeight="1" s="559">
      <c r="A3" s="2">
        <f>备忘录!$A$2</f>
        <v/>
      </c>
      <c r="B3" s="3" t="n"/>
      <c r="C3" s="3" t="n"/>
      <c r="D3" s="456" t="inlineStr">
        <is>
          <t>复核人：赵玮</t>
        </is>
      </c>
      <c r="E3" s="3" t="n"/>
      <c r="G3" s="456">
        <f>备忘录!$C$3</f>
        <v/>
      </c>
    </row>
    <row r="4" ht="19" customHeight="1" s="559">
      <c r="A4" s="690" t="inlineStr">
        <is>
          <t>项目名称</t>
        </is>
      </c>
      <c r="B4" s="691" t="inlineStr">
        <is>
          <t>未审数</t>
        </is>
      </c>
      <c r="C4" s="562" t="n"/>
      <c r="D4" s="562" t="n"/>
      <c r="E4" s="562" t="n"/>
      <c r="F4" s="562" t="n"/>
      <c r="G4" s="563" t="n"/>
      <c r="H4" s="605" t="inlineStr">
        <is>
          <t>本期审计调整</t>
        </is>
      </c>
      <c r="I4" s="563" t="n"/>
      <c r="J4" s="567" t="inlineStr">
        <is>
          <t>期末报表列报审定</t>
        </is>
      </c>
      <c r="K4" s="562" t="n"/>
      <c r="L4" s="562" t="n"/>
      <c r="M4" s="563" t="n"/>
    </row>
    <row r="5" ht="20" customHeight="1" s="559">
      <c r="A5" s="560" t="n"/>
      <c r="B5" s="691" t="inlineStr">
        <is>
          <t>期初金额</t>
        </is>
      </c>
      <c r="C5" s="691" t="inlineStr">
        <is>
          <t>本期借方</t>
        </is>
      </c>
      <c r="D5" s="691" t="inlineStr">
        <is>
          <t>本期贷方</t>
        </is>
      </c>
      <c r="E5" s="691" t="inlineStr">
        <is>
          <t>期末金额</t>
        </is>
      </c>
      <c r="F5" s="691" t="inlineStr">
        <is>
          <t>企业调整</t>
        </is>
      </c>
      <c r="G5" s="691" t="inlineStr">
        <is>
          <t>期末报表列报</t>
        </is>
      </c>
      <c r="H5" s="170" t="inlineStr">
        <is>
          <t>本期借方</t>
        </is>
      </c>
      <c r="I5" s="170" t="inlineStr">
        <is>
          <t>本期贷方</t>
        </is>
      </c>
      <c r="J5" s="567" t="inlineStr">
        <is>
          <t>期初金额</t>
        </is>
      </c>
      <c r="K5" s="692" t="inlineStr">
        <is>
          <t>本期借方</t>
        </is>
      </c>
      <c r="L5" s="692" t="inlineStr">
        <is>
          <t>本期贷方</t>
        </is>
      </c>
      <c r="M5" s="692" t="inlineStr">
        <is>
          <t>期末数</t>
        </is>
      </c>
    </row>
    <row r="6" ht="17" customHeight="1" s="559">
      <c r="A6" s="182" t="inlineStr">
        <is>
          <t>一、短期薪酬小计</t>
        </is>
      </c>
      <c r="B6" s="693">
        <f>ROUND(SUM(B7:B9,B14:B16),2)</f>
        <v/>
      </c>
      <c r="C6" s="693">
        <f>ROUND(SUM(C7:C9,C14:C16),2)</f>
        <v/>
      </c>
      <c r="D6" s="693">
        <f>ROUND(SUM(D7:D9,D14:D16),2)</f>
        <v/>
      </c>
      <c r="E6" s="693">
        <f>ROUND(SUM(E7:E9,E14:E16),2)</f>
        <v/>
      </c>
      <c r="F6" s="693">
        <f>ROUND(SUM(F7:F9,F14:F16),2)</f>
        <v/>
      </c>
      <c r="G6" s="693">
        <f>ROUND(SUM(G7:G9,G14:G16),2)</f>
        <v/>
      </c>
      <c r="H6" s="261" t="n"/>
      <c r="I6" s="261" t="n"/>
      <c r="J6" s="688">
        <f>ROUND(SUM(J7:J9,J14:J16),2)</f>
        <v/>
      </c>
      <c r="K6" s="688">
        <f>ROUND(SUM(K7:K9,K14:K16),2)</f>
        <v/>
      </c>
      <c r="L6" s="688">
        <f>ROUND(SUM(L7:L9,L14:L16),2)</f>
        <v/>
      </c>
      <c r="M6" s="688">
        <f>ROUND(SUM(M7:M9,M14:M16),2)</f>
        <v/>
      </c>
    </row>
    <row r="7">
      <c r="A7" s="186" t="inlineStr">
        <is>
          <t>工资、奖金、津贴和补贴</t>
        </is>
      </c>
      <c r="B7" s="694" t="n"/>
      <c r="C7" s="695" t="n"/>
      <c r="D7" s="695" t="n"/>
      <c r="E7" s="696">
        <f>ROUND(B7-C7+D7,2)</f>
        <v/>
      </c>
      <c r="F7" s="695" t="n"/>
      <c r="G7" s="696">
        <f>ROUND(SUM(E7:F7),2)</f>
        <v/>
      </c>
      <c r="H7" s="261" t="n"/>
      <c r="I7" s="261" t="n"/>
      <c r="J7" s="669">
        <f>B7</f>
        <v/>
      </c>
      <c r="K7" s="669">
        <f>C7+H7</f>
        <v/>
      </c>
      <c r="L7" s="669">
        <f>D7+I7</f>
        <v/>
      </c>
      <c r="M7" s="669">
        <f>J7+L7-K7</f>
        <v/>
      </c>
    </row>
    <row r="8">
      <c r="A8" s="186" t="inlineStr">
        <is>
          <t>职工福利费</t>
        </is>
      </c>
      <c r="B8" s="694" t="n"/>
      <c r="C8" s="695" t="n"/>
      <c r="D8" s="695" t="n"/>
      <c r="E8" s="696">
        <f>ROUND(B8-C8+D8,2)</f>
        <v/>
      </c>
      <c r="F8" s="695" t="n"/>
      <c r="G8" s="696">
        <f>ROUND(SUM(E8:F8),2)</f>
        <v/>
      </c>
      <c r="H8" s="261" t="n"/>
      <c r="I8" s="261" t="n"/>
      <c r="J8" s="669">
        <f>B8</f>
        <v/>
      </c>
      <c r="K8" s="669">
        <f>C8+H8</f>
        <v/>
      </c>
      <c r="L8" s="669">
        <f>D8+I8</f>
        <v/>
      </c>
      <c r="M8" s="669">
        <f>J8+L8-K8</f>
        <v/>
      </c>
    </row>
    <row r="9">
      <c r="A9" s="204" t="inlineStr">
        <is>
          <t>社会保险费</t>
        </is>
      </c>
      <c r="B9" s="693">
        <f>ROUND(SUM(B10:B13),2)</f>
        <v/>
      </c>
      <c r="C9" s="693">
        <f>ROUND(SUM(C10:C13),2)</f>
        <v/>
      </c>
      <c r="D9" s="693">
        <f>ROUND(SUM(D10:D13),2)</f>
        <v/>
      </c>
      <c r="E9" s="693">
        <f>ROUND(SUM(E10:E13),2)</f>
        <v/>
      </c>
      <c r="F9" s="693">
        <f>ROUND(SUM(F10:F13),2)</f>
        <v/>
      </c>
      <c r="G9" s="693">
        <f>ROUND(SUM(G10:G13),2)</f>
        <v/>
      </c>
      <c r="H9" s="261" t="n"/>
      <c r="I9" s="261" t="n"/>
      <c r="J9" s="688">
        <f>ROUND(SUM(J10:J13),2)</f>
        <v/>
      </c>
      <c r="K9" s="688">
        <f>ROUND(SUM(K10:K13),2)</f>
        <v/>
      </c>
      <c r="L9" s="688">
        <f>ROUND(SUM(L10:L13),2)</f>
        <v/>
      </c>
      <c r="M9" s="688">
        <f>ROUND(SUM(M10:M13),2)</f>
        <v/>
      </c>
    </row>
    <row r="10">
      <c r="A10" s="204" t="inlineStr">
        <is>
          <t>其中：基本医疗保险费</t>
        </is>
      </c>
      <c r="B10" s="694" t="n"/>
      <c r="C10" s="695" t="n"/>
      <c r="D10" s="695" t="n"/>
      <c r="E10" s="696">
        <f>ROUND(B10-C10+D10,2)</f>
        <v/>
      </c>
      <c r="F10" s="695" t="n"/>
      <c r="G10" s="696">
        <f>ROUND(SUM(E10:F10),2)</f>
        <v/>
      </c>
      <c r="H10" s="261" t="n"/>
      <c r="I10" s="261" t="n"/>
      <c r="J10" s="669">
        <f>B10</f>
        <v/>
      </c>
      <c r="K10" s="669">
        <f>C10+H10</f>
        <v/>
      </c>
      <c r="L10" s="669">
        <f>D10+I10</f>
        <v/>
      </c>
      <c r="M10" s="669">
        <f>J10+L10-K10</f>
        <v/>
      </c>
    </row>
    <row r="11">
      <c r="A11" s="205" t="inlineStr">
        <is>
          <t>补充医疗保险费</t>
        </is>
      </c>
      <c r="B11" s="694" t="n"/>
      <c r="C11" s="695" t="n"/>
      <c r="D11" s="695" t="n"/>
      <c r="E11" s="696">
        <f>ROUND(B11-C11+D11,2)</f>
        <v/>
      </c>
      <c r="F11" s="695" t="n"/>
      <c r="G11" s="696">
        <f>ROUND(SUM(E11:F11),2)</f>
        <v/>
      </c>
      <c r="H11" s="261" t="n"/>
      <c r="I11" s="261" t="n"/>
      <c r="J11" s="669">
        <f>B11</f>
        <v/>
      </c>
      <c r="K11" s="669">
        <f>C11+H11</f>
        <v/>
      </c>
      <c r="L11" s="669">
        <f>D11+I11</f>
        <v/>
      </c>
      <c r="M11" s="669">
        <f>J11+L11-K11</f>
        <v/>
      </c>
    </row>
    <row r="12">
      <c r="A12" s="205" t="inlineStr">
        <is>
          <t>工伤保险费</t>
        </is>
      </c>
      <c r="B12" s="694" t="n"/>
      <c r="C12" s="695" t="n"/>
      <c r="D12" s="695" t="n"/>
      <c r="E12" s="696">
        <f>ROUND(B12-C12+D12,2)</f>
        <v/>
      </c>
      <c r="F12" s="695" t="n"/>
      <c r="G12" s="696">
        <f>ROUND(SUM(E12:F12),2)</f>
        <v/>
      </c>
      <c r="H12" s="261" t="n"/>
      <c r="I12" s="261" t="n"/>
      <c r="J12" s="669">
        <f>B12</f>
        <v/>
      </c>
      <c r="K12" s="669">
        <f>C12+H12</f>
        <v/>
      </c>
      <c r="L12" s="669">
        <f>D12+I12</f>
        <v/>
      </c>
      <c r="M12" s="669">
        <f>J12+L12-K12</f>
        <v/>
      </c>
    </row>
    <row r="13">
      <c r="A13" s="205" t="inlineStr">
        <is>
          <t>生育保险费</t>
        </is>
      </c>
      <c r="B13" s="694" t="n"/>
      <c r="C13" s="697" t="n"/>
      <c r="D13" s="697" t="n"/>
      <c r="E13" s="696">
        <f>ROUND(B13-C13+D13,2)</f>
        <v/>
      </c>
      <c r="F13" s="695" t="n"/>
      <c r="G13" s="696">
        <f>ROUND(SUM(E13:F13),2)</f>
        <v/>
      </c>
      <c r="H13" s="261" t="n"/>
      <c r="I13" s="261" t="n"/>
      <c r="J13" s="669">
        <f>B13</f>
        <v/>
      </c>
      <c r="K13" s="669">
        <f>C13+H13</f>
        <v/>
      </c>
      <c r="L13" s="669">
        <f>D13+I13</f>
        <v/>
      </c>
      <c r="M13" s="669">
        <f>J13+L13-K13</f>
        <v/>
      </c>
    </row>
    <row r="14" ht="16" customHeight="1" s="559">
      <c r="A14" s="186" t="inlineStr">
        <is>
          <t>住房公积金</t>
        </is>
      </c>
      <c r="B14" s="694" t="n"/>
      <c r="C14" s="695" t="n"/>
      <c r="D14" s="695" t="n"/>
      <c r="E14" s="696">
        <f>ROUND(B14-C14+D14,2)</f>
        <v/>
      </c>
      <c r="F14" s="695" t="n"/>
      <c r="G14" s="696">
        <f>ROUND(SUM(E14:F14),2)</f>
        <v/>
      </c>
      <c r="H14" s="261" t="n"/>
      <c r="I14" s="261" t="n"/>
      <c r="J14" s="669">
        <f>B14</f>
        <v/>
      </c>
      <c r="K14" s="669">
        <f>C14+H14</f>
        <v/>
      </c>
      <c r="L14" s="669">
        <f>D14+I14</f>
        <v/>
      </c>
      <c r="M14" s="669">
        <f>J14+L14-K14</f>
        <v/>
      </c>
    </row>
    <row r="15" ht="16" customHeight="1" s="559">
      <c r="A15" s="186" t="inlineStr">
        <is>
          <t>工会经费</t>
        </is>
      </c>
      <c r="B15" s="694" t="n"/>
      <c r="C15" s="695" t="n"/>
      <c r="D15" s="695" t="n"/>
      <c r="E15" s="696">
        <f>ROUND(B15-C15+D15,2)</f>
        <v/>
      </c>
      <c r="F15" s="695" t="n"/>
      <c r="G15" s="696">
        <f>ROUND(SUM(E15:F15),2)</f>
        <v/>
      </c>
      <c r="H15" s="261" t="n"/>
      <c r="I15" s="261" t="n"/>
      <c r="J15" s="669">
        <f>B15</f>
        <v/>
      </c>
      <c r="K15" s="669">
        <f>C15+H15</f>
        <v/>
      </c>
      <c r="L15" s="669">
        <f>D15+I15</f>
        <v/>
      </c>
      <c r="M15" s="669">
        <f>J15+L15-K15</f>
        <v/>
      </c>
    </row>
    <row r="16" ht="16" customHeight="1" s="559">
      <c r="A16" s="186" t="inlineStr">
        <is>
          <t>职工教育经费</t>
        </is>
      </c>
      <c r="B16" s="694" t="n"/>
      <c r="C16" s="695" t="n"/>
      <c r="D16" s="695" t="n"/>
      <c r="E16" s="696">
        <f>ROUND(B16-C16+D16,2)</f>
        <v/>
      </c>
      <c r="F16" s="695" t="n"/>
      <c r="G16" s="696">
        <f>ROUND(SUM(E16:F16),2)</f>
        <v/>
      </c>
      <c r="H16" s="261" t="n"/>
      <c r="I16" s="261" t="n"/>
      <c r="J16" s="669">
        <f>B16</f>
        <v/>
      </c>
      <c r="K16" s="669">
        <f>C16+H16</f>
        <v/>
      </c>
      <c r="L16" s="669">
        <f>D16+I16</f>
        <v/>
      </c>
      <c r="M16" s="669">
        <f>J16+L16-K16</f>
        <v/>
      </c>
    </row>
    <row r="17">
      <c r="A17" s="192" t="inlineStr">
        <is>
          <t>二、离职后福利—设定提存计划</t>
        </is>
      </c>
      <c r="B17" s="693">
        <f>ROUND(SUM(B18:B20),2)</f>
        <v/>
      </c>
      <c r="C17" s="693">
        <f>ROUND(SUM(C18:C20),2)</f>
        <v/>
      </c>
      <c r="D17" s="693">
        <f>ROUND(SUM(D18:D20),2)</f>
        <v/>
      </c>
      <c r="E17" s="693">
        <f>ROUND(SUM(E18:E20),2)</f>
        <v/>
      </c>
      <c r="F17" s="693">
        <f>ROUND(SUM(F18:F20),2)</f>
        <v/>
      </c>
      <c r="G17" s="693">
        <f>ROUND(SUM(G18:G20),2)</f>
        <v/>
      </c>
      <c r="H17" s="261" t="n"/>
      <c r="I17" s="261" t="n"/>
      <c r="J17" s="688">
        <f>ROUND(SUM(J18:J20),2)</f>
        <v/>
      </c>
      <c r="K17" s="688">
        <f>ROUND(SUM(K18:K20),2)</f>
        <v/>
      </c>
      <c r="L17" s="688">
        <f>ROUND(SUM(L18:L20),2)</f>
        <v/>
      </c>
      <c r="M17" s="688">
        <f>ROUND(SUM(M18:M20),2)</f>
        <v/>
      </c>
    </row>
    <row r="18">
      <c r="A18" s="186" t="inlineStr">
        <is>
          <t>基本养老保险</t>
        </is>
      </c>
      <c r="B18" s="694" t="n"/>
      <c r="C18" s="695" t="n"/>
      <c r="D18" s="695" t="n"/>
      <c r="E18" s="696">
        <f>ROUND(B18-C18+D18,2)</f>
        <v/>
      </c>
      <c r="F18" s="695" t="n"/>
      <c r="G18" s="696">
        <f>ROUND(SUM(E18:F18),2)</f>
        <v/>
      </c>
      <c r="H18" s="261" t="n"/>
      <c r="I18" s="261" t="n"/>
      <c r="J18" s="669">
        <f>B18</f>
        <v/>
      </c>
      <c r="K18" s="669">
        <f>C18+H18</f>
        <v/>
      </c>
      <c r="L18" s="669">
        <f>D18+I18</f>
        <v/>
      </c>
      <c r="M18" s="669">
        <f>J18+L18-K18</f>
        <v/>
      </c>
    </row>
    <row r="19">
      <c r="A19" s="186" t="inlineStr">
        <is>
          <t>失业保险费</t>
        </is>
      </c>
      <c r="B19" s="694" t="n"/>
      <c r="C19" s="695" t="n"/>
      <c r="D19" s="695" t="n"/>
      <c r="E19" s="696">
        <f>ROUND(B19-C19+D19,2)</f>
        <v/>
      </c>
      <c r="F19" s="695" t="n"/>
      <c r="G19" s="696">
        <f>ROUND(SUM(E19:F19),2)</f>
        <v/>
      </c>
      <c r="H19" s="261" t="n"/>
      <c r="I19" s="261" t="n"/>
      <c r="J19" s="669">
        <f>B19</f>
        <v/>
      </c>
      <c r="K19" s="669">
        <f>C19+H19</f>
        <v/>
      </c>
      <c r="L19" s="669">
        <f>D19+I19</f>
        <v/>
      </c>
      <c r="M19" s="669">
        <f>J19+L19-K19</f>
        <v/>
      </c>
    </row>
    <row r="20">
      <c r="A20" s="186" t="inlineStr">
        <is>
          <t>企业年金缴费</t>
        </is>
      </c>
      <c r="B20" s="694" t="n"/>
      <c r="C20" s="697" t="n"/>
      <c r="D20" s="697" t="n"/>
      <c r="E20" s="696">
        <f>ROUND(B20-C20+D20,2)</f>
        <v/>
      </c>
      <c r="F20" s="695" t="n"/>
      <c r="G20" s="696">
        <f>ROUND(SUM(E20:F20),2)</f>
        <v/>
      </c>
      <c r="H20" s="261" t="n"/>
      <c r="I20" s="261" t="n"/>
      <c r="J20" s="669">
        <f>B20</f>
        <v/>
      </c>
      <c r="K20" s="669">
        <f>C20+H20</f>
        <v/>
      </c>
      <c r="L20" s="669">
        <f>D20+I20</f>
        <v/>
      </c>
      <c r="M20" s="669">
        <f>J20+L20-K20</f>
        <v/>
      </c>
    </row>
    <row r="21">
      <c r="A21" s="192" t="inlineStr">
        <is>
          <t>三、离职后福利—设定受益计划</t>
        </is>
      </c>
      <c r="B21" s="694" t="n"/>
      <c r="C21" s="697" t="n"/>
      <c r="D21" s="697" t="n"/>
      <c r="E21" s="696">
        <f>ROUND(B21-C21+D21,2)</f>
        <v/>
      </c>
      <c r="F21" s="695" t="n"/>
      <c r="G21" s="696">
        <f>ROUND(SUM(E21:F21),2)</f>
        <v/>
      </c>
      <c r="H21" s="261" t="n"/>
      <c r="I21" s="261" t="n"/>
      <c r="J21" s="669">
        <f>B21</f>
        <v/>
      </c>
      <c r="K21" s="669">
        <f>C21+H21</f>
        <v/>
      </c>
      <c r="L21" s="669">
        <f>D21+I21</f>
        <v/>
      </c>
      <c r="M21" s="669">
        <f>J21+L21-K21</f>
        <v/>
      </c>
    </row>
    <row r="22">
      <c r="A22" s="192" t="inlineStr">
        <is>
          <t>四、辞退福利</t>
        </is>
      </c>
      <c r="B22" s="694" t="n"/>
      <c r="C22" s="695" t="n"/>
      <c r="D22" s="695" t="n"/>
      <c r="E22" s="696">
        <f>ROUND(B22-C22+D22,2)</f>
        <v/>
      </c>
      <c r="F22" s="695" t="n"/>
      <c r="G22" s="696">
        <f>ROUND(SUM(E22:F22),2)</f>
        <v/>
      </c>
      <c r="H22" s="261" t="n"/>
      <c r="I22" s="261" t="n"/>
      <c r="J22" s="669">
        <f>B22</f>
        <v/>
      </c>
      <c r="K22" s="669">
        <f>C22+H22</f>
        <v/>
      </c>
      <c r="L22" s="669">
        <f>D22+I22</f>
        <v/>
      </c>
      <c r="M22" s="669">
        <f>J22+L22-K22</f>
        <v/>
      </c>
    </row>
    <row r="23">
      <c r="A23" s="194" t="inlineStr">
        <is>
          <t>五、一年内到期的长期职工福利</t>
        </is>
      </c>
      <c r="B23" s="694" t="n"/>
      <c r="C23" s="695" t="n"/>
      <c r="D23" s="695" t="n"/>
      <c r="E23" s="696">
        <f>ROUND(B23-C23+D23,2)</f>
        <v/>
      </c>
      <c r="F23" s="695" t="n"/>
      <c r="G23" s="696">
        <f>ROUND(SUM(E23:F23),2)</f>
        <v/>
      </c>
      <c r="H23" s="261" t="n"/>
      <c r="I23" s="261" t="n"/>
      <c r="J23" s="669">
        <f>B23</f>
        <v/>
      </c>
      <c r="K23" s="669">
        <f>C23+H23</f>
        <v/>
      </c>
      <c r="L23" s="669">
        <f>D23+I23</f>
        <v/>
      </c>
      <c r="M23" s="669">
        <f>J23+L23-K23</f>
        <v/>
      </c>
    </row>
    <row r="24">
      <c r="A24" s="195" t="inlineStr">
        <is>
          <t>合计</t>
        </is>
      </c>
      <c r="B24" s="698">
        <f>ROUND(SUM(B6+B17+B22+B23),2)</f>
        <v/>
      </c>
      <c r="C24" s="696">
        <f>ROUND(SUM(C6+C17+C22+C23),2)</f>
        <v/>
      </c>
      <c r="D24" s="696">
        <f>ROUND(SUM(D6+D17+D22+D23),2)</f>
        <v/>
      </c>
      <c r="E24" s="696">
        <f>ROUND(SUM(E6+E17+E22+E23),2)</f>
        <v/>
      </c>
      <c r="F24" s="696">
        <f>ROUND(SUM(F6+F17+F22+F23),2)</f>
        <v/>
      </c>
      <c r="G24" s="696">
        <f>ROUND(SUM(G6+G17+G22+G23),2)</f>
        <v/>
      </c>
      <c r="H24" s="699">
        <f>SUM(H6:H23)</f>
        <v/>
      </c>
      <c r="I24" s="699">
        <f>SUM(I6:I23)</f>
        <v/>
      </c>
      <c r="J24" s="700">
        <f>ROUND(SUM(J6+J17+J22+J23),2)</f>
        <v/>
      </c>
      <c r="K24" s="700">
        <f>ROUND(SUM(K6+K17+K22+K23),2)</f>
        <v/>
      </c>
      <c r="L24" s="700">
        <f>ROUND(SUM(L6+L17+L22+L23),2)</f>
        <v/>
      </c>
      <c r="M24" s="700">
        <f>ROUND(SUM(M6+M17+M22+M23),2)</f>
        <v/>
      </c>
    </row>
    <row r="26" ht="21" customHeight="1" s="559">
      <c r="A26" s="570" t="inlineStr">
        <is>
          <t>审计说明：</t>
        </is>
      </c>
    </row>
  </sheetData>
  <mergeCells count="5">
    <mergeCell ref="A1:M1"/>
    <mergeCell ref="A4:A5"/>
    <mergeCell ref="J4:M4"/>
    <mergeCell ref="B4:G4"/>
    <mergeCell ref="H4:I4"/>
  </mergeCells>
  <dataValidations count="3">
    <dataValidation sqref="A7:A8 A14:A16" showDropDown="0" showInputMessage="1" showErrorMessage="1" allowBlank="1" prompt="从下拉菜单中选择" type="list">
      <formula1>$B$61:$B$70</formula1>
    </dataValidation>
    <dataValidation sqref="A9:A13" showDropDown="0" showInputMessage="0" showErrorMessage="1" allowBlank="1"/>
    <dataValidation sqref="A18:A20" showDropDown="0" showInputMessage="1" showErrorMessage="1" allowBlank="1" type="list">
      <formula1>$B$71:$B$75</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codeName="Sheet21">
    <outlinePr summaryBelow="1" summaryRight="1"/>
    <pageSetUpPr/>
  </sheetPr>
  <dimension ref="A1:H28"/>
  <sheetViews>
    <sheetView zoomScale="90" zoomScaleNormal="90" workbookViewId="0">
      <selection activeCell="F28" sqref="F28"/>
    </sheetView>
  </sheetViews>
  <sheetFormatPr baseColWidth="8" defaultColWidth="8.731481481481479" defaultRowHeight="14.4"/>
  <cols>
    <col width="33.2685185185185" customWidth="1" style="559" min="1" max="1"/>
    <col width="16.0648148148148" customWidth="1" style="559" min="2" max="2"/>
    <col width="14.5462962962963" customWidth="1" style="559" min="3" max="3"/>
    <col width="15.3425925925926" customWidth="1" style="559" min="4" max="4"/>
    <col width="13.9351851851852" customWidth="1" style="559" min="5" max="5"/>
    <col width="13.537037037037" customWidth="1" style="559" min="6" max="6"/>
    <col width="22.5277777777778" customWidth="1" style="559" min="7" max="7"/>
  </cols>
  <sheetData>
    <row r="1" ht="26" customHeight="1" s="559">
      <c r="A1" s="1" t="inlineStr">
        <is>
          <t>应付职工薪酬分配检查情况表</t>
        </is>
      </c>
      <c r="H1" s="140" t="n"/>
    </row>
    <row r="2">
      <c r="A2" s="2">
        <f>备忘录!$A$1</f>
        <v/>
      </c>
      <c r="B2" s="3" t="n"/>
      <c r="C2" s="456" t="inlineStr">
        <is>
          <t>编制人：刘喜琴</t>
        </is>
      </c>
      <c r="D2" s="3" t="n"/>
      <c r="F2" s="456">
        <f>备忘录!$C$2</f>
        <v/>
      </c>
    </row>
    <row r="3">
      <c r="A3" s="2">
        <f>备忘录!$A$2</f>
        <v/>
      </c>
      <c r="B3" s="3" t="n"/>
      <c r="C3" s="456" t="inlineStr">
        <is>
          <t>复核人：赵玮</t>
        </is>
      </c>
      <c r="D3" s="3" t="n"/>
      <c r="F3" s="456">
        <f>备忘录!$C$3</f>
        <v/>
      </c>
    </row>
    <row r="4">
      <c r="A4" s="690" t="inlineStr">
        <is>
          <t>项目名称</t>
        </is>
      </c>
      <c r="B4" s="568" t="inlineStr">
        <is>
          <t>主营业务成本</t>
        </is>
      </c>
      <c r="C4" s="568" t="inlineStr">
        <is>
          <t>销售费用</t>
        </is>
      </c>
      <c r="D4" s="568" t="inlineStr">
        <is>
          <t>管理费用</t>
        </is>
      </c>
      <c r="E4" s="568" t="inlineStr">
        <is>
          <t>合计</t>
        </is>
      </c>
      <c r="F4" s="701" t="inlineStr">
        <is>
          <t>检查本期分配是否正确</t>
        </is>
      </c>
      <c r="G4" s="701" t="inlineStr">
        <is>
          <t>差异</t>
        </is>
      </c>
    </row>
    <row r="5">
      <c r="A5" s="560" t="n"/>
      <c r="B5" s="560" t="n"/>
      <c r="C5" s="560" t="n"/>
      <c r="D5" s="560" t="n"/>
      <c r="E5" s="560" t="n"/>
      <c r="F5" s="561" t="n"/>
      <c r="G5" s="561" t="n"/>
    </row>
    <row r="6" ht="18" customHeight="1" s="559">
      <c r="A6" s="182" t="inlineStr">
        <is>
          <t>一、短期薪酬小计</t>
        </is>
      </c>
      <c r="B6" s="693">
        <f>ROUND(SUM(B7:B12),2)</f>
        <v/>
      </c>
      <c r="C6" s="693">
        <f>ROUND(SUM(C7:C12),2)</f>
        <v/>
      </c>
      <c r="D6" s="693">
        <f>ROUND(SUM(D7:D12),2)</f>
        <v/>
      </c>
      <c r="E6" s="702">
        <f>SUM(E7:E12)</f>
        <v/>
      </c>
      <c r="F6" s="703" t="n"/>
      <c r="G6" s="261" t="n"/>
    </row>
    <row r="7" ht="18" customHeight="1" s="559">
      <c r="A7" s="186" t="inlineStr">
        <is>
          <t>工资、奖金、津贴和补贴</t>
        </is>
      </c>
      <c r="B7" s="695" t="n"/>
      <c r="C7" s="695" t="n"/>
      <c r="D7" s="704" t="n"/>
      <c r="E7" s="705">
        <f>B7+C7+D7</f>
        <v/>
      </c>
      <c r="F7" s="706" t="n"/>
      <c r="G7" s="261" t="n"/>
    </row>
    <row r="8" ht="18" customHeight="1" s="559">
      <c r="A8" s="186" t="inlineStr">
        <is>
          <t>职工福利费</t>
        </is>
      </c>
      <c r="B8" s="695" t="n"/>
      <c r="C8" s="695" t="n"/>
      <c r="D8" s="704" t="n"/>
      <c r="E8" s="705">
        <f>B8+C8+D8</f>
        <v/>
      </c>
      <c r="F8" s="706" t="n"/>
      <c r="G8" s="261" t="n"/>
    </row>
    <row r="9" ht="18" customHeight="1" s="559">
      <c r="A9" s="191" t="inlineStr">
        <is>
          <t>社会保险费</t>
        </is>
      </c>
      <c r="B9" s="695" t="n"/>
      <c r="C9" s="695" t="n"/>
      <c r="D9" s="704" t="n"/>
      <c r="E9" s="705">
        <f>B9+C9+D9</f>
        <v/>
      </c>
      <c r="F9" s="703" t="n"/>
      <c r="G9" s="261" t="n"/>
    </row>
    <row r="10" ht="18" customHeight="1" s="559">
      <c r="A10" s="186" t="inlineStr">
        <is>
          <t>住房公积金</t>
        </is>
      </c>
      <c r="B10" s="695" t="n"/>
      <c r="C10" s="695" t="n"/>
      <c r="D10" s="704" t="n"/>
      <c r="E10" s="705">
        <f>B10+C10+D10</f>
        <v/>
      </c>
      <c r="F10" s="706" t="n"/>
      <c r="G10" s="261" t="n"/>
    </row>
    <row r="11" ht="18" customHeight="1" s="559">
      <c r="A11" s="186" t="inlineStr">
        <is>
          <t>工会经费</t>
        </is>
      </c>
      <c r="B11" s="695" t="n"/>
      <c r="C11" s="695" t="n"/>
      <c r="D11" s="704" t="n"/>
      <c r="E11" s="705">
        <f>B11+C11+D11</f>
        <v/>
      </c>
      <c r="F11" s="706" t="n"/>
      <c r="G11" s="261" t="n"/>
    </row>
    <row r="12" ht="18" customHeight="1" s="559">
      <c r="A12" s="186" t="inlineStr">
        <is>
          <t>职工教育经费</t>
        </is>
      </c>
      <c r="B12" s="695" t="n"/>
      <c r="C12" s="695" t="n"/>
      <c r="D12" s="704" t="n"/>
      <c r="E12" s="705">
        <f>B12+C12+D12</f>
        <v/>
      </c>
      <c r="F12" s="706" t="n"/>
      <c r="G12" s="261" t="n"/>
    </row>
    <row r="13" ht="16" customHeight="1" s="559">
      <c r="A13" s="192" t="inlineStr">
        <is>
          <t>二、离职后福利—设定提存计划</t>
        </is>
      </c>
      <c r="B13" s="693">
        <f>ROUND(SUM(B14:B16),2)</f>
        <v/>
      </c>
      <c r="C13" s="693">
        <f>ROUND(SUM(C14:C16),2)</f>
        <v/>
      </c>
      <c r="D13" s="693">
        <f>ROUND(SUM(D14:D16),2)</f>
        <v/>
      </c>
      <c r="E13" s="702">
        <f>ROUND(SUM(E14:E16),2)</f>
        <v/>
      </c>
      <c r="F13" s="703" t="n"/>
      <c r="G13" s="261" t="n"/>
    </row>
    <row r="14" hidden="1" s="559">
      <c r="A14" s="186" t="inlineStr">
        <is>
          <t>基本养老保险</t>
        </is>
      </c>
      <c r="B14" s="695" t="n"/>
      <c r="C14" s="695" t="n"/>
      <c r="D14" s="704" t="n"/>
      <c r="E14" s="705">
        <f>B14+C14+D14</f>
        <v/>
      </c>
      <c r="F14" s="706" t="n"/>
      <c r="G14" s="261" t="n"/>
    </row>
    <row r="15" hidden="1" s="559">
      <c r="A15" s="186" t="inlineStr">
        <is>
          <t>失业保险费</t>
        </is>
      </c>
      <c r="B15" s="695" t="n"/>
      <c r="C15" s="695" t="n"/>
      <c r="D15" s="704" t="n"/>
      <c r="E15" s="705">
        <f>B15+C15+D15</f>
        <v/>
      </c>
      <c r="F15" s="706" t="n"/>
      <c r="G15" s="261" t="n"/>
    </row>
    <row r="16" hidden="1" s="559">
      <c r="A16" s="186" t="inlineStr">
        <is>
          <t>企业年金缴费</t>
        </is>
      </c>
      <c r="B16" s="697" t="n"/>
      <c r="C16" s="697" t="n"/>
      <c r="D16" s="704" t="n"/>
      <c r="E16" s="705">
        <f>B16+C16+D16</f>
        <v/>
      </c>
      <c r="F16" s="706" t="n"/>
      <c r="G16" s="261" t="n"/>
    </row>
    <row r="17" ht="18" customHeight="1" s="559">
      <c r="A17" s="192" t="inlineStr">
        <is>
          <t>三、离职后福利—设定受益计划</t>
        </is>
      </c>
      <c r="B17" s="697" t="n"/>
      <c r="C17" s="697" t="n"/>
      <c r="D17" s="704" t="n"/>
      <c r="E17" s="705">
        <f>B17+C17+D17</f>
        <v/>
      </c>
      <c r="F17" s="706" t="n"/>
      <c r="G17" s="261" t="n"/>
    </row>
    <row r="18" ht="18" customHeight="1" s="559">
      <c r="A18" s="192" t="inlineStr">
        <is>
          <t>四、辞退福利</t>
        </is>
      </c>
      <c r="B18" s="695" t="n"/>
      <c r="C18" s="695" t="n"/>
      <c r="D18" s="704" t="n"/>
      <c r="E18" s="705">
        <f>B18+C18+D18</f>
        <v/>
      </c>
      <c r="F18" s="706" t="n"/>
      <c r="G18" s="261" t="n"/>
    </row>
    <row r="19" ht="18" customHeight="1" s="559">
      <c r="A19" s="194" t="inlineStr">
        <is>
          <t>五、一年内到期的长期职工福利</t>
        </is>
      </c>
      <c r="B19" s="695" t="n"/>
      <c r="C19" s="695" t="n"/>
      <c r="D19" s="704" t="n"/>
      <c r="E19" s="705">
        <f>B19+C19+D19</f>
        <v/>
      </c>
      <c r="F19" s="706" t="n"/>
      <c r="G19" s="261" t="n"/>
    </row>
    <row r="20" ht="18" customHeight="1" s="559">
      <c r="A20" s="195" t="inlineStr">
        <is>
          <t>合计</t>
        </is>
      </c>
      <c r="B20" s="696">
        <f>ROUND(SUM(B6+B13+B18+B19),2)</f>
        <v/>
      </c>
      <c r="C20" s="696">
        <f>ROUND(SUM(C6+C13+C18+C19),2)</f>
        <v/>
      </c>
      <c r="D20" s="696">
        <f>ROUND(SUM(D6+D13+D18+D19),2)</f>
        <v/>
      </c>
      <c r="E20" s="707">
        <f>ROUND(SUM(E6+E13+E18+E19),2)</f>
        <v/>
      </c>
      <c r="F20" s="708" t="n"/>
      <c r="G20" s="261" t="n"/>
    </row>
    <row r="22" ht="19" customHeight="1" s="559">
      <c r="A22" s="570" t="inlineStr">
        <is>
          <t>审计说明：</t>
        </is>
      </c>
    </row>
    <row r="24">
      <c r="D24" s="455" t="inlineStr">
        <is>
          <t>借：其他应付款</t>
        </is>
      </c>
    </row>
    <row r="25">
      <c r="D25" s="455" t="inlineStr">
        <is>
          <t>贷：银行存款</t>
        </is>
      </c>
    </row>
    <row r="27">
      <c r="D27" s="455" t="inlineStr">
        <is>
          <t>借：应付职工薪酬</t>
        </is>
      </c>
    </row>
    <row r="28">
      <c r="D28" s="455" t="inlineStr">
        <is>
          <t>贷：其他应付款</t>
        </is>
      </c>
    </row>
  </sheetData>
  <mergeCells count="8">
    <mergeCell ref="A1:G1"/>
    <mergeCell ref="B4:B5"/>
    <mergeCell ref="C4:C5"/>
    <mergeCell ref="A4:A5"/>
    <mergeCell ref="F4:F5"/>
    <mergeCell ref="D4:D5"/>
    <mergeCell ref="E4:E5"/>
    <mergeCell ref="G4:G5"/>
  </mergeCells>
  <dataValidations count="3">
    <dataValidation sqref="A9" showDropDown="0" showInputMessage="0" showErrorMessage="1" allowBlank="1"/>
    <dataValidation sqref="A7:A8 A10:A12" showDropDown="0" showInputMessage="1" showErrorMessage="1" allowBlank="1" prompt="从下拉菜单中选择" type="list">
      <formula1>#REF!</formula1>
    </dataValidation>
    <dataValidation sqref="A14:A16" showDropDown="0" showInputMessage="1" showErrorMessage="1" allowBlank="1" type="list">
      <formula1>#REF!</formula1>
    </dataValidation>
  </dataValidations>
  <pageMargins left="0.75" right="0.75" top="1" bottom="1" header="0.5" footer="0.5"/>
</worksheet>
</file>

<file path=xl/worksheets/sheet27.xml><?xml version="1.0" encoding="utf-8"?>
<worksheet xmlns="http://schemas.openxmlformats.org/spreadsheetml/2006/main">
  <sheetPr codeName="Sheet22">
    <outlinePr summaryBelow="1" summaryRight="1"/>
    <pageSetUpPr/>
  </sheetPr>
  <dimension ref="A1:K31"/>
  <sheetViews>
    <sheetView zoomScale="90" zoomScaleNormal="90" workbookViewId="0">
      <pane ySplit="5" topLeftCell="A6" activePane="bottomLeft" state="frozen"/>
      <selection activeCell="A1" sqref="A1"/>
      <selection pane="bottomLeft" activeCell="B5" sqref="B5"/>
    </sheetView>
  </sheetViews>
  <sheetFormatPr baseColWidth="8" defaultColWidth="8.731481481481479" defaultRowHeight="14.4"/>
  <cols>
    <col width="22.2222222222222" customWidth="1" style="559" min="1" max="1"/>
    <col width="21.8055555555556" customWidth="1" style="559" min="2" max="2"/>
    <col width="16.0555555555556" customWidth="1" style="559" min="3" max="3"/>
    <col width="11.7222222222222" customWidth="1" style="559" min="4" max="5"/>
    <col width="13.3240740740741" customWidth="1" style="559" min="6" max="7"/>
    <col width="10.8981481481481" customWidth="1" style="559" min="8" max="8"/>
    <col width="14.3333333333333" customWidth="1" style="559" min="9" max="9"/>
    <col width="12.8240740740741" customWidth="1" style="559" min="10" max="10"/>
    <col width="10.8981481481481" customWidth="1" style="559" min="11" max="11"/>
  </cols>
  <sheetData>
    <row r="1" ht="27" customHeight="1" s="559">
      <c r="A1" s="1" t="inlineStr">
        <is>
          <t>应交税费明细表</t>
        </is>
      </c>
    </row>
    <row r="2">
      <c r="A2" s="2">
        <f>备忘录!$A$1</f>
        <v/>
      </c>
      <c r="B2" s="3" t="n"/>
      <c r="C2" s="3" t="n"/>
      <c r="D2" s="456" t="inlineStr">
        <is>
          <t>编制人：刘喜琴</t>
        </is>
      </c>
      <c r="E2" s="3" t="n"/>
      <c r="G2" s="456">
        <f>备忘录!$C$2</f>
        <v/>
      </c>
    </row>
    <row r="3">
      <c r="A3" s="2">
        <f>备忘录!$A$2</f>
        <v/>
      </c>
      <c r="B3" s="3" t="n"/>
      <c r="C3" s="3" t="n"/>
      <c r="D3" s="456" t="inlineStr">
        <is>
          <t>复核人：赵玮</t>
        </is>
      </c>
      <c r="E3" s="3" t="n"/>
      <c r="G3" s="456">
        <f>备忘录!$C$3</f>
        <v/>
      </c>
    </row>
    <row r="4" ht="23" customFormat="1" customHeight="1" s="455">
      <c r="A4" s="633" t="inlineStr">
        <is>
          <t>科目名称</t>
        </is>
      </c>
      <c r="B4" s="89" t="inlineStr">
        <is>
          <t>账面数据</t>
        </is>
      </c>
      <c r="C4" s="562" t="n"/>
      <c r="D4" s="562" t="n"/>
      <c r="E4" s="563" t="n"/>
      <c r="F4" s="605" t="inlineStr">
        <is>
          <t>本期审计调整</t>
        </is>
      </c>
      <c r="G4" s="563" t="n"/>
      <c r="H4" s="567" t="inlineStr">
        <is>
          <t>期末报表列报审定</t>
        </is>
      </c>
      <c r="I4" s="562" t="n"/>
      <c r="J4" s="562" t="n"/>
      <c r="K4" s="563" t="n"/>
    </row>
    <row r="5" ht="40" customFormat="1" customHeight="1" s="455">
      <c r="A5" s="560" t="n"/>
      <c r="B5" s="526" t="inlineStr">
        <is>
          <t>期初金额（取数为：科目余额表期初贷方-借方）</t>
        </is>
      </c>
      <c r="C5" s="526" t="inlineStr">
        <is>
          <t>本期借方</t>
        </is>
      </c>
      <c r="D5" s="526" t="inlineStr">
        <is>
          <t>本期贷方</t>
        </is>
      </c>
      <c r="E5" s="526" t="inlineStr">
        <is>
          <t>期末金额</t>
        </is>
      </c>
      <c r="F5" s="170" t="inlineStr">
        <is>
          <t>本期借方</t>
        </is>
      </c>
      <c r="G5" s="170" t="inlineStr">
        <is>
          <t>本期贷方</t>
        </is>
      </c>
      <c r="H5" s="567" t="inlineStr">
        <is>
          <t>期初金额</t>
        </is>
      </c>
      <c r="I5" s="692" t="inlineStr">
        <is>
          <t>本期借方</t>
        </is>
      </c>
      <c r="J5" s="692" t="inlineStr">
        <is>
          <t>本期贷方</t>
        </is>
      </c>
      <c r="K5" s="692" t="inlineStr">
        <is>
          <t>期末数</t>
        </is>
      </c>
    </row>
    <row r="6" ht="17" customFormat="1" customHeight="1" s="455">
      <c r="A6" s="261" t="inlineStr">
        <is>
          <t>增值税</t>
        </is>
      </c>
      <c r="B6" s="569" t="n"/>
      <c r="C6" s="569" t="n"/>
      <c r="D6" s="569" t="n"/>
      <c r="E6" s="645">
        <f>ROUND(B6+D6-C6,2)</f>
        <v/>
      </c>
      <c r="F6" s="582" t="n"/>
      <c r="G6" s="582" t="n"/>
      <c r="H6" s="645">
        <f>B6</f>
        <v/>
      </c>
      <c r="I6" s="645">
        <f>ROUND(C6+F6,2)</f>
        <v/>
      </c>
      <c r="J6" s="645">
        <f>ROUND(D6+G6,2)</f>
        <v/>
      </c>
      <c r="K6" s="645">
        <f>ROUND(H6+J6-I6,2)</f>
        <v/>
      </c>
    </row>
    <row r="7" ht="17" customFormat="1" customHeight="1" s="455">
      <c r="A7" s="261" t="inlineStr">
        <is>
          <t>个人所得税</t>
        </is>
      </c>
      <c r="B7" s="569" t="n"/>
      <c r="C7" s="569" t="n"/>
      <c r="D7" s="569" t="n"/>
      <c r="E7" s="645">
        <f>ROUND(B7+D7-C7,2)</f>
        <v/>
      </c>
      <c r="F7" s="582" t="n"/>
      <c r="G7" s="582" t="n"/>
      <c r="H7" s="645">
        <f>B7</f>
        <v/>
      </c>
      <c r="I7" s="645">
        <f>ROUND(C7+F7,2)</f>
        <v/>
      </c>
      <c r="J7" s="645">
        <f>ROUND(D7+G7,2)</f>
        <v/>
      </c>
      <c r="K7" s="645">
        <f>ROUND(H7+J7-I7,2)</f>
        <v/>
      </c>
    </row>
    <row r="8" ht="17" customFormat="1" customHeight="1" s="455">
      <c r="A8" s="455" t="inlineStr">
        <is>
          <t>企业所得税</t>
        </is>
      </c>
      <c r="B8" s="569" t="n"/>
      <c r="C8" s="569" t="n"/>
      <c r="D8" s="569" t="n"/>
      <c r="E8" s="645">
        <f>ROUND(B8+D8-C8,2)</f>
        <v/>
      </c>
      <c r="F8" s="582" t="n"/>
      <c r="G8" s="582" t="n"/>
      <c r="H8" s="645">
        <f>B8</f>
        <v/>
      </c>
      <c r="I8" s="645">
        <f>ROUND(C8+F8,2)</f>
        <v/>
      </c>
      <c r="J8" s="645">
        <f>ROUND(D8+G8,2)</f>
        <v/>
      </c>
      <c r="K8" s="645">
        <f>ROUND(H8+J8-I8,2)</f>
        <v/>
      </c>
    </row>
    <row r="9" ht="17" customFormat="1" customHeight="1" s="455">
      <c r="A9" s="175" t="inlineStr">
        <is>
          <t>城市维护建设税</t>
        </is>
      </c>
      <c r="B9" s="569" t="n"/>
      <c r="C9" s="569" t="n"/>
      <c r="D9" s="569" t="n"/>
      <c r="E9" s="645">
        <f>ROUND(B9+D9-C9,2)</f>
        <v/>
      </c>
      <c r="F9" s="582" t="n"/>
      <c r="G9" s="582" t="n"/>
      <c r="H9" s="645">
        <f>B9</f>
        <v/>
      </c>
      <c r="I9" s="645">
        <f>ROUND(C9+F9,2)</f>
        <v/>
      </c>
      <c r="J9" s="645">
        <f>ROUND(D9+G9,2)</f>
        <v/>
      </c>
      <c r="K9" s="645">
        <f>ROUND(H9+J9-I9,2)</f>
        <v/>
      </c>
    </row>
    <row r="10" ht="17" customFormat="1" customHeight="1" s="455">
      <c r="A10" s="175" t="inlineStr">
        <is>
          <t>教育费附加</t>
        </is>
      </c>
      <c r="B10" s="569" t="n"/>
      <c r="C10" s="569" t="n"/>
      <c r="D10" s="569" t="n"/>
      <c r="E10" s="645">
        <f>ROUND(B10+D10-C10,2)</f>
        <v/>
      </c>
      <c r="F10" s="582" t="n"/>
      <c r="G10" s="582" t="n"/>
      <c r="H10" s="645">
        <f>B10</f>
        <v/>
      </c>
      <c r="I10" s="645">
        <f>ROUND(C10+F10,2)</f>
        <v/>
      </c>
      <c r="J10" s="645">
        <f>ROUND(D10+G10,2)</f>
        <v/>
      </c>
      <c r="K10" s="645">
        <f>ROUND(H10+J10-I10,2)</f>
        <v/>
      </c>
    </row>
    <row r="11" ht="17" customFormat="1" customHeight="1" s="455">
      <c r="A11" s="175" t="inlineStr">
        <is>
          <t>地方教育费附加</t>
        </is>
      </c>
      <c r="B11" s="569" t="n"/>
      <c r="C11" s="569" t="n"/>
      <c r="D11" s="569" t="n"/>
      <c r="E11" s="645">
        <f>ROUND(B11+D11-C11,2)</f>
        <v/>
      </c>
      <c r="F11" s="582" t="n"/>
      <c r="G11" s="582" t="n"/>
      <c r="H11" s="645">
        <f>B11</f>
        <v/>
      </c>
      <c r="I11" s="645">
        <f>ROUND(C11+F11,2)</f>
        <v/>
      </c>
      <c r="J11" s="645">
        <f>ROUND(D11+G11,2)</f>
        <v/>
      </c>
      <c r="K11" s="645">
        <f>ROUND(H11+J11-I11,2)</f>
        <v/>
      </c>
    </row>
    <row r="12" ht="17" customFormat="1" customHeight="1" s="455">
      <c r="A12" s="175" t="inlineStr">
        <is>
          <t>印花税</t>
        </is>
      </c>
      <c r="B12" s="569" t="n"/>
      <c r="C12" s="569" t="n"/>
      <c r="D12" s="569" t="n"/>
      <c r="E12" s="645">
        <f>ROUND(B12+D12-C12,2)</f>
        <v/>
      </c>
      <c r="F12" s="582" t="n"/>
      <c r="G12" s="582" t="n"/>
      <c r="H12" s="645">
        <f>B12</f>
        <v/>
      </c>
      <c r="I12" s="645">
        <f>ROUND(C12+F12,2)</f>
        <v/>
      </c>
      <c r="J12" s="645">
        <f>ROUND(D12+G12,2)</f>
        <v/>
      </c>
      <c r="K12" s="645">
        <f>ROUND(H12+J12-I12,2)</f>
        <v/>
      </c>
    </row>
    <row r="13" hidden="1" ht="15" customFormat="1" customHeight="1" s="455">
      <c r="A13" s="101" t="n"/>
      <c r="B13" s="569" t="n"/>
      <c r="C13" s="569" t="n"/>
      <c r="D13" s="569" t="n"/>
      <c r="E13" s="645">
        <f>ROUND(B13+D13-C13,2)</f>
        <v/>
      </c>
      <c r="F13" s="582" t="n"/>
      <c r="G13" s="582" t="n"/>
      <c r="H13" s="645">
        <f>B13</f>
        <v/>
      </c>
      <c r="I13" s="645">
        <f>ROUND(C13+F13,2)</f>
        <v/>
      </c>
      <c r="J13" s="645">
        <f>ROUND(D13+G13,2)</f>
        <v/>
      </c>
      <c r="K13" s="645">
        <f>ROUND(H13+J13-I13,2)</f>
        <v/>
      </c>
    </row>
    <row r="14" hidden="1" ht="15" customFormat="1" customHeight="1" s="455">
      <c r="A14" s="101" t="n"/>
      <c r="B14" s="569" t="n"/>
      <c r="C14" s="569" t="n"/>
      <c r="D14" s="569" t="n"/>
      <c r="E14" s="645">
        <f>ROUND(B14+D14-C14,2)</f>
        <v/>
      </c>
      <c r="F14" s="582" t="n"/>
      <c r="G14" s="582" t="n"/>
      <c r="H14" s="645">
        <f>B14</f>
        <v/>
      </c>
      <c r="I14" s="645">
        <f>ROUND(C14+F14,2)</f>
        <v/>
      </c>
      <c r="J14" s="645">
        <f>ROUND(D14+G14,2)</f>
        <v/>
      </c>
      <c r="K14" s="645">
        <f>ROUND(H14+J14-I14,2)</f>
        <v/>
      </c>
    </row>
    <row r="15" hidden="1" ht="15" customFormat="1" customHeight="1" s="455">
      <c r="A15" s="101" t="n"/>
      <c r="B15" s="569" t="n"/>
      <c r="C15" s="569" t="n"/>
      <c r="D15" s="569" t="n"/>
      <c r="E15" s="645">
        <f>ROUND(B15+D15-C15,2)</f>
        <v/>
      </c>
      <c r="F15" s="582" t="n"/>
      <c r="G15" s="582" t="n"/>
      <c r="H15" s="645">
        <f>B15</f>
        <v/>
      </c>
      <c r="I15" s="645">
        <f>ROUND(C15+F15,2)</f>
        <v/>
      </c>
      <c r="J15" s="645">
        <f>ROUND(D15+G15,2)</f>
        <v/>
      </c>
      <c r="K15" s="645">
        <f>ROUND(H15+J15-I15,2)</f>
        <v/>
      </c>
    </row>
    <row r="16" hidden="1" ht="15" customFormat="1" customHeight="1" s="455">
      <c r="A16" s="101" t="n"/>
      <c r="B16" s="569" t="n"/>
      <c r="C16" s="569" t="n"/>
      <c r="D16" s="569" t="n"/>
      <c r="E16" s="645">
        <f>ROUND(B16+D16-C16,2)</f>
        <v/>
      </c>
      <c r="F16" s="582" t="n"/>
      <c r="G16" s="582" t="n"/>
      <c r="H16" s="645">
        <f>B16</f>
        <v/>
      </c>
      <c r="I16" s="645">
        <f>ROUND(C16+F16,2)</f>
        <v/>
      </c>
      <c r="J16" s="645">
        <f>ROUND(D16+G16,2)</f>
        <v/>
      </c>
      <c r="K16" s="645">
        <f>ROUND(H16+J16-I16,2)</f>
        <v/>
      </c>
    </row>
    <row r="17" hidden="1" ht="15" customFormat="1" customHeight="1" s="455">
      <c r="A17" s="101" t="n"/>
      <c r="B17" s="569" t="n"/>
      <c r="C17" s="569" t="n"/>
      <c r="D17" s="569" t="n"/>
      <c r="E17" s="645">
        <f>ROUND(B17+D17-C17,2)</f>
        <v/>
      </c>
      <c r="F17" s="582" t="n"/>
      <c r="G17" s="582" t="n"/>
      <c r="H17" s="645">
        <f>B17</f>
        <v/>
      </c>
      <c r="I17" s="645">
        <f>ROUND(C17+F17,2)</f>
        <v/>
      </c>
      <c r="J17" s="645">
        <f>ROUND(D17+G17,2)</f>
        <v/>
      </c>
      <c r="K17" s="645">
        <f>ROUND(H17+J17-I17,2)</f>
        <v/>
      </c>
    </row>
    <row r="18" hidden="1" ht="15" customFormat="1" customHeight="1" s="455">
      <c r="A18" s="101" t="n"/>
      <c r="B18" s="569" t="n"/>
      <c r="C18" s="569" t="n"/>
      <c r="D18" s="569" t="n"/>
      <c r="E18" s="645">
        <f>ROUND(B18+D18-C18,2)</f>
        <v/>
      </c>
      <c r="F18" s="582" t="n"/>
      <c r="G18" s="582" t="n"/>
      <c r="H18" s="645">
        <f>B18</f>
        <v/>
      </c>
      <c r="I18" s="645">
        <f>ROUND(C18+F18,2)</f>
        <v/>
      </c>
      <c r="J18" s="645">
        <f>ROUND(D18+G18,2)</f>
        <v/>
      </c>
      <c r="K18" s="645">
        <f>ROUND(H18+J18-I18,2)</f>
        <v/>
      </c>
    </row>
    <row r="19" hidden="1" ht="15" customFormat="1" customHeight="1" s="455">
      <c r="A19" s="101" t="n"/>
      <c r="B19" s="569" t="n"/>
      <c r="C19" s="569" t="n"/>
      <c r="D19" s="569" t="n"/>
      <c r="E19" s="645">
        <f>ROUND(B19+D19-C19,2)</f>
        <v/>
      </c>
      <c r="F19" s="582" t="n"/>
      <c r="G19" s="582" t="n"/>
      <c r="H19" s="645">
        <f>B19</f>
        <v/>
      </c>
      <c r="I19" s="645">
        <f>ROUND(C19+F19,2)</f>
        <v/>
      </c>
      <c r="J19" s="645">
        <f>ROUND(D19+G19,2)</f>
        <v/>
      </c>
      <c r="K19" s="645">
        <f>ROUND(H19+J19-I19,2)</f>
        <v/>
      </c>
    </row>
    <row r="20" ht="22" customFormat="1" customHeight="1" s="521">
      <c r="A20" s="403" t="inlineStr">
        <is>
          <t>合计</t>
        </is>
      </c>
      <c r="B20" s="645">
        <f>ROUND(SUM(B6:B19),2)</f>
        <v/>
      </c>
      <c r="C20" s="645">
        <f>ROUND(SUM(C6:C19),2)</f>
        <v/>
      </c>
      <c r="D20" s="645">
        <f>ROUND(SUM(D6:D19),2)</f>
        <v/>
      </c>
      <c r="E20" s="645">
        <f>ROUND(SUM(E6:E19),2)</f>
        <v/>
      </c>
      <c r="F20" s="645">
        <f>ROUND(SUM(F6:F19),2)</f>
        <v/>
      </c>
      <c r="G20" s="645">
        <f>ROUND(SUM(G6:G19),2)</f>
        <v/>
      </c>
      <c r="H20" s="645">
        <f>ROUND(SUM(H6:H19),2)</f>
        <v/>
      </c>
      <c r="I20" s="645">
        <f>ROUND(SUM(I6:I19),2)</f>
        <v/>
      </c>
      <c r="J20" s="645">
        <f>ROUND(SUM(J6:J19),2)</f>
        <v/>
      </c>
      <c r="K20" s="645">
        <f>ROUND(SUM(K6:K19),2)</f>
        <v/>
      </c>
    </row>
    <row r="23">
      <c r="B23" s="570" t="inlineStr">
        <is>
          <t>审计说明：</t>
        </is>
      </c>
    </row>
    <row r="25">
      <c r="A25" s="455" t="inlineStr">
        <is>
          <t>增值税</t>
        </is>
      </c>
    </row>
    <row r="26">
      <c r="A26" s="455" t="inlineStr">
        <is>
          <t>企业所得税</t>
        </is>
      </c>
    </row>
    <row r="27">
      <c r="A27" s="455" t="inlineStr">
        <is>
          <t>个人所得税</t>
        </is>
      </c>
    </row>
    <row r="28">
      <c r="A28" s="177" t="inlineStr">
        <is>
          <t>城市维护建设税</t>
        </is>
      </c>
    </row>
    <row r="29">
      <c r="A29" s="177" t="inlineStr">
        <is>
          <t>教育费附加</t>
        </is>
      </c>
    </row>
    <row r="30">
      <c r="A30" s="177" t="inlineStr">
        <is>
          <t>地方教育费附加</t>
        </is>
      </c>
    </row>
    <row r="31">
      <c r="A31" s="177" t="inlineStr">
        <is>
          <t>印花税</t>
        </is>
      </c>
    </row>
  </sheetData>
  <autoFilter ref="A5:E20"/>
  <mergeCells count="5">
    <mergeCell ref="F4:G4"/>
    <mergeCell ref="H4:K4"/>
    <mergeCell ref="B4:E4"/>
    <mergeCell ref="A4:A5"/>
    <mergeCell ref="A1:K1"/>
  </mergeCells>
  <dataValidations count="1">
    <dataValidation sqref="A13:A19" showDropDown="0" showInputMessage="1" showErrorMessage="1" allowBlank="1" type="list">
      <formula1>$A$25:$A$35</formula1>
    </dataValidation>
  </dataValidations>
  <pageMargins left="0.75" right="0.75" top="1" bottom="1" header="0.5" footer="0.5"/>
</worksheet>
</file>

<file path=xl/worksheets/sheet28.xml><?xml version="1.0" encoding="utf-8"?>
<worksheet xmlns="http://schemas.openxmlformats.org/spreadsheetml/2006/main">
  <sheetPr codeName="Sheet23">
    <outlinePr summaryBelow="1" summaryRight="1"/>
    <pageSetUpPr/>
  </sheetPr>
  <dimension ref="A1:J61"/>
  <sheetViews>
    <sheetView zoomScale="90" zoomScaleNormal="90" workbookViewId="0">
      <selection activeCell="H4" sqref="H4:H5"/>
    </sheetView>
  </sheetViews>
  <sheetFormatPr baseColWidth="8" defaultColWidth="8.731481481481479" defaultRowHeight="14.4"/>
  <cols>
    <col width="39.3611111111111" customWidth="1" style="559" min="1" max="1"/>
    <col width="13.8148148148148" customWidth="1" style="559" min="2" max="2"/>
    <col width="14.1851851851852" customWidth="1" style="559" min="3" max="3"/>
    <col width="14.8148148148148" customWidth="1" style="559" min="4" max="4"/>
    <col width="24.1851851851852" customWidth="1" style="559" min="5" max="5"/>
    <col width="23" customWidth="1" style="559" min="6" max="7"/>
    <col width="13.2314814814815" customWidth="1" style="559" min="8" max="8"/>
    <col width="14.75" customWidth="1" style="559" min="9" max="9"/>
    <col width="16.2685185185185" customWidth="1" style="559" min="10" max="10"/>
  </cols>
  <sheetData>
    <row r="1" ht="26" customHeight="1" s="559">
      <c r="A1" s="1" t="inlineStr">
        <is>
          <t>应交税费明细表</t>
        </is>
      </c>
      <c r="F1" s="140" t="n"/>
      <c r="G1" s="140" t="n"/>
      <c r="H1" s="140" t="n"/>
      <c r="I1" s="140" t="n"/>
      <c r="J1" s="140" t="n"/>
    </row>
    <row r="2" ht="15" customHeight="1" s="559">
      <c r="A2" s="2">
        <f>备忘录!$A$1</f>
        <v/>
      </c>
      <c r="B2" s="3" t="n"/>
      <c r="C2" s="456" t="inlineStr">
        <is>
          <t>编制人：刘喜琴</t>
        </is>
      </c>
      <c r="E2" s="456">
        <f>备忘录!$C$2</f>
        <v/>
      </c>
    </row>
    <row r="3" ht="15" customHeight="1" s="559">
      <c r="A3" s="2">
        <f>备忘录!$A$2</f>
        <v/>
      </c>
      <c r="B3" s="3" t="n"/>
      <c r="C3" s="456" t="inlineStr">
        <is>
          <t>复核人：赵玮</t>
        </is>
      </c>
      <c r="E3" s="456">
        <f>备忘录!$C$3</f>
        <v/>
      </c>
      <c r="G3" s="141" t="inlineStr">
        <is>
          <t>账面收入总额</t>
        </is>
      </c>
      <c r="H3" s="261" t="n"/>
    </row>
    <row r="4" ht="17" customHeight="1" s="559">
      <c r="A4" s="142" t="inlineStr">
        <is>
          <t>项目</t>
        </is>
      </c>
      <c r="B4" s="142" t="inlineStr">
        <is>
          <t>账面数</t>
        </is>
      </c>
      <c r="C4" s="143" t="inlineStr">
        <is>
          <t>申报数</t>
        </is>
      </c>
      <c r="D4" s="143" t="inlineStr">
        <is>
          <t>差异</t>
        </is>
      </c>
      <c r="E4" s="144" t="inlineStr">
        <is>
          <t>审计说明</t>
        </is>
      </c>
      <c r="G4" s="141" t="inlineStr">
        <is>
          <t>增值税申报表销售总额</t>
        </is>
      </c>
      <c r="H4" s="145" t="n"/>
      <c r="I4" s="289" t="n"/>
    </row>
    <row r="5" ht="16" customHeight="1" s="559">
      <c r="A5" s="147" t="inlineStr">
        <is>
          <t>一、应交增值税</t>
        </is>
      </c>
      <c r="B5" s="709" t="n"/>
      <c r="C5" s="709" t="n"/>
      <c r="D5" s="710" t="inlineStr">
        <is>
          <t>——</t>
        </is>
      </c>
      <c r="E5" s="709" t="n"/>
      <c r="G5" s="141" t="inlineStr">
        <is>
          <t>所得税申报表收入总额</t>
        </is>
      </c>
      <c r="H5" s="261" t="n"/>
    </row>
    <row r="6">
      <c r="A6" s="150" t="inlineStr">
        <is>
          <t>1．年初未抵扣数(用“-”反映)</t>
        </is>
      </c>
      <c r="B6" s="709" t="n"/>
      <c r="C6" s="709" t="n"/>
      <c r="D6" s="711">
        <f>ROUND(B6-C6,2)</f>
        <v/>
      </c>
      <c r="E6" s="709" t="n"/>
      <c r="G6" s="152" t="inlineStr">
        <is>
          <t>账面利润总额</t>
        </is>
      </c>
      <c r="H6" s="261" t="n"/>
    </row>
    <row r="7">
      <c r="A7" s="150" t="inlineStr">
        <is>
          <t>2．销项税额</t>
        </is>
      </c>
      <c r="B7" s="712" t="n"/>
      <c r="C7" s="712" t="n"/>
      <c r="D7" s="711">
        <f>ROUND(B7-C7,2)</f>
        <v/>
      </c>
      <c r="E7" s="709" t="n"/>
      <c r="G7" s="152" t="inlineStr">
        <is>
          <t>所得税申报表利润总额</t>
        </is>
      </c>
      <c r="H7" s="261" t="n"/>
    </row>
    <row r="8">
      <c r="A8" s="154" t="inlineStr">
        <is>
          <t xml:space="preserve">   出口退税</t>
        </is>
      </c>
      <c r="B8" s="712" t="n"/>
      <c r="C8" s="712" t="n"/>
      <c r="D8" s="711">
        <f>ROUND(B8-C8,2)</f>
        <v/>
      </c>
      <c r="E8" s="709" t="n"/>
      <c r="G8" s="155" t="inlineStr">
        <is>
          <t>增值税与账面差异</t>
        </is>
      </c>
      <c r="H8" s="261">
        <f>H3-H4</f>
        <v/>
      </c>
    </row>
    <row r="9">
      <c r="A9" s="154" t="inlineStr">
        <is>
          <t xml:space="preserve">   进项税额转出</t>
        </is>
      </c>
      <c r="B9" s="712" t="n"/>
      <c r="C9" s="712" t="n"/>
      <c r="D9" s="711">
        <f>ROUND(B9-C9,2)</f>
        <v/>
      </c>
      <c r="E9" s="709" t="n"/>
      <c r="G9" s="155" t="inlineStr">
        <is>
          <t>所得税与账面差异</t>
        </is>
      </c>
      <c r="H9" s="261">
        <f>H3-H5</f>
        <v/>
      </c>
    </row>
    <row r="10">
      <c r="A10" s="154" t="inlineStr">
        <is>
          <t xml:space="preserve">   转出多交增值税</t>
        </is>
      </c>
      <c r="B10" s="712" t="n"/>
      <c r="C10" s="712" t="n"/>
      <c r="D10" s="711">
        <f>ROUND(B10-C10,2)</f>
        <v/>
      </c>
      <c r="E10" s="709" t="n"/>
      <c r="G10" s="155" t="inlineStr">
        <is>
          <t>利润与账面差异</t>
        </is>
      </c>
      <c r="H10" s="261">
        <f>H6-H7</f>
        <v/>
      </c>
    </row>
    <row r="11">
      <c r="A11" s="150" t="inlineStr">
        <is>
          <t>3．进项税额</t>
        </is>
      </c>
      <c r="B11" s="712" t="n"/>
      <c r="C11" s="712" t="n"/>
      <c r="D11" s="711">
        <f>ROUND(B11-C11,2)</f>
        <v/>
      </c>
      <c r="E11" s="709" t="n"/>
    </row>
    <row r="12">
      <c r="A12" s="154" t="inlineStr">
        <is>
          <t xml:space="preserve">   已交税金</t>
        </is>
      </c>
      <c r="B12" s="709" t="n"/>
      <c r="C12" s="709" t="n"/>
      <c r="D12" s="711">
        <f>ROUND(B12-C12,2)</f>
        <v/>
      </c>
      <c r="E12" s="709" t="n"/>
    </row>
    <row r="13">
      <c r="A13" s="154" t="inlineStr">
        <is>
          <t xml:space="preserve">   减免税款</t>
        </is>
      </c>
      <c r="B13" s="709" t="n"/>
      <c r="C13" s="709" t="n"/>
      <c r="D13" s="711">
        <f>ROUND(B13-C13,2)</f>
        <v/>
      </c>
      <c r="E13" s="709" t="n"/>
    </row>
    <row r="14">
      <c r="A14" s="154" t="inlineStr">
        <is>
          <t xml:space="preserve">   销项税额抵减</t>
        </is>
      </c>
      <c r="B14" s="709" t="n"/>
      <c r="C14" s="709" t="n"/>
      <c r="D14" s="711">
        <f>ROUND(B14-C14,2)</f>
        <v/>
      </c>
      <c r="E14" s="709" t="n"/>
    </row>
    <row r="15">
      <c r="A15" s="154" t="inlineStr">
        <is>
          <t xml:space="preserve">   出口抵减内销产品应纳税额</t>
        </is>
      </c>
      <c r="B15" s="709" t="n"/>
      <c r="C15" s="709" t="n"/>
      <c r="D15" s="711">
        <f>ROUND(B15-C15,2)</f>
        <v/>
      </c>
      <c r="E15" s="709" t="n"/>
    </row>
    <row r="16">
      <c r="A16" s="154" t="inlineStr">
        <is>
          <t xml:space="preserve">   出口退税</t>
        </is>
      </c>
      <c r="B16" s="709" t="n"/>
      <c r="C16" s="709" t="n"/>
      <c r="D16" s="711">
        <f>ROUND(B16-C16,2)</f>
        <v/>
      </c>
      <c r="E16" s="709" t="n"/>
    </row>
    <row r="17">
      <c r="A17" s="154" t="inlineStr">
        <is>
          <t xml:space="preserve">   转出未交增值税</t>
        </is>
      </c>
      <c r="B17" s="712">
        <f>B6+B7+B9+B10-B11-B13</f>
        <v/>
      </c>
      <c r="C17" s="712">
        <f>C6+C7+C9-C11-C13</f>
        <v/>
      </c>
      <c r="D17" s="711">
        <f>ROUND(B17-C17,2)</f>
        <v/>
      </c>
      <c r="E17" s="709">
        <f>E6+E7+E9+E10-E11-E13</f>
        <v/>
      </c>
    </row>
    <row r="18">
      <c r="A18" s="150" t="inlineStr">
        <is>
          <t>4．期末未抵扣数(多交数用“-”反映)</t>
        </is>
      </c>
      <c r="B18" s="709">
        <f>B6+B7+B8+B9+B10-B11-B12-B13-B17</f>
        <v/>
      </c>
      <c r="C18" s="709">
        <f>C6+C7+C8+C9+C10-C11-C12-C13-C17</f>
        <v/>
      </c>
      <c r="D18" s="711">
        <f>ROUND(B18-C18,2)</f>
        <v/>
      </c>
      <c r="E18" s="709" t="n"/>
    </row>
    <row r="19">
      <c r="A19" s="147" t="inlineStr">
        <is>
          <t>二、未交增值税</t>
        </is>
      </c>
      <c r="B19" s="713" t="inlineStr">
        <is>
          <t>——</t>
        </is>
      </c>
      <c r="C19" s="713" t="inlineStr">
        <is>
          <t>——</t>
        </is>
      </c>
      <c r="D19" s="710" t="inlineStr">
        <is>
          <t>——</t>
        </is>
      </c>
      <c r="E19" s="713" t="inlineStr">
        <is>
          <t>——</t>
        </is>
      </c>
    </row>
    <row r="20">
      <c r="A20" s="150" t="inlineStr">
        <is>
          <t>1．年初未交数(多交数以“-”反映)</t>
        </is>
      </c>
      <c r="B20" s="709" t="n"/>
      <c r="C20" s="709" t="n"/>
      <c r="D20" s="711">
        <f>ROUND(B20-C20,2)</f>
        <v/>
      </c>
      <c r="E20" s="709" t="n"/>
    </row>
    <row r="21">
      <c r="A21" s="150" t="inlineStr">
        <is>
          <t>2．本期转入数(多交数以“-”反映)</t>
        </is>
      </c>
      <c r="B21" s="709" t="n"/>
      <c r="C21" s="709" t="n"/>
      <c r="D21" s="711">
        <f>ROUND(B21-C21,2)</f>
        <v/>
      </c>
      <c r="E21" s="709" t="n"/>
    </row>
    <row r="22">
      <c r="A22" s="150" t="inlineStr">
        <is>
          <t>3．本期已交数</t>
        </is>
      </c>
      <c r="B22" s="709" t="n"/>
      <c r="C22" s="709" t="n"/>
      <c r="D22" s="711">
        <f>ROUND(B22-C22,2)</f>
        <v/>
      </c>
      <c r="E22" s="709" t="n"/>
    </row>
    <row r="23">
      <c r="A23" s="157" t="inlineStr">
        <is>
          <t>4．期末未交数(多交数以“-”反映)</t>
        </is>
      </c>
      <c r="B23" s="711">
        <f>ROUND(B20+B21-B22,2)</f>
        <v/>
      </c>
      <c r="C23" s="711">
        <f>ROUND(C20+C21-C22,2)</f>
        <v/>
      </c>
      <c r="D23" s="711">
        <f>ROUND(D20+D21-D22,2)</f>
        <v/>
      </c>
      <c r="E23" s="711">
        <f>ROUND(E20+E21-E22,2)</f>
        <v/>
      </c>
    </row>
    <row r="24">
      <c r="A24" s="158" t="inlineStr">
        <is>
          <t>三、预交增值税</t>
        </is>
      </c>
      <c r="B24" s="713" t="inlineStr">
        <is>
          <t>——</t>
        </is>
      </c>
      <c r="C24" s="713" t="inlineStr">
        <is>
          <t>——</t>
        </is>
      </c>
      <c r="D24" s="713" t="inlineStr">
        <is>
          <t>——</t>
        </is>
      </c>
      <c r="E24" s="713" t="inlineStr">
        <is>
          <t>——</t>
        </is>
      </c>
    </row>
    <row r="25">
      <c r="A25" s="150" t="inlineStr">
        <is>
          <t>1．年初预交增值税余额</t>
        </is>
      </c>
      <c r="B25" s="709" t="n"/>
      <c r="C25" s="709" t="n"/>
      <c r="D25" s="711">
        <f>ROUND(B25-C25,2)</f>
        <v/>
      </c>
      <c r="E25" s="709" t="n"/>
    </row>
    <row r="26">
      <c r="A26" s="150" t="inlineStr">
        <is>
          <t>2．本期新增预交增值税</t>
        </is>
      </c>
      <c r="B26" s="709" t="n"/>
      <c r="C26" s="709" t="n"/>
      <c r="D26" s="711">
        <f>ROUND(B26-C26,2)</f>
        <v/>
      </c>
      <c r="E26" s="709" t="n"/>
    </row>
    <row r="27">
      <c r="A27" s="150" t="inlineStr">
        <is>
          <t>3．预交增值税本期转出</t>
        </is>
      </c>
      <c r="B27" s="709" t="n"/>
      <c r="C27" s="709" t="n"/>
      <c r="D27" s="711">
        <f>ROUND(B27-C27,2)</f>
        <v/>
      </c>
      <c r="E27" s="709" t="n"/>
    </row>
    <row r="28">
      <c r="A28" s="150" t="inlineStr">
        <is>
          <t>4．年末预交增值税余额</t>
        </is>
      </c>
      <c r="B28" s="711">
        <f>ROUND(B25+B26-B27,2)</f>
        <v/>
      </c>
      <c r="C28" s="711">
        <f>ROUND(C25+C26-C27,2)</f>
        <v/>
      </c>
      <c r="D28" s="711">
        <f>ROUND(D25+D26-D27,2)</f>
        <v/>
      </c>
      <c r="E28" s="711">
        <f>ROUND(E25+E26-E27,2)</f>
        <v/>
      </c>
    </row>
    <row r="29">
      <c r="A29" s="158" t="inlineStr">
        <is>
          <t>四、待抵扣进项税额</t>
        </is>
      </c>
      <c r="B29" s="713" t="inlineStr">
        <is>
          <t>——</t>
        </is>
      </c>
      <c r="C29" s="713" t="inlineStr">
        <is>
          <t>——</t>
        </is>
      </c>
      <c r="D29" s="713" t="inlineStr">
        <is>
          <t>——</t>
        </is>
      </c>
      <c r="E29" s="713" t="inlineStr">
        <is>
          <t>——</t>
        </is>
      </c>
    </row>
    <row r="30">
      <c r="A30" s="150" t="inlineStr">
        <is>
          <t>1．年初待抵扣进项税额余额</t>
        </is>
      </c>
      <c r="B30" s="709" t="n"/>
      <c r="C30" s="709" t="n"/>
      <c r="D30" s="711">
        <f>ROUND(B30-C30,2)</f>
        <v/>
      </c>
      <c r="E30" s="709" t="n"/>
    </row>
    <row r="31">
      <c r="A31" s="150" t="inlineStr">
        <is>
          <t>2．本期新增待抵扣进项税额</t>
        </is>
      </c>
      <c r="B31" s="709" t="n"/>
      <c r="C31" s="709" t="n"/>
      <c r="D31" s="711">
        <f>ROUND(B31-C31,2)</f>
        <v/>
      </c>
      <c r="E31" s="709" t="n"/>
    </row>
    <row r="32">
      <c r="A32" s="150" t="inlineStr">
        <is>
          <t>3．待抵扣进项税额本期转出</t>
        </is>
      </c>
      <c r="B32" s="709" t="n"/>
      <c r="C32" s="709" t="n"/>
      <c r="D32" s="711">
        <f>ROUND(B32-C32,2)</f>
        <v/>
      </c>
      <c r="E32" s="709" t="n"/>
    </row>
    <row r="33">
      <c r="A33" s="150" t="inlineStr">
        <is>
          <t>4．年末待抵扣进项税额余额</t>
        </is>
      </c>
      <c r="B33" s="711">
        <f>ROUND(B30+B31-B32,2)</f>
        <v/>
      </c>
      <c r="C33" s="711">
        <f>ROUND(C30+C31-C32,2)</f>
        <v/>
      </c>
      <c r="D33" s="711">
        <f>ROUND(D30+D31-D32,2)</f>
        <v/>
      </c>
      <c r="E33" s="711">
        <f>ROUND(E30+E31-E32,2)</f>
        <v/>
      </c>
    </row>
    <row r="34">
      <c r="A34" s="158" t="inlineStr">
        <is>
          <t>五、待认证进项税额</t>
        </is>
      </c>
      <c r="B34" s="713" t="inlineStr">
        <is>
          <t>——</t>
        </is>
      </c>
      <c r="C34" s="713" t="inlineStr">
        <is>
          <t>——</t>
        </is>
      </c>
      <c r="D34" s="713" t="inlineStr">
        <is>
          <t>——</t>
        </is>
      </c>
      <c r="E34" s="713" t="inlineStr">
        <is>
          <t>——</t>
        </is>
      </c>
    </row>
    <row r="35">
      <c r="A35" s="150" t="inlineStr">
        <is>
          <t>1．年初待认证进项税额余额</t>
        </is>
      </c>
      <c r="B35" s="709" t="n"/>
      <c r="C35" s="709" t="n"/>
      <c r="D35" s="711">
        <f>ROUND(B35-C35,2)</f>
        <v/>
      </c>
      <c r="E35" s="709" t="n"/>
    </row>
    <row r="36">
      <c r="A36" s="150" t="inlineStr">
        <is>
          <t>2．本期新增待认证进项税额</t>
        </is>
      </c>
      <c r="B36" s="709" t="n"/>
      <c r="C36" s="709" t="n"/>
      <c r="D36" s="711">
        <f>ROUND(B36-C36,2)</f>
        <v/>
      </c>
      <c r="E36" s="709" t="n"/>
    </row>
    <row r="37">
      <c r="A37" s="150" t="inlineStr">
        <is>
          <t>3．待认证进项税额本期抵扣转出</t>
        </is>
      </c>
      <c r="B37" s="709" t="n"/>
      <c r="C37" s="709" t="n"/>
      <c r="D37" s="711">
        <f>ROUND(B37-C37,2)</f>
        <v/>
      </c>
      <c r="E37" s="709" t="n"/>
    </row>
    <row r="38">
      <c r="A38" s="150" t="inlineStr">
        <is>
          <t>4．年末待认证进项税额余额</t>
        </is>
      </c>
      <c r="B38" s="711">
        <f>ROUND(B35+B36-B37,2)</f>
        <v/>
      </c>
      <c r="C38" s="711">
        <f>ROUND(C35+C36-C37,2)</f>
        <v/>
      </c>
      <c r="D38" s="711">
        <f>ROUND(D35+D36-D37,2)</f>
        <v/>
      </c>
      <c r="E38" s="711">
        <f>ROUND(E35+E36-E37,2)</f>
        <v/>
      </c>
    </row>
    <row r="39">
      <c r="A39" s="158" t="inlineStr">
        <is>
          <t>六、待转销项税额</t>
        </is>
      </c>
      <c r="B39" s="713" t="inlineStr">
        <is>
          <t>——</t>
        </is>
      </c>
      <c r="C39" s="713" t="inlineStr">
        <is>
          <t>——</t>
        </is>
      </c>
      <c r="D39" s="713" t="inlineStr">
        <is>
          <t>——</t>
        </is>
      </c>
      <c r="E39" s="713" t="inlineStr">
        <is>
          <t>——</t>
        </is>
      </c>
    </row>
    <row r="40">
      <c r="A40" s="150" t="inlineStr">
        <is>
          <t>1．年初待转销项税额余额</t>
        </is>
      </c>
      <c r="B40" s="709" t="n"/>
      <c r="C40" s="709" t="n"/>
      <c r="D40" s="711">
        <f>ROUND(B40-C40,2)</f>
        <v/>
      </c>
      <c r="E40" s="709" t="n"/>
    </row>
    <row r="41">
      <c r="A41" s="150" t="inlineStr">
        <is>
          <t>2．本期新增转销项税额</t>
        </is>
      </c>
      <c r="B41" s="709" t="n"/>
      <c r="C41" s="709" t="n"/>
      <c r="D41" s="711">
        <f>ROUND(B41-C41,2)</f>
        <v/>
      </c>
      <c r="E41" s="709" t="n"/>
    </row>
    <row r="42">
      <c r="A42" s="150" t="inlineStr">
        <is>
          <t>3．本期确认销项税额转出</t>
        </is>
      </c>
      <c r="B42" s="709" t="n"/>
      <c r="C42" s="709" t="n"/>
      <c r="D42" s="711">
        <f>ROUND(B42-C42,2)</f>
        <v/>
      </c>
      <c r="E42" s="709" t="n"/>
    </row>
    <row r="43">
      <c r="A43" s="150" t="inlineStr">
        <is>
          <t>4．年末待转销项税额余额</t>
        </is>
      </c>
      <c r="B43" s="711">
        <f>ROUND(B40+B41-B42,2)</f>
        <v/>
      </c>
      <c r="C43" s="711">
        <f>ROUND(C40+C41-C42,2)</f>
        <v/>
      </c>
      <c r="D43" s="711">
        <f>ROUND(D40+D41-D42,2)</f>
        <v/>
      </c>
      <c r="E43" s="711">
        <f>ROUND(E40+E41-E42,2)</f>
        <v/>
      </c>
    </row>
    <row r="44">
      <c r="A44" s="158" t="inlineStr">
        <is>
          <t>七、增值税留抵税额</t>
        </is>
      </c>
      <c r="B44" s="713" t="inlineStr">
        <is>
          <t>——</t>
        </is>
      </c>
      <c r="C44" s="713" t="inlineStr">
        <is>
          <t>——</t>
        </is>
      </c>
      <c r="D44" s="713" t="inlineStr">
        <is>
          <t>——</t>
        </is>
      </c>
      <c r="E44" s="713" t="inlineStr">
        <is>
          <t>——</t>
        </is>
      </c>
    </row>
    <row r="45">
      <c r="A45" s="150" t="inlineStr">
        <is>
          <t>1．年初待转销项税额余额</t>
        </is>
      </c>
      <c r="B45" s="709" t="n"/>
      <c r="C45" s="709" t="n"/>
      <c r="D45" s="711">
        <f>ROUND(B45-C45,2)</f>
        <v/>
      </c>
      <c r="E45" s="709" t="n"/>
    </row>
    <row r="46">
      <c r="A46" s="150" t="inlineStr">
        <is>
          <t>3．本期抵扣留抵税额转出</t>
        </is>
      </c>
      <c r="B46" s="709" t="n"/>
      <c r="C46" s="709" t="n"/>
      <c r="D46" s="711">
        <f>ROUND(B46-C46,2)</f>
        <v/>
      </c>
      <c r="E46" s="709" t="n"/>
    </row>
    <row r="47">
      <c r="A47" s="150" t="inlineStr">
        <is>
          <t>1．年末待转销项税额余额</t>
        </is>
      </c>
      <c r="B47" s="711">
        <f>ROUND(B45-B46,2)</f>
        <v/>
      </c>
      <c r="C47" s="711">
        <f>ROUND(C45-C46,2)</f>
        <v/>
      </c>
      <c r="D47" s="711">
        <f>ROUND(D45-D46,2)</f>
        <v/>
      </c>
      <c r="E47" s="711">
        <f>ROUND(E45-E46,2)</f>
        <v/>
      </c>
    </row>
    <row r="48">
      <c r="A48" s="158" t="inlineStr">
        <is>
          <t>八、简易计税</t>
        </is>
      </c>
      <c r="B48" s="713" t="inlineStr">
        <is>
          <t>——</t>
        </is>
      </c>
      <c r="C48" s="713" t="inlineStr">
        <is>
          <t>——</t>
        </is>
      </c>
      <c r="D48" s="713" t="inlineStr">
        <is>
          <t>——</t>
        </is>
      </c>
      <c r="E48" s="713" t="inlineStr">
        <is>
          <t>——</t>
        </is>
      </c>
    </row>
    <row r="49">
      <c r="A49" s="150" t="inlineStr">
        <is>
          <t>1．年初余额</t>
        </is>
      </c>
      <c r="B49" s="709" t="n"/>
      <c r="C49" s="709" t="n"/>
      <c r="D49" s="711">
        <f>ROUND(B49-C49,2)</f>
        <v/>
      </c>
      <c r="E49" s="709" t="n"/>
    </row>
    <row r="50">
      <c r="A50" s="150" t="inlineStr">
        <is>
          <t>2．本期计得增值税</t>
        </is>
      </c>
      <c r="B50" s="709" t="n"/>
      <c r="C50" s="709" t="n"/>
      <c r="D50" s="711">
        <f>ROUND(B50-C50,2)</f>
        <v/>
      </c>
      <c r="E50" s="709" t="n"/>
    </row>
    <row r="51">
      <c r="A51" s="150" t="inlineStr">
        <is>
          <t>3．本期扣减增值税</t>
        </is>
      </c>
      <c r="B51" s="709" t="n"/>
      <c r="C51" s="709" t="n"/>
      <c r="D51" s="711">
        <f>ROUND(B51-C51,2)</f>
        <v/>
      </c>
      <c r="E51" s="709" t="n"/>
    </row>
    <row r="52">
      <c r="A52" s="150" t="inlineStr">
        <is>
          <t>3．本期预缴(缴纳）增值税</t>
        </is>
      </c>
      <c r="B52" s="709" t="n"/>
      <c r="C52" s="709" t="n"/>
      <c r="D52" s="711">
        <f>ROUND(B52-C52,2)</f>
        <v/>
      </c>
      <c r="E52" s="709" t="n"/>
    </row>
    <row r="53">
      <c r="A53" s="150" t="inlineStr">
        <is>
          <t>4．年末余额</t>
        </is>
      </c>
      <c r="B53" s="711">
        <f>ROUND(B49+B50-B51-B52,2)</f>
        <v/>
      </c>
      <c r="C53" s="711">
        <f>ROUND(C49+C50-C51-C52,2)</f>
        <v/>
      </c>
      <c r="D53" s="711">
        <f>ROUND(D49+D50-D51-D52,2)</f>
        <v/>
      </c>
      <c r="E53" s="711">
        <f>ROUND(E49+E50-E51-E52,2)</f>
        <v/>
      </c>
    </row>
    <row r="54">
      <c r="A54" s="158" t="inlineStr">
        <is>
          <t>九、转让金融商品应交增值税</t>
        </is>
      </c>
      <c r="B54" s="713" t="inlineStr">
        <is>
          <t>——</t>
        </is>
      </c>
      <c r="C54" s="713" t="inlineStr">
        <is>
          <t>——</t>
        </is>
      </c>
      <c r="D54" s="713" t="inlineStr">
        <is>
          <t>——</t>
        </is>
      </c>
      <c r="E54" s="713" t="inlineStr">
        <is>
          <t>——</t>
        </is>
      </c>
    </row>
    <row r="55">
      <c r="A55" s="150" t="inlineStr">
        <is>
          <t>1．年初余额</t>
        </is>
      </c>
      <c r="B55" s="709" t="n"/>
      <c r="C55" s="709" t="n"/>
      <c r="D55" s="711">
        <f>ROUND(B55-C55,2)</f>
        <v/>
      </c>
      <c r="E55" s="709" t="n"/>
    </row>
    <row r="56">
      <c r="A56" s="150" t="inlineStr">
        <is>
          <t>2．本期计得增值税</t>
        </is>
      </c>
      <c r="B56" s="709" t="n"/>
      <c r="C56" s="709" t="n"/>
      <c r="D56" s="711">
        <f>ROUND(B56-C56,2)</f>
        <v/>
      </c>
      <c r="E56" s="709" t="n"/>
    </row>
    <row r="57">
      <c r="A57" s="150" t="inlineStr">
        <is>
          <t>3．本期预缴(缴纳）增值税</t>
        </is>
      </c>
      <c r="B57" s="709" t="n"/>
      <c r="C57" s="709" t="n"/>
      <c r="D57" s="711">
        <f>ROUND(B57-C57,2)</f>
        <v/>
      </c>
      <c r="E57" s="709" t="n"/>
    </row>
    <row r="58">
      <c r="A58" s="150" t="inlineStr">
        <is>
          <t>4．年末余额</t>
        </is>
      </c>
      <c r="B58" s="711">
        <f>ROUND(B55+B56-B57,2)</f>
        <v/>
      </c>
      <c r="C58" s="711">
        <f>ROUND(C55+C56-C57,2)</f>
        <v/>
      </c>
      <c r="D58" s="711">
        <f>ROUND(D55+D56-D57,2)</f>
        <v/>
      </c>
      <c r="E58" s="711">
        <f>ROUND(E55+E56-E57,2)</f>
        <v/>
      </c>
    </row>
    <row r="59">
      <c r="A59" s="158" t="inlineStr">
        <is>
          <t>十、代扣代交增值税</t>
        </is>
      </c>
      <c r="B59" s="709" t="n"/>
      <c r="C59" s="709" t="n"/>
      <c r="D59" s="709" t="n"/>
      <c r="E59" s="709" t="n"/>
    </row>
    <row r="61" ht="16" customHeight="1" s="559">
      <c r="A61" s="570" t="inlineStr">
        <is>
          <t>审计说明：</t>
        </is>
      </c>
    </row>
    <row r="62" ht="16" customHeight="1" s="559"/>
    <row r="63" ht="16" customHeight="1" s="559"/>
  </sheetData>
  <mergeCells count="1">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8"/>
  <sheetViews>
    <sheetView workbookViewId="0">
      <selection activeCell="L15" sqref="L15"/>
    </sheetView>
  </sheetViews>
  <sheetFormatPr baseColWidth="8" defaultColWidth="8.731481481481479" defaultRowHeight="14.4" outlineLevelRow="7"/>
  <cols>
    <col width="22.2685185185185" customWidth="1" style="559" min="2" max="2"/>
    <col width="13.8148148148148" customWidth="1" style="559" min="3" max="3"/>
    <col width="11.3611111111111" customWidth="1" style="559" min="4" max="4"/>
    <col width="11.6388888888889" customWidth="1" style="559" min="5" max="5"/>
    <col width="10.2685185185185" customWidth="1" style="559" min="10" max="10"/>
    <col width="9.731481481481479" customWidth="1" style="559" min="11" max="11"/>
    <col width="10.6388888888889" customWidth="1" style="559" min="12" max="12"/>
    <col width="11.4537037037037" customWidth="1" style="559" min="13" max="14"/>
    <col width="12.4537037037037" customWidth="1" style="559" min="15" max="15"/>
    <col width="13.7314814814815" customWidth="1" style="559" min="18" max="18"/>
    <col width="12.2685185185185" customWidth="1" style="559" min="19" max="19"/>
  </cols>
  <sheetData>
    <row r="1" ht="20.4" customHeight="1" s="559">
      <c r="A1" s="1" t="inlineStr">
        <is>
          <t>短期借款明细表</t>
        </is>
      </c>
    </row>
    <row r="2">
      <c r="A2" s="2">
        <f>备忘录!$A$1</f>
        <v/>
      </c>
      <c r="C2" s="3" t="n"/>
      <c r="D2" s="456" t="n"/>
      <c r="G2" s="456" t="inlineStr">
        <is>
          <t>编制人：刘喜琴</t>
        </is>
      </c>
      <c r="H2" s="3" t="n"/>
      <c r="M2" s="456">
        <f>备忘录!$C$2</f>
        <v/>
      </c>
    </row>
    <row r="3">
      <c r="A3" s="2">
        <f>备忘录!$A$2</f>
        <v/>
      </c>
      <c r="C3" s="3" t="n"/>
      <c r="D3" s="456" t="n"/>
      <c r="G3" s="456" t="inlineStr">
        <is>
          <t>复核人：赵玮</t>
        </is>
      </c>
      <c r="H3" s="3" t="n"/>
      <c r="M3" s="456">
        <f>备忘录!$C$3</f>
        <v/>
      </c>
    </row>
    <row r="4">
      <c r="A4" s="2" t="n"/>
      <c r="C4" s="119" t="inlineStr">
        <is>
          <t>本期起息日</t>
        </is>
      </c>
      <c r="D4" s="451" t="n">
        <v>45962</v>
      </c>
      <c r="E4" s="456" t="n"/>
      <c r="F4" s="3" t="n"/>
      <c r="H4" s="456" t="n"/>
    </row>
    <row r="5">
      <c r="A5" s="2" t="n"/>
      <c r="C5" s="119" t="inlineStr">
        <is>
          <t>本期计息截止日：</t>
        </is>
      </c>
      <c r="D5" s="451" t="n">
        <v>46325</v>
      </c>
      <c r="E5" s="456" t="n"/>
      <c r="F5" s="3" t="n"/>
      <c r="H5" s="456" t="n"/>
    </row>
    <row r="6" ht="21" customFormat="1" customHeight="1" s="456">
      <c r="A6" s="690" t="inlineStr">
        <is>
          <t>序号</t>
        </is>
      </c>
      <c r="B6" s="690" t="inlineStr">
        <is>
          <t>贷款银行
（按单笔借款填列）</t>
        </is>
      </c>
      <c r="C6" s="714" t="inlineStr">
        <is>
          <t>借款期限</t>
        </is>
      </c>
      <c r="D6" s="562" t="n"/>
      <c r="E6" s="562" t="n"/>
      <c r="F6" s="568" t="inlineStr">
        <is>
          <t>期初金额</t>
        </is>
      </c>
      <c r="G6" s="568" t="inlineStr">
        <is>
          <t>本期借方</t>
        </is>
      </c>
      <c r="H6" s="568" t="inlineStr">
        <is>
          <t>本期贷方</t>
        </is>
      </c>
      <c r="I6" s="568" t="inlineStr">
        <is>
          <t>期末金额</t>
        </is>
      </c>
      <c r="J6" s="715" t="inlineStr">
        <is>
          <t>利息测算</t>
        </is>
      </c>
      <c r="K6" s="562" t="n"/>
      <c r="L6" s="562" t="n"/>
      <c r="M6" s="562" t="n"/>
      <c r="N6" s="563" t="n"/>
      <c r="O6" s="690" t="inlineStr">
        <is>
          <t>借款合同编号</t>
        </is>
      </c>
      <c r="P6" s="690" t="inlineStr">
        <is>
          <t>借款条件</t>
        </is>
      </c>
      <c r="Q6" s="690" t="inlineStr">
        <is>
          <t>借款用途</t>
        </is>
      </c>
      <c r="R6" s="690" t="inlineStr">
        <is>
          <t>担保/抵押/质押合同编号</t>
        </is>
      </c>
      <c r="S6" s="690" t="inlineStr">
        <is>
          <t>合同信息是否与明细表信息相符</t>
        </is>
      </c>
    </row>
    <row r="7" ht="19" customFormat="1" customHeight="1" s="456">
      <c r="A7" s="560" t="n"/>
      <c r="B7" s="560" t="n"/>
      <c r="C7" s="690" t="inlineStr">
        <is>
          <t>借款日</t>
        </is>
      </c>
      <c r="D7" s="690" t="inlineStr">
        <is>
          <t>约定还款日</t>
        </is>
      </c>
      <c r="E7" s="716" t="inlineStr">
        <is>
          <t>贷款利率(%)</t>
        </is>
      </c>
      <c r="F7" s="560" t="n"/>
      <c r="G7" s="560" t="n"/>
      <c r="H7" s="560" t="n"/>
      <c r="I7" s="560" t="n"/>
      <c r="J7" s="715" t="inlineStr">
        <is>
          <t>起息日</t>
        </is>
      </c>
      <c r="K7" s="690" t="inlineStr">
        <is>
          <t>结算日</t>
        </is>
      </c>
      <c r="L7" s="690" t="inlineStr">
        <is>
          <t>本期应计利息</t>
        </is>
      </c>
      <c r="M7" s="690" t="inlineStr">
        <is>
          <t>本期实计利息</t>
        </is>
      </c>
      <c r="N7" s="690" t="inlineStr">
        <is>
          <t>差异</t>
        </is>
      </c>
      <c r="O7" s="560" t="n"/>
      <c r="P7" s="560" t="n"/>
      <c r="Q7" s="560" t="n"/>
      <c r="R7" s="560" t="n"/>
      <c r="S7" s="560" t="n"/>
    </row>
    <row r="8" ht="40" customHeight="1" s="559">
      <c r="A8" s="360" t="n">
        <v>1</v>
      </c>
      <c r="B8" s="131" t="n"/>
      <c r="C8" s="132" t="n"/>
      <c r="D8" s="132" t="n"/>
      <c r="E8" s="717" t="n"/>
      <c r="F8" s="261" t="n"/>
      <c r="G8" s="261" t="n"/>
      <c r="H8" s="582" t="n"/>
      <c r="I8" s="582" t="n"/>
      <c r="J8" s="135">
        <f>MAX($D$4,C8)</f>
        <v/>
      </c>
      <c r="K8" s="135">
        <f>IF($D$5&gt;D8,MIN($D$5,D8),$D$5)</f>
        <v/>
      </c>
      <c r="L8" s="718">
        <f>MAX(F8,I8,H8)*E8*(K8-J8+1)/365</f>
        <v/>
      </c>
      <c r="M8" s="566" t="n"/>
      <c r="N8" s="718">
        <f>M8-L8</f>
        <v/>
      </c>
      <c r="O8" s="300" t="n"/>
      <c r="P8" s="113" t="n"/>
      <c r="Q8" s="113" t="n"/>
      <c r="R8" s="540" t="n"/>
      <c r="S8" s="261" t="n"/>
    </row>
  </sheetData>
  <mergeCells count="14">
    <mergeCell ref="J6:N6"/>
    <mergeCell ref="A1:S1"/>
    <mergeCell ref="F6:F7"/>
    <mergeCell ref="H6:H7"/>
    <mergeCell ref="G6:G7"/>
    <mergeCell ref="I6:I7"/>
    <mergeCell ref="P6:P7"/>
    <mergeCell ref="R6:R7"/>
    <mergeCell ref="Q6:Q7"/>
    <mergeCell ref="O6:O7"/>
    <mergeCell ref="B6:B7"/>
    <mergeCell ref="A6:A7"/>
    <mergeCell ref="C6:E6"/>
    <mergeCell ref="S6:S7"/>
  </mergeCell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codeName="Sheet25">
    <outlinePr summaryBelow="1" summaryRight="1"/>
    <pageSetUpPr/>
  </sheetPr>
  <dimension ref="A1:H26"/>
  <sheetViews>
    <sheetView zoomScale="90" zoomScaleNormal="90" workbookViewId="0">
      <pane ySplit="5" topLeftCell="A6" activePane="bottomLeft" state="frozen"/>
      <selection activeCell="A1" sqref="A1"/>
      <selection pane="bottomLeft" activeCell="B7" sqref="B7:C9"/>
    </sheetView>
  </sheetViews>
  <sheetFormatPr baseColWidth="8" defaultColWidth="8.731481481481479" defaultRowHeight="14.4"/>
  <cols>
    <col width="38.1481481481481" customWidth="1" style="559" min="1" max="1"/>
    <col width="15.1481481481481" customWidth="1" style="559" min="2" max="2"/>
    <col width="25.6759259259259" customWidth="1" style="559" min="3" max="3"/>
    <col width="15.9537037037037" customWidth="1" style="559" min="4" max="4"/>
    <col width="13.2685185185185" customWidth="1" style="559" min="5" max="5"/>
    <col width="17.2685185185185" customWidth="1" style="559" min="6" max="6"/>
    <col width="13.2685185185185" customWidth="1" style="559" min="7" max="7"/>
    <col width="29.9074074074074" customWidth="1" style="559" min="8" max="8"/>
  </cols>
  <sheetData>
    <row r="1" ht="26" customHeight="1" s="559">
      <c r="A1" s="1" t="inlineStr">
        <is>
          <t>营业收入明细表</t>
        </is>
      </c>
    </row>
    <row r="2" ht="16" customHeight="1" s="559">
      <c r="A2" s="2">
        <f>备忘录!$A$1</f>
        <v/>
      </c>
      <c r="B2" s="2" t="n"/>
      <c r="C2" s="456" t="n"/>
      <c r="D2" s="456" t="inlineStr">
        <is>
          <t>编制人：刘喜琴</t>
        </is>
      </c>
      <c r="E2" s="456" t="n"/>
      <c r="F2" s="456">
        <f>备忘录!$C$2</f>
        <v/>
      </c>
    </row>
    <row r="3" ht="16" customHeight="1" s="559">
      <c r="A3" s="2">
        <f>备忘录!A3</f>
        <v/>
      </c>
      <c r="B3" s="2" t="n"/>
      <c r="C3" s="456" t="n"/>
      <c r="D3" s="456" t="inlineStr">
        <is>
          <t>复核人：赵玮</t>
        </is>
      </c>
      <c r="E3" s="456" t="n"/>
      <c r="F3" s="456">
        <f>备忘录!$C$3</f>
        <v/>
      </c>
    </row>
    <row r="4" ht="17" customHeight="1" s="559">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283" t="inlineStr">
        <is>
          <t>备注</t>
        </is>
      </c>
    </row>
    <row r="5" ht="17" customHeight="1" s="559">
      <c r="A5" s="560" t="n"/>
      <c r="B5" s="560" t="n"/>
      <c r="C5" s="560" t="n"/>
      <c r="D5" s="560" t="n"/>
      <c r="E5" s="560" t="n"/>
      <c r="F5" s="94" t="inlineStr">
        <is>
          <t>增减额</t>
        </is>
      </c>
      <c r="G5" s="94" t="inlineStr">
        <is>
          <t>变动率</t>
        </is>
      </c>
      <c r="H5" s="560" t="n"/>
    </row>
    <row r="6" ht="24" customHeight="1" s="559">
      <c r="A6" s="111" t="inlineStr">
        <is>
          <t>一、主营业务收入</t>
        </is>
      </c>
      <c r="B6" s="562" t="n"/>
      <c r="C6" s="562" t="n"/>
      <c r="D6" s="562" t="n"/>
      <c r="E6" s="562" t="n"/>
      <c r="F6" s="562" t="n"/>
      <c r="G6" s="563" t="n"/>
      <c r="H6" s="113" t="n"/>
    </row>
    <row r="7" ht="16" customHeight="1" s="559">
      <c r="A7" s="55" t="inlineStr">
        <is>
          <t>主营业务收入_销售收入_销售收入-6%</t>
        </is>
      </c>
      <c r="B7" s="55" t="inlineStr">
        <is>
          <t>商品大类:网娱</t>
        </is>
      </c>
      <c r="C7" s="101" t="inlineStr">
        <is>
          <t>平台:抖音+WPS网络会员专卖店</t>
        </is>
      </c>
      <c r="D7" s="102" t="n"/>
      <c r="E7" s="102" t="n"/>
      <c r="F7" s="103">
        <f>_wpsfn.ROUNDBANK(D7-E7,2)</f>
        <v/>
      </c>
      <c r="G7" s="104">
        <f>IF(E7=0,0,F7/E7)</f>
        <v/>
      </c>
      <c r="H7" s="113" t="n"/>
    </row>
    <row r="8" ht="16" customHeight="1" s="559">
      <c r="A8" s="55" t="inlineStr">
        <is>
          <t>主营业务收入_销售收入_销售收入-6%</t>
        </is>
      </c>
      <c r="B8" s="55" t="inlineStr">
        <is>
          <t>商品大类:网娱</t>
        </is>
      </c>
      <c r="C8" s="101" t="inlineStr">
        <is>
          <t>平台:福禄开放平台</t>
        </is>
      </c>
      <c r="D8" s="102" t="n"/>
      <c r="E8" s="102" t="n"/>
      <c r="F8" s="103">
        <f>_wpsfn.ROUNDBANK(D8-E8,2)</f>
        <v/>
      </c>
      <c r="G8" s="104">
        <f>IF(E8=0,0,F8/E8)</f>
        <v/>
      </c>
      <c r="H8" s="113" t="n"/>
    </row>
    <row r="9" ht="16" customHeight="1" s="559">
      <c r="A9" s="55" t="inlineStr">
        <is>
          <t>主营业务收入_销售收入_销售收入-6%</t>
        </is>
      </c>
      <c r="B9" s="55" t="inlineStr">
        <is>
          <t>商品大类:卡券</t>
        </is>
      </c>
      <c r="C9" s="101" t="inlineStr">
        <is>
          <t>平台:福禄开放平台</t>
        </is>
      </c>
      <c r="D9" s="102" t="n"/>
      <c r="E9" s="102" t="n"/>
      <c r="F9" s="103">
        <f>_wpsfn.ROUNDBANK(D9-E9,2)</f>
        <v/>
      </c>
      <c r="G9" s="104">
        <f>IF(E9=0,0,F9/E9)</f>
        <v/>
      </c>
      <c r="H9" s="113" t="n"/>
    </row>
    <row r="10" ht="16" customHeight="1" s="559">
      <c r="A10" s="55" t="inlineStr">
        <is>
          <t>主营业务收入_技术服务收入_佣金服务</t>
        </is>
      </c>
      <c r="B10" s="55" t="inlineStr">
        <is>
          <t>商品大类:网娱</t>
        </is>
      </c>
      <c r="C10" s="101" t="n"/>
      <c r="D10" s="102" t="n"/>
      <c r="E10" s="102" t="n"/>
      <c r="F10" s="103">
        <f>_wpsfn.ROUNDBANK(D10-E10,2)</f>
        <v/>
      </c>
      <c r="G10" s="104">
        <f>IF(E10=0,0,F10/E10)</f>
        <v/>
      </c>
      <c r="H10" s="105" t="n"/>
    </row>
    <row r="11" ht="16" customHeight="1" s="559">
      <c r="A11" s="55" t="inlineStr">
        <is>
          <t>主营业务收入_技术服务收入_平台服务</t>
        </is>
      </c>
      <c r="B11" s="55" t="inlineStr">
        <is>
          <t>商品大类:网娱</t>
        </is>
      </c>
      <c r="C11" s="101" t="n"/>
      <c r="D11" s="102" t="n"/>
      <c r="E11" s="102" t="n"/>
      <c r="F11" s="103">
        <f>_wpsfn.ROUNDBANK(D11-E11,2)</f>
        <v/>
      </c>
      <c r="G11" s="104">
        <f>IF(E11=0,0,F11/E11)</f>
        <v/>
      </c>
      <c r="H11" s="113" t="n"/>
    </row>
    <row r="12" ht="16" customHeight="1" s="559">
      <c r="A12" s="55" t="inlineStr">
        <is>
          <t>主营业务收入_技术服务收入_代运营服务</t>
        </is>
      </c>
      <c r="B12" s="55" t="inlineStr">
        <is>
          <t>商品大类:网娱</t>
        </is>
      </c>
      <c r="C12" s="101" t="n"/>
      <c r="D12" s="102" t="n"/>
      <c r="E12" s="102" t="n"/>
      <c r="F12" s="103">
        <f>_wpsfn.ROUNDBANK(D12-E12,2)</f>
        <v/>
      </c>
      <c r="G12" s="104">
        <f>IF(E12=0,0,F12/E12)</f>
        <v/>
      </c>
      <c r="H12" s="113" t="n"/>
    </row>
    <row r="13" ht="16" customHeight="1" s="559">
      <c r="A13" s="55" t="n"/>
      <c r="B13" s="55" t="n"/>
      <c r="C13" s="101" t="n"/>
      <c r="D13" s="102" t="n"/>
      <c r="E13" s="102" t="n"/>
      <c r="F13" s="103">
        <f>_wpsfn.ROUNDBANK(D13-E13,2)</f>
        <v/>
      </c>
      <c r="G13" s="104">
        <f>IF(E13=0,0,F13/E13)</f>
        <v/>
      </c>
      <c r="H13" s="113" t="n"/>
    </row>
    <row r="14" ht="16" customHeight="1" s="559">
      <c r="A14" s="55" t="n"/>
      <c r="B14" s="55" t="n"/>
      <c r="C14" s="101" t="n"/>
      <c r="D14" s="102" t="n"/>
      <c r="E14" s="102" t="n"/>
      <c r="F14" s="103">
        <f>_wpsfn.ROUNDBANK(D14-E14,2)</f>
        <v/>
      </c>
      <c r="G14" s="104">
        <f>IF(E14=0,0,F14/E14)</f>
        <v/>
      </c>
      <c r="H14" s="113" t="n"/>
    </row>
    <row r="15" ht="16" customHeight="1" s="559">
      <c r="A15" s="55" t="n"/>
      <c r="B15" s="55" t="n"/>
      <c r="C15" s="101" t="n"/>
      <c r="D15" s="102" t="n"/>
      <c r="E15" s="102" t="n"/>
      <c r="F15" s="103">
        <f>_wpsfn.ROUNDBANK(D15-E15,2)</f>
        <v/>
      </c>
      <c r="G15" s="104">
        <f>IF(E15=0,0,F15/E15)</f>
        <v/>
      </c>
      <c r="H15" s="113" t="n"/>
    </row>
    <row r="16" ht="16" customHeight="1" s="559">
      <c r="A16" s="55" t="n"/>
      <c r="B16" s="55" t="n"/>
      <c r="C16" s="101" t="n"/>
      <c r="D16" s="102" t="n"/>
      <c r="E16" s="102" t="n"/>
      <c r="F16" s="103">
        <f>_wpsfn.ROUNDBANK(D16-E16,2)</f>
        <v/>
      </c>
      <c r="G16" s="104">
        <f>IF(E16=0,0,F16/E16)</f>
        <v/>
      </c>
      <c r="H16" s="113" t="n"/>
    </row>
    <row r="17" ht="16" customHeight="1" s="559">
      <c r="A17" s="55" t="n"/>
      <c r="B17" s="55" t="n"/>
      <c r="C17" s="101" t="n"/>
      <c r="D17" s="102" t="n"/>
      <c r="E17" s="102" t="n"/>
      <c r="F17" s="103">
        <f>_wpsfn.ROUNDBANK(D17-E17,2)</f>
        <v/>
      </c>
      <c r="G17" s="104">
        <f>IF(E17=0,0,F17/E17)</f>
        <v/>
      </c>
      <c r="H17" s="113" t="n"/>
    </row>
    <row r="18" ht="16" customHeight="1" s="559">
      <c r="A18" s="55" t="n"/>
      <c r="B18" s="55" t="n"/>
      <c r="C18" s="101" t="n"/>
      <c r="D18" s="102" t="n"/>
      <c r="E18" s="102" t="n"/>
      <c r="F18" s="103">
        <f>_wpsfn.ROUNDBANK(D18-E18,2)</f>
        <v/>
      </c>
      <c r="G18" s="104">
        <f>IF(E18=0,0,F18/E18)</f>
        <v/>
      </c>
      <c r="H18" s="113" t="n"/>
    </row>
    <row r="19" ht="18" customFormat="1" customHeight="1" s="116">
      <c r="A19" s="106" t="inlineStr">
        <is>
          <t>小计</t>
        </is>
      </c>
      <c r="B19" s="106" t="n"/>
      <c r="C19" s="107" t="n"/>
      <c r="D19" s="108">
        <f>SUM(D7:D18)</f>
        <v/>
      </c>
      <c r="E19" s="108">
        <f>SUM(E7:E18)</f>
        <v/>
      </c>
      <c r="F19" s="108">
        <f>SUM(F7:F18)</f>
        <v/>
      </c>
      <c r="G19" s="109" t="n"/>
      <c r="H19" s="110" t="n"/>
    </row>
    <row r="20" ht="18" customHeight="1" s="559">
      <c r="A20" s="111" t="inlineStr">
        <is>
          <t>二、其他业务收入</t>
        </is>
      </c>
      <c r="B20" s="562" t="n"/>
      <c r="C20" s="562" t="n"/>
      <c r="D20" s="562" t="n"/>
      <c r="E20" s="562" t="n"/>
      <c r="F20" s="562" t="n"/>
      <c r="G20" s="563" t="n"/>
      <c r="H20" s="113" t="n"/>
    </row>
    <row r="21" ht="18" customFormat="1" customHeight="1" s="455">
      <c r="A21" s="55" t="inlineStr">
        <is>
          <t>其他</t>
        </is>
      </c>
      <c r="B21" s="55" t="n"/>
      <c r="C21" s="101" t="n"/>
      <c r="D21" s="101" t="n"/>
      <c r="E21" s="101" t="n"/>
      <c r="F21" s="103">
        <f>_wpsfn.ROUNDBANK(D21-E21,2)</f>
        <v/>
      </c>
      <c r="G21" s="104">
        <f>IF(E21=0,0,F21/E21)</f>
        <v/>
      </c>
      <c r="H21" s="113" t="n"/>
    </row>
    <row r="22" ht="18" customFormat="1" customHeight="1" s="455">
      <c r="A22" s="55" t="n"/>
      <c r="B22" s="55" t="n"/>
      <c r="C22" s="101" t="n"/>
      <c r="D22" s="101" t="n"/>
      <c r="E22" s="101" t="n"/>
      <c r="F22" s="103">
        <f>_wpsfn.ROUNDBANK(D22-E22,2)</f>
        <v/>
      </c>
      <c r="G22" s="104">
        <f>IF(E22=0,0,F22/E22)</f>
        <v/>
      </c>
      <c r="H22" s="113" t="n"/>
    </row>
    <row r="23" ht="18" customFormat="1" customHeight="1" s="455">
      <c r="A23" s="106" t="inlineStr">
        <is>
          <t>小计</t>
        </is>
      </c>
      <c r="B23" s="106" t="n"/>
      <c r="C23" s="107" t="n"/>
      <c r="D23" s="108">
        <f>SUM(D21:D22)</f>
        <v/>
      </c>
      <c r="E23" s="108">
        <f>SUM(E21:E22)</f>
        <v/>
      </c>
      <c r="F23" s="108">
        <f>SUM(F21:F22)</f>
        <v/>
      </c>
      <c r="G23" s="114" t="n"/>
      <c r="H23" s="113" t="n"/>
    </row>
    <row r="24" ht="18" customFormat="1" customHeight="1" s="116">
      <c r="A24" s="106" t="inlineStr">
        <is>
          <t>营业收入合计</t>
        </is>
      </c>
      <c r="B24" s="106" t="n"/>
      <c r="C24" s="107" t="n"/>
      <c r="D24" s="108">
        <f>D19+D23</f>
        <v/>
      </c>
      <c r="E24" s="108">
        <f>E19+E23</f>
        <v/>
      </c>
      <c r="F24" s="108">
        <f>F19+F23</f>
        <v/>
      </c>
      <c r="G24" s="109" t="n"/>
      <c r="H24" s="110" t="n"/>
    </row>
    <row r="26" ht="17" customHeight="1" s="559">
      <c r="A26" s="570" t="inlineStr">
        <is>
          <t>审计说明：</t>
        </is>
      </c>
      <c r="B26" s="570" t="n"/>
    </row>
    <row r="27" ht="17" customHeight="1" s="559"/>
    <row r="28" ht="17" customHeight="1" s="559"/>
  </sheetData>
  <autoFilter ref="A5:D24"/>
  <mergeCells count="10">
    <mergeCell ref="F4:G4"/>
    <mergeCell ref="B4:B5"/>
    <mergeCell ref="C4:C5"/>
    <mergeCell ref="A4:A5"/>
    <mergeCell ref="A6:G6"/>
    <mergeCell ref="D4:D5"/>
    <mergeCell ref="E4:E5"/>
    <mergeCell ref="H4:H5"/>
    <mergeCell ref="A20:G20"/>
    <mergeCell ref="A1:H1"/>
  </mergeCells>
  <pageMargins left="0.75" right="0.75" top="1" bottom="1" header="0.5" footer="0.5"/>
</worksheet>
</file>

<file path=xl/worksheets/sheet31.xml><?xml version="1.0" encoding="utf-8"?>
<worksheet xmlns="http://schemas.openxmlformats.org/spreadsheetml/2006/main">
  <sheetPr codeName="Sheet26">
    <outlinePr summaryBelow="1" summaryRight="1"/>
    <pageSetUpPr/>
  </sheetPr>
  <dimension ref="A1:H27"/>
  <sheetViews>
    <sheetView zoomScale="90" zoomScaleNormal="90" workbookViewId="0">
      <pane ySplit="5" topLeftCell="A6" activePane="bottomLeft" state="frozen"/>
      <selection activeCell="A1" sqref="A1"/>
      <selection pane="bottomLeft" activeCell="C13" sqref="C13:C15"/>
    </sheetView>
  </sheetViews>
  <sheetFormatPr baseColWidth="8" defaultColWidth="8.731481481481479" defaultRowHeight="14.4"/>
  <cols>
    <col width="23.6296296296296" customWidth="1" style="559" min="1" max="1"/>
    <col width="14.9444444444444" customWidth="1" style="559" min="2" max="3"/>
    <col width="13.9351851851852" customWidth="1" style="559" min="4" max="4"/>
    <col width="13.0925925925926" customWidth="1" style="559" min="5" max="5"/>
    <col width="14.2685185185185" customWidth="1" style="559" min="6" max="6"/>
    <col width="14.8425925925926" customWidth="1" style="559" min="7" max="7"/>
    <col width="37.7777777777778" customWidth="1" style="559" min="8" max="8"/>
  </cols>
  <sheetData>
    <row r="1" ht="28" customHeight="1" s="559">
      <c r="A1" s="1" t="inlineStr">
        <is>
          <t>营业成本明细表</t>
        </is>
      </c>
    </row>
    <row r="2">
      <c r="A2" s="2">
        <f>备忘录!$A$1</f>
        <v/>
      </c>
      <c r="B2" s="2" t="n"/>
      <c r="C2" s="456" t="n"/>
      <c r="D2" s="456" t="inlineStr">
        <is>
          <t>编制人：刘喜琴</t>
        </is>
      </c>
      <c r="E2" s="456" t="n"/>
      <c r="G2" s="456">
        <f>备忘录!$C$2</f>
        <v/>
      </c>
    </row>
    <row r="3">
      <c r="A3" s="2">
        <f>备忘录!A3</f>
        <v/>
      </c>
      <c r="B3" s="2" t="n"/>
      <c r="C3" s="456" t="n"/>
      <c r="D3" s="456" t="inlineStr">
        <is>
          <t>复核人：赵玮</t>
        </is>
      </c>
      <c r="E3" s="456" t="n"/>
      <c r="G3" s="456">
        <f>备忘录!$C$3</f>
        <v/>
      </c>
    </row>
    <row r="4" ht="18" customFormat="1" customHeight="1" s="455">
      <c r="A4" s="89" t="inlineStr">
        <is>
          <t>科目名称</t>
        </is>
      </c>
      <c r="B4" s="89" t="inlineStr">
        <is>
          <t>核算项目1</t>
        </is>
      </c>
      <c r="C4" s="89" t="inlineStr">
        <is>
          <t>核算项目2</t>
        </is>
      </c>
      <c r="D4" s="89" t="inlineStr">
        <is>
          <t>本期发生额</t>
        </is>
      </c>
      <c r="E4" s="89" t="inlineStr">
        <is>
          <t>上期发生额</t>
        </is>
      </c>
      <c r="F4" s="90" t="inlineStr">
        <is>
          <t>本期与上期的金额变化</t>
        </is>
      </c>
      <c r="G4" s="563" t="n"/>
      <c r="H4" s="113" t="inlineStr">
        <is>
          <t>备注</t>
        </is>
      </c>
    </row>
    <row r="5" customFormat="1" s="455">
      <c r="A5" s="560" t="n"/>
      <c r="B5" s="560" t="n"/>
      <c r="C5" s="560" t="n"/>
      <c r="D5" s="560" t="n"/>
      <c r="E5" s="560" t="n"/>
      <c r="F5" s="94" t="inlineStr">
        <is>
          <t>增减额</t>
        </is>
      </c>
      <c r="G5" s="94" t="inlineStr">
        <is>
          <t>变动率</t>
        </is>
      </c>
      <c r="H5" s="560" t="n"/>
    </row>
    <row r="6" ht="19" customHeight="1" s="559">
      <c r="A6" s="111" t="inlineStr">
        <is>
          <t>一、主营业务成本</t>
        </is>
      </c>
      <c r="B6" s="562" t="n"/>
      <c r="C6" s="562" t="n"/>
      <c r="D6" s="562" t="n"/>
      <c r="E6" s="562" t="n"/>
      <c r="F6" s="562" t="n"/>
      <c r="G6" s="563" t="n"/>
      <c r="H6" s="113" t="n"/>
    </row>
    <row r="7" ht="18" customHeight="1" s="559">
      <c r="A7" s="55" t="inlineStr">
        <is>
          <t>主营业务成本_销售成本_销售成本-6%</t>
        </is>
      </c>
      <c r="B7" s="55" t="inlineStr">
        <is>
          <t>商品大类:网娱</t>
        </is>
      </c>
      <c r="C7" s="101" t="inlineStr">
        <is>
          <t>平台:抖音+WPS网络会员专卖店</t>
        </is>
      </c>
      <c r="D7" s="102" t="n">
        <v>1971.42</v>
      </c>
      <c r="E7" s="102" t="n"/>
      <c r="F7" s="103">
        <f>_wpsfn.ROUNDBANK(D7-E7,2)</f>
        <v/>
      </c>
      <c r="G7" s="104">
        <f>IF(E7=0,0,F7/E7)</f>
        <v/>
      </c>
      <c r="H7" s="113" t="n"/>
    </row>
    <row r="8" ht="18" customHeight="1" s="559">
      <c r="A8" s="101" t="inlineStr">
        <is>
          <t>主营业务成本_销售成本_销售成本-6%</t>
        </is>
      </c>
      <c r="B8" s="55" t="inlineStr">
        <is>
          <t>商品大类:网娱</t>
        </is>
      </c>
      <c r="C8" s="101" t="inlineStr">
        <is>
          <t>平台:福禄开放平台</t>
        </is>
      </c>
      <c r="D8" s="102" t="n">
        <v>116868.97</v>
      </c>
      <c r="E8" s="102" t="n"/>
      <c r="F8" s="103">
        <f>_wpsfn.ROUNDBANK(D8-E8,2)</f>
        <v/>
      </c>
      <c r="G8" s="104">
        <f>IF(E8=0,0,F8/E8)</f>
        <v/>
      </c>
      <c r="H8" s="113" t="n"/>
    </row>
    <row r="9" ht="18" customHeight="1" s="559">
      <c r="A9" s="55" t="inlineStr">
        <is>
          <t>主营业务成本_销售成本_销售成本-6%</t>
        </is>
      </c>
      <c r="B9" s="55" t="inlineStr">
        <is>
          <t>商品大类:卡券</t>
        </is>
      </c>
      <c r="C9" s="101" t="inlineStr">
        <is>
          <t>平台:福禄开放平台</t>
        </is>
      </c>
      <c r="D9" s="102" t="n">
        <v>100381.97</v>
      </c>
      <c r="E9" s="102" t="n"/>
      <c r="F9" s="103">
        <f>_wpsfn.ROUNDBANK(D9-E9,2)</f>
        <v/>
      </c>
      <c r="G9" s="104">
        <f>IF(E9=0,0,F9/E9)</f>
        <v/>
      </c>
      <c r="H9" s="113" t="n"/>
    </row>
    <row r="10" ht="18" customHeight="1" s="559">
      <c r="A10" s="55" t="inlineStr">
        <is>
          <t>主营业务成本_工资性支出_员工工资</t>
        </is>
      </c>
      <c r="B10" s="55" t="n"/>
      <c r="C10" s="101" t="n"/>
      <c r="D10" s="102" t="n">
        <v>1261609.07</v>
      </c>
      <c r="E10" s="102" t="n"/>
      <c r="F10" s="103">
        <f>_wpsfn.ROUNDBANK(D10-E10,2)</f>
        <v/>
      </c>
      <c r="G10" s="104">
        <f>IF(E10=0,0,F10/E10)</f>
        <v/>
      </c>
      <c r="H10" s="105" t="n"/>
    </row>
    <row r="11" ht="18" customHeight="1" s="559">
      <c r="A11" s="55" t="inlineStr">
        <is>
          <t>主营业务成本_工资性支出_员工社保</t>
        </is>
      </c>
      <c r="B11" s="55" t="n"/>
      <c r="C11" s="101" t="n"/>
      <c r="D11" s="102" t="n">
        <v>121578.3</v>
      </c>
      <c r="E11" s="102" t="n"/>
      <c r="F11" s="103">
        <f>_wpsfn.ROUNDBANK(D11-E11,2)</f>
        <v/>
      </c>
      <c r="G11" s="104">
        <f>IF(E11=0,0,F11/E11)</f>
        <v/>
      </c>
      <c r="H11" s="113" t="n"/>
    </row>
    <row r="12" ht="18" customFormat="1" customHeight="1" s="455">
      <c r="A12" s="55" t="inlineStr">
        <is>
          <t>主营业务成本_工资性支出_员工公积金</t>
        </is>
      </c>
      <c r="B12" s="101" t="n"/>
      <c r="C12" s="101" t="n"/>
      <c r="D12" s="102" t="n">
        <v>17951.2</v>
      </c>
      <c r="E12" s="102" t="n"/>
      <c r="F12" s="103">
        <f>_wpsfn.ROUNDBANK(D12-E12,2)</f>
        <v/>
      </c>
      <c r="G12" s="104">
        <f>IF(E12=0,0,F12/E12)</f>
        <v/>
      </c>
      <c r="H12" s="113" t="n"/>
    </row>
    <row r="13" ht="18" customFormat="1" customHeight="1" s="455">
      <c r="A13" s="101" t="inlineStr">
        <is>
          <t>主营业务成本_技术服务成本 _代运营服务费</t>
        </is>
      </c>
      <c r="B13" s="55" t="inlineStr">
        <is>
          <t>商品大类:网娱</t>
        </is>
      </c>
      <c r="C13" s="101" t="n"/>
      <c r="D13" s="102" t="n">
        <v>15834138.93</v>
      </c>
      <c r="E13" s="102" t="n"/>
      <c r="F13" s="103">
        <f>_wpsfn.ROUNDBANK(D13-E13,2)</f>
        <v/>
      </c>
      <c r="G13" s="104">
        <f>IF(E13=0,0,F13/E13)</f>
        <v/>
      </c>
      <c r="H13" s="113" t="n"/>
    </row>
    <row r="14" ht="18" customFormat="1" customHeight="1" s="455">
      <c r="A14" s="101" t="inlineStr">
        <is>
          <t>主营业务成本_技术服务成本 _代运营服务费</t>
        </is>
      </c>
      <c r="B14" s="55" t="inlineStr">
        <is>
          <t>商品大类:卡券</t>
        </is>
      </c>
      <c r="C14" s="101" t="n"/>
      <c r="D14" s="102" t="n">
        <v>7288.49</v>
      </c>
      <c r="E14" s="102" t="n"/>
      <c r="F14" s="103">
        <f>_wpsfn.ROUNDBANK(D14-E14,2)</f>
        <v/>
      </c>
      <c r="G14" s="104">
        <f>IF(E14=0,0,F14/E14)</f>
        <v/>
      </c>
      <c r="H14" s="113" t="n"/>
    </row>
    <row r="15" ht="18" customFormat="1" customHeight="1" s="455">
      <c r="A15" s="55" t="inlineStr">
        <is>
          <t>主营业务成本_技术服务成本 _平台服务成本</t>
        </is>
      </c>
      <c r="B15" s="101" t="inlineStr">
        <is>
          <t>商品大类:网娱</t>
        </is>
      </c>
      <c r="C15" s="101" t="n"/>
      <c r="D15" s="102" t="n">
        <v>2598796.62</v>
      </c>
      <c r="E15" s="102" t="n"/>
      <c r="F15" s="103">
        <f>_wpsfn.ROUNDBANK(D15-E15,2)</f>
        <v/>
      </c>
      <c r="G15" s="104">
        <f>IF(E15=0,0,F15/E15)</f>
        <v/>
      </c>
      <c r="H15" s="113" t="n"/>
    </row>
    <row r="16" ht="18" customFormat="1" customHeight="1" s="455">
      <c r="A16" s="101" t="n"/>
      <c r="B16" s="101" t="n"/>
      <c r="C16" s="101" t="n"/>
      <c r="D16" s="102" t="n"/>
      <c r="E16" s="102" t="n"/>
      <c r="F16" s="103">
        <f>_wpsfn.ROUNDBANK(D16-E16,2)</f>
        <v/>
      </c>
      <c r="G16" s="104">
        <f>IF(E16=0,0,F16/E16)</f>
        <v/>
      </c>
      <c r="H16" s="113" t="n"/>
    </row>
    <row r="17" ht="18" customFormat="1" customHeight="1" s="455">
      <c r="A17" s="55" t="n"/>
      <c r="B17" s="101" t="n"/>
      <c r="C17" s="101" t="n"/>
      <c r="D17" s="102" t="n"/>
      <c r="E17" s="102" t="n"/>
      <c r="F17" s="103">
        <f>_wpsfn.ROUNDBANK(D17-E17,2)</f>
        <v/>
      </c>
      <c r="G17" s="104">
        <f>IF(E17=0,0,F17/E17)</f>
        <v/>
      </c>
      <c r="H17" s="113" t="n"/>
    </row>
    <row r="18" ht="18" customFormat="1" customHeight="1" s="455">
      <c r="A18" s="55" t="n"/>
      <c r="B18" s="55" t="n"/>
      <c r="C18" s="101" t="n"/>
      <c r="D18" s="102" t="n"/>
      <c r="E18" s="102" t="n"/>
      <c r="F18" s="103">
        <f>_wpsfn.ROUNDBANK(D18-E18,2)</f>
        <v/>
      </c>
      <c r="G18" s="104">
        <f>IF(E18=0,0,F18/E18)</f>
        <v/>
      </c>
      <c r="H18" s="113" t="n"/>
    </row>
    <row r="19" ht="16" customHeight="1" s="559">
      <c r="A19" s="106" t="inlineStr">
        <is>
          <t>小计</t>
        </is>
      </c>
      <c r="B19" s="106" t="n"/>
      <c r="C19" s="107" t="n"/>
      <c r="D19" s="108">
        <f>SUM(D7:D18)</f>
        <v/>
      </c>
      <c r="E19" s="108">
        <f>SUM(E7:E18)</f>
        <v/>
      </c>
      <c r="F19" s="108">
        <f>SUM(F6:F18)</f>
        <v/>
      </c>
      <c r="G19" s="109" t="n"/>
      <c r="H19" s="110" t="n"/>
    </row>
    <row r="20" ht="18" customHeight="1" s="559">
      <c r="A20" s="111" t="inlineStr">
        <is>
          <t>二、其他业务成本</t>
        </is>
      </c>
      <c r="B20" s="562" t="n"/>
      <c r="C20" s="562" t="n"/>
      <c r="D20" s="562" t="n"/>
      <c r="E20" s="562" t="n"/>
      <c r="F20" s="562" t="n"/>
      <c r="G20" s="563" t="n"/>
      <c r="H20" s="113" t="n"/>
    </row>
    <row r="21">
      <c r="A21" s="55" t="n"/>
      <c r="B21" s="55" t="n"/>
      <c r="C21" s="101" t="n"/>
      <c r="D21" s="101" t="n"/>
      <c r="E21" s="101" t="n"/>
      <c r="F21" s="103">
        <f>_wpsfn.ROUNDBANK(D21-E21,2)</f>
        <v/>
      </c>
      <c r="G21" s="104">
        <f>IF(E21=0,0,F21/E21)</f>
        <v/>
      </c>
      <c r="H21" s="113" t="n"/>
    </row>
    <row r="22">
      <c r="A22" s="55" t="n"/>
      <c r="B22" s="55" t="n"/>
      <c r="C22" s="101" t="n"/>
      <c r="D22" s="101" t="n"/>
      <c r="E22" s="101" t="n"/>
      <c r="F22" s="103">
        <f>_wpsfn.ROUNDBANK(D22-E22,2)</f>
        <v/>
      </c>
      <c r="G22" s="104">
        <f>IF(E22=0,0,F22/E22)</f>
        <v/>
      </c>
      <c r="H22" s="113" t="n"/>
    </row>
    <row r="23" ht="16" customHeight="1" s="559">
      <c r="A23" s="106" t="inlineStr">
        <is>
          <t>小计</t>
        </is>
      </c>
      <c r="B23" s="106" t="n"/>
      <c r="C23" s="107" t="n"/>
      <c r="D23" s="108">
        <f>SUM(D21:D22)</f>
        <v/>
      </c>
      <c r="E23" s="108">
        <f>SUM(E21:E22)</f>
        <v/>
      </c>
      <c r="F23" s="108">
        <f>SUM(F21:F22)</f>
        <v/>
      </c>
      <c r="G23" s="114" t="n"/>
      <c r="H23" s="113" t="n"/>
    </row>
    <row r="24" ht="16" customHeight="1" s="559">
      <c r="A24" s="115" t="inlineStr">
        <is>
          <t>营业成本合计</t>
        </is>
      </c>
      <c r="B24" s="115" t="n"/>
      <c r="C24" s="107" t="n"/>
      <c r="D24" s="108">
        <f>D19+D23</f>
        <v/>
      </c>
      <c r="E24" s="108">
        <f>E19+E23</f>
        <v/>
      </c>
      <c r="F24" s="108">
        <f>F19+F23</f>
        <v/>
      </c>
      <c r="G24" s="109" t="n"/>
      <c r="H24" s="110" t="n"/>
    </row>
    <row r="27" ht="19" customHeight="1" s="559">
      <c r="A27" s="570" t="inlineStr">
        <is>
          <t>审计说明：</t>
        </is>
      </c>
      <c r="B27" s="570" t="n"/>
    </row>
    <row r="28" ht="19" customHeight="1" s="559"/>
    <row r="29" ht="19" customHeight="1" s="559"/>
    <row r="30" ht="19" customHeight="1" s="559"/>
  </sheetData>
  <mergeCells count="10">
    <mergeCell ref="F4:G4"/>
    <mergeCell ref="A1:G1"/>
    <mergeCell ref="B4:B5"/>
    <mergeCell ref="C4:C5"/>
    <mergeCell ref="A4:A5"/>
    <mergeCell ref="A6:G6"/>
    <mergeCell ref="D4:D5"/>
    <mergeCell ref="E4:E5"/>
    <mergeCell ref="H4:H5"/>
    <mergeCell ref="A20:G20"/>
  </mergeCells>
  <pageMargins left="0.75" right="0.75" top="1" bottom="1" header="0.5" footer="0.5"/>
</worksheet>
</file>

<file path=xl/worksheets/sheet32.xml><?xml version="1.0" encoding="utf-8"?>
<worksheet xmlns="http://schemas.openxmlformats.org/spreadsheetml/2006/main">
  <sheetPr codeName="Sheet27">
    <outlinePr summaryBelow="1" summaryRight="1"/>
    <pageSetUpPr/>
  </sheetPr>
  <dimension ref="A1:T20"/>
  <sheetViews>
    <sheetView tabSelected="1" zoomScale="90" zoomScaleNormal="90" workbookViewId="0">
      <selection activeCell="H10" sqref="H10"/>
    </sheetView>
  </sheetViews>
  <sheetFormatPr baseColWidth="8" defaultColWidth="8.731481481481479" defaultRowHeight="14.4"/>
  <cols>
    <col width="10.2037037037037" customWidth="1" style="559" min="1" max="1"/>
    <col width="11.6203703703704" customWidth="1" style="559" min="2" max="2"/>
    <col width="12.4166666666667" customWidth="1" style="559" min="3" max="3"/>
    <col width="10.7314814814815" customWidth="1" style="559" min="4" max="4"/>
    <col width="9.361111111111111" customWidth="1" style="559" min="5" max="5"/>
    <col width="14.0925925925926" customWidth="1" style="559" min="6" max="6"/>
    <col width="13.2037037037037" customWidth="1" style="559" min="7" max="7"/>
    <col width="13.7037037037037" customWidth="1" style="559" min="8" max="8"/>
    <col width="11.9074074074074" customWidth="1" style="559" min="9" max="9"/>
    <col width="10.2962962962963" customWidth="1" style="559" min="11" max="11"/>
    <col width="12.3148148148148" customWidth="1" style="559" min="12" max="12"/>
    <col width="12.5185185185185" customWidth="1" style="559" min="13" max="13"/>
    <col width="10.6388888888889" customWidth="1" style="559" min="18" max="18"/>
    <col width="13.2314814814815" customWidth="1" style="559" min="20" max="20"/>
  </cols>
  <sheetData>
    <row r="1" ht="30" customHeight="1" s="559">
      <c r="A1" s="1" t="inlineStr">
        <is>
          <t>主营业务收入月度毛利率分析表</t>
        </is>
      </c>
    </row>
    <row r="2" ht="16" customFormat="1" customHeight="1" s="456">
      <c r="A2" s="2">
        <f>备忘录!$A$1</f>
        <v/>
      </c>
      <c r="I2" s="456" t="inlineStr">
        <is>
          <t>编制人：刘喜琴</t>
        </is>
      </c>
      <c r="P2" s="456">
        <f>备忘录!$C$2</f>
        <v/>
      </c>
    </row>
    <row r="3" ht="16" customFormat="1" customHeight="1" s="456">
      <c r="A3" s="2">
        <f>备忘录!A3</f>
        <v/>
      </c>
      <c r="I3" s="456" t="inlineStr">
        <is>
          <t>复核人：赵玮</t>
        </is>
      </c>
      <c r="P3" s="456">
        <f>备忘录!$C$3</f>
        <v/>
      </c>
    </row>
    <row r="4" ht="22" customHeight="1" s="559">
      <c r="A4" s="89" t="inlineStr">
        <is>
          <t>月份</t>
        </is>
      </c>
      <c r="B4" s="66" t="inlineStr">
        <is>
          <t>本期数</t>
        </is>
      </c>
      <c r="C4" s="562" t="n"/>
      <c r="D4" s="562" t="n"/>
      <c r="E4" s="562" t="n"/>
      <c r="F4" s="562" t="n"/>
      <c r="G4" s="66" t="inlineStr">
        <is>
          <t>上期数</t>
        </is>
      </c>
      <c r="H4" s="562" t="n"/>
      <c r="I4" s="562" t="n"/>
      <c r="J4" s="562" t="n"/>
      <c r="K4" s="562" t="n"/>
      <c r="L4" s="73" t="inlineStr">
        <is>
          <t>变动额</t>
        </is>
      </c>
      <c r="M4" s="562" t="n"/>
      <c r="N4" s="563" t="n"/>
      <c r="O4" s="73" t="inlineStr">
        <is>
          <t>变动率</t>
        </is>
      </c>
      <c r="P4" s="562" t="n"/>
      <c r="Q4" s="562" t="n"/>
      <c r="R4" s="562" t="n"/>
      <c r="S4" s="563" t="n"/>
      <c r="T4" s="71" t="inlineStr">
        <is>
          <t>备注</t>
        </is>
      </c>
    </row>
    <row r="5" ht="24" customHeight="1" s="559">
      <c r="A5" s="560" t="n"/>
      <c r="B5" s="72" t="inlineStr">
        <is>
          <t>主营业务收入</t>
        </is>
      </c>
      <c r="C5" s="72" t="inlineStr">
        <is>
          <t>主营业务成本</t>
        </is>
      </c>
      <c r="D5" s="73" t="inlineStr">
        <is>
          <t>月度销售收入占比</t>
        </is>
      </c>
      <c r="E5" s="72" t="inlineStr">
        <is>
          <t>毛利</t>
        </is>
      </c>
      <c r="F5" s="72" t="inlineStr">
        <is>
          <t>毛利率</t>
        </is>
      </c>
      <c r="G5" s="72" t="inlineStr">
        <is>
          <t>主营业务收入</t>
        </is>
      </c>
      <c r="H5" s="72" t="inlineStr">
        <is>
          <t>主营业务成本</t>
        </is>
      </c>
      <c r="I5" s="73" t="inlineStr">
        <is>
          <t>月度销售收入占比</t>
        </is>
      </c>
      <c r="J5" s="72" t="inlineStr">
        <is>
          <t>毛利</t>
        </is>
      </c>
      <c r="K5" s="72" t="inlineStr">
        <is>
          <t>毛利率</t>
        </is>
      </c>
      <c r="L5" s="74" t="inlineStr">
        <is>
          <t>主营业务收入</t>
        </is>
      </c>
      <c r="M5" s="71" t="inlineStr">
        <is>
          <t>主营业务成本</t>
        </is>
      </c>
      <c r="N5" s="71" t="inlineStr">
        <is>
          <t>毛利</t>
        </is>
      </c>
      <c r="O5" s="74" t="inlineStr">
        <is>
          <t>主营业务收入</t>
        </is>
      </c>
      <c r="P5" s="71" t="inlineStr">
        <is>
          <t>主营业务成本</t>
        </is>
      </c>
      <c r="Q5" s="71" t="inlineStr">
        <is>
          <t>毛利</t>
        </is>
      </c>
      <c r="R5" s="71" t="inlineStr">
        <is>
          <t>月度销售收入占比</t>
        </is>
      </c>
      <c r="S5" s="71" t="inlineStr">
        <is>
          <t>毛利率</t>
        </is>
      </c>
      <c r="T5" s="561" t="n"/>
    </row>
    <row r="6">
      <c r="A6" s="54" t="n">
        <v>1</v>
      </c>
      <c r="B6" s="719" t="n"/>
      <c r="C6" s="569" t="n"/>
      <c r="D6" s="78">
        <f>IF(B6=0,0,B6/$B$18)</f>
        <v/>
      </c>
      <c r="E6" s="680">
        <f>B6-C6</f>
        <v/>
      </c>
      <c r="F6" s="78">
        <f>IF(B6-C6=0,0,(B6-C6)/B6)</f>
        <v/>
      </c>
      <c r="G6" s="80" t="n"/>
      <c r="H6" s="80" t="n"/>
      <c r="I6" s="78">
        <f>IF(G6=0,0,G6/$G$18)</f>
        <v/>
      </c>
      <c r="J6" s="678">
        <f>G6-H6</f>
        <v/>
      </c>
      <c r="K6" s="78">
        <f>IF(G6-H6=0,0,(G6-H6)/G6)</f>
        <v/>
      </c>
      <c r="L6" s="669">
        <f>B6-G6</f>
        <v/>
      </c>
      <c r="M6" s="669">
        <f>C6-H6</f>
        <v/>
      </c>
      <c r="N6" s="669">
        <f>E6-J6</f>
        <v/>
      </c>
      <c r="O6" s="83">
        <f>IF(L6=0,0,L6/G6)</f>
        <v/>
      </c>
      <c r="P6" s="83">
        <f>IF(M6=0,0,M6/H6)</f>
        <v/>
      </c>
      <c r="Q6" s="83">
        <f>IF(N6=0,0,N6/J6)</f>
        <v/>
      </c>
      <c r="R6" s="78">
        <f>IF(D6-I6=0,0,(D6-I6)/I6)</f>
        <v/>
      </c>
      <c r="S6" s="78">
        <f>IF(F6-K6=0,0,(F6-K6)/K6)</f>
        <v/>
      </c>
      <c r="T6" s="80" t="n"/>
    </row>
    <row r="7">
      <c r="A7" s="54" t="n">
        <v>2</v>
      </c>
      <c r="B7" s="719" t="n"/>
      <c r="C7" s="569" t="n"/>
      <c r="D7" s="78">
        <f>IF(B7=0,0,B7/$B$18)</f>
        <v/>
      </c>
      <c r="E7" s="680">
        <f>B7-C7</f>
        <v/>
      </c>
      <c r="F7" s="78">
        <f>IF(B7-C7=0,0,(B7-C7)/B7)</f>
        <v/>
      </c>
      <c r="G7" s="80" t="n"/>
      <c r="H7" s="80" t="n"/>
      <c r="I7" s="78">
        <f>IF(G7=0,0,G7/$G$18)</f>
        <v/>
      </c>
      <c r="J7" s="678">
        <f>G7-H7</f>
        <v/>
      </c>
      <c r="K7" s="78">
        <f>IF(G7-H7=0,0,(G7-H7)/G7)</f>
        <v/>
      </c>
      <c r="L7" s="669">
        <f>B7-G7</f>
        <v/>
      </c>
      <c r="M7" s="669">
        <f>C7-H7</f>
        <v/>
      </c>
      <c r="N7" s="669">
        <f>E7-J7</f>
        <v/>
      </c>
      <c r="O7" s="83">
        <f>IF(L7=0,0,L7/G7)</f>
        <v/>
      </c>
      <c r="P7" s="83">
        <f>IF(M7=0,0,M7/H7)</f>
        <v/>
      </c>
      <c r="Q7" s="83">
        <f>IF(N7=0,0,N7/J7)</f>
        <v/>
      </c>
      <c r="R7" s="78">
        <f>IF(D7-I7=0,0,(D7-I7)/I7)</f>
        <v/>
      </c>
      <c r="S7" s="78">
        <f>IF(F7-K7=0,0,(F7-K7)/K7)</f>
        <v/>
      </c>
      <c r="T7" s="80" t="n"/>
    </row>
    <row r="8">
      <c r="A8" s="54" t="n">
        <v>3</v>
      </c>
      <c r="B8" s="719" t="n"/>
      <c r="C8" s="569" t="n"/>
      <c r="D8" s="78">
        <f>IF(B8=0,0,B8/$B$18)</f>
        <v/>
      </c>
      <c r="E8" s="680">
        <f>B8-C8</f>
        <v/>
      </c>
      <c r="F8" s="78">
        <f>IF(B8-C8=0,0,(B8-C8)/B8)</f>
        <v/>
      </c>
      <c r="G8" s="80" t="n"/>
      <c r="H8" s="80" t="n"/>
      <c r="I8" s="78">
        <f>IF(G8=0,0,G8/$G$18)</f>
        <v/>
      </c>
      <c r="J8" s="678">
        <f>G8-H8</f>
        <v/>
      </c>
      <c r="K8" s="78">
        <f>IF(G8-H8=0,0,(G8-H8)/G8)</f>
        <v/>
      </c>
      <c r="L8" s="669">
        <f>B8-G8</f>
        <v/>
      </c>
      <c r="M8" s="669">
        <f>C8-H8</f>
        <v/>
      </c>
      <c r="N8" s="669">
        <f>E8-J8</f>
        <v/>
      </c>
      <c r="O8" s="83">
        <f>IF(L8=0,0,L8/G8)</f>
        <v/>
      </c>
      <c r="P8" s="83">
        <f>IF(M8=0,0,M8/H8)</f>
        <v/>
      </c>
      <c r="Q8" s="83">
        <f>IF(N8=0,0,N8/J8)</f>
        <v/>
      </c>
      <c r="R8" s="78">
        <f>IF(D8-I8=0,0,(D8-I8)/I8)</f>
        <v/>
      </c>
      <c r="S8" s="78">
        <f>IF(F8-K8=0,0,(F8-K8)/K8)</f>
        <v/>
      </c>
      <c r="T8" s="80" t="n"/>
    </row>
    <row r="9">
      <c r="A9" s="54" t="n">
        <v>4</v>
      </c>
      <c r="B9" s="719" t="n"/>
      <c r="C9" s="569" t="n"/>
      <c r="D9" s="78">
        <f>IF(B9=0,0,B9/$B$18)</f>
        <v/>
      </c>
      <c r="E9" s="680">
        <f>B9-C9</f>
        <v/>
      </c>
      <c r="F9" s="78">
        <f>IF(B9-C9=0,0,(B9-C9)/B9)</f>
        <v/>
      </c>
      <c r="G9" s="80" t="n"/>
      <c r="H9" s="80" t="n"/>
      <c r="I9" s="78">
        <f>IF(G9=0,0,G9/$G$18)</f>
        <v/>
      </c>
      <c r="J9" s="678">
        <f>G9-H9</f>
        <v/>
      </c>
      <c r="K9" s="78">
        <f>IF(G9-H9=0,0,(G9-H9)/G9)</f>
        <v/>
      </c>
      <c r="L9" s="669">
        <f>B9-G9</f>
        <v/>
      </c>
      <c r="M9" s="669">
        <f>C9-H9</f>
        <v/>
      </c>
      <c r="N9" s="669">
        <f>E9-J9</f>
        <v/>
      </c>
      <c r="O9" s="83">
        <f>IF(L9=0,0,L9/G9)</f>
        <v/>
      </c>
      <c r="P9" s="83">
        <f>IF(M9=0,0,M9/H9)</f>
        <v/>
      </c>
      <c r="Q9" s="83">
        <f>IF(N9=0,0,N9/J9)</f>
        <v/>
      </c>
      <c r="R9" s="78">
        <f>IF(D9-I9=0,0,(D9-I9)/I9)</f>
        <v/>
      </c>
      <c r="S9" s="78">
        <f>IF(F9-K9=0,0,(F9-K9)/K9)</f>
        <v/>
      </c>
      <c r="T9" s="80" t="n"/>
    </row>
    <row r="10">
      <c r="A10" s="54" t="n">
        <v>5</v>
      </c>
      <c r="B10" s="719" t="n"/>
      <c r="C10" s="569" t="n"/>
      <c r="D10" s="78">
        <f>IF(B10=0,0,B10/$B$18)</f>
        <v/>
      </c>
      <c r="E10" s="680">
        <f>B10-C10</f>
        <v/>
      </c>
      <c r="F10" s="78">
        <f>IF(B10-C10=0,0,(B10-C10)/B10)</f>
        <v/>
      </c>
      <c r="G10" s="80" t="n"/>
      <c r="H10" s="80" t="n"/>
      <c r="I10" s="78">
        <f>IF(G10=0,0,G10/$G$18)</f>
        <v/>
      </c>
      <c r="J10" s="678">
        <f>G10-H10</f>
        <v/>
      </c>
      <c r="K10" s="78">
        <f>IF(G10-H10=0,0,(G10-H10)/G10)</f>
        <v/>
      </c>
      <c r="L10" s="669">
        <f>B10-G10</f>
        <v/>
      </c>
      <c r="M10" s="669">
        <f>C10-H10</f>
        <v/>
      </c>
      <c r="N10" s="669">
        <f>E10-J10</f>
        <v/>
      </c>
      <c r="O10" s="83">
        <f>IF(L10=0,0,L10/G10)</f>
        <v/>
      </c>
      <c r="P10" s="83">
        <f>IF(M10=0,0,M10/H10)</f>
        <v/>
      </c>
      <c r="Q10" s="83">
        <f>IF(N10=0,0,N10/J10)</f>
        <v/>
      </c>
      <c r="R10" s="78">
        <f>IF(D10-I10=0,0,(D10-I10)/I10)</f>
        <v/>
      </c>
      <c r="S10" s="78">
        <f>IF(F10-K10=0,0,(F10-K10)/K10)</f>
        <v/>
      </c>
      <c r="T10" s="80" t="n"/>
    </row>
    <row r="11">
      <c r="A11" s="54" t="n">
        <v>6</v>
      </c>
      <c r="B11" s="719" t="n"/>
      <c r="C11" s="569" t="n"/>
      <c r="D11" s="78">
        <f>IF(B11=0,0,B11/$B$18)</f>
        <v/>
      </c>
      <c r="E11" s="680">
        <f>B11-C11</f>
        <v/>
      </c>
      <c r="F11" s="78">
        <f>IF(B11-C11=0,0,(B11-C11)/B11)</f>
        <v/>
      </c>
      <c r="G11" s="80" t="n"/>
      <c r="H11" s="80" t="n"/>
      <c r="I11" s="78">
        <f>IF(G11=0,0,G11/$G$18)</f>
        <v/>
      </c>
      <c r="J11" s="678">
        <f>G11-H11</f>
        <v/>
      </c>
      <c r="K11" s="78">
        <f>IF(G11-H11=0,0,(G11-H11)/G11)</f>
        <v/>
      </c>
      <c r="L11" s="669">
        <f>B11-G11</f>
        <v/>
      </c>
      <c r="M11" s="669">
        <f>C11-H11</f>
        <v/>
      </c>
      <c r="N11" s="669">
        <f>E11-J11</f>
        <v/>
      </c>
      <c r="O11" s="83">
        <f>IF(L11=0,0,L11/G11)</f>
        <v/>
      </c>
      <c r="P11" s="83">
        <f>IF(M11=0,0,M11/H11)</f>
        <v/>
      </c>
      <c r="Q11" s="83">
        <f>IF(N11=0,0,N11/J11)</f>
        <v/>
      </c>
      <c r="R11" s="78">
        <f>IF(D11-I11=0,0,(D11-I11)/I11)</f>
        <v/>
      </c>
      <c r="S11" s="78">
        <f>IF(F11-K11=0,0,(F11-K11)/K11)</f>
        <v/>
      </c>
      <c r="T11" s="80" t="n"/>
    </row>
    <row r="12">
      <c r="A12" s="54" t="n">
        <v>7</v>
      </c>
      <c r="B12" s="719" t="n"/>
      <c r="C12" s="569" t="n"/>
      <c r="D12" s="78">
        <f>IF(B12=0,0,B12/$B$18)</f>
        <v/>
      </c>
      <c r="E12" s="680">
        <f>B12-C12</f>
        <v/>
      </c>
      <c r="F12" s="78">
        <f>IF(B12-C12=0,0,(B12-C12)/B12)</f>
        <v/>
      </c>
      <c r="G12" s="80" t="n"/>
      <c r="H12" s="80" t="n"/>
      <c r="I12" s="78">
        <f>IF(G12=0,0,G12/$G$18)</f>
        <v/>
      </c>
      <c r="J12" s="678">
        <f>G12-H12</f>
        <v/>
      </c>
      <c r="K12" s="78">
        <f>IF(G12-H12=0,0,(G12-H12)/G12)</f>
        <v/>
      </c>
      <c r="L12" s="669">
        <f>B12-G12</f>
        <v/>
      </c>
      <c r="M12" s="669">
        <f>C12-H12</f>
        <v/>
      </c>
      <c r="N12" s="669">
        <f>E12-J12</f>
        <v/>
      </c>
      <c r="O12" s="83">
        <f>IF(L12=0,0,L12/G12)</f>
        <v/>
      </c>
      <c r="P12" s="83">
        <f>IF(M12=0,0,M12/H12)</f>
        <v/>
      </c>
      <c r="Q12" s="83">
        <f>IF(N12=0,0,N12/J12)</f>
        <v/>
      </c>
      <c r="R12" s="78">
        <f>IF(D12-I12=0,0,(D12-I12)/I12)</f>
        <v/>
      </c>
      <c r="S12" s="78">
        <f>IF(F12-K12=0,0,(F12-K12)/K12)</f>
        <v/>
      </c>
      <c r="T12" s="80" t="n"/>
    </row>
    <row r="13">
      <c r="A13" s="54" t="n">
        <v>8</v>
      </c>
      <c r="B13" s="719" t="n"/>
      <c r="C13" s="569" t="n"/>
      <c r="D13" s="78">
        <f>IF(B13=0,0,B13/$B$18)</f>
        <v/>
      </c>
      <c r="E13" s="680">
        <f>B13-C13</f>
        <v/>
      </c>
      <c r="F13" s="78">
        <f>IF(B13-C13=0,0,(B13-C13)/B13)</f>
        <v/>
      </c>
      <c r="G13" s="80" t="n"/>
      <c r="H13" s="80" t="n"/>
      <c r="I13" s="78">
        <f>IF(G13=0,0,G13/$G$18)</f>
        <v/>
      </c>
      <c r="J13" s="678">
        <f>G13-H13</f>
        <v/>
      </c>
      <c r="K13" s="78">
        <f>IF(G13-H13=0,0,(G13-H13)/G13)</f>
        <v/>
      </c>
      <c r="L13" s="669">
        <f>B13-G13</f>
        <v/>
      </c>
      <c r="M13" s="669">
        <f>C13-H13</f>
        <v/>
      </c>
      <c r="N13" s="669">
        <f>E13-J13</f>
        <v/>
      </c>
      <c r="O13" s="83">
        <f>IF(L13=0,0,L13/G13)</f>
        <v/>
      </c>
      <c r="P13" s="83">
        <f>IF(M13=0,0,M13/H13)</f>
        <v/>
      </c>
      <c r="Q13" s="83">
        <f>IF(N13=0,0,N13/J13)</f>
        <v/>
      </c>
      <c r="R13" s="78">
        <f>IF(D13-I13=0,0,(D13-I13)/I13)</f>
        <v/>
      </c>
      <c r="S13" s="78">
        <f>IF(F13-K13=0,0,(F13-K13)/K13)</f>
        <v/>
      </c>
      <c r="T13" s="80" t="n"/>
    </row>
    <row r="14">
      <c r="A14" s="54" t="n">
        <v>9</v>
      </c>
      <c r="B14" s="719" t="n"/>
      <c r="C14" s="569" t="n"/>
      <c r="D14" s="78">
        <f>IF(B14=0,0,B14/$B$18)</f>
        <v/>
      </c>
      <c r="E14" s="680">
        <f>B14-C14</f>
        <v/>
      </c>
      <c r="F14" s="78">
        <f>IF(B14-C14=0,0,(B14-C14)/B14)</f>
        <v/>
      </c>
      <c r="G14" s="80" t="n"/>
      <c r="H14" s="80" t="n"/>
      <c r="I14" s="78">
        <f>IF(G14=0,0,G14/$G$18)</f>
        <v/>
      </c>
      <c r="J14" s="678">
        <f>G14-H14</f>
        <v/>
      </c>
      <c r="K14" s="78">
        <f>IF(G14-H14=0,0,(G14-H14)/G14)</f>
        <v/>
      </c>
      <c r="L14" s="669">
        <f>B14-G14</f>
        <v/>
      </c>
      <c r="M14" s="669">
        <f>C14-H14</f>
        <v/>
      </c>
      <c r="N14" s="669">
        <f>E14-J14</f>
        <v/>
      </c>
      <c r="O14" s="83">
        <f>IF(L14=0,0,L14/G14)</f>
        <v/>
      </c>
      <c r="P14" s="83">
        <f>IF(M14=0,0,M14/H14)</f>
        <v/>
      </c>
      <c r="Q14" s="83">
        <f>IF(N14=0,0,N14/J14)</f>
        <v/>
      </c>
      <c r="R14" s="78">
        <f>IF(D14-I14=0,0,(D14-I14)/I14)</f>
        <v/>
      </c>
      <c r="S14" s="78">
        <f>IF(F14-K14=0,0,(F14-K14)/K14)</f>
        <v/>
      </c>
      <c r="T14" s="80" t="n"/>
    </row>
    <row r="15">
      <c r="A15" s="54" t="n">
        <v>10</v>
      </c>
      <c r="B15" s="719" t="n"/>
      <c r="C15" s="569" t="n"/>
      <c r="D15" s="78">
        <f>IF(B15=0,0,B15/$B$18)</f>
        <v/>
      </c>
      <c r="E15" s="680">
        <f>B15-C15</f>
        <v/>
      </c>
      <c r="F15" s="78">
        <f>IF(B15-C15=0,0,(B15-C15)/B15)</f>
        <v/>
      </c>
      <c r="G15" s="80" t="n"/>
      <c r="H15" s="80" t="n"/>
      <c r="I15" s="78">
        <f>IF(G15=0,0,G15/$G$18)</f>
        <v/>
      </c>
      <c r="J15" s="678">
        <f>G15-H15</f>
        <v/>
      </c>
      <c r="K15" s="78">
        <f>IF(G15-H15=0,0,(G15-H15)/G15)</f>
        <v/>
      </c>
      <c r="L15" s="669">
        <f>B15-G15</f>
        <v/>
      </c>
      <c r="M15" s="669">
        <f>C15-H15</f>
        <v/>
      </c>
      <c r="N15" s="669">
        <f>E15-J15</f>
        <v/>
      </c>
      <c r="O15" s="83">
        <f>IF(L15=0,0,L15/G15)</f>
        <v/>
      </c>
      <c r="P15" s="83">
        <f>IF(M15=0,0,M15/H15)</f>
        <v/>
      </c>
      <c r="Q15" s="83">
        <f>IF(N15=0,0,N15/J15)</f>
        <v/>
      </c>
      <c r="R15" s="78">
        <f>IF(D15-I15=0,0,(D15-I15)/I15)</f>
        <v/>
      </c>
      <c r="S15" s="78">
        <f>IF(F15-K15=0,0,(F15-K15)/K15)</f>
        <v/>
      </c>
      <c r="T15" s="80" t="n"/>
    </row>
    <row r="16">
      <c r="A16" s="54" t="n">
        <v>11</v>
      </c>
      <c r="B16" s="719" t="n"/>
      <c r="C16" s="569" t="n"/>
      <c r="D16" s="78">
        <f>IF(B16=0,0,B16/$B$18)</f>
        <v/>
      </c>
      <c r="E16" s="680">
        <f>B16-C16</f>
        <v/>
      </c>
      <c r="F16" s="78">
        <f>IF(B16-C16=0,0,(B16-C16)/B16)</f>
        <v/>
      </c>
      <c r="G16" s="80" t="n"/>
      <c r="H16" s="80" t="n"/>
      <c r="I16" s="78">
        <f>IF(G16=0,0,G16/$G$18)</f>
        <v/>
      </c>
      <c r="J16" s="678">
        <f>G16-H16</f>
        <v/>
      </c>
      <c r="K16" s="78">
        <f>IF(G16-H16=0,0,(G16-H16)/G16)</f>
        <v/>
      </c>
      <c r="L16" s="669">
        <f>B16-G16</f>
        <v/>
      </c>
      <c r="M16" s="669">
        <f>C16-H16</f>
        <v/>
      </c>
      <c r="N16" s="669">
        <f>E16-J16</f>
        <v/>
      </c>
      <c r="O16" s="83">
        <f>IF(L16=0,0,L16/G16)</f>
        <v/>
      </c>
      <c r="P16" s="83">
        <f>IF(M16=0,0,M16/H16)</f>
        <v/>
      </c>
      <c r="Q16" s="83">
        <f>IF(N16=0,0,N16/J16)</f>
        <v/>
      </c>
      <c r="R16" s="78">
        <f>IF(D16-I16=0,0,(D16-I16)/I16)</f>
        <v/>
      </c>
      <c r="S16" s="78">
        <f>IF(F16-K16=0,0,(F16-K16)/K16)</f>
        <v/>
      </c>
      <c r="T16" s="80" t="n"/>
    </row>
    <row r="17">
      <c r="A17" s="54" t="n">
        <v>12</v>
      </c>
      <c r="B17" s="719" t="n"/>
      <c r="C17" s="719" t="n"/>
      <c r="D17" s="78">
        <f>IF(B17=0,0,B17/$B$18)</f>
        <v/>
      </c>
      <c r="E17" s="680">
        <f>B17-C17</f>
        <v/>
      </c>
      <c r="F17" s="78">
        <f>IF(B17-C17=0,0,(B17-C17)/B17)</f>
        <v/>
      </c>
      <c r="G17" s="80" t="n"/>
      <c r="H17" s="80" t="n"/>
      <c r="I17" s="78">
        <f>IF(G17=0,0,G17/$G$18)</f>
        <v/>
      </c>
      <c r="J17" s="678">
        <f>G17-H17</f>
        <v/>
      </c>
      <c r="K17" s="78">
        <f>IF(G17-H17=0,0,(G17-H17)/G17)</f>
        <v/>
      </c>
      <c r="L17" s="669">
        <f>B17-G17</f>
        <v/>
      </c>
      <c r="M17" s="669">
        <f>C17-H17</f>
        <v/>
      </c>
      <c r="N17" s="669">
        <f>E17-J17</f>
        <v/>
      </c>
      <c r="O17" s="83">
        <f>IF(L17=0,0,L17/G17)</f>
        <v/>
      </c>
      <c r="P17" s="83">
        <f>IF(M17=0,0,M17/H17)</f>
        <v/>
      </c>
      <c r="Q17" s="83">
        <f>IF(N17=0,0,N17/J17)</f>
        <v/>
      </c>
      <c r="R17" s="78">
        <f>IF(D17-I17=0,0,(D17-I17)/I17)</f>
        <v/>
      </c>
      <c r="S17" s="78">
        <f>IF(F17-K17=0,0,(F17-K17)/K17)</f>
        <v/>
      </c>
      <c r="T17" s="80" t="n"/>
    </row>
    <row r="18" ht="17" customHeight="1" s="559">
      <c r="A18" s="84" t="inlineStr">
        <is>
          <t>合计</t>
        </is>
      </c>
      <c r="B18" s="720">
        <f>SUM(B6:B17)</f>
        <v/>
      </c>
      <c r="C18" s="720">
        <f>SUM(C6:C17)</f>
        <v/>
      </c>
      <c r="D18" s="86" t="n"/>
      <c r="E18" s="720">
        <f>SUM(E6:E17)</f>
        <v/>
      </c>
      <c r="F18" s="87" t="n"/>
      <c r="G18" s="720">
        <f>SUM(G6:G17)</f>
        <v/>
      </c>
      <c r="H18" s="720">
        <f>SUM(H6:H17)</f>
        <v/>
      </c>
      <c r="I18" s="86" t="n"/>
      <c r="J18" s="720">
        <f>SUM(J6:J17)</f>
        <v/>
      </c>
      <c r="K18" s="87" t="n"/>
      <c r="L18" s="720">
        <f>SUM(L6:L17)</f>
        <v/>
      </c>
      <c r="M18" s="720">
        <f>SUM(M6:M17)</f>
        <v/>
      </c>
      <c r="N18" s="720">
        <f>SUM(N6:N17)</f>
        <v/>
      </c>
      <c r="O18" s="83">
        <f>IF(B18-G18=0,0,(B18-G18)/G18)</f>
        <v/>
      </c>
      <c r="P18" s="83">
        <f>IF(C18-H18=0,0,(C18-H18)/H18)</f>
        <v/>
      </c>
      <c r="Q18" s="83">
        <f>IF(C18-H18=0,0,(C18-H18)/H18)</f>
        <v/>
      </c>
      <c r="R18" s="88" t="n"/>
      <c r="S18" s="78">
        <f>IF(F18-K18=0,0,(F18-K18)/K18)</f>
        <v/>
      </c>
      <c r="T18" s="80" t="n"/>
    </row>
    <row r="20" ht="17" customHeight="1" s="559">
      <c r="B20" s="570" t="inlineStr">
        <is>
          <t>审计说明：</t>
        </is>
      </c>
    </row>
    <row r="21" ht="17" customHeight="1" s="559"/>
    <row r="22" ht="17" customHeight="1" s="559"/>
    <row r="23" ht="17" customHeight="1" s="559"/>
  </sheetData>
  <mergeCells count="7">
    <mergeCell ref="A1:T1"/>
    <mergeCell ref="B4:F4"/>
    <mergeCell ref="T4:T5"/>
    <mergeCell ref="A4:A5"/>
    <mergeCell ref="L4:N4"/>
    <mergeCell ref="O4:S4"/>
    <mergeCell ref="G4:K4"/>
  </mergeCells>
  <conditionalFormatting sqref="O6:S6">
    <cfRule type="cellIs" priority="8" operator="greaterThanOrEqual" dxfId="0">
      <formula>0.3</formula>
    </cfRule>
    <cfRule type="cellIs" priority="7" operator="lessThanOrEqual" dxfId="0">
      <formula>-0.3</formula>
    </cfRule>
  </conditionalFormatting>
  <conditionalFormatting sqref="Q18">
    <cfRule type="cellIs" priority="2" operator="greaterThanOrEqual" dxfId="0">
      <formula>0.3</formula>
    </cfRule>
    <cfRule type="cellIs" priority="1" operator="lessThanOrEqual" dxfId="0">
      <formula>-0.3</formula>
    </cfRule>
  </conditionalFormatting>
  <conditionalFormatting sqref="O7:S17">
    <cfRule type="cellIs" priority="6" operator="greaterThanOrEqual" dxfId="0">
      <formula>0.3</formula>
    </cfRule>
    <cfRule type="cellIs" priority="5" operator="lessThanOrEqual" dxfId="0">
      <formula>-0.3</formula>
    </cfRule>
  </conditionalFormatting>
  <conditionalFormatting sqref="O18:P18 S18">
    <cfRule type="cellIs" priority="4" operator="greaterThanOrEqual" dxfId="0">
      <formula>0.3</formula>
    </cfRule>
    <cfRule type="cellIs" priority="3" operator="lessThanOrEqual" dxfId="0">
      <formula>-0.3</formula>
    </cfRule>
  </conditionalFormatting>
  <pageMargins left="0.75" right="0.75" top="1" bottom="1" header="0.5" footer="0.5"/>
</worksheet>
</file>

<file path=xl/worksheets/sheet33.xml><?xml version="1.0" encoding="utf-8"?>
<worksheet xmlns="http://schemas.openxmlformats.org/spreadsheetml/2006/main">
  <sheetPr codeName="Sheet28">
    <outlinePr summaryBelow="1" summaryRight="1"/>
    <pageSetUpPr/>
  </sheetPr>
  <dimension ref="A1:I24"/>
  <sheetViews>
    <sheetView zoomScale="90" zoomScaleNormal="90" workbookViewId="0">
      <pane ySplit="5" topLeftCell="A6" activePane="bottomLeft" state="frozen"/>
      <selection activeCell="A1" sqref="A1"/>
      <selection pane="bottomLeft" activeCell="B15" sqref="B15"/>
    </sheetView>
  </sheetViews>
  <sheetFormatPr baseColWidth="8" defaultColWidth="8.731481481481479" defaultRowHeight="14.4"/>
  <cols>
    <col width="7" customWidth="1" style="559" min="1" max="1"/>
    <col width="27.6388888888889" customWidth="1" style="559" min="2" max="2"/>
    <col width="14.1851851851852" customWidth="1" style="559" min="3" max="3"/>
    <col width="13.5462962962963" customWidth="1" style="559" min="4" max="4"/>
    <col width="11.6388888888889" customWidth="1" style="559" min="5" max="5"/>
    <col width="11.4537037037037" customWidth="1" style="559" min="6" max="6"/>
    <col width="12.4537037037037" customWidth="1" style="559" min="7" max="7"/>
    <col width="20.1851851851852" customWidth="1" style="559" min="8" max="8"/>
  </cols>
  <sheetData>
    <row r="1" ht="20.4" customHeight="1" s="559">
      <c r="A1" s="1" t="inlineStr">
        <is>
          <t>销售费用明细表</t>
        </is>
      </c>
    </row>
    <row r="2">
      <c r="A2" s="2">
        <f>备忘录!$A$1</f>
        <v/>
      </c>
      <c r="B2" s="3" t="n"/>
      <c r="C2" s="3" t="n"/>
      <c r="D2" s="456" t="inlineStr">
        <is>
          <t>编制人：刘喜琴</t>
        </is>
      </c>
      <c r="F2" s="3" t="n"/>
      <c r="G2" s="456">
        <f>备忘录!$C$2</f>
        <v/>
      </c>
      <c r="I2" s="455" t="inlineStr">
        <is>
          <t>往来科目需要明细一点，填的时候标出重点查看费用</t>
        </is>
      </c>
    </row>
    <row r="3">
      <c r="A3" s="2">
        <f>备忘录!A3</f>
        <v/>
      </c>
      <c r="B3" s="3" t="n"/>
      <c r="C3" s="3" t="n"/>
      <c r="D3" s="456" t="inlineStr">
        <is>
          <t>复核人：赵玮</t>
        </is>
      </c>
      <c r="F3" s="3" t="n"/>
      <c r="G3" s="456">
        <f>备忘录!$C$3</f>
        <v/>
      </c>
    </row>
    <row r="4" customFormat="1" s="455">
      <c r="A4" s="89" t="inlineStr">
        <is>
          <t>序号</t>
        </is>
      </c>
      <c r="B4" s="89" t="inlineStr">
        <is>
          <t>科目名称</t>
        </is>
      </c>
      <c r="C4" s="89"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ht="15" customFormat="1" customHeight="1" s="455">
      <c r="A6" s="54" t="n">
        <v>1</v>
      </c>
      <c r="B6" s="62" t="inlineStr">
        <is>
          <t>销售费用_工资性支出</t>
        </is>
      </c>
      <c r="C6" s="17" t="n"/>
      <c r="D6" s="17" t="n"/>
      <c r="E6" s="721">
        <f>IF($C$22=0,0,C6/$C$22)</f>
        <v/>
      </c>
      <c r="F6" s="19">
        <f>ROUND(C6-D6,2)</f>
        <v/>
      </c>
      <c r="G6" s="20">
        <f>ROUND(F6/D6,2)</f>
        <v/>
      </c>
      <c r="H6" s="80" t="n"/>
    </row>
    <row r="7" ht="15" customFormat="1" customHeight="1" s="455">
      <c r="A7" s="54" t="n">
        <v>2</v>
      </c>
      <c r="B7" s="62" t="inlineStr">
        <is>
          <t>销售费用_营销费</t>
        </is>
      </c>
      <c r="C7" s="17" t="n"/>
      <c r="D7" s="17" t="n"/>
      <c r="E7" s="721">
        <f>IF($C$22=0,0,C7/$C$22)</f>
        <v/>
      </c>
      <c r="F7" s="19">
        <f>ROUND(C7-D7,2)</f>
        <v/>
      </c>
      <c r="G7" s="20">
        <f>ROUND(F7/D7,2)</f>
        <v/>
      </c>
      <c r="H7" s="80" t="n"/>
    </row>
    <row r="8" ht="15" customFormat="1" customHeight="1" s="455">
      <c r="A8" s="54" t="n">
        <v>3</v>
      </c>
      <c r="B8" s="62" t="inlineStr">
        <is>
          <t>销售费用_测试费</t>
        </is>
      </c>
      <c r="C8" s="17" t="n"/>
      <c r="D8" s="17" t="n"/>
      <c r="E8" s="721">
        <f>IF($C$22=0,0,C8/$C$22)</f>
        <v/>
      </c>
      <c r="F8" s="19">
        <f>ROUND(C8-D8,2)</f>
        <v/>
      </c>
      <c r="G8" s="20">
        <f>ROUND(F8/D8,2)</f>
        <v/>
      </c>
      <c r="H8" s="80" t="n"/>
    </row>
    <row r="9" ht="15" customFormat="1" customHeight="1" s="455">
      <c r="A9" s="54" t="n">
        <v>4</v>
      </c>
      <c r="B9" s="62" t="inlineStr">
        <is>
          <t>销售费用_办公费</t>
        </is>
      </c>
      <c r="C9" s="17" t="n"/>
      <c r="D9" s="17" t="n"/>
      <c r="E9" s="721">
        <f>IF($C$22=0,0,C9/$C$22)</f>
        <v/>
      </c>
      <c r="F9" s="19">
        <f>ROUND(C9-D9,2)</f>
        <v/>
      </c>
      <c r="G9" s="20">
        <f>ROUND(F9/D9,2)</f>
        <v/>
      </c>
      <c r="H9" s="80" t="n"/>
    </row>
    <row r="10" customFormat="1" s="455">
      <c r="A10" s="54" t="n">
        <v>5</v>
      </c>
      <c r="B10" s="62" t="inlineStr">
        <is>
          <t>销售费用_中介机构服务费</t>
        </is>
      </c>
      <c r="C10" s="17" t="n"/>
      <c r="D10" s="17" t="n"/>
      <c r="E10" s="721">
        <f>IF($C$22=0,0,C10/$C$22)</f>
        <v/>
      </c>
      <c r="F10" s="19">
        <f>ROUND(C10-D10,2)</f>
        <v/>
      </c>
      <c r="G10" s="20">
        <f>ROUND(F10/D10,2)</f>
        <v/>
      </c>
      <c r="H10" s="80" t="n"/>
    </row>
    <row r="11" customFormat="1" s="455">
      <c r="A11" s="54" t="n">
        <v>6</v>
      </c>
      <c r="B11" s="62" t="inlineStr">
        <is>
          <t>销售费用_设备折旧费</t>
        </is>
      </c>
      <c r="C11" s="17" t="n"/>
      <c r="D11" s="17" t="n"/>
      <c r="E11" s="721">
        <f>IF($C$22=0,0,C11/$C$22)</f>
        <v/>
      </c>
      <c r="F11" s="19">
        <f>ROUND(C11-D11,2)</f>
        <v/>
      </c>
      <c r="G11" s="20">
        <f>ROUND(F11/D11,2)</f>
        <v/>
      </c>
      <c r="H11" s="80" t="n"/>
    </row>
    <row r="12" customFormat="1" s="455">
      <c r="A12" s="54" t="n">
        <v>7</v>
      </c>
      <c r="B12" s="63" t="n"/>
      <c r="C12" s="17" t="n"/>
      <c r="D12" s="17" t="n"/>
      <c r="E12" s="721">
        <f>IF($C$22=0,0,C12/$C$22)</f>
        <v/>
      </c>
      <c r="F12" s="19">
        <f>ROUND(C12-D12,2)</f>
        <v/>
      </c>
      <c r="G12" s="20">
        <f>ROUND(F12/D12,2)</f>
        <v/>
      </c>
      <c r="H12" s="80" t="n"/>
    </row>
    <row r="13" customFormat="1" s="455">
      <c r="A13" s="54" t="n">
        <v>8</v>
      </c>
      <c r="B13" s="63" t="n"/>
      <c r="C13" s="17" t="n"/>
      <c r="D13" s="17" t="n"/>
      <c r="E13" s="721">
        <f>IF($C$22=0,0,C13/$C$22)</f>
        <v/>
      </c>
      <c r="F13" s="19">
        <f>ROUND(C13-D13,2)</f>
        <v/>
      </c>
      <c r="G13" s="20">
        <f>ROUND(F13/D13,2)</f>
        <v/>
      </c>
      <c r="H13" s="80" t="n"/>
    </row>
    <row r="14" customFormat="1" s="455">
      <c r="A14" s="54" t="n">
        <v>9</v>
      </c>
      <c r="B14" s="63" t="n"/>
      <c r="C14" s="17" t="n"/>
      <c r="D14" s="17" t="n"/>
      <c r="E14" s="721">
        <f>IF($C$22=0,0,C14/$C$22)</f>
        <v/>
      </c>
      <c r="F14" s="19">
        <f>ROUND(C14-D14,2)</f>
        <v/>
      </c>
      <c r="G14" s="20">
        <f>ROUND(F14/D14,2)</f>
        <v/>
      </c>
      <c r="H14" s="80" t="n"/>
    </row>
    <row r="15" customFormat="1" s="455">
      <c r="A15" s="54" t="n">
        <v>10</v>
      </c>
      <c r="B15" s="57" t="n"/>
      <c r="C15" s="17" t="n"/>
      <c r="D15" s="17" t="n"/>
      <c r="E15" s="721">
        <f>IF($C$22=0,0,C15/$C$22)</f>
        <v/>
      </c>
      <c r="F15" s="19">
        <f>ROUND(C15-D15,2)</f>
        <v/>
      </c>
      <c r="G15" s="20">
        <f>ROUND(F15/D15,2)</f>
        <v/>
      </c>
      <c r="H15" s="80" t="n"/>
    </row>
    <row r="16" customFormat="1" s="455">
      <c r="A16" s="54" t="n">
        <v>11</v>
      </c>
      <c r="B16" s="57" t="n"/>
      <c r="C16" s="17" t="n"/>
      <c r="D16" s="17" t="n"/>
      <c r="E16" s="721">
        <f>IF($C$22=0,0,C16/$C$22)</f>
        <v/>
      </c>
      <c r="F16" s="19">
        <f>ROUND(C16-D16,2)</f>
        <v/>
      </c>
      <c r="G16" s="20">
        <f>ROUND(F16/D16,2)</f>
        <v/>
      </c>
      <c r="H16" s="80" t="n"/>
    </row>
    <row r="17" customFormat="1" s="455">
      <c r="A17" s="54" t="n">
        <v>12</v>
      </c>
      <c r="B17" s="57" t="n"/>
      <c r="C17" s="17" t="n"/>
      <c r="D17" s="17" t="n"/>
      <c r="E17" s="721">
        <f>IF($C$22=0,0,C17/$C$22)</f>
        <v/>
      </c>
      <c r="F17" s="19">
        <f>ROUND(C17-D17,2)</f>
        <v/>
      </c>
      <c r="G17" s="20">
        <f>ROUND(F17/D17,2)</f>
        <v/>
      </c>
      <c r="H17" s="80" t="n"/>
    </row>
    <row r="18" customFormat="1" s="455">
      <c r="A18" s="54" t="n">
        <v>13</v>
      </c>
      <c r="B18" s="57" t="n"/>
      <c r="C18" s="17" t="n"/>
      <c r="D18" s="17" t="n"/>
      <c r="E18" s="721">
        <f>IF($C$22=0,0,C18/$C$22)</f>
        <v/>
      </c>
      <c r="F18" s="19">
        <f>ROUND(C18-D18,2)</f>
        <v/>
      </c>
      <c r="G18" s="20">
        <f>ROUND(F18/D18,2)</f>
        <v/>
      </c>
      <c r="H18" s="80" t="n"/>
    </row>
    <row r="19" customFormat="1" s="455">
      <c r="A19" s="54" t="n">
        <v>14</v>
      </c>
      <c r="B19" s="57" t="n"/>
      <c r="C19" s="17" t="n"/>
      <c r="D19" s="17" t="n"/>
      <c r="E19" s="721">
        <f>IF($C$22=0,0,C19/$C$22)</f>
        <v/>
      </c>
      <c r="F19" s="19">
        <f>ROUND(C19-D19,2)</f>
        <v/>
      </c>
      <c r="G19" s="20">
        <f>ROUND(F19/D19,2)</f>
        <v/>
      </c>
      <c r="H19" s="80" t="n"/>
    </row>
    <row r="20" customFormat="1" s="455">
      <c r="A20" s="54" t="n">
        <v>15</v>
      </c>
      <c r="B20" s="57" t="n"/>
      <c r="C20" s="17" t="n"/>
      <c r="D20" s="17" t="n"/>
      <c r="E20" s="721">
        <f>IF($C$22=0,0,C20/$C$22)</f>
        <v/>
      </c>
      <c r="F20" s="19">
        <f>ROUND(C20-D20,2)</f>
        <v/>
      </c>
      <c r="G20" s="20">
        <f>ROUND(F20/D20,2)</f>
        <v/>
      </c>
      <c r="H20" s="80" t="n"/>
    </row>
    <row r="21" customFormat="1" s="455">
      <c r="A21" s="54" t="n">
        <v>16</v>
      </c>
      <c r="B21" s="57" t="n"/>
      <c r="C21" s="17" t="n"/>
      <c r="D21" s="17" t="n"/>
      <c r="E21" s="721">
        <f>IF($C$22=0,0,C21/$C$22)</f>
        <v/>
      </c>
      <c r="F21" s="19">
        <f>ROUND(C21-D21,2)</f>
        <v/>
      </c>
      <c r="G21" s="20">
        <f>ROUND(F21/D21,2)</f>
        <v/>
      </c>
      <c r="H21" s="80" t="n"/>
    </row>
    <row r="22" ht="16" customFormat="1" customHeight="1" s="521">
      <c r="A22" s="23" t="inlineStr">
        <is>
          <t>合计</t>
        </is>
      </c>
      <c r="B22" s="58" t="n"/>
      <c r="C22" s="25">
        <f>SUM(C6:C21)</f>
        <v/>
      </c>
      <c r="D22" s="25">
        <f>SUM(D6:D21)</f>
        <v/>
      </c>
      <c r="E22" s="64" t="n"/>
      <c r="F22" s="26">
        <f>SUM(F6:F21)</f>
        <v/>
      </c>
      <c r="G22" s="65" t="n"/>
      <c r="H22" s="59" t="n"/>
    </row>
    <row r="24" ht="22" customHeight="1" s="559">
      <c r="B24" s="570" t="inlineStr">
        <is>
          <t>审计说明：</t>
        </is>
      </c>
    </row>
    <row r="25" ht="17" customHeight="1" s="559"/>
    <row r="26" ht="17" customHeight="1" s="559"/>
  </sheetData>
  <autoFilter ref="A5:C87"/>
  <mergeCells count="9">
    <mergeCell ref="B4:B5"/>
    <mergeCell ref="C4:C5"/>
    <mergeCell ref="A4:A5"/>
    <mergeCell ref="F4:F5"/>
    <mergeCell ref="D4:D5"/>
    <mergeCell ref="E4:E5"/>
    <mergeCell ref="G4:G5"/>
    <mergeCell ref="H4:H5"/>
    <mergeCell ref="A1:H1"/>
  </mergeCells>
  <conditionalFormatting sqref="E6">
    <cfRule type="cellIs" priority="8" operator="greaterThanOrEqual" dxfId="1" stopIfTrue="1">
      <formula>0.2</formula>
    </cfRule>
  </conditionalFormatting>
  <conditionalFormatting sqref="E16">
    <cfRule type="cellIs" priority="6" operator="greaterThanOrEqual" dxfId="1" stopIfTrue="1">
      <formula>0.2</formula>
    </cfRule>
  </conditionalFormatting>
  <conditionalFormatting sqref="E17">
    <cfRule type="cellIs" priority="5" operator="greaterThanOrEqual" dxfId="1" stopIfTrue="1">
      <formula>0.2</formula>
    </cfRule>
  </conditionalFormatting>
  <conditionalFormatting sqref="E18">
    <cfRule type="cellIs" priority="4" operator="greaterThanOrEqual" dxfId="1" stopIfTrue="1">
      <formula>0.2</formula>
    </cfRule>
  </conditionalFormatting>
  <conditionalFormatting sqref="E19">
    <cfRule type="cellIs" priority="3" operator="greaterThanOrEqual" dxfId="1" stopIfTrue="1">
      <formula>0.2</formula>
    </cfRule>
  </conditionalFormatting>
  <conditionalFormatting sqref="E20">
    <cfRule type="cellIs" priority="2" operator="greaterThanOrEqual" dxfId="1" stopIfTrue="1">
      <formula>0.2</formula>
    </cfRule>
  </conditionalFormatting>
  <conditionalFormatting sqref="E21">
    <cfRule type="cellIs" priority="1" operator="greaterThanOrEqual" dxfId="1" stopIfTrue="1">
      <formula>0.2</formula>
    </cfRule>
  </conditionalFormatting>
  <conditionalFormatting sqref="E7:E15">
    <cfRule type="cellIs" priority="7" operator="greaterThanOrEqual" dxfId="1" stopIfTrue="1">
      <formula>0.2</formula>
    </cfRule>
  </conditionalFormatting>
  <pageMargins left="0.75" right="0.75" top="1" bottom="1" header="0.5" footer="0.5"/>
</worksheet>
</file>

<file path=xl/worksheets/sheet34.xml><?xml version="1.0" encoding="utf-8"?>
<worksheet xmlns="http://schemas.openxmlformats.org/spreadsheetml/2006/main">
  <sheetPr codeName="Sheet29">
    <outlinePr summaryBelow="1" summaryRight="1"/>
    <pageSetUpPr/>
  </sheetPr>
  <dimension ref="A1:K25"/>
  <sheetViews>
    <sheetView zoomScale="90" zoomScaleNormal="90" workbookViewId="0">
      <pane ySplit="8" topLeftCell="A9" activePane="bottomLeft" state="frozen"/>
      <selection activeCell="A1" sqref="A1"/>
      <selection pane="bottomLeft" activeCell="A6" sqref="$A6:$XFD8"/>
    </sheetView>
  </sheetViews>
  <sheetFormatPr baseColWidth="8" defaultColWidth="8.731481481481479" defaultRowHeight="14.4"/>
  <cols>
    <col width="7.06481481481481" customWidth="1" style="559" min="1" max="1"/>
    <col width="16.3611111111111" customWidth="1" style="559" min="2" max="2"/>
    <col width="14.3425925925926" customWidth="1" style="559" min="3" max="3"/>
    <col width="15.0925925925926" customWidth="1" style="559" min="4" max="4"/>
    <col width="12.5462962962963" customWidth="1" style="559" min="5" max="5"/>
    <col width="13.6388888888889" customWidth="1" style="559" min="6" max="6"/>
    <col width="13.6851851851852" customWidth="1" style="559" min="7" max="7"/>
    <col width="13.037037037037" customWidth="1" style="559" min="8" max="8"/>
    <col width="12.9074074074074" customWidth="1" style="559" min="9" max="9"/>
    <col width="13.7314814814815" customWidth="1" style="559" min="10" max="10"/>
    <col width="21.9074074074074" customWidth="1" style="559" min="11" max="11"/>
  </cols>
  <sheetData>
    <row r="1" ht="23" customHeight="1" s="559">
      <c r="B1" s="1" t="inlineStr">
        <is>
          <t>销售费用占营业收入比率分析</t>
        </is>
      </c>
    </row>
    <row r="2">
      <c r="A2" s="2">
        <f>备忘录!$A$1</f>
        <v/>
      </c>
      <c r="C2" s="3" t="n"/>
      <c r="F2" s="3" t="inlineStr">
        <is>
          <t>编制人：刘喜琴</t>
        </is>
      </c>
      <c r="G2" s="3" t="n"/>
      <c r="H2" s="456" t="n"/>
      <c r="I2" s="456">
        <f>备忘录!$C$2</f>
        <v/>
      </c>
    </row>
    <row r="3">
      <c r="A3" s="2">
        <f>备忘录!A3</f>
        <v/>
      </c>
      <c r="C3" s="3" t="n"/>
      <c r="F3" s="3" t="inlineStr">
        <is>
          <t>复核人：赵玮</t>
        </is>
      </c>
      <c r="G3" s="3" t="n"/>
      <c r="H3" s="456" t="n"/>
      <c r="I3" s="456">
        <f>备忘录!$C$3</f>
        <v/>
      </c>
    </row>
    <row r="4" ht="17" customHeight="1" s="559">
      <c r="A4" s="482"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4"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6" t="n"/>
      <c r="B6" s="43" t="inlineStr">
        <is>
          <t>营业收入</t>
        </is>
      </c>
      <c r="C6" s="722">
        <f>营业收入!D24</f>
        <v/>
      </c>
      <c r="D6" s="43" t="n"/>
      <c r="E6" s="43" t="n"/>
      <c r="F6" s="722">
        <f>营业收入!E24</f>
        <v/>
      </c>
      <c r="G6" s="43" t="n"/>
      <c r="H6" s="43" t="n"/>
      <c r="I6" s="43" t="n"/>
      <c r="J6" s="43" t="n"/>
      <c r="K6" s="43" t="n"/>
    </row>
    <row r="7">
      <c r="A7" s="46" t="n"/>
      <c r="B7" s="43" t="inlineStr">
        <is>
          <t>主营业务收入</t>
        </is>
      </c>
      <c r="C7" s="722">
        <f>营业收入!D19</f>
        <v/>
      </c>
      <c r="D7" s="43" t="n"/>
      <c r="E7" s="43" t="n"/>
      <c r="F7" s="722">
        <f>营业收入!E19</f>
        <v/>
      </c>
      <c r="G7" s="43" t="n"/>
      <c r="H7" s="43" t="n"/>
      <c r="I7" s="43" t="n"/>
      <c r="J7" s="43" t="n"/>
      <c r="K7" s="43" t="n"/>
    </row>
    <row r="8">
      <c r="A8" s="46" t="n"/>
      <c r="B8" s="61" t="inlineStr">
        <is>
          <t>销售费用明细：</t>
        </is>
      </c>
      <c r="C8" s="723" t="n"/>
      <c r="D8" s="43" t="n"/>
      <c r="E8" s="43" t="n"/>
      <c r="F8" s="723" t="n"/>
      <c r="G8" s="43" t="n"/>
      <c r="H8" s="43" t="n"/>
      <c r="I8" s="43" t="n"/>
      <c r="J8" s="43" t="n"/>
      <c r="K8" s="43" t="n"/>
    </row>
    <row r="9">
      <c r="A9" s="46">
        <f>销售费用!A6</f>
        <v/>
      </c>
      <c r="B9" s="47">
        <f>销售费用!B6</f>
        <v/>
      </c>
      <c r="C9" s="724">
        <f>销售费用!C6</f>
        <v/>
      </c>
      <c r="D9" s="49">
        <f>IF($C$6=0,0,C9/$C$6)</f>
        <v/>
      </c>
      <c r="E9" s="49">
        <f>IF($C$7=0,0,C9/$C$7)</f>
        <v/>
      </c>
      <c r="F9" s="724">
        <f>销售费用!D6</f>
        <v/>
      </c>
      <c r="G9" s="49">
        <f>IF($F$6=0,0,F9/$F$6)</f>
        <v/>
      </c>
      <c r="H9" s="49">
        <f>IF($F$7=0,0,F9/$F$7)</f>
        <v/>
      </c>
      <c r="I9" s="49">
        <f>D9-G9</f>
        <v/>
      </c>
      <c r="J9" s="49">
        <f>E9-H9</f>
        <v/>
      </c>
      <c r="K9" s="261" t="n"/>
    </row>
    <row r="10">
      <c r="A10" s="46">
        <f>销售费用!A7</f>
        <v/>
      </c>
      <c r="B10" s="47">
        <f>销售费用!B7</f>
        <v/>
      </c>
      <c r="C10" s="724">
        <f>销售费用!C7</f>
        <v/>
      </c>
      <c r="D10" s="49">
        <f>IF($C$6=0,0,C10/$C$6)</f>
        <v/>
      </c>
      <c r="E10" s="49">
        <f>IF($C$7=0,0,C10/$C$7)</f>
        <v/>
      </c>
      <c r="F10" s="724">
        <f>销售费用!D7</f>
        <v/>
      </c>
      <c r="G10" s="49">
        <f>IF($F$6=0,0,F10/$F$6)</f>
        <v/>
      </c>
      <c r="H10" s="49">
        <f>IF($F$7=0,0,F10/$F$7)</f>
        <v/>
      </c>
      <c r="I10" s="49">
        <f>D10-G10</f>
        <v/>
      </c>
      <c r="J10" s="49">
        <f>E10-H10</f>
        <v/>
      </c>
      <c r="K10" s="261" t="n"/>
    </row>
    <row r="11">
      <c r="A11" s="46">
        <f>销售费用!A8</f>
        <v/>
      </c>
      <c r="B11" s="47">
        <f>销售费用!B8</f>
        <v/>
      </c>
      <c r="C11" s="724">
        <f>销售费用!C8</f>
        <v/>
      </c>
      <c r="D11" s="49">
        <f>IF($C$6=0,0,C11/$C$6)</f>
        <v/>
      </c>
      <c r="E11" s="49">
        <f>IF($C$7=0,0,C11/$C$7)</f>
        <v/>
      </c>
      <c r="F11" s="724">
        <f>销售费用!D8</f>
        <v/>
      </c>
      <c r="G11" s="49">
        <f>IF($F$6=0,0,F11/$F$6)</f>
        <v/>
      </c>
      <c r="H11" s="49">
        <f>IF($F$7=0,0,F11/$F$7)</f>
        <v/>
      </c>
      <c r="I11" s="49">
        <f>D11-G11</f>
        <v/>
      </c>
      <c r="J11" s="49">
        <f>E11-H11</f>
        <v/>
      </c>
      <c r="K11" s="261" t="n"/>
    </row>
    <row r="12">
      <c r="A12" s="46">
        <f>销售费用!A9</f>
        <v/>
      </c>
      <c r="B12" s="47">
        <f>销售费用!B9</f>
        <v/>
      </c>
      <c r="C12" s="724">
        <f>销售费用!C9</f>
        <v/>
      </c>
      <c r="D12" s="49">
        <f>IF($C$6=0,0,C12/$C$6)</f>
        <v/>
      </c>
      <c r="E12" s="49">
        <f>IF($C$7=0,0,C12/$C$7)</f>
        <v/>
      </c>
      <c r="F12" s="724">
        <f>销售费用!D9</f>
        <v/>
      </c>
      <c r="G12" s="49">
        <f>IF($F$6=0,0,F12/$F$6)</f>
        <v/>
      </c>
      <c r="H12" s="49">
        <f>IF($F$7=0,0,F12/$F$7)</f>
        <v/>
      </c>
      <c r="I12" s="49">
        <f>D12-G12</f>
        <v/>
      </c>
      <c r="J12" s="49">
        <f>E12-H12</f>
        <v/>
      </c>
      <c r="K12" s="261" t="n"/>
    </row>
    <row r="13">
      <c r="A13" s="46">
        <f>销售费用!A10</f>
        <v/>
      </c>
      <c r="B13" s="47">
        <f>销售费用!B10</f>
        <v/>
      </c>
      <c r="C13" s="724">
        <f>销售费用!C10</f>
        <v/>
      </c>
      <c r="D13" s="49">
        <f>IF($C$6=0,0,C13/$C$6)</f>
        <v/>
      </c>
      <c r="E13" s="49">
        <f>IF($C$7=0,0,C13/$C$7)</f>
        <v/>
      </c>
      <c r="F13" s="724">
        <f>销售费用!D10</f>
        <v/>
      </c>
      <c r="G13" s="49">
        <f>IF($F$6=0,0,F13/$F$6)</f>
        <v/>
      </c>
      <c r="H13" s="49">
        <f>IF($F$7=0,0,F13/$F$7)</f>
        <v/>
      </c>
      <c r="I13" s="49">
        <f>D13-G13</f>
        <v/>
      </c>
      <c r="J13" s="49">
        <f>E13-H13</f>
        <v/>
      </c>
      <c r="K13" s="261" t="n"/>
    </row>
    <row r="14">
      <c r="A14" s="46">
        <f>销售费用!A11</f>
        <v/>
      </c>
      <c r="B14" s="47">
        <f>销售费用!B11</f>
        <v/>
      </c>
      <c r="C14" s="724">
        <f>销售费用!C11</f>
        <v/>
      </c>
      <c r="D14" s="49">
        <f>IF($C$6=0,0,C14/$C$6)</f>
        <v/>
      </c>
      <c r="E14" s="49">
        <f>IF($C$7=0,0,C14/$C$7)</f>
        <v/>
      </c>
      <c r="F14" s="724">
        <f>销售费用!D11</f>
        <v/>
      </c>
      <c r="G14" s="49">
        <f>IF($F$6=0,0,F14/$F$6)</f>
        <v/>
      </c>
      <c r="H14" s="49">
        <f>IF($F$7=0,0,F14/$F$7)</f>
        <v/>
      </c>
      <c r="I14" s="49">
        <f>D14-G14</f>
        <v/>
      </c>
      <c r="J14" s="49">
        <f>E14-H14</f>
        <v/>
      </c>
      <c r="K14" s="261" t="n"/>
    </row>
    <row r="15">
      <c r="A15" s="46">
        <f>销售费用!A12</f>
        <v/>
      </c>
      <c r="B15" s="47">
        <f>销售费用!B12</f>
        <v/>
      </c>
      <c r="C15" s="724">
        <f>销售费用!C12</f>
        <v/>
      </c>
      <c r="D15" s="49">
        <f>IF($C$6=0,0,C15/$C$6)</f>
        <v/>
      </c>
      <c r="E15" s="49">
        <f>IF($C$7=0,0,C15/$C$7)</f>
        <v/>
      </c>
      <c r="F15" s="724">
        <f>销售费用!D12</f>
        <v/>
      </c>
      <c r="G15" s="49">
        <f>IF($F$6=0,0,F15/$F$6)</f>
        <v/>
      </c>
      <c r="H15" s="49">
        <f>IF($F$7=0,0,F15/$F$7)</f>
        <v/>
      </c>
      <c r="I15" s="49">
        <f>D15-G15</f>
        <v/>
      </c>
      <c r="J15" s="49">
        <f>E15-H15</f>
        <v/>
      </c>
      <c r="K15" s="261" t="n"/>
    </row>
    <row r="16">
      <c r="A16" s="46">
        <f>销售费用!A13</f>
        <v/>
      </c>
      <c r="B16" s="47">
        <f>销售费用!B13</f>
        <v/>
      </c>
      <c r="C16" s="724">
        <f>销售费用!C13</f>
        <v/>
      </c>
      <c r="D16" s="49">
        <f>IF($C$6=0,0,C16/$C$6)</f>
        <v/>
      </c>
      <c r="E16" s="49">
        <f>IF($C$7=0,0,C16/$C$7)</f>
        <v/>
      </c>
      <c r="F16" s="724">
        <f>销售费用!D13</f>
        <v/>
      </c>
      <c r="G16" s="49">
        <f>IF($F$6=0,0,F16/$F$6)</f>
        <v/>
      </c>
      <c r="H16" s="49">
        <f>IF($F$7=0,0,F16/$F$7)</f>
        <v/>
      </c>
      <c r="I16" s="49">
        <f>D16-G16</f>
        <v/>
      </c>
      <c r="J16" s="49">
        <f>E16-H16</f>
        <v/>
      </c>
      <c r="K16" s="261" t="n"/>
    </row>
    <row r="17">
      <c r="A17" s="46">
        <f>销售费用!A14</f>
        <v/>
      </c>
      <c r="B17" s="47">
        <f>销售费用!B14</f>
        <v/>
      </c>
      <c r="C17" s="724">
        <f>销售费用!C14</f>
        <v/>
      </c>
      <c r="D17" s="49">
        <f>IF($C$6=0,0,C17/$C$6)</f>
        <v/>
      </c>
      <c r="E17" s="49">
        <f>IF($C$7=0,0,C17/$C$7)</f>
        <v/>
      </c>
      <c r="F17" s="724">
        <f>销售费用!D14</f>
        <v/>
      </c>
      <c r="G17" s="49">
        <f>IF($F$6=0,0,F17/$F$6)</f>
        <v/>
      </c>
      <c r="H17" s="49">
        <f>IF($F$7=0,0,F17/$F$7)</f>
        <v/>
      </c>
      <c r="I17" s="49">
        <f>D17-G17</f>
        <v/>
      </c>
      <c r="J17" s="49">
        <f>E17-H17</f>
        <v/>
      </c>
      <c r="K17" s="261" t="n"/>
    </row>
    <row r="18">
      <c r="A18" s="46">
        <f>销售费用!A15</f>
        <v/>
      </c>
      <c r="B18" s="47">
        <f>销售费用!B15</f>
        <v/>
      </c>
      <c r="C18" s="724">
        <f>销售费用!C15</f>
        <v/>
      </c>
      <c r="D18" s="49">
        <f>IF($C$6=0,0,C18/$C$6)</f>
        <v/>
      </c>
      <c r="E18" s="49">
        <f>IF($C$7=0,0,C18/$C$7)</f>
        <v/>
      </c>
      <c r="F18" s="724">
        <f>销售费用!D15</f>
        <v/>
      </c>
      <c r="G18" s="49">
        <f>IF($F$6=0,0,F18/$F$6)</f>
        <v/>
      </c>
      <c r="H18" s="49">
        <f>IF($F$7=0,0,F18/$F$7)</f>
        <v/>
      </c>
      <c r="I18" s="49">
        <f>D18-G18</f>
        <v/>
      </c>
      <c r="J18" s="49">
        <f>E18-H18</f>
        <v/>
      </c>
      <c r="K18" s="261" t="n"/>
    </row>
    <row r="19">
      <c r="A19" s="46">
        <f>销售费用!A16</f>
        <v/>
      </c>
      <c r="B19" s="47">
        <f>销售费用!B16</f>
        <v/>
      </c>
      <c r="C19" s="724">
        <f>销售费用!C16</f>
        <v/>
      </c>
      <c r="D19" s="49">
        <f>IF($C$6=0,0,C19/$C$6)</f>
        <v/>
      </c>
      <c r="E19" s="49">
        <f>IF($C$7=0,0,C19/$C$7)</f>
        <v/>
      </c>
      <c r="F19" s="724">
        <f>销售费用!D16</f>
        <v/>
      </c>
      <c r="G19" s="49">
        <f>IF($F$6=0,0,F19/$F$6)</f>
        <v/>
      </c>
      <c r="H19" s="49">
        <f>IF($F$7=0,0,F19/$F$7)</f>
        <v/>
      </c>
      <c r="I19" s="49">
        <f>D19-G19</f>
        <v/>
      </c>
      <c r="J19" s="49">
        <f>E19-H19</f>
        <v/>
      </c>
      <c r="K19" s="261" t="n"/>
    </row>
    <row r="20">
      <c r="A20" s="46">
        <f>销售费用!A17</f>
        <v/>
      </c>
      <c r="B20" s="47">
        <f>销售费用!B17</f>
        <v/>
      </c>
      <c r="C20" s="724">
        <f>销售费用!C17</f>
        <v/>
      </c>
      <c r="D20" s="49">
        <f>IF($C$6=0,0,C20/$C$6)</f>
        <v/>
      </c>
      <c r="E20" s="49">
        <f>IF($C$7=0,0,C20/$C$7)</f>
        <v/>
      </c>
      <c r="F20" s="724">
        <f>销售费用!D17</f>
        <v/>
      </c>
      <c r="G20" s="49">
        <f>IF($F$6=0,0,F20/$F$6)</f>
        <v/>
      </c>
      <c r="H20" s="49">
        <f>IF($F$7=0,0,F20/$F$7)</f>
        <v/>
      </c>
      <c r="I20" s="49">
        <f>D20-G20</f>
        <v/>
      </c>
      <c r="J20" s="49">
        <f>E20-H20</f>
        <v/>
      </c>
      <c r="K20" s="261" t="n"/>
    </row>
    <row r="21">
      <c r="A21" s="46">
        <f>销售费用!A18</f>
        <v/>
      </c>
      <c r="B21" s="47">
        <f>销售费用!B18</f>
        <v/>
      </c>
      <c r="C21" s="724">
        <f>销售费用!C18</f>
        <v/>
      </c>
      <c r="D21" s="49">
        <f>IF($C$6=0,0,C21/$C$6)</f>
        <v/>
      </c>
      <c r="E21" s="49">
        <f>IF($C$7=0,0,C21/$C$7)</f>
        <v/>
      </c>
      <c r="F21" s="724">
        <f>销售费用!D18</f>
        <v/>
      </c>
      <c r="G21" s="49">
        <f>IF($F$6=0,0,F21/$F$6)</f>
        <v/>
      </c>
      <c r="H21" s="49">
        <f>IF($F$7=0,0,F21/$F$7)</f>
        <v/>
      </c>
      <c r="I21" s="49">
        <f>D21-G21</f>
        <v/>
      </c>
      <c r="J21" s="49">
        <f>E21-H21</f>
        <v/>
      </c>
      <c r="K21" s="261" t="n"/>
    </row>
    <row r="22">
      <c r="A22" s="46">
        <f>销售费用!A19</f>
        <v/>
      </c>
      <c r="B22" s="47">
        <f>销售费用!B19</f>
        <v/>
      </c>
      <c r="C22" s="724">
        <f>销售费用!C19</f>
        <v/>
      </c>
      <c r="D22" s="49">
        <f>IF($C$6=0,0,C22/$C$6)</f>
        <v/>
      </c>
      <c r="E22" s="49">
        <f>IF($C$7=0,0,C22/$C$7)</f>
        <v/>
      </c>
      <c r="F22" s="724">
        <f>销售费用!D19</f>
        <v/>
      </c>
      <c r="G22" s="49">
        <f>IF($F$6=0,0,F22/$F$6)</f>
        <v/>
      </c>
      <c r="H22" s="49">
        <f>IF($F$7=0,0,F22/$F$7)</f>
        <v/>
      </c>
      <c r="I22" s="49">
        <f>D22-G22</f>
        <v/>
      </c>
      <c r="J22" s="49">
        <f>E22-H22</f>
        <v/>
      </c>
      <c r="K22" s="261" t="n"/>
    </row>
    <row r="23">
      <c r="A23" s="46">
        <f>销售费用!A20</f>
        <v/>
      </c>
      <c r="B23" s="47">
        <f>销售费用!B20</f>
        <v/>
      </c>
      <c r="C23" s="724">
        <f>销售费用!C20</f>
        <v/>
      </c>
      <c r="D23" s="49">
        <f>IF($C$6=0,0,C23/$C$6)</f>
        <v/>
      </c>
      <c r="E23" s="49">
        <f>IF($C$7=0,0,C23/$C$7)</f>
        <v/>
      </c>
      <c r="F23" s="724">
        <f>销售费用!D20</f>
        <v/>
      </c>
      <c r="G23" s="49">
        <f>IF($F$6=0,0,F23/$F$6)</f>
        <v/>
      </c>
      <c r="H23" s="49">
        <f>IF($F$7=0,0,F23/$F$7)</f>
        <v/>
      </c>
      <c r="I23" s="49">
        <f>D23-G23</f>
        <v/>
      </c>
      <c r="J23" s="49">
        <f>E23-H23</f>
        <v/>
      </c>
      <c r="K23" s="261" t="n"/>
    </row>
    <row r="24">
      <c r="A24" s="46">
        <f>销售费用!A21</f>
        <v/>
      </c>
      <c r="B24" s="47">
        <f>销售费用!B21</f>
        <v/>
      </c>
      <c r="C24" s="724">
        <f>销售费用!C21</f>
        <v/>
      </c>
      <c r="D24" s="49">
        <f>IF($C$6=0,0,C24/$C$6)</f>
        <v/>
      </c>
      <c r="E24" s="49">
        <f>IF($C$7=0,0,C24/$C$7)</f>
        <v/>
      </c>
      <c r="F24" s="724">
        <f>销售费用!D21</f>
        <v/>
      </c>
      <c r="G24" s="49">
        <f>IF($F$6=0,0,F24/$F$6)</f>
        <v/>
      </c>
      <c r="H24" s="49">
        <f>IF($F$7=0,0,F24/$F$7)</f>
        <v/>
      </c>
      <c r="I24" s="49">
        <f>D24-G24</f>
        <v/>
      </c>
      <c r="J24" s="49">
        <f>E24-H24</f>
        <v/>
      </c>
      <c r="K24" s="261" t="n"/>
    </row>
    <row r="25">
      <c r="A25" s="37" t="inlineStr">
        <is>
          <t>合计</t>
        </is>
      </c>
      <c r="B25" s="563" t="n"/>
      <c r="C25" s="724">
        <f>SUM(C9:C24)</f>
        <v/>
      </c>
      <c r="D25" s="49">
        <f>IF($C$6=0,0,C25/$C$6)</f>
        <v/>
      </c>
      <c r="E25" s="49">
        <f>IF($C$7=0,0,C25/$C$7)</f>
        <v/>
      </c>
      <c r="F25" s="724">
        <f>SUM(F9:F24)</f>
        <v/>
      </c>
      <c r="G25" s="49">
        <f>IF($F$6=0,0,F25/$F$6)</f>
        <v/>
      </c>
      <c r="H25" s="49">
        <f>IF($F$7=0,0,F25/$F$7)</f>
        <v/>
      </c>
      <c r="I25" s="49">
        <f>D25-G25</f>
        <v/>
      </c>
      <c r="J25" s="49">
        <f>E25-H25</f>
        <v/>
      </c>
      <c r="K25" s="43" t="n"/>
    </row>
  </sheetData>
  <mergeCells count="9">
    <mergeCell ref="B1:K1"/>
    <mergeCell ref="B4:B5"/>
    <mergeCell ref="A25:B25"/>
    <mergeCell ref="A4:A5"/>
    <mergeCell ref="J4:J5"/>
    <mergeCell ref="I4:I5"/>
    <mergeCell ref="K4:K5"/>
    <mergeCell ref="C4:E4"/>
    <mergeCell ref="F4:H4"/>
  </mergeCells>
  <conditionalFormatting sqref="I9:J24">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5.xml><?xml version="1.0" encoding="utf-8"?>
<worksheet xmlns="http://schemas.openxmlformats.org/spreadsheetml/2006/main">
  <sheetPr codeName="Sheet30">
    <outlinePr summaryBelow="1" summaryRight="1"/>
    <pageSetUpPr/>
  </sheetPr>
  <dimension ref="A1:H23"/>
  <sheetViews>
    <sheetView workbookViewId="0">
      <pane ySplit="5" topLeftCell="A6" activePane="bottomLeft" state="frozen"/>
      <selection activeCell="A1" sqref="A1"/>
      <selection pane="bottomLeft" activeCell="B17" sqref="B17"/>
    </sheetView>
  </sheetViews>
  <sheetFormatPr baseColWidth="8" defaultColWidth="8.731481481481479" defaultRowHeight="14.4"/>
  <cols>
    <col width="7.4537037037037" customWidth="1" style="559" min="1" max="1"/>
    <col width="26" customWidth="1" style="559" min="2" max="2"/>
    <col width="14.4537037037037" customWidth="1" style="559" min="3" max="3"/>
    <col width="12.6388888888889" customWidth="1" style="559" min="4" max="4"/>
    <col width="10.9074074074074" customWidth="1" style="559" min="5" max="5"/>
    <col width="12.1851851851852" customWidth="1" style="53" min="6" max="6"/>
    <col width="12.5462962962963" customWidth="1" style="559" min="7" max="7"/>
    <col width="22.0925925925926" customWidth="1" style="559" min="8" max="8"/>
  </cols>
  <sheetData>
    <row r="1" ht="23" customHeight="1" s="559">
      <c r="A1" s="1" t="inlineStr">
        <is>
          <t>管理费用明细表</t>
        </is>
      </c>
    </row>
    <row r="2">
      <c r="A2" s="2">
        <f>备忘录!$A$1</f>
        <v/>
      </c>
      <c r="B2" s="3" t="n"/>
      <c r="C2" s="3" t="n"/>
      <c r="D2" s="3" t="inlineStr">
        <is>
          <t>编制人：刘喜琴</t>
        </is>
      </c>
      <c r="F2" s="3" t="n"/>
      <c r="G2" s="456">
        <f>备忘录!$C$2</f>
        <v/>
      </c>
    </row>
    <row r="3">
      <c r="A3" s="2">
        <f>备忘录!A3</f>
        <v/>
      </c>
      <c r="B3" s="3" t="n"/>
      <c r="C3" s="3" t="n"/>
      <c r="D3" s="3" t="inlineStr">
        <is>
          <t>复核人：赵玮</t>
        </is>
      </c>
      <c r="F3" s="3" t="n"/>
      <c r="G3" s="456">
        <f>备忘录!$C$3</f>
        <v/>
      </c>
    </row>
    <row r="4" customFormat="1" s="455">
      <c r="A4" s="5" t="inlineStr">
        <is>
          <t>序号</t>
        </is>
      </c>
      <c r="B4" s="89" t="inlineStr">
        <is>
          <t>科目名称</t>
        </is>
      </c>
      <c r="C4" s="10" t="inlineStr">
        <is>
          <t>本期发生额</t>
        </is>
      </c>
      <c r="D4" s="89" t="inlineStr">
        <is>
          <t>上期发生额</t>
        </is>
      </c>
      <c r="E4" s="89" t="inlineStr">
        <is>
          <t>结构比</t>
        </is>
      </c>
      <c r="F4" s="8" t="inlineStr">
        <is>
          <t>发生变动额</t>
        </is>
      </c>
      <c r="G4" s="8" t="inlineStr">
        <is>
          <t>发生额变动率</t>
        </is>
      </c>
      <c r="H4" s="9" t="inlineStr">
        <is>
          <t>变动原因分析及取得的支持性文件说明</t>
        </is>
      </c>
    </row>
    <row r="5" customFormat="1" s="455">
      <c r="A5" s="560" t="n"/>
      <c r="B5" s="560" t="n"/>
      <c r="C5" s="560" t="n"/>
      <c r="D5" s="560" t="n"/>
      <c r="E5" s="560" t="n"/>
      <c r="F5" s="672" t="n"/>
      <c r="G5" s="672" t="n"/>
      <c r="H5" s="672" t="n"/>
    </row>
    <row r="6" customFormat="1" s="455">
      <c r="A6" s="54" t="n">
        <v>1</v>
      </c>
      <c r="B6" s="55" t="inlineStr">
        <is>
          <t>管理费用_工资性支出</t>
        </is>
      </c>
      <c r="C6" s="17" t="n"/>
      <c r="D6" s="17" t="n"/>
      <c r="E6" s="721">
        <f>IF($C$21=0,0,C6/$C$21)</f>
        <v/>
      </c>
      <c r="F6" s="19">
        <f>ROUND(C6-D6,2)</f>
        <v/>
      </c>
      <c r="G6" s="20">
        <f>ROUND(F6/D6,2)</f>
        <v/>
      </c>
      <c r="H6" s="80" t="n"/>
    </row>
    <row r="7" customFormat="1" s="455">
      <c r="A7" s="54" t="n">
        <v>2</v>
      </c>
      <c r="B7" s="55" t="inlineStr">
        <is>
          <t>管理费用_房租物业费</t>
        </is>
      </c>
      <c r="C7" s="17" t="n"/>
      <c r="D7" s="17" t="n"/>
      <c r="E7" s="721">
        <f>IF($C$21=0,0,C7/$C$21)</f>
        <v/>
      </c>
      <c r="F7" s="19">
        <f>ROUND(C7-D7,2)</f>
        <v/>
      </c>
      <c r="G7" s="20">
        <f>ROUND(F7/D7,2)</f>
        <v/>
      </c>
      <c r="H7" s="80" t="n"/>
    </row>
    <row r="8" customFormat="1" s="455">
      <c r="A8" s="54" t="n">
        <v>3</v>
      </c>
      <c r="B8" s="55" t="inlineStr">
        <is>
          <t>管理费用_水电费</t>
        </is>
      </c>
      <c r="C8" s="17" t="n"/>
      <c r="D8" s="17" t="n"/>
      <c r="E8" s="721">
        <f>IF($C$21=0,0,C8/$C$21)</f>
        <v/>
      </c>
      <c r="F8" s="19">
        <f>ROUND(C8-D8,2)</f>
        <v/>
      </c>
      <c r="G8" s="20">
        <f>ROUND(F8/D8,2)</f>
        <v/>
      </c>
      <c r="H8" s="80" t="n"/>
    </row>
    <row r="9" customFormat="1" s="455">
      <c r="A9" s="54" t="n">
        <v>4</v>
      </c>
      <c r="B9" s="55" t="inlineStr">
        <is>
          <t>管理费用_办公费</t>
        </is>
      </c>
      <c r="C9" s="17" t="n"/>
      <c r="D9" s="17" t="n"/>
      <c r="E9" s="721">
        <f>IF($C$21=0,0,C9/$C$21)</f>
        <v/>
      </c>
      <c r="F9" s="19">
        <f>ROUND(C9-D9,2)</f>
        <v/>
      </c>
      <c r="G9" s="20">
        <f>ROUND(F9/D9,2)</f>
        <v/>
      </c>
      <c r="H9" s="80" t="n"/>
    </row>
    <row r="10" customFormat="1" s="455">
      <c r="A10" s="54" t="n">
        <v>5</v>
      </c>
      <c r="B10" s="55" t="inlineStr">
        <is>
          <t>管理费用_中介机构服务费</t>
        </is>
      </c>
      <c r="C10" s="17" t="n"/>
      <c r="D10" s="17" t="n"/>
      <c r="E10" s="721">
        <f>IF($C$21=0,0,C10/$C$21)</f>
        <v/>
      </c>
      <c r="F10" s="19">
        <f>ROUND(C10-D10,2)</f>
        <v/>
      </c>
      <c r="G10" s="20">
        <f>ROUND(F10/D10,2)</f>
        <v/>
      </c>
      <c r="H10" s="80" t="n"/>
    </row>
    <row r="11" customFormat="1" s="455">
      <c r="A11" s="54" t="n">
        <v>6</v>
      </c>
      <c r="B11" s="55" t="inlineStr">
        <is>
          <t>管理费用_设备折旧费</t>
        </is>
      </c>
      <c r="C11" s="17" t="n"/>
      <c r="D11" s="17" t="n"/>
      <c r="E11" s="721">
        <f>IF($C$21=0,0,C11/$C$21)</f>
        <v/>
      </c>
      <c r="F11" s="19">
        <f>ROUND(C11-D11,2)</f>
        <v/>
      </c>
      <c r="G11" s="20">
        <f>ROUND(F11/D11,2)</f>
        <v/>
      </c>
      <c r="H11" s="80" t="n"/>
    </row>
    <row r="12" customFormat="1" s="455">
      <c r="A12" s="54" t="n">
        <v>7</v>
      </c>
      <c r="B12" s="55" t="inlineStr">
        <is>
          <t>管理费用_软件摊销</t>
        </is>
      </c>
      <c r="C12" s="17" t="n"/>
      <c r="D12" s="17" t="n"/>
      <c r="E12" s="721">
        <f>IF($C$21=0,0,C12/$C$21)</f>
        <v/>
      </c>
      <c r="F12" s="19">
        <f>ROUND(C12-D12,2)</f>
        <v/>
      </c>
      <c r="G12" s="20">
        <f>ROUND(F12/D12,2)</f>
        <v/>
      </c>
      <c r="H12" s="80" t="n"/>
    </row>
    <row r="13" customFormat="1" s="455">
      <c r="A13" s="54" t="n">
        <v>8</v>
      </c>
      <c r="B13" s="55" t="inlineStr">
        <is>
          <t>管理费用_研发费</t>
        </is>
      </c>
      <c r="C13" s="17" t="n"/>
      <c r="D13" s="17" t="n"/>
      <c r="E13" s="721">
        <f>IF($C$21=0,0,C13/$C$21)</f>
        <v/>
      </c>
      <c r="F13" s="19">
        <f>ROUND(C13-D13,2)</f>
        <v/>
      </c>
      <c r="G13" s="20">
        <f>ROUND(F13/D13,2)</f>
        <v/>
      </c>
      <c r="H13" s="80" t="n"/>
    </row>
    <row r="14" customFormat="1" s="455">
      <c r="A14" s="54" t="n">
        <v>9</v>
      </c>
      <c r="B14" s="55" t="inlineStr">
        <is>
          <t>管理费用_劳务派遣服务费</t>
        </is>
      </c>
      <c r="C14" s="17" t="n"/>
      <c r="D14" s="17" t="n"/>
      <c r="E14" s="721">
        <f>IF($C$21=0,0,C14/$C$21)</f>
        <v/>
      </c>
      <c r="F14" s="19">
        <f>ROUND(C14-D14,2)</f>
        <v/>
      </c>
      <c r="G14" s="20">
        <f>ROUND(F14/D14,2)</f>
        <v/>
      </c>
      <c r="H14" s="80" t="n"/>
    </row>
    <row r="15" customFormat="1" s="455">
      <c r="A15" s="54" t="n">
        <v>10</v>
      </c>
      <c r="B15" s="55" t="inlineStr">
        <is>
          <t>管理费用_软件服务费</t>
        </is>
      </c>
      <c r="C15" s="17" t="n"/>
      <c r="D15" s="17" t="n"/>
      <c r="E15" s="721">
        <f>IF($C$21=0,0,C15/$C$21)</f>
        <v/>
      </c>
      <c r="F15" s="19">
        <f>ROUND(C15-D15,2)</f>
        <v/>
      </c>
      <c r="G15" s="20">
        <f>ROUND(F15/D15,2)</f>
        <v/>
      </c>
      <c r="H15" s="80" t="n"/>
    </row>
    <row r="16" customFormat="1" s="455">
      <c r="A16" s="54" t="n">
        <v>11</v>
      </c>
      <c r="B16" s="57" t="n"/>
      <c r="C16" s="17" t="n"/>
      <c r="D16" s="17" t="n"/>
      <c r="E16" s="721">
        <f>IF($C$21=0,0,C16/$C$21)</f>
        <v/>
      </c>
      <c r="F16" s="19">
        <f>ROUND(C16-D16,2)</f>
        <v/>
      </c>
      <c r="G16" s="20">
        <f>ROUND(F16/D16,2)</f>
        <v/>
      </c>
      <c r="H16" s="80" t="n"/>
    </row>
    <row r="17" customFormat="1" s="455">
      <c r="A17" s="54" t="n">
        <v>12</v>
      </c>
      <c r="B17" s="57" t="n"/>
      <c r="C17" s="17" t="n"/>
      <c r="D17" s="17" t="n"/>
      <c r="E17" s="721">
        <f>IF($C$21=0,0,C17/$C$21)</f>
        <v/>
      </c>
      <c r="F17" s="19">
        <f>ROUND(C17-D17,2)</f>
        <v/>
      </c>
      <c r="G17" s="20">
        <f>ROUND(F17/D17,2)</f>
        <v/>
      </c>
      <c r="H17" s="80" t="n"/>
    </row>
    <row r="18" customFormat="1" s="455">
      <c r="A18" s="54" t="n">
        <v>13</v>
      </c>
      <c r="B18" s="57" t="n"/>
      <c r="C18" s="17" t="n"/>
      <c r="D18" s="17" t="n"/>
      <c r="E18" s="721">
        <f>IF($C$21=0,0,C18/$C$21)</f>
        <v/>
      </c>
      <c r="F18" s="19">
        <f>ROUND(C18-D18,2)</f>
        <v/>
      </c>
      <c r="G18" s="20">
        <f>ROUND(F18/D18,2)</f>
        <v/>
      </c>
      <c r="H18" s="80" t="n"/>
    </row>
    <row r="19" customFormat="1" s="455">
      <c r="A19" s="54" t="n">
        <v>14</v>
      </c>
      <c r="B19" s="57" t="n"/>
      <c r="C19" s="17" t="n"/>
      <c r="D19" s="17" t="n"/>
      <c r="E19" s="721">
        <f>IF($C$21=0,0,C19/$C$21)</f>
        <v/>
      </c>
      <c r="F19" s="19">
        <f>ROUND(C19-D19,2)</f>
        <v/>
      </c>
      <c r="G19" s="20">
        <f>ROUND(F19/D19,2)</f>
        <v/>
      </c>
      <c r="H19" s="80" t="n"/>
    </row>
    <row r="20" customFormat="1" s="455">
      <c r="A20" s="54" t="n">
        <v>15</v>
      </c>
      <c r="B20" s="57" t="n"/>
      <c r="C20" s="17" t="n"/>
      <c r="D20" s="17" t="n"/>
      <c r="E20" s="721">
        <f>IF($C$21=0,0,C20/$C$21)</f>
        <v/>
      </c>
      <c r="F20" s="19">
        <f>ROUND(C20-D20,2)</f>
        <v/>
      </c>
      <c r="G20" s="20">
        <f>ROUND(F20/D20,2)</f>
        <v/>
      </c>
      <c r="H20" s="80" t="n"/>
    </row>
    <row r="21" customFormat="1" s="455">
      <c r="A21" s="23" t="inlineStr">
        <is>
          <t>合计</t>
        </is>
      </c>
      <c r="B21" s="58" t="n"/>
      <c r="C21" s="25">
        <f>SUM(C6:C20)</f>
        <v/>
      </c>
      <c r="D21" s="25">
        <f>SUM(D6:D20)</f>
        <v/>
      </c>
      <c r="E21" s="25" t="n"/>
      <c r="F21" s="26">
        <f>SUM(F6:F20)</f>
        <v/>
      </c>
      <c r="G21" s="27" t="n"/>
      <c r="H21" s="59" t="n"/>
    </row>
    <row r="23" ht="19" customHeight="1" s="559">
      <c r="B23" s="570" t="inlineStr">
        <is>
          <t>审计说明：</t>
        </is>
      </c>
    </row>
    <row r="24" ht="19" customHeight="1" s="559"/>
    <row r="25" ht="19" customHeight="1" s="559"/>
  </sheetData>
  <mergeCells count="9">
    <mergeCell ref="B4:B5"/>
    <mergeCell ref="C4:C5"/>
    <mergeCell ref="A4:A5"/>
    <mergeCell ref="F4:F5"/>
    <mergeCell ref="D4:D5"/>
    <mergeCell ref="E4:E5"/>
    <mergeCell ref="G4:G5"/>
    <mergeCell ref="H4:H5"/>
    <mergeCell ref="A1:H1"/>
  </mergeCells>
  <conditionalFormatting sqref="E6">
    <cfRule type="cellIs" priority="2" operator="greaterThanOrEqual" dxfId="1" stopIfTrue="1">
      <formula>0.2</formula>
    </cfRule>
  </conditionalFormatting>
  <conditionalFormatting sqref="E7:E20">
    <cfRule type="cellIs" priority="1" operator="greaterThanOrEqual" dxfId="1" stopIfTrue="1">
      <formula>0.2</formula>
    </cfRule>
  </conditionalFormatting>
  <pageMargins left="0.75" right="0.75" top="1" bottom="1" header="0.5" footer="0.5"/>
</worksheet>
</file>

<file path=xl/worksheets/sheet36.xml><?xml version="1.0" encoding="utf-8"?>
<worksheet xmlns="http://schemas.openxmlformats.org/spreadsheetml/2006/main">
  <sheetPr codeName="Sheet31">
    <outlinePr summaryBelow="1" summaryRight="1"/>
    <pageSetUpPr/>
  </sheetPr>
  <dimension ref="A1:K26"/>
  <sheetViews>
    <sheetView zoomScale="90" zoomScaleNormal="90" workbookViewId="0">
      <pane ySplit="8" topLeftCell="A9" activePane="bottomLeft" state="frozen"/>
      <selection activeCell="A1" sqref="A1"/>
      <selection pane="bottomLeft" activeCell="D17" sqref="D17"/>
    </sheetView>
  </sheetViews>
  <sheetFormatPr baseColWidth="8" defaultColWidth="8.731481481481479" defaultRowHeight="14.4"/>
  <cols>
    <col width="17.0648148148148" customWidth="1" style="559" min="2" max="2"/>
    <col width="14.1481481481481" customWidth="1" style="559" min="3" max="3"/>
    <col width="14.9074074074074" customWidth="1" style="559" min="4" max="4"/>
    <col width="18.1851851851852" customWidth="1" style="559" min="5" max="5"/>
    <col width="15.4537037037037" customWidth="1" style="559" min="6" max="6"/>
    <col width="14.2685185185185" customWidth="1" style="559" min="7" max="7"/>
    <col width="17.6388888888889" customWidth="1" style="559" min="8" max="8"/>
    <col width="12.8148148148148" customWidth="1" style="559" min="9" max="9"/>
    <col width="12.3611111111111" customWidth="1" style="559" min="10" max="10"/>
    <col width="13.7314814814815" customWidth="1" style="559" min="11" max="11"/>
  </cols>
  <sheetData>
    <row r="1" ht="26" customHeight="1" s="559">
      <c r="B1" s="1" t="inlineStr">
        <is>
          <t>管理费用占营业收入比率分析</t>
        </is>
      </c>
    </row>
    <row r="2">
      <c r="A2" s="2">
        <f>备忘录!$A$1</f>
        <v/>
      </c>
      <c r="C2" s="456" t="n"/>
      <c r="D2" s="456" t="n"/>
      <c r="F2" s="456" t="inlineStr">
        <is>
          <t>编制人：刘喜琴</t>
        </is>
      </c>
      <c r="G2" s="3" t="n"/>
      <c r="H2" s="456" t="n"/>
      <c r="I2" s="456">
        <f>备忘录!$C$2</f>
        <v/>
      </c>
    </row>
    <row r="3">
      <c r="A3" s="2">
        <f>备忘录!A3</f>
        <v/>
      </c>
      <c r="C3" s="456" t="n"/>
      <c r="D3" s="456" t="n"/>
      <c r="F3" s="456" t="inlineStr">
        <is>
          <t>复核人：赵玮</t>
        </is>
      </c>
      <c r="G3" s="3" t="n"/>
      <c r="H3" s="456" t="n"/>
      <c r="I3" s="456">
        <f>备忘录!$C$3</f>
        <v/>
      </c>
    </row>
    <row r="4" ht="22" customHeight="1" s="559">
      <c r="A4" s="725" t="inlineStr">
        <is>
          <t>序号</t>
        </is>
      </c>
      <c r="B4" s="89" t="inlineStr">
        <is>
          <t>科目名称</t>
        </is>
      </c>
      <c r="C4" s="36" t="inlineStr">
        <is>
          <t>本期发生额</t>
        </is>
      </c>
      <c r="D4" s="562" t="n"/>
      <c r="E4" s="563" t="n"/>
      <c r="F4" s="36" t="inlineStr">
        <is>
          <t>上期发生额</t>
        </is>
      </c>
      <c r="G4" s="562" t="n"/>
      <c r="H4" s="563" t="n"/>
      <c r="I4" s="38" t="inlineStr">
        <is>
          <t>占营业收入比率的增加</t>
        </is>
      </c>
      <c r="J4" s="38" t="inlineStr">
        <is>
          <t>占主营业务收入比率的增加</t>
        </is>
      </c>
      <c r="K4" s="38" t="inlineStr">
        <is>
          <t>变动原因分析及取得的支持性文件说明</t>
        </is>
      </c>
    </row>
    <row r="5" ht="22" customHeight="1" s="559">
      <c r="A5" s="560" t="n"/>
      <c r="B5" s="560" t="n"/>
      <c r="C5" s="691" t="inlineStr">
        <is>
          <t>本期审定数</t>
        </is>
      </c>
      <c r="D5" s="38" t="inlineStr">
        <is>
          <t>占营业收入比率</t>
        </is>
      </c>
      <c r="E5" s="38" t="inlineStr">
        <is>
          <t>占主营业务收入比率</t>
        </is>
      </c>
      <c r="F5" s="41" t="inlineStr">
        <is>
          <t>上期审定数</t>
        </is>
      </c>
      <c r="G5" s="38" t="inlineStr">
        <is>
          <t>占营业收入比率</t>
        </is>
      </c>
      <c r="H5" s="38" t="inlineStr">
        <is>
          <t>占主营业务收入比率</t>
        </is>
      </c>
      <c r="I5" s="672" t="n"/>
      <c r="J5" s="672" t="n"/>
      <c r="K5" s="672" t="n"/>
    </row>
    <row r="6">
      <c r="A6" s="42" t="n"/>
      <c r="B6" s="43" t="inlineStr">
        <is>
          <t>营业收入</t>
        </is>
      </c>
      <c r="C6" s="722">
        <f>营业收入!D24</f>
        <v/>
      </c>
      <c r="D6" s="43" t="n"/>
      <c r="E6" s="43" t="n"/>
      <c r="F6" s="722">
        <f>营业收入!E24</f>
        <v/>
      </c>
      <c r="G6" s="43" t="n"/>
      <c r="H6" s="43" t="n"/>
      <c r="I6" s="43" t="n"/>
      <c r="J6" s="43" t="n"/>
      <c r="K6" s="43" t="n"/>
    </row>
    <row r="7">
      <c r="A7" s="42" t="n"/>
      <c r="B7" s="43" t="inlineStr">
        <is>
          <t>主营业务收入</t>
        </is>
      </c>
      <c r="C7" s="722">
        <f>营业收入!D19</f>
        <v/>
      </c>
      <c r="D7" s="43" t="n"/>
      <c r="E7" s="43" t="n"/>
      <c r="F7" s="722">
        <f>营业收入!E19</f>
        <v/>
      </c>
      <c r="G7" s="43" t="n"/>
      <c r="H7" s="43" t="n"/>
      <c r="I7" s="43" t="n"/>
      <c r="J7" s="43" t="n"/>
      <c r="K7" s="43" t="n"/>
    </row>
    <row r="8">
      <c r="A8" s="42" t="n"/>
      <c r="B8" s="43" t="inlineStr">
        <is>
          <t>管理费用明细：</t>
        </is>
      </c>
      <c r="C8" s="723" t="n"/>
      <c r="D8" s="43" t="n"/>
      <c r="E8" s="43" t="n"/>
      <c r="F8" s="723" t="n"/>
      <c r="G8" s="43" t="n"/>
      <c r="H8" s="43" t="n"/>
      <c r="I8" s="43" t="n"/>
      <c r="J8" s="43" t="n"/>
      <c r="K8" s="43" t="n"/>
    </row>
    <row r="9">
      <c r="A9" s="46">
        <f>管理费用!A6</f>
        <v/>
      </c>
      <c r="B9" s="47">
        <f>管理费用!B6</f>
        <v/>
      </c>
      <c r="C9" s="724">
        <f>管理费用!C6</f>
        <v/>
      </c>
      <c r="D9" s="49">
        <f>IF($C$6=0,0,C9/$C$6)</f>
        <v/>
      </c>
      <c r="E9" s="49">
        <f>IF($C$7=0,0,C9/$C$7)</f>
        <v/>
      </c>
      <c r="F9" s="724">
        <f>管理费用!D6</f>
        <v/>
      </c>
      <c r="G9" s="49">
        <f>IF($F$6=0,0,F9/$F$6)</f>
        <v/>
      </c>
      <c r="H9" s="49">
        <f>IF($F$7=0,0,F9/$F$7)</f>
        <v/>
      </c>
      <c r="I9" s="49">
        <f>D9-G9</f>
        <v/>
      </c>
      <c r="J9" s="49">
        <f>E9-H9</f>
        <v/>
      </c>
      <c r="K9" s="261" t="n"/>
    </row>
    <row r="10">
      <c r="A10" s="46">
        <f>管理费用!A7</f>
        <v/>
      </c>
      <c r="B10" s="47">
        <f>管理费用!B7</f>
        <v/>
      </c>
      <c r="C10" s="724">
        <f>管理费用!C7</f>
        <v/>
      </c>
      <c r="D10" s="49">
        <f>IF($C$6=0,0,C10/$C$6)</f>
        <v/>
      </c>
      <c r="E10" s="49">
        <f>IF($C$7=0,0,C10/$C$7)</f>
        <v/>
      </c>
      <c r="F10" s="724">
        <f>管理费用!D7</f>
        <v/>
      </c>
      <c r="G10" s="49">
        <f>IF($F$6=0,0,F10/$F$6)</f>
        <v/>
      </c>
      <c r="H10" s="49">
        <f>IF($F$7=0,0,F10/$F$7)</f>
        <v/>
      </c>
      <c r="I10" s="49">
        <f>D10-G10</f>
        <v/>
      </c>
      <c r="J10" s="49">
        <f>E10-H10</f>
        <v/>
      </c>
      <c r="K10" s="261" t="n"/>
    </row>
    <row r="11">
      <c r="A11" s="46">
        <f>管理费用!A8</f>
        <v/>
      </c>
      <c r="B11" s="47">
        <f>管理费用!B8</f>
        <v/>
      </c>
      <c r="C11" s="724">
        <f>管理费用!C8</f>
        <v/>
      </c>
      <c r="D11" s="49">
        <f>IF($C$6=0,0,C11/$C$6)</f>
        <v/>
      </c>
      <c r="E11" s="49">
        <f>IF($C$7=0,0,C11/$C$7)</f>
        <v/>
      </c>
      <c r="F11" s="724">
        <f>管理费用!D8</f>
        <v/>
      </c>
      <c r="G11" s="49">
        <f>IF($F$6=0,0,F11/$F$6)</f>
        <v/>
      </c>
      <c r="H11" s="49">
        <f>IF($F$7=0,0,F11/$F$7)</f>
        <v/>
      </c>
      <c r="I11" s="49">
        <f>D11-G11</f>
        <v/>
      </c>
      <c r="J11" s="49">
        <f>E11-H11</f>
        <v/>
      </c>
      <c r="K11" s="261" t="n"/>
    </row>
    <row r="12">
      <c r="A12" s="46">
        <f>管理费用!A9</f>
        <v/>
      </c>
      <c r="B12" s="47">
        <f>管理费用!B9</f>
        <v/>
      </c>
      <c r="C12" s="724">
        <f>管理费用!C9</f>
        <v/>
      </c>
      <c r="D12" s="49">
        <f>IF($C$6=0,0,C12/$C$6)</f>
        <v/>
      </c>
      <c r="E12" s="49">
        <f>IF($C$7=0,0,C12/$C$7)</f>
        <v/>
      </c>
      <c r="F12" s="724">
        <f>管理费用!D9</f>
        <v/>
      </c>
      <c r="G12" s="49">
        <f>IF($F$6=0,0,F12/$F$6)</f>
        <v/>
      </c>
      <c r="H12" s="49">
        <f>IF($F$7=0,0,F12/$F$7)</f>
        <v/>
      </c>
      <c r="I12" s="49">
        <f>D12-G12</f>
        <v/>
      </c>
      <c r="J12" s="49">
        <f>E12-H12</f>
        <v/>
      </c>
      <c r="K12" s="261" t="n"/>
    </row>
    <row r="13">
      <c r="A13" s="46">
        <f>管理费用!A10</f>
        <v/>
      </c>
      <c r="B13" s="47">
        <f>管理费用!B10</f>
        <v/>
      </c>
      <c r="C13" s="724">
        <f>管理费用!C10</f>
        <v/>
      </c>
      <c r="D13" s="49">
        <f>IF($C$6=0,0,C13/$C$6)</f>
        <v/>
      </c>
      <c r="E13" s="49">
        <f>IF($C$7=0,0,C13/$C$7)</f>
        <v/>
      </c>
      <c r="F13" s="724">
        <f>管理费用!D10</f>
        <v/>
      </c>
      <c r="G13" s="49">
        <f>IF($F$6=0,0,F13/$F$6)</f>
        <v/>
      </c>
      <c r="H13" s="49">
        <f>IF($F$7=0,0,F13/$F$7)</f>
        <v/>
      </c>
      <c r="I13" s="49">
        <f>D13-G13</f>
        <v/>
      </c>
      <c r="J13" s="49">
        <f>E13-H13</f>
        <v/>
      </c>
      <c r="K13" s="261" t="n"/>
    </row>
    <row r="14">
      <c r="A14" s="46">
        <f>管理费用!A11</f>
        <v/>
      </c>
      <c r="B14" s="47">
        <f>管理费用!B11</f>
        <v/>
      </c>
      <c r="C14" s="724">
        <f>管理费用!C11</f>
        <v/>
      </c>
      <c r="D14" s="49">
        <f>IF($C$6=0,0,C14/$C$6)</f>
        <v/>
      </c>
      <c r="E14" s="49">
        <f>IF($C$7=0,0,C14/$C$7)</f>
        <v/>
      </c>
      <c r="F14" s="724">
        <f>管理费用!D11</f>
        <v/>
      </c>
      <c r="G14" s="49">
        <f>IF($F$6=0,0,F14/$F$6)</f>
        <v/>
      </c>
      <c r="H14" s="49">
        <f>IF($F$7=0,0,F14/$F$7)</f>
        <v/>
      </c>
      <c r="I14" s="49">
        <f>D14-G14</f>
        <v/>
      </c>
      <c r="J14" s="49">
        <f>E14-H14</f>
        <v/>
      </c>
      <c r="K14" s="261" t="n"/>
    </row>
    <row r="15">
      <c r="A15" s="46">
        <f>管理费用!A12</f>
        <v/>
      </c>
      <c r="B15" s="47">
        <f>管理费用!B12</f>
        <v/>
      </c>
      <c r="C15" s="724">
        <f>管理费用!C12</f>
        <v/>
      </c>
      <c r="D15" s="49">
        <f>IF($C$6=0,0,C15/$C$6)</f>
        <v/>
      </c>
      <c r="E15" s="49">
        <f>IF($C$7=0,0,C15/$C$7)</f>
        <v/>
      </c>
      <c r="F15" s="724">
        <f>管理费用!D12</f>
        <v/>
      </c>
      <c r="G15" s="49">
        <f>IF($F$6=0,0,F15/$F$6)</f>
        <v/>
      </c>
      <c r="H15" s="49">
        <f>IF($F$7=0,0,F15/$F$7)</f>
        <v/>
      </c>
      <c r="I15" s="49">
        <f>D15-G15</f>
        <v/>
      </c>
      <c r="J15" s="49">
        <f>E15-H15</f>
        <v/>
      </c>
      <c r="K15" s="261" t="n"/>
    </row>
    <row r="16" ht="14" customHeight="1" s="559">
      <c r="A16" s="46">
        <f>管理费用!A13</f>
        <v/>
      </c>
      <c r="B16" s="47">
        <f>管理费用!B13</f>
        <v/>
      </c>
      <c r="C16" s="724">
        <f>管理费用!C13</f>
        <v/>
      </c>
      <c r="D16" s="49">
        <f>IF($C$6=0,0,C16/$C$6)</f>
        <v/>
      </c>
      <c r="E16" s="49">
        <f>IF($C$7=0,0,C16/$C$7)</f>
        <v/>
      </c>
      <c r="F16" s="724">
        <f>管理费用!D13</f>
        <v/>
      </c>
      <c r="G16" s="49">
        <f>IF($F$6=0,0,F16/$F$6)</f>
        <v/>
      </c>
      <c r="H16" s="49">
        <f>IF($F$7=0,0,F16/$F$7)</f>
        <v/>
      </c>
      <c r="I16" s="49">
        <f>D16-G16</f>
        <v/>
      </c>
      <c r="J16" s="49">
        <f>E16-H16</f>
        <v/>
      </c>
      <c r="K16" s="261" t="n"/>
    </row>
    <row r="17">
      <c r="A17" s="46">
        <f>管理费用!A14</f>
        <v/>
      </c>
      <c r="B17" s="47">
        <f>管理费用!B14</f>
        <v/>
      </c>
      <c r="C17" s="724">
        <f>管理费用!C14</f>
        <v/>
      </c>
      <c r="D17" s="49">
        <f>IF($C$6=0,0,C17/$C$6)</f>
        <v/>
      </c>
      <c r="E17" s="49">
        <f>IF($C$7=0,0,C17/$C$7)</f>
        <v/>
      </c>
      <c r="F17" s="724">
        <f>管理费用!D14</f>
        <v/>
      </c>
      <c r="G17" s="49">
        <f>IF($F$6=0,0,F17/$F$6)</f>
        <v/>
      </c>
      <c r="H17" s="49">
        <f>IF($F$7=0,0,F17/$F$7)</f>
        <v/>
      </c>
      <c r="I17" s="49">
        <f>D17-G17</f>
        <v/>
      </c>
      <c r="J17" s="49">
        <f>E17-H17</f>
        <v/>
      </c>
      <c r="K17" s="261" t="n"/>
    </row>
    <row r="18">
      <c r="A18" s="46">
        <f>管理费用!A15</f>
        <v/>
      </c>
      <c r="B18" s="47">
        <f>管理费用!B15</f>
        <v/>
      </c>
      <c r="C18" s="724">
        <f>管理费用!C15</f>
        <v/>
      </c>
      <c r="D18" s="49">
        <f>IF($C$6=0,0,C18/$C$6)</f>
        <v/>
      </c>
      <c r="E18" s="49">
        <f>IF($C$7=0,0,C18/$C$7)</f>
        <v/>
      </c>
      <c r="F18" s="724">
        <f>管理费用!D15</f>
        <v/>
      </c>
      <c r="G18" s="49">
        <f>IF($F$6=0,0,F18/$F$6)</f>
        <v/>
      </c>
      <c r="H18" s="49">
        <f>IF($F$7=0,0,F18/$F$7)</f>
        <v/>
      </c>
      <c r="I18" s="49">
        <f>D18-G18</f>
        <v/>
      </c>
      <c r="J18" s="49">
        <f>E18-H18</f>
        <v/>
      </c>
      <c r="K18" s="261" t="n"/>
    </row>
    <row r="19">
      <c r="A19" s="46">
        <f>管理费用!A16</f>
        <v/>
      </c>
      <c r="B19" s="47">
        <f>管理费用!B16</f>
        <v/>
      </c>
      <c r="C19" s="724">
        <f>管理费用!C16</f>
        <v/>
      </c>
      <c r="D19" s="49">
        <f>IF($C$6=0,0,C19/$C$6)</f>
        <v/>
      </c>
      <c r="E19" s="49">
        <f>IF($C$7=0,0,C19/$C$7)</f>
        <v/>
      </c>
      <c r="F19" s="724">
        <f>管理费用!D16</f>
        <v/>
      </c>
      <c r="G19" s="49">
        <f>IF($F$6=0,0,F19/$F$6)</f>
        <v/>
      </c>
      <c r="H19" s="49">
        <f>IF($F$7=0,0,F19/$F$7)</f>
        <v/>
      </c>
      <c r="I19" s="49">
        <f>D19-G19</f>
        <v/>
      </c>
      <c r="J19" s="49">
        <f>E19-H19</f>
        <v/>
      </c>
      <c r="K19" s="261" t="n"/>
    </row>
    <row r="20">
      <c r="A20" s="46">
        <f>管理费用!A17</f>
        <v/>
      </c>
      <c r="B20" s="47">
        <f>管理费用!B17</f>
        <v/>
      </c>
      <c r="C20" s="724">
        <f>管理费用!C17</f>
        <v/>
      </c>
      <c r="D20" s="49">
        <f>IF($C$6=0,0,C20/$C$6)</f>
        <v/>
      </c>
      <c r="E20" s="49">
        <f>IF($C$7=0,0,C20/$C$7)</f>
        <v/>
      </c>
      <c r="F20" s="724">
        <f>管理费用!D17</f>
        <v/>
      </c>
      <c r="G20" s="49">
        <f>IF($F$6=0,0,F20/$F$6)</f>
        <v/>
      </c>
      <c r="H20" s="49">
        <f>IF($F$7=0,0,F20/$F$7)</f>
        <v/>
      </c>
      <c r="I20" s="49">
        <f>D20-G20</f>
        <v/>
      </c>
      <c r="J20" s="49">
        <f>E20-H20</f>
        <v/>
      </c>
      <c r="K20" s="261" t="n"/>
    </row>
    <row r="21">
      <c r="A21" s="46">
        <f>管理费用!A18</f>
        <v/>
      </c>
      <c r="B21" s="47">
        <f>管理费用!B18</f>
        <v/>
      </c>
      <c r="C21" s="724">
        <f>管理费用!C18</f>
        <v/>
      </c>
      <c r="D21" s="49">
        <f>IF($C$6=0,0,C21/$C$6)</f>
        <v/>
      </c>
      <c r="E21" s="49">
        <f>IF($C$7=0,0,C21/$C$7)</f>
        <v/>
      </c>
      <c r="F21" s="724">
        <f>管理费用!D18</f>
        <v/>
      </c>
      <c r="G21" s="49">
        <f>IF($F$6=0,0,F21/$F$6)</f>
        <v/>
      </c>
      <c r="H21" s="49">
        <f>IF($F$7=0,0,F21/$F$7)</f>
        <v/>
      </c>
      <c r="I21" s="49">
        <f>D21-G21</f>
        <v/>
      </c>
      <c r="J21" s="49">
        <f>E21-H21</f>
        <v/>
      </c>
      <c r="K21" s="261" t="n"/>
    </row>
    <row r="22">
      <c r="A22" s="46">
        <f>管理费用!A19</f>
        <v/>
      </c>
      <c r="B22" s="47">
        <f>管理费用!B19</f>
        <v/>
      </c>
      <c r="C22" s="724">
        <f>管理费用!C19</f>
        <v/>
      </c>
      <c r="D22" s="49">
        <f>IF($C$6=0,0,C22/$C$6)</f>
        <v/>
      </c>
      <c r="E22" s="49">
        <f>IF($C$7=0,0,C22/$C$7)</f>
        <v/>
      </c>
      <c r="F22" s="724">
        <f>管理费用!D19</f>
        <v/>
      </c>
      <c r="G22" s="49">
        <f>IF($F$6=0,0,F22/$F$6)</f>
        <v/>
      </c>
      <c r="H22" s="49">
        <f>IF($F$7=0,0,F22/$F$7)</f>
        <v/>
      </c>
      <c r="I22" s="49">
        <f>D22-G22</f>
        <v/>
      </c>
      <c r="J22" s="49">
        <f>E22-H22</f>
        <v/>
      </c>
      <c r="K22" s="261" t="n"/>
    </row>
    <row r="23">
      <c r="A23" s="46">
        <f>管理费用!A20</f>
        <v/>
      </c>
      <c r="B23" s="47">
        <f>管理费用!B20</f>
        <v/>
      </c>
      <c r="C23" s="724">
        <f>管理费用!C20</f>
        <v/>
      </c>
      <c r="D23" s="49">
        <f>IF($C$6=0,0,C23/$C$6)</f>
        <v/>
      </c>
      <c r="E23" s="49">
        <f>IF($C$7=0,0,C23/$C$7)</f>
        <v/>
      </c>
      <c r="F23" s="724">
        <f>管理费用!D20</f>
        <v/>
      </c>
      <c r="G23" s="49">
        <f>IF($F$6=0,0,F23/$F$6)</f>
        <v/>
      </c>
      <c r="H23" s="49">
        <f>IF($F$7=0,0,F23/$F$7)</f>
        <v/>
      </c>
      <c r="I23" s="49">
        <f>D23-G23</f>
        <v/>
      </c>
      <c r="J23" s="49">
        <f>E23-H23</f>
        <v/>
      </c>
      <c r="K23" s="261" t="n"/>
    </row>
    <row r="24" ht="19" customHeight="1" s="559">
      <c r="A24" s="37" t="inlineStr">
        <is>
          <t>合计</t>
        </is>
      </c>
      <c r="B24" s="563" t="n"/>
      <c r="C24" s="724">
        <f>SUM(C9:C23)</f>
        <v/>
      </c>
      <c r="D24" s="49">
        <f>IF($C$6=0,0,C24/$C$6)</f>
        <v/>
      </c>
      <c r="E24" s="49">
        <f>IF($C$7=0,0,C24/$C$7)</f>
        <v/>
      </c>
      <c r="F24" s="724">
        <f>SUM(F9:F23)</f>
        <v/>
      </c>
      <c r="G24" s="49">
        <f>IF($F$6=0,0,F24/$F$6)</f>
        <v/>
      </c>
      <c r="H24" s="49">
        <f>IF($F$7=0,0,F24/$F$7)</f>
        <v/>
      </c>
      <c r="I24" s="49">
        <f>D24-G24</f>
        <v/>
      </c>
      <c r="J24" s="49">
        <f>E24-H24</f>
        <v/>
      </c>
      <c r="K24" s="43" t="n"/>
    </row>
    <row r="26" ht="20" customHeight="1" s="559">
      <c r="B26" s="570" t="inlineStr">
        <is>
          <t>审计说明：</t>
        </is>
      </c>
    </row>
    <row r="27" ht="20" customHeight="1" s="559"/>
    <row r="28" ht="20" customHeight="1" s="559"/>
    <row r="29" ht="20" customHeight="1" s="559"/>
  </sheetData>
  <mergeCells count="9">
    <mergeCell ref="A24:B24"/>
    <mergeCell ref="B1:K1"/>
    <mergeCell ref="B4:B5"/>
    <mergeCell ref="A4:A5"/>
    <mergeCell ref="J4:J5"/>
    <mergeCell ref="I4:I5"/>
    <mergeCell ref="K4:K5"/>
    <mergeCell ref="C4:E4"/>
    <mergeCell ref="F4:H4"/>
  </mergeCells>
  <conditionalFormatting sqref="I9:J23">
    <cfRule type="cellIs" priority="25" operator="greaterThanOrEqual" dxfId="2" stopIfTrue="1">
      <formula>0.3</formula>
    </cfRule>
    <cfRule type="cellIs" priority="26" operator="lessThanOrEqual" dxfId="2" stopIfTrue="1">
      <formula>-0.3</formula>
    </cfRule>
  </conditionalFormatting>
  <pageMargins left="0.75" right="0.75" top="1" bottom="1" header="0.5" footer="0.5"/>
</worksheet>
</file>

<file path=xl/worksheets/sheet37.xml><?xml version="1.0" encoding="utf-8"?>
<worksheet xmlns="http://schemas.openxmlformats.org/spreadsheetml/2006/main">
  <sheetPr codeName="Sheet32">
    <outlinePr summaryBelow="1" summaryRight="1"/>
    <pageSetUpPr/>
  </sheetPr>
  <dimension ref="A1:H14"/>
  <sheetViews>
    <sheetView workbookViewId="0">
      <selection activeCell="H5" sqref="H5"/>
    </sheetView>
  </sheetViews>
  <sheetFormatPr baseColWidth="8" defaultColWidth="8.731481481481479" defaultRowHeight="14.4"/>
  <cols>
    <col width="21.6388888888889" customWidth="1" style="559" min="1" max="1"/>
    <col width="16.7314814814815" customWidth="1" style="559" min="2" max="2"/>
    <col width="14" customWidth="1" style="559" min="3" max="3"/>
    <col width="14.1851851851852" customWidth="1" style="559" min="4" max="4"/>
    <col width="9.90740740740741" customWidth="1" style="559" min="5" max="5"/>
    <col width="13.4537037037037" customWidth="1" style="559" min="6" max="6"/>
    <col width="19.6388888888889" customWidth="1" style="559" min="7" max="7"/>
  </cols>
  <sheetData>
    <row r="1" ht="28" customHeight="1" s="559">
      <c r="A1" s="1" t="inlineStr">
        <is>
          <t>财务费用明细表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ustomFormat="1" s="455">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ustomFormat="1" s="455">
      <c r="A5" s="560" t="n"/>
      <c r="B5" s="560" t="n"/>
      <c r="C5" s="560" t="n"/>
      <c r="D5" s="560" t="n"/>
      <c r="E5" s="672" t="n"/>
      <c r="F5" s="672" t="n"/>
      <c r="G5" s="672" t="n"/>
    </row>
    <row r="6" ht="16" customFormat="1" customHeight="1" s="455">
      <c r="A6" s="33" t="inlineStr">
        <is>
          <t>利息支出</t>
        </is>
      </c>
      <c r="B6" s="17" t="n"/>
      <c r="C6" s="17" t="n"/>
      <c r="D6" s="721">
        <f>IF($B$12=0,0,B6/$B$12)</f>
        <v/>
      </c>
      <c r="E6" s="19">
        <f>ROUND(B6-C6,2)</f>
        <v/>
      </c>
      <c r="F6" s="20">
        <f>ROUND(E6/C6,2)</f>
        <v/>
      </c>
      <c r="G6" s="261" t="n"/>
    </row>
    <row r="7" ht="16" customFormat="1" customHeight="1" s="455">
      <c r="A7" s="34" t="inlineStr">
        <is>
          <t>减：利息收入</t>
        </is>
      </c>
      <c r="B7" s="17" t="n"/>
      <c r="C7" s="17" t="n"/>
      <c r="D7" s="721">
        <f>IF($B$12=0,0,B7/$B$12)</f>
        <v/>
      </c>
      <c r="E7" s="19">
        <f>ROUND(B7-C7,2)</f>
        <v/>
      </c>
      <c r="F7" s="20">
        <f>ROUND(E7/C7,2)</f>
        <v/>
      </c>
      <c r="G7" s="261" t="n"/>
      <c r="H7" s="455" t="inlineStr">
        <is>
          <t>注：利息收入账面为负数，填此表要转换成正数</t>
        </is>
      </c>
    </row>
    <row r="8" ht="16" customFormat="1" customHeight="1" s="455">
      <c r="A8" s="34" t="inlineStr">
        <is>
          <t>汇兑损失</t>
        </is>
      </c>
      <c r="B8" s="17" t="n"/>
      <c r="C8" s="17" t="n"/>
      <c r="D8" s="721">
        <f>IF($B$12=0,0,B8/$B$12)</f>
        <v/>
      </c>
      <c r="E8" s="19">
        <f>ROUND(B8-C8,2)</f>
        <v/>
      </c>
      <c r="F8" s="20">
        <f>ROUND(E8/C8,2)</f>
        <v/>
      </c>
      <c r="G8" s="261" t="n"/>
    </row>
    <row r="9" ht="16" customFormat="1" customHeight="1" s="455">
      <c r="A9" s="34" t="inlineStr">
        <is>
          <t>减：汇兑收益</t>
        </is>
      </c>
      <c r="B9" s="17" t="n"/>
      <c r="C9" s="17" t="n"/>
      <c r="D9" s="721">
        <f>IF($B$12=0,0,B9/$B$12)</f>
        <v/>
      </c>
      <c r="E9" s="19">
        <f>ROUND(B9-C9,2)</f>
        <v/>
      </c>
      <c r="F9" s="20">
        <f>ROUND(E9/C9,2)</f>
        <v/>
      </c>
      <c r="G9" s="261" t="n"/>
    </row>
    <row r="10" ht="16" customFormat="1" customHeight="1" s="521">
      <c r="A10" s="16" t="inlineStr">
        <is>
          <t>银行手续费</t>
        </is>
      </c>
      <c r="B10" s="17" t="n"/>
      <c r="C10" s="17" t="n"/>
      <c r="D10" s="721">
        <f>IF($B$12=0,0,B10/$B$12)</f>
        <v/>
      </c>
      <c r="E10" s="19">
        <f>ROUND(B10-C10,2)</f>
        <v/>
      </c>
      <c r="F10" s="20">
        <f>ROUND(E10/C10,2)</f>
        <v/>
      </c>
      <c r="G10" s="261" t="n"/>
    </row>
    <row r="11" ht="16" customHeight="1" s="559">
      <c r="A11" s="16" t="inlineStr">
        <is>
          <t>其他</t>
        </is>
      </c>
      <c r="B11" s="17" t="n"/>
      <c r="C11" s="17" t="n"/>
      <c r="D11" s="721">
        <f>IF($B$12=0,0,B11/$B$12)</f>
        <v/>
      </c>
      <c r="E11" s="19">
        <f>ROUND(B11-C11,2)</f>
        <v/>
      </c>
      <c r="F11" s="20">
        <f>ROUND(E11/C11,2)</f>
        <v/>
      </c>
      <c r="G11" s="261" t="n"/>
    </row>
    <row r="12" ht="18" customHeight="1" s="559">
      <c r="A12" s="23" t="inlineStr">
        <is>
          <t>合计</t>
        </is>
      </c>
      <c r="B12" s="593">
        <f>ROUND(B6-B7+B8-B9+SUM(B10:B11),2)</f>
        <v/>
      </c>
      <c r="C12" s="593">
        <f>ROUND(C6-C7+C8-C9+SUM(C10:C11),2)</f>
        <v/>
      </c>
      <c r="D12" s="25" t="n"/>
      <c r="E12" s="26">
        <f>SUM(E6:E11)</f>
        <v/>
      </c>
      <c r="F12" s="27" t="n"/>
      <c r="G12" s="525" t="n"/>
    </row>
    <row r="14" ht="19" customHeight="1" s="559">
      <c r="A14" s="570" t="inlineStr">
        <is>
          <t>审计说明：</t>
        </is>
      </c>
    </row>
    <row r="15" ht="19" customHeight="1" s="559"/>
    <row r="16" ht="19" customHeight="1" s="559"/>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selection activeCell="A4" sqref="A4:A5"/>
    </sheetView>
  </sheetViews>
  <sheetFormatPr baseColWidth="8" defaultColWidth="8.731481481481479" defaultRowHeight="14.4"/>
  <cols>
    <col width="29.3611111111111" customWidth="1" style="559" min="1" max="1"/>
    <col width="15.1851851851852" customWidth="1" style="559" min="2" max="2"/>
    <col width="14" customWidth="1" style="559" min="3" max="3"/>
    <col width="15.5462962962963" customWidth="1" style="559" min="4" max="4"/>
    <col width="12.2685185185185" customWidth="1" style="559" min="5" max="5"/>
    <col width="14.9074074074074" customWidth="1" style="559" min="6" max="6"/>
    <col width="29.8148148148148" customWidth="1" style="559" min="7" max="7"/>
  </cols>
  <sheetData>
    <row r="1" ht="20.4" customHeight="1" s="559">
      <c r="A1" s="1" t="inlineStr">
        <is>
          <t>营业外收入明细表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G21" sqref="G21"/>
    </sheetView>
  </sheetViews>
  <sheetFormatPr baseColWidth="8" defaultColWidth="8.731481481481479" defaultRowHeight="14.4"/>
  <cols>
    <col width="27.8148148148148" customWidth="1" style="559" min="1" max="1"/>
    <col width="14.5462962962963" customWidth="1" style="559" min="2" max="2"/>
    <col width="13.2685185185185" customWidth="1" style="559" min="3" max="3"/>
    <col width="13.4537037037037" customWidth="1" style="559" min="4" max="4"/>
    <col width="12.3611111111111" customWidth="1" style="559" min="5" max="5"/>
    <col width="13.1851851851852" customWidth="1" style="559" min="6" max="6"/>
    <col width="28.4537037037037" customWidth="1" style="559" min="7" max="7"/>
  </cols>
  <sheetData>
    <row r="1" ht="20.4" customHeight="1" s="559">
      <c r="A1" s="1" t="inlineStr">
        <is>
          <t>营业外支出明细表</t>
        </is>
      </c>
    </row>
    <row r="2">
      <c r="A2" s="2">
        <f>备忘录!$A$1</f>
        <v/>
      </c>
      <c r="D2" s="3" t="inlineStr">
        <is>
          <t>编制人：刘喜琴</t>
        </is>
      </c>
      <c r="E2" s="3" t="n"/>
      <c r="F2" s="456" t="n"/>
      <c r="G2" s="456">
        <f>备忘录!$C$2</f>
        <v/>
      </c>
    </row>
    <row r="3">
      <c r="A3" s="2">
        <f>备忘录!A3</f>
        <v/>
      </c>
      <c r="D3" s="3" t="inlineStr">
        <is>
          <t>复核人：赵玮</t>
        </is>
      </c>
      <c r="E3" s="3" t="n"/>
      <c r="F3" s="456" t="n"/>
      <c r="G3" s="456">
        <f>备忘录!$C$3</f>
        <v/>
      </c>
    </row>
    <row r="4">
      <c r="A4" s="5" t="inlineStr">
        <is>
          <t>科目名称</t>
        </is>
      </c>
      <c r="B4" s="10" t="inlineStr">
        <is>
          <t>本期发生额</t>
        </is>
      </c>
      <c r="C4" s="89" t="inlineStr">
        <is>
          <t>上期发生额</t>
        </is>
      </c>
      <c r="D4" s="89" t="inlineStr">
        <is>
          <t>结构比</t>
        </is>
      </c>
      <c r="E4" s="8" t="inlineStr">
        <is>
          <t>发生变动额</t>
        </is>
      </c>
      <c r="F4" s="8" t="inlineStr">
        <is>
          <t>发生额变动率</t>
        </is>
      </c>
      <c r="G4" s="9" t="inlineStr">
        <is>
          <t>变动原因分析及取得的支持性文件说明</t>
        </is>
      </c>
    </row>
    <row r="5">
      <c r="A5" s="560" t="n"/>
      <c r="B5" s="560" t="n"/>
      <c r="C5" s="560" t="n"/>
      <c r="D5" s="560" t="n"/>
      <c r="E5" s="672" t="n"/>
      <c r="F5" s="672" t="n"/>
      <c r="G5" s="672" t="n"/>
    </row>
    <row r="6">
      <c r="A6" s="16" t="n"/>
      <c r="B6" s="17" t="n"/>
      <c r="C6" s="17" t="n"/>
      <c r="D6" s="721">
        <f>IF($B$12=0,0,B6/$B$12)</f>
        <v/>
      </c>
      <c r="E6" s="19">
        <f>ROUND(B6-C6,2)</f>
        <v/>
      </c>
      <c r="F6" s="20">
        <f>ROUND(E6/C6,2)</f>
        <v/>
      </c>
      <c r="G6" s="261" t="n"/>
    </row>
    <row r="7">
      <c r="A7" s="22" t="n"/>
      <c r="B7" s="17" t="n"/>
      <c r="C7" s="17" t="n"/>
      <c r="D7" s="721">
        <f>IF($B$12=0,0,B7/$B$12)</f>
        <v/>
      </c>
      <c r="E7" s="19">
        <f>ROUND(B7-C7,2)</f>
        <v/>
      </c>
      <c r="F7" s="20">
        <f>ROUND(E7/C7,2)</f>
        <v/>
      </c>
      <c r="G7" s="261" t="n"/>
    </row>
    <row r="8">
      <c r="A8" s="22" t="n"/>
      <c r="B8" s="17" t="n"/>
      <c r="C8" s="17" t="n"/>
      <c r="D8" s="721">
        <f>IF($B$12=0,0,B8/$B$12)</f>
        <v/>
      </c>
      <c r="E8" s="19">
        <f>ROUND(B8-C8,2)</f>
        <v/>
      </c>
      <c r="F8" s="20">
        <f>ROUND(E8/C8,2)</f>
        <v/>
      </c>
      <c r="G8" s="261" t="n"/>
    </row>
    <row r="9">
      <c r="A9" s="22" t="n"/>
      <c r="B9" s="17" t="n"/>
      <c r="C9" s="17" t="n"/>
      <c r="D9" s="721">
        <f>IF($B$12=0,0,B9/$B$12)</f>
        <v/>
      </c>
      <c r="E9" s="19">
        <f>ROUND(B9-C9,2)</f>
        <v/>
      </c>
      <c r="F9" s="20">
        <f>ROUND(E9/C9,2)</f>
        <v/>
      </c>
      <c r="G9" s="261" t="n"/>
    </row>
    <row r="10">
      <c r="A10" s="16" t="n"/>
      <c r="B10" s="17" t="n"/>
      <c r="C10" s="17" t="n"/>
      <c r="D10" s="721">
        <f>IF($B$12=0,0,B10/$B$12)</f>
        <v/>
      </c>
      <c r="E10" s="19">
        <f>ROUND(B10-C10,2)</f>
        <v/>
      </c>
      <c r="F10" s="20">
        <f>ROUND(E10/C10,2)</f>
        <v/>
      </c>
      <c r="G10" s="261" t="n"/>
    </row>
    <row r="11">
      <c r="A11" s="16" t="n"/>
      <c r="B11" s="17" t="n"/>
      <c r="C11" s="17" t="n"/>
      <c r="D11" s="721">
        <f>IF($B$12=0,0,B11/$B$12)</f>
        <v/>
      </c>
      <c r="E11" s="19">
        <f>ROUND(B11-C11,2)</f>
        <v/>
      </c>
      <c r="F11" s="20">
        <f>ROUND(E11/C11,2)</f>
        <v/>
      </c>
      <c r="G11" s="261" t="n"/>
    </row>
    <row r="12">
      <c r="A12" s="23" t="inlineStr">
        <is>
          <t>合计</t>
        </is>
      </c>
      <c r="B12" s="593">
        <f>SUM(B6:B11)</f>
        <v/>
      </c>
      <c r="C12" s="593">
        <f>SUM(C6:C11)</f>
        <v/>
      </c>
      <c r="D12" s="25" t="n"/>
      <c r="E12" s="26">
        <f>SUM(E6:E11)</f>
        <v/>
      </c>
      <c r="F12" s="27" t="n"/>
      <c r="G12" s="525" t="n"/>
    </row>
    <row r="14">
      <c r="A14" s="570" t="inlineStr">
        <is>
          <t>审计说明：</t>
        </is>
      </c>
    </row>
  </sheetData>
  <mergeCells count="8">
    <mergeCell ref="A1:G1"/>
    <mergeCell ref="B4:B5"/>
    <mergeCell ref="C4:C5"/>
    <mergeCell ref="A4:A5"/>
    <mergeCell ref="F4:F5"/>
    <mergeCell ref="D4:D5"/>
    <mergeCell ref="E4:E5"/>
    <mergeCell ref="G4:G5"/>
  </mergeCells>
  <conditionalFormatting sqref="D6">
    <cfRule type="cellIs" priority="2" operator="greaterThanOrEqual" dxfId="1" stopIfTrue="1">
      <formula>0.2</formula>
    </cfRule>
  </conditionalFormatting>
  <conditionalFormatting sqref="D7:D11">
    <cfRule type="cellIs" priority="1" operator="greaterThanOrEqual" dxfId="1" stopIfTrue="1">
      <formula>0.2</formula>
    </cfRule>
  </conditionalFormatting>
  <dataValidations count="1">
    <dataValidation sqref="A8:A9" showDropDown="0" showInputMessage="1" showErrorMessage="1" allowBlank="0"/>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2025-10-08T06:47:00Z</dcterms:created>
  <dcterms:modified xsi:type="dcterms:W3CDTF">2026-01-21T08:30:59Z</dcterms:modified>
  <cp:lastModifiedBy>weision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9D8818751B414D129FD8E41A61DB11C1_12</vt:lpwstr>
  </property>
  <property name="KSOProductBuildVer" fmtid="{D5CDD505-2E9C-101B-9397-08002B2CF9AE}" pid="3">
    <vt:lpwstr>2052-12.1.0.24034</vt:lpwstr>
  </property>
  <property name="CalculationRule" fmtid="{D5CDD505-2E9C-101B-9397-08002B2CF9AE}" pid="4">
    <vt:i4>0</vt:i4>
  </property>
</Properties>
</file>