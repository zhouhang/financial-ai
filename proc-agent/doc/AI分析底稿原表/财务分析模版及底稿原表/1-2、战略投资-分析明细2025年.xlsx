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1925" tabRatio="928" firstSheet="2" activeTab="12"/>
  </bookViews>
  <sheets>
    <sheet name="GMV-战略需求" sheetId="1" state="hidden" r:id="rId1"/>
    <sheet name="毛利-战略需求" sheetId="2" state="hidden" r:id="rId2"/>
    <sheet name="利润组成" sheetId="23" r:id="rId3"/>
    <sheet name="投资公司" sheetId="22" r:id="rId4"/>
    <sheet name="GMV销售额波动分析（分月、年）" sheetId="26" r:id="rId5"/>
    <sheet name="GMV销售平台占比" sheetId="18" r:id="rId6"/>
    <sheet name="GMV表-商品大类" sheetId="4" r:id="rId7"/>
    <sheet name="GMV表-品牌" sheetId="5" r:id="rId8"/>
    <sheet name="毛利-收入组成" sheetId="6" r:id="rId9"/>
    <sheet name="毛利-留存率" sheetId="7" r:id="rId10"/>
    <sheet name="毛利-品牌" sheetId="19" r:id="rId11"/>
    <sheet name="毛利-供应商" sheetId="20" r:id="rId12"/>
    <sheet name="前十大供应商" sheetId="21" r:id="rId13"/>
  </sheets>
  <externalReferences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</externalReferences>
  <definedNames>
    <definedName name="_xlnm._FilterDatabase" localSheetId="2" hidden="1">利润组成!$A$2:$AK$118</definedName>
    <definedName name="_xlnm._FilterDatabase" localSheetId="7" hidden="1">'GMV表-品牌'!$K$35:$N$49</definedName>
    <definedName name="_xlnm._FilterDatabase" localSheetId="8" hidden="1">'毛利-收入组成'!$A$2:$AQ$74</definedName>
    <definedName name="body">'[1]资产负债表-2017'!$C$6:$H$36</definedName>
    <definedName name="grid">'[1]资产负债表-2017'!$C$6:$H$36</definedName>
    <definedName name="head">'[1]资产负债表-2017'!$A$4:$H$4</definedName>
    <definedName name="合并科目名称">[2]Sheet1!$A$2:$A$908</definedName>
    <definedName name="核算项目明细账">[3]核算项目明细账!$A$1:$K$157</definedName>
    <definedName name="会计分录序时簿">#REF!</definedName>
    <definedName name="科目余额表">#REF!</definedName>
    <definedName name="明细分类账">#REF!</definedName>
    <definedName name="body" localSheetId="10">'[4]资产负债表-2017'!$C$6:$H$36</definedName>
    <definedName name="grid" localSheetId="10">'[4]资产负债表-2017'!$C$6:$H$36</definedName>
    <definedName name="head" localSheetId="10">'[4]资产负债表-2017'!$A$4:$H$4</definedName>
    <definedName name="合并科目名称" localSheetId="10">[5]Sheet1!$A$2:$A$908</definedName>
    <definedName name="核算项目明细账" localSheetId="10">[6]核算项目明细账!$A$1:$K$157</definedName>
    <definedName name="会计分录序时簿" localSheetId="10">#REF!</definedName>
    <definedName name="科目余额表" localSheetId="10">#REF!</definedName>
    <definedName name="明细分类账" localSheetId="10">#REF!</definedName>
    <definedName name="body" localSheetId="11">'[4]资产负债表-2017'!$C$6:$H$36</definedName>
    <definedName name="grid" localSheetId="11">'[4]资产负债表-2017'!$C$6:$H$36</definedName>
    <definedName name="head" localSheetId="11">'[4]资产负债表-2017'!$A$4:$H$4</definedName>
    <definedName name="合并科目名称" localSheetId="11">[5]Sheet1!$A$2:$A$908</definedName>
    <definedName name="核算项目明细账" localSheetId="11">[6]核算项目明细账!$A$1:$K$157</definedName>
    <definedName name="会计分录序时簿" localSheetId="11">#REF!</definedName>
    <definedName name="科目余额表" localSheetId="11">#REF!</definedName>
    <definedName name="明细分类账" localSheetId="11">#REF!</definedName>
    <definedName name="\555">[7]表三甲!#REF!</definedName>
    <definedName name="\a">[7]表三甲!#REF!</definedName>
    <definedName name="\b">#REF!</definedName>
    <definedName name="\bbb">#REF!</definedName>
    <definedName name="\E">#REF!</definedName>
    <definedName name="\k">[8]土建表三乙!#REF!</definedName>
    <definedName name="\kkk">[7]表三甲!#REF!</definedName>
    <definedName name="\m">#REF!</definedName>
    <definedName name="\o">[7]表三甲!#REF!</definedName>
    <definedName name="\p">[7]表三甲!#REF!</definedName>
    <definedName name="\q">[7]表三甲!#REF!</definedName>
    <definedName name="\r">[7]表三甲!#REF!</definedName>
    <definedName name="\x">[7]表三甲!#REF!</definedName>
    <definedName name="\xx">[7]表三甲!#REF!</definedName>
    <definedName name="\z">[7]表三甲!#REF!</definedName>
    <definedName name="\zz">[7]表三甲!#REF!</definedName>
    <definedName name="_">#REF!</definedName>
    <definedName name="__123Graph_A" hidden="1">#REF!</definedName>
    <definedName name="__123Graph_B" hidden="1">#REF!</definedName>
    <definedName name="__123Graph_C" hidden="1">#REF!</definedName>
    <definedName name="__123Graph_D" hidden="1">#REF!</definedName>
    <definedName name="__123Graph_LBL_A" hidden="1">#REF!</definedName>
    <definedName name="__123Graph_LBL_C" hidden="1">#REF!</definedName>
    <definedName name="__123Graph_X" hidden="1">#REF!</definedName>
    <definedName name="_0" hidden="1">'[9]关联交易-存款'!#REF!</definedName>
    <definedName name="_0.dbf">#REF!</definedName>
    <definedName name="_000.03.dbf">#REF!</definedName>
    <definedName name="_00103应收货款余额表.dbf">#REF!</definedName>
    <definedName name="_00database" hidden="1">'[9]关联交易-存款'!#REF!</definedName>
    <definedName name="_0月31日">#REF!</definedName>
    <definedName name="_1">#REF!</definedName>
    <definedName name="_1_">#REF!</definedName>
    <definedName name="_1_?">#REF!</definedName>
    <definedName name="_10" hidden="1">'[9]关联交易-存款'!#REF!</definedName>
    <definedName name="_10_2004009P1">#REF!</definedName>
    <definedName name="_10Print_Area_00v00__00_00_\________0.00\_______損_鑼_T_R__z揻_?00_0_0_0__?Vo__000______000?T00000?_0_00000B0___0鞊?w_0000_0_斪_萟?00_000?_000?_0_?000000_0詶__????_?">#REF!</definedName>
    <definedName name="_11" hidden="1">{#N/A,#N/A,FALSE,"PLEDGE";#N/A,#N/A,FALSE,"GLADE";#N/A,#N/A,FALSE,"GREEN BIRD";#N/A,#N/A,FALSE,"MR. MUSCLE";#N/A,#N/A,FALSE,"TOILET DUCK";#N/A,#N/A,FALSE,"Other Home Care";#N/A,#N/A,FALSE,"RED BIRD";#N/A,#N/A,FALSE,"SHANGHAI";#N/A,#N/A,FALSE,"RAID";#N/A,#N/A,FALSE,"OFF";#N/A,#N/A,FALSE,"SEAGULL";#N/A,#N/A,FALSE,"HALSA";#N/A,#N/A,FALSE,"SOFT SENSE";#N/A,#N/A,FALSE,"TOTAL"}</definedName>
    <definedName name="_11_2004012P1">#REF!</definedName>
    <definedName name="_11u1_" hidden="1">{"capacity",#N/A,FALSE,"Hefei";"Volume",#N/A,FALSE,"Hefei"}</definedName>
    <definedName name="_12" hidden="1">{"负债及权益",#N/A,FALSE,"TB-BS"}</definedName>
    <definedName name="_12u1001_" hidden="1">{"capacity",#N/A,FALSE,"Hefei";"Volume",#N/A,FALSE,"Hefei"}</definedName>
    <definedName name="_12其他资产_开办费除外_明细表">#REF!</definedName>
    <definedName name="_13" hidden="1">{"现金主表",#N/A,FALSE,"正式Cashflow"}</definedName>
    <definedName name="_13U600_" hidden="1">{#N/A,#N/A,FALSE,"资产负债表";#N/A,#N/A,FALSE,"资产负债表"}</definedName>
    <definedName name="_14wrn.²Ä1­Ó¤ë1_Ü20¤H." hidden="1">{#N/A,#N/A,FALSE,"²Ä1­Ó¤ë"}</definedName>
    <definedName name="_2">#REF!</definedName>
    <definedName name="_2_??????">#REF!</definedName>
    <definedName name="_2G300_" hidden="1">#REF!</definedName>
    <definedName name="_3">#REF!</definedName>
    <definedName name="_3_2003002K8">#REF!</definedName>
    <definedName name="_333">#REF!</definedName>
    <definedName name="_3O1_" hidden="1">{#N/A,#N/A,FALSE,"970301";#N/A,#N/A,FALSE,"970302";#N/A,#N/A,FALSE,"970303";#N/A,#N/A,FALSE,"970304";#N/A,#N/A,FALSE,"COM1";#N/A,#N/A,FALSE,"COM2"}</definedName>
    <definedName name="_4">#REF!</definedName>
    <definedName name="_4_2003002KA">#REF!</definedName>
    <definedName name="_40" hidden="1">{"现金主表",#N/A,FALSE,"正式Cashflow"}</definedName>
    <definedName name="_4P100_" hidden="1">{#N/A,#N/A,FALSE,"²Ä1­Ó¤ë"}</definedName>
    <definedName name="_5">#REF!</definedName>
    <definedName name="_5_2003002KC">#REF!</definedName>
    <definedName name="_5P200_" hidden="1">{#N/A,#N/A,FALSE,"YTCHAN";#N/A,#N/A,FALSE,"TOMMY";#N/A,#N/A,FALSE,"REP.OFFICE";#N/A,#N/A,FALSE,"E&amp;Y_CONSULTANT";#N/A,#N/A,FALSE,"BT &amp; CIT"}</definedName>
    <definedName name="_6_2003002P1">#REF!</definedName>
    <definedName name="_650_35500">#REF!</definedName>
    <definedName name="_6P300_" hidden="1">{#N/A,#N/A,FALSE,"资产负债表";#N/A,#N/A,FALSE,"资产负债表"}</definedName>
    <definedName name="_7_2003007KA">#REF!</definedName>
    <definedName name="_7P320_" hidden="1">{#N/A,#N/A,FALSE,"资产负债表";#N/A,#N/A,FALSE,"资产负债表"}</definedName>
    <definedName name="_8_2004001KF">#REF!</definedName>
    <definedName name="_8P400_" hidden="1">{#N/A,#N/A,FALSE,"FREEMAN";#N/A,#N/A,FALSE,"STEPHEN";#N/A,#N/A,FALSE,"VICTOR"}</definedName>
    <definedName name="_9_2004001P1">#REF!</definedName>
    <definedName name="_999年12月31日股份应收帐款.dbf">#REF!</definedName>
    <definedName name="_9Print_Area_00_00_mPM_Red_\________0.00\_▏_0000P_?詶D9寭o___0000P__0D9D9??_0趽詶__00?__D9__0000P__0D9_0_000__紦?__0000P__0D9_0_0D9P_険D_?___P_000000_0詶__????_?瞰_Ȝ㾒瞱60_0">#REF!</definedName>
    <definedName name="_A474260">#REF!</definedName>
    <definedName name="_Fill" hidden="1">#REF!</definedName>
    <definedName name="_xlnm._FilterDatabase" hidden="1">'[9]关联交易-存款'!#REF!</definedName>
    <definedName name="_Key1" hidden="1">#REF!</definedName>
    <definedName name="_Key2" hidden="1">#REF!</definedName>
    <definedName name="_Key3" hidden="1">#REF!</definedName>
    <definedName name="_LF12" hidden="1">#REF!</definedName>
    <definedName name="_Order1" hidden="1">255</definedName>
    <definedName name="_Order2" hidden="1">255</definedName>
    <definedName name="_Sort" hidden="1">#REF!</definedName>
    <definedName name="_Table1_In1" hidden="1">#REF!</definedName>
    <definedName name="_Table1_Out" hidden="1">#REF!</definedName>
    <definedName name="_Table2_In1" hidden="1">[10]INVDAYS!#REF!</definedName>
    <definedName name="_Table2_In2" hidden="1">[10]INVDAYS!#REF!</definedName>
    <definedName name="_ZF12" hidden="1">#REF!</definedName>
    <definedName name="_查询1">#REF!</definedName>
    <definedName name="_月应付款明细">#REF!</definedName>
    <definedName name="a">#REF!</definedName>
    <definedName name="Ã÷Ï¸ÕË">#REF!</definedName>
    <definedName name="aa">#REF!</definedName>
    <definedName name="AAA" hidden="1">#REF!</definedName>
    <definedName name="abc">#REF!</definedName>
    <definedName name="AccessDatabase" hidden="1">"F:\Track-Pur\Sachs-2000.mdb"</definedName>
    <definedName name="adfasdf" hidden="1">{#N/A,#N/A,FALSE,"资产负债表";#N/A,#N/A,FALSE,"资产负债表"}</definedName>
    <definedName name="adfasdfas" hidden="1">{#N/A,#N/A,FALSE,"资产负债表";#N/A,#N/A,FALSE,"资产负债表"}</definedName>
    <definedName name="ads">#REF!</definedName>
    <definedName name="afsdavad" hidden="1">#REF!</definedName>
    <definedName name="AGEDDATABASE" hidden="1">{#N/A,#N/A,FALSE,"970301";#N/A,#N/A,FALSE,"970302";#N/A,#N/A,FALSE,"970303";#N/A,#N/A,FALSE,"970304";#N/A,#N/A,FALSE,"COM1";#N/A,#N/A,FALSE,"COM2"}</definedName>
    <definedName name="All">#REF!</definedName>
    <definedName name="All_Out">#REF!</definedName>
    <definedName name="AS2DocOpenMode" hidden="1">"AS2DocumentEdit"</definedName>
    <definedName name="AS2HasNoAutoHeaderFooter" hidden="1">" "</definedName>
    <definedName name="asfads" hidden="1">{#N/A,#N/A,FALSE,"FREEMAN";#N/A,#N/A,FALSE,"STEPHEN";#N/A,#N/A,FALSE,"VICTOR"}</definedName>
    <definedName name="asfasdf" hidden="1">#REF!</definedName>
    <definedName name="Aux_Mat_Out">#REF!</definedName>
    <definedName name="B">#REF!</definedName>
    <definedName name="bb">#REF!</definedName>
    <definedName name="BB1_">#REF!</definedName>
    <definedName name="bj">#REF!</definedName>
    <definedName name="bzw">#REF!</definedName>
    <definedName name="CBU_Out">#REF!</definedName>
    <definedName name="cc">#N/A</definedName>
    <definedName name="ccp">#REF!</definedName>
    <definedName name="clah">#REF!</definedName>
    <definedName name="clz">#REF!</definedName>
    <definedName name="Coll" hidden="1">{#N/A,#N/A,FALSE,"970301";#N/A,#N/A,FALSE,"970302";#N/A,#N/A,FALSE,"970303";#N/A,#N/A,FALSE,"970304";#N/A,#N/A,FALSE,"COM1";#N/A,#N/A,FALSE,"COM2"}</definedName>
    <definedName name="cqjk.dbf">#REF!</definedName>
    <definedName name="cqtz.dbf">#REF!</definedName>
    <definedName name="cwfy.dbf">#REF!</definedName>
    <definedName name="Database">[12]B!#REF!</definedName>
    <definedName name="DBS" hidden="1">#REF!</definedName>
    <definedName name="dd" hidden="1">#REF!</definedName>
    <definedName name="DFDF" hidden="1">#REF!</definedName>
    <definedName name="dhp">#REF!</definedName>
    <definedName name="Document_array">{"Book1","评估表样1.xls"}</definedName>
    <definedName name="DPL" hidden="1">#REF!</definedName>
    <definedName name="dqjk.dbf">[13]短期借款审定表!#REF!</definedName>
    <definedName name="ee">#REF!</definedName>
    <definedName name="eylogo">#REF!</definedName>
    <definedName name="FC" hidden="1">#REF!</definedName>
    <definedName name="ff">#REF!</definedName>
    <definedName name="fg">[14]Part_Datum!#REF!</definedName>
    <definedName name="FG_In">#REF!</definedName>
    <definedName name="FG_In_1999">#REF!</definedName>
    <definedName name="Format">#REF!</definedName>
    <definedName name="gdk" hidden="1">#REF!</definedName>
    <definedName name="general" hidden="1">#REF!</definedName>
    <definedName name="gg">#REF!</definedName>
    <definedName name="ggg" hidden="1">{#N/A,#N/A,FALSE,"²Ä1­Ó¤ë"}</definedName>
    <definedName name="GWG_Out">#REF!</definedName>
    <definedName name="Header">#REF!</definedName>
    <definedName name="hhh" hidden="1">{#N/A,#N/A,FALSE,"FREEMAN";#N/A,#N/A,FALSE,"STEPHEN";#N/A,#N/A,FALSE,"VICTOR"}</definedName>
    <definedName name="jjjjj" hidden="1">#REF!</definedName>
    <definedName name="kkk" hidden="1">{#N/A,#N/A,FALSE,"OffAdvance";#N/A,#N/A,FALSE,"OffExpRprt";#N/A,#N/A,FALSE,"Entertmnt";#N/A,#N/A,FALSE,"Promotion";#N/A,#N/A,FALSE,"Travelling"}</definedName>
    <definedName name="L">[7]表三甲!#REF!</definedName>
    <definedName name="lf" hidden="1">#REF!</definedName>
    <definedName name="ll">[7]表三甲!#REF!</definedName>
    <definedName name="M">[7]表三甲!#REF!</definedName>
    <definedName name="mm">[7]表三甲!#REF!</definedName>
    <definedName name="N">[7]表三甲!#REF!</definedName>
    <definedName name="oliver">{"Book1","评估表样1.xls"}</definedName>
    <definedName name="P">[7]表三甲!#REF!</definedName>
    <definedName name="Package">#REF!</definedName>
    <definedName name="Page1">[15]调整凭证!$A$1:$AK$18</definedName>
    <definedName name="Part_Out">#REF!</definedName>
    <definedName name="part2">#REF!</definedName>
    <definedName name="parts">#REF!</definedName>
    <definedName name="PEAK">#REF!</definedName>
    <definedName name="pp">[7]表三甲!#REF!</definedName>
    <definedName name="pppp">#REF!</definedName>
    <definedName name="_xlnm.Print_Area">#REF!</definedName>
    <definedName name="PRINT_AREA_MI">#REF!</definedName>
    <definedName name="_xlnm.Print_Titles">#N/A</definedName>
    <definedName name="Print_Titles_MI">#REF!</definedName>
    <definedName name="Purchase_In">#REF!</definedName>
    <definedName name="Purchase_In_1999">#REF!</definedName>
    <definedName name="qq">#REF!</definedName>
    <definedName name="qqq">#N/A</definedName>
    <definedName name="RawData">#REF!</definedName>
    <definedName name="rr">#N/A</definedName>
    <definedName name="SALES_TRANSACTION_TEST_DETAILS">#REF!</definedName>
    <definedName name="SAPBEXrevision" hidden="1">6</definedName>
    <definedName name="SAPBEXsysID" hidden="1">"AW1"</definedName>
    <definedName name="SAPBEXwbID" hidden="1">"3OHOMDSTKMDZCD0XFTR7RJ7Z1"</definedName>
    <definedName name="sf" hidden="1">#REF!</definedName>
    <definedName name="ss">#REF!</definedName>
    <definedName name="sx">#REF!</definedName>
    <definedName name="t_Schema">[16]t_Schema!$A$1:$T$41</definedName>
    <definedName name="TextRefCopyRangeCount" hidden="1">4</definedName>
    <definedName name="Trade_Debtor_Current">'[17]F101'!#REF!</definedName>
    <definedName name="Trade_Debtor_Prior">'[17]F101'!#REF!</definedName>
    <definedName name="UFPrn20000313111847">#REF!</definedName>
    <definedName name="UFPrn20000313111932">#REF!</definedName>
    <definedName name="UFPrn20000313111958">#REF!</definedName>
    <definedName name="UFPrn20000313112054">#REF!</definedName>
    <definedName name="UFPrn20000313112135">#REF!</definedName>
    <definedName name="UFPrn20000415100427">#REF!</definedName>
    <definedName name="UFPrn20010306022432">#REF!</definedName>
    <definedName name="UFPrn20010404154543">#REF!</definedName>
    <definedName name="UFPrn20011115160155">#REF!</definedName>
    <definedName name="UFPrn20011115160249">#REF!</definedName>
    <definedName name="UFPrn20011130051947">#REF!</definedName>
    <definedName name="UFPrn20011204102430">#REF!</definedName>
    <definedName name="UFPrn20011231085212">#REF!</definedName>
    <definedName name="UFPrn20011231090848">#REF!</definedName>
    <definedName name="UFPrn20011231163615">#REF!</definedName>
    <definedName name="UFPrn20011231213002">#REF!</definedName>
    <definedName name="UFPrn20020117102937">'[18]其他应付款4-12月份明细表'!#REF!</definedName>
    <definedName name="UFPrn20020117110216">#REF!</definedName>
    <definedName name="UFPrn20020117140725">[19]数外余额!$A$3:$Y$270</definedName>
    <definedName name="UFPrn20020408141614">#REF!</definedName>
    <definedName name="UFPrn20020408171214">#REF!</definedName>
    <definedName name="UFPrn20020410143650">#REF!</definedName>
    <definedName name="UFPrn20020709213600">#REF!</definedName>
    <definedName name="UFPrn20020812163731">#REF!</definedName>
    <definedName name="UFPrn20020812163943">#REF!</definedName>
    <definedName name="UFPrn20021105185509">'[20]A.R 01'!$A$1:$Q$47</definedName>
    <definedName name="UFPrn20030101190338">#REF!</definedName>
    <definedName name="UFPrn20030106145022">#REF!</definedName>
    <definedName name="UFPrn20030111092358">#REF!</definedName>
    <definedName name="UFPrn20030111132259">#REF!</definedName>
    <definedName name="UFPrn20030111132615">#REF!</definedName>
    <definedName name="UFPrn20030209153119">#REF!</definedName>
    <definedName name="UFPrn20030209153219">#REF!</definedName>
    <definedName name="UFPrn20030625090333">#REF!</definedName>
    <definedName name="UFPrn2003062590388">#REF!</definedName>
    <definedName name="UFPrn20040203140057">#REF!</definedName>
    <definedName name="UFPrn20040925123312">#REF!</definedName>
    <definedName name="UFPrn20040925181148">#REF!</definedName>
    <definedName name="UFPrn20041020104759">#REF!</definedName>
    <definedName name="UFPrn20041027144814">#REF!</definedName>
    <definedName name="UFPrn20041027160622">#REF!</definedName>
    <definedName name="UFPrn20041029115420">#REF!</definedName>
    <definedName name="UFPrn20041029115455">#REF!</definedName>
    <definedName name="UFPrn20041029115518">#REF!</definedName>
    <definedName name="UFPrn20041029115519">#REF!</definedName>
    <definedName name="UFPrn20041029115551">#REF!</definedName>
    <definedName name="UFPrn20041029115617">#REF!</definedName>
    <definedName name="UFPrn20041029115641">#REF!</definedName>
    <definedName name="UFPrn20041208155748">#REF!</definedName>
    <definedName name="UFPrn20041208155819">#REF!</definedName>
    <definedName name="UFPrn20050120133358">#REF!</definedName>
    <definedName name="UFPrn20050120133440">#REF!</definedName>
    <definedName name="UFPrn20050120133457">#REF!</definedName>
    <definedName name="UFPrn20050120133510">#REF!</definedName>
    <definedName name="UFPrn20050120160950">#REF!</definedName>
    <definedName name="UFPrn20050120161016">#REF!</definedName>
    <definedName name="UFPrn20050120161058">#REF!</definedName>
    <definedName name="UFPrn20050124104145">#REF!</definedName>
    <definedName name="UFPrn20050125104640">#REF!</definedName>
    <definedName name="UFPrn20050718103731">#REF!</definedName>
    <definedName name="UFPrn20051115112249">#REF!</definedName>
    <definedName name="UFPrn20051115123739">#REF!</definedName>
    <definedName name="UFPrn20051115125146">#REF!</definedName>
    <definedName name="UFPrn20051117161106">#REF!</definedName>
    <definedName name="UFPrn20051117161146">#REF!</definedName>
    <definedName name="UFPrn20051118103933">#REF!</definedName>
    <definedName name="UFPrn20051118124044">#REF!</definedName>
    <definedName name="UFPrn20051118124105">#REF!</definedName>
    <definedName name="UFPrn20051118124235">#REF!</definedName>
    <definedName name="UFPrn20051118124249">#REF!</definedName>
    <definedName name="UFPrn20051118130051">#REF!</definedName>
    <definedName name="UFPrn20051118130453">#REF!</definedName>
    <definedName name="UFPrn20051224104321">#REF!</definedName>
    <definedName name="UFPrn20051224104453">#REF!</definedName>
    <definedName name="UFPrn20060104085800">#REF!</definedName>
    <definedName name="UFPrn20060109095821">#REF!</definedName>
    <definedName name="UFPrn20060109095855">#REF!</definedName>
    <definedName name="UFPrn20060116131041">#REF!</definedName>
    <definedName name="UFPrn20060116131056">#REF!</definedName>
    <definedName name="UFPrn20060116131454">#REF!</definedName>
    <definedName name="UFPrn20060116132051">#REF!</definedName>
    <definedName name="UFPrn20060116133316">#REF!</definedName>
    <definedName name="UFPrn20060117153704">#REF!</definedName>
    <definedName name="UFPrn20060117154309">#REF!</definedName>
    <definedName name="werwefasd" hidden="1">#REF!</definedName>
    <definedName name="wrn.ERNST." hidden="1">{#N/A,#N/A,FALSE,"YTCHAN";#N/A,#N/A,FALSE,"TOMMY";#N/A,#N/A,FALSE,"REP.OFFICE";#N/A,#N/A,FALSE,"E&amp;Y_CONSULTANT";#N/A,#N/A,FALSE,"BT &amp; CIT"}</definedName>
    <definedName name="wrn.form." hidden="1">{#N/A,#N/A,FALSE,"OffAdvance";#N/A,#N/A,FALSE,"OffExpRprt";#N/A,#N/A,FALSE,"Entertmnt";#N/A,#N/A,FALSE,"Promotion";#N/A,#N/A,FALSE,"Travelling"}</definedName>
    <definedName name="wrn.gb." hidden="1">{#N/A,#N/A,FALSE,"资产负债表";#N/A,#N/A,FALSE,"资产负债表"}</definedName>
    <definedName name="wrn.GM." hidden="1">{"capacity",#N/A,FALSE,"Guangzhou";"Volume",#N/A,FALSE,"Guangmei"}</definedName>
    <definedName name="wrn.GZ." hidden="1">{"Volume",#N/A,FALSE,"Guangzhou";"capacity",#N/A,FALSE,"Guangzhou"}</definedName>
    <definedName name="wrn.HF." hidden="1">{"capacity",#N/A,FALSE,"Hefei";"Volume",#N/A,FALSE,"Hefei"}</definedName>
    <definedName name="wrn.HZ." hidden="1">{"capacity",#N/A,FALSE,"Hangzhou";"volume",#N/A,FALSE,"Hangzhou"}</definedName>
    <definedName name="wrn.inventory._.aging." hidden="1">{#N/A,#N/A,FALSE,"PLEDGE";#N/A,#N/A,FALSE,"GLADE";#N/A,#N/A,FALSE,"GREEN BIRD";#N/A,#N/A,FALSE,"MR. MUSCLE";#N/A,#N/A,FALSE,"TOILET DUCK";#N/A,#N/A,FALSE,"Other Home Care";#N/A,#N/A,FALSE,"RED BIRD";#N/A,#N/A,FALSE,"SHANGHAI";#N/A,#N/A,FALSE,"RAID";#N/A,#N/A,FALSE,"OFF";#N/A,#N/A,FALSE,"SEAGULL";#N/A,#N/A,FALSE,"HALSA";#N/A,#N/A,FALSE,"SOFT SENSE";#N/A,#N/A,FALSE,"TOTAL"}</definedName>
    <definedName name="wrn.NJ." hidden="1">{"Volume",#N/A,FALSE,"Nanjing";"capacity",#N/A,FALSE,"Nanjing"}</definedName>
    <definedName name="wrn.Office." hidden="1">{#N/A,#N/A,FALSE,"OffAdvance";#N/A,#N/A,FALSE,"OffExpRprt";#N/A,#N/A,FALSE,"Travelling";#N/A,#N/A,FALSE,"Entertmnt";#N/A,#N/A,FALSE,"Promotion"}</definedName>
    <definedName name="wrn.REPORT." hidden="1">{#N/A,#N/A,FALSE,"Sales  total 9712";#N/A,#N/A,FALSE,"Sales  total 9712";#N/A,#N/A,FALSE,"Sales  total 9712";#N/A,#N/A,FALSE,"Sales  total 9712"}</definedName>
    <definedName name="wrn.Sales." hidden="1">{#N/A,#N/A,FALSE,"Marketing";#N/A,#N/A,FALSE,"Selling";#N/A,#N/A,FALSE,"Promotional";#N/A,#N/A,FALSE,"Advertising"}</definedName>
    <definedName name="wrn.SFS." hidden="1">{"index",#N/A,FALSE,"DRS";"a_1",#N/A,FALSE,"DRS";"a_2",#N/A,FALSE,"DRS";"b_1",#N/A,FALSE,"DRS";"b_2.b_3",#N/A,FALSE,"DRS";"b_4.b_5.b_6",#N/A,FALSE,"DRS";"b_7.b_8",#N/A,FALSE,"DRS";"b_9",#N/A,FALSE,"DRS";"b_10.b_11",#N/A,FALSE,"DRS";"b_12.b_13",#N/A,FALSE,"DRS";"b_14",#N/A,FALSE,"DRS";"b_15.b_16",#N/A,FALSE,"DRS";"b_17",#N/A,FALSE,"DRS";"b_18",#N/A,FALSE,"DRS";"c_1.c_2",#N/A,FALSE,"DRS";"d_1",#N/A,FALSE,"DRS";"e_1",#N/A,FALSE,"DRS"}</definedName>
    <definedName name="wrn.sunmicro." hidden="1">{#N/A,#N/A,FALSE,"FREEMAN";#N/A,#N/A,FALSE,"STEPHEN";#N/A,#N/A,FALSE,"VICTOR"}</definedName>
    <definedName name="wrn.voucher9703." hidden="1">{#N/A,#N/A,FALSE,"970301";#N/A,#N/A,FALSE,"970302";#N/A,#N/A,FALSE,"970303";#N/A,#N/A,FALSE,"970304";#N/A,#N/A,FALSE,"COM1";#N/A,#N/A,FALSE,"COM2"}</definedName>
    <definedName name="wrn.Xa." hidden="1">{"capcity",#N/A,FALSE,"Xiamen (chn)";"volume",#N/A,FALSE,"Xiamen (chn)"}</definedName>
    <definedName name="wrn.XN." hidden="1">{"capacity",#N/A,FALSE,"Xian";"Volume",#N/A,FALSE,"Xian"}</definedName>
    <definedName name="wrn.ZZ." hidden="1">{"Volume",#N/A,FALSE,"Zhengzhou";"capacity",#N/A,FALSE,"Zhengzhou"}</definedName>
    <definedName name="wrn.负债及权益." hidden="1">{"负债及权益",#N/A,FALSE,"TB-BS"}</definedName>
    <definedName name="wrn.现金." hidden="1">{"现金主表",#N/A,FALSE,"正式Cashflow"}</definedName>
    <definedName name="wrn.现金主表." hidden="1">{"现金主表",#N/A,FALSE,"正式Cashflow"}</definedName>
    <definedName name="wrn.资产." hidden="1">{"资产",#N/A,FALSE,"TB-BS"}</definedName>
    <definedName name="ww">#REF!</definedName>
    <definedName name="xdsdgfdh" hidden="1">#REF!</definedName>
    <definedName name="xsd" hidden="1">#REF!</definedName>
    <definedName name="XXXXXXXXXXXX" hidden="1">#REF!</definedName>
    <definedName name="xyz" hidden="1">#REF!</definedName>
    <definedName name="ye" hidden="1">#REF!</definedName>
    <definedName name="ysh1">#REF!</definedName>
    <definedName name="YYY" hidden="1">#REF!</definedName>
    <definedName name="zlfx_2001bak">#REF!</definedName>
    <definedName name="ZZZZZZZZZZZZZ" hidden="1">#REF!</definedName>
    <definedName name="报表">#REF!</definedName>
    <definedName name="备用" hidden="1">{#N/A,#N/A,FALSE,"OffAdvance";#N/A,#N/A,FALSE,"OffExpRprt";#N/A,#N/A,FALSE,"Entertmnt";#N/A,#N/A,FALSE,"Promotion";#N/A,#N/A,FALSE,"Travelling"}</definedName>
    <definedName name="本页小计">#REF!</definedName>
    <definedName name="查询1">#REF!</definedName>
    <definedName name="存货93期初">[21]企业表一!$C$7</definedName>
    <definedName name="存货93期末">[21]企业表一!$D$7</definedName>
    <definedName name="存货94期初">[21]企业表一!$E$7</definedName>
    <definedName name="存货94期末">[21]企业表一!$F$7</definedName>
    <definedName name="存货95期初">[21]企业表一!$G$7</definedName>
    <definedName name="存货95期末">[21]企业表一!$H$7</definedName>
    <definedName name="待处理固定资产净损失明细表">#REF!</definedName>
    <definedName name="短期投资_债券_明细表">#REF!</definedName>
    <definedName name="儿女">#REF!</definedName>
    <definedName name="费用" hidden="1">#REF!</definedName>
    <definedName name="辅助设备">#REF!</definedName>
    <definedName name="负债合计93期末">[21]企业表一!$D$17</definedName>
    <definedName name="负债合计94期末">[21]企业表一!$F$17</definedName>
    <definedName name="负债合计95期末">[21]企业表一!$H$17</definedName>
    <definedName name="附注德阳">{"Book1","评估表样1.xls"}</definedName>
    <definedName name="共用工程">#REF!</definedName>
    <definedName name="构造物">#REF!</definedName>
    <definedName name="固定资产变动情况表">#REF!</definedName>
    <definedName name="管理费用明细表">#REF!</definedName>
    <definedName name="合并价差明细表">#REF!</definedName>
    <definedName name="坏帐准备明细表">#REF!</definedName>
    <definedName name="汇率">#REF!</definedName>
    <definedName name="汇总">[24]资产负债表!#REF!</definedName>
    <definedName name="机器设备评估明细表">#REF!</definedName>
    <definedName name="减值追备">{"Book1","评估表样1.xls"}</definedName>
    <definedName name="借款" hidden="1">{#N/A,#N/A,FALSE,"970301";#N/A,#N/A,FALSE,"970302";#N/A,#N/A,FALSE,"970303";#N/A,#N/A,FALSE,"970304";#N/A,#N/A,FALSE,"COM1";#N/A,#N/A,FALSE,"COM2"}</definedName>
    <definedName name="净_利_润93">'[21]M-5C'!$B$24</definedName>
    <definedName name="净_利_润94">'[21]M-5C'!$D$24</definedName>
    <definedName name="净_利_润95">'[21]M-5C'!$F$24</definedName>
    <definedName name="净资产合计93期初">[21]企业表一!$C$20</definedName>
    <definedName name="净资产合计93期末">[21]企业表一!$D$20</definedName>
    <definedName name="净资产合计94期初">[21]企业表一!$E$20</definedName>
    <definedName name="净资产合计94期末">[21]企业表一!$F$20</definedName>
    <definedName name="净资产合计95期初">[21]企业表一!$G$20</definedName>
    <definedName name="净资产合计95期末">[21]企业表一!$H$20</definedName>
    <definedName name="累计折旧明细表">#REF!</definedName>
    <definedName name="利_润_总_额93">'[21]M-5A'!$B$10</definedName>
    <definedName name="利_润_总_额94">'[21]M-5A'!$C$10</definedName>
    <definedName name="利_润_总_额95">'[21]M-5A'!$D$10</definedName>
    <definedName name="流_动_资_产93">'[21]M-5A'!$B$15</definedName>
    <definedName name="流_动_资_产94">'[21]M-5A'!$C$15</definedName>
    <definedName name="流_动_资_产95">'[21]M-5A'!$D$15</definedName>
    <definedName name="流动负债93期末">[21]企业表一!$D$15</definedName>
    <definedName name="流动负债94期末">[21]企业表一!$F$15</definedName>
    <definedName name="流动负债95期末">[21]企业表一!$H$15</definedName>
    <definedName name="其他货币资金明细表">#REF!</definedName>
    <definedName name="其他未交款明细表">#REF!</definedName>
    <definedName name="其他应付款明细表">#REF!</definedName>
    <definedName name="其他应收款明细表">#REF!</definedName>
    <definedName name="其他长期债权投资明细表">#REF!</definedName>
    <definedName name="商品房">#REF!</definedName>
    <definedName name="设备">[25]设备部房屋!$C$5:$AC$108</definedName>
    <definedName name="沈玉环">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[26]资产负债表!#REF!</definedName>
    <definedName name="生产期500">[26]资产负债表!#REF!</definedName>
    <definedName name="生产期6">#REF!</definedName>
    <definedName name="生产期7">#REF!</definedName>
    <definedName name="生产期8">#REF!</definedName>
    <definedName name="生产期9">#REF!</definedName>
    <definedName name="生活福利">#REF!</definedName>
    <definedName name="试验" hidden="1">{#N/A,#N/A,FALSE,"OffAdvance";#N/A,#N/A,FALSE,"OffExpRprt";#N/A,#N/A,FALSE,"Travelling";#N/A,#N/A,FALSE,"Entertmnt";#N/A,#N/A,FALSE,"Promotion"}</definedName>
    <definedName name="收入">#REF!</definedName>
    <definedName name="速_动_资_产93">'[21]M-5A'!$B$14</definedName>
    <definedName name="速_动_资_产94">'[21]M-5A'!$C$14</definedName>
    <definedName name="速_动_资_产95">'[21]M-5A'!$D$14</definedName>
    <definedName name="投资收益明细表">#REF!</definedName>
    <definedName name="无对应明细表的报表项目">#REF!</definedName>
    <definedName name="阳平公司">#REF!</definedName>
    <definedName name="仪器仪表">#REF!</definedName>
    <definedName name="应付股利明细表">#REF!</definedName>
    <definedName name="应收货款余额表.dbf">#REF!</definedName>
    <definedName name="应收帐款93期初">[21]企业表一!$C$6</definedName>
    <definedName name="应收帐款93期末">[21]企业表一!$D$6</definedName>
    <definedName name="应收帐款94期初">[21]企业表一!$E$6</definedName>
    <definedName name="应收帐款94期末">[21]企业表一!$F$6</definedName>
    <definedName name="应收帐款95期初">[21]企业表一!$G$6</definedName>
    <definedName name="应收帐款95期末">[21]企业表一!$H$6</definedName>
    <definedName name="应手款" hidden="1">{#N/A,#N/A,FALSE,"970301";#N/A,#N/A,FALSE,"970302";#N/A,#N/A,FALSE,"970303";#N/A,#N/A,FALSE,"970304";#N/A,#N/A,FALSE,"COM1";#N/A,#N/A,FALSE,"COM2"}</definedName>
    <definedName name="应手款1月" hidden="1">{#N/A,#N/A,FALSE,"Marketing";#N/A,#N/A,FALSE,"Selling";#N/A,#N/A,FALSE,"Promotional";#N/A,#N/A,FALSE,"Advertising"}</definedName>
    <definedName name="营业费用明细账">#REF!</definedName>
    <definedName name="营业外支出明细表">#REF!</definedName>
    <definedName name="余额调节表">#REF!</definedName>
    <definedName name="预付帐款明细表">#REF!</definedName>
    <definedName name="预收">#REF!</definedName>
    <definedName name="预收货款明细表">#REF!</definedName>
    <definedName name="主要设备">'[27]K140'!#REF!</definedName>
    <definedName name="资产合计93期初">[21]企业表一!$C$14</definedName>
    <definedName name="资产合计93期末">[21]企业表一!$D$14</definedName>
    <definedName name="资产合计94期初">[21]企业表一!$E$14</definedName>
    <definedName name="资产合计94期末">[21]企业表一!$F$14</definedName>
    <definedName name="资产合计95期初">[21]企业表一!$G$14</definedName>
    <definedName name="资产合计95期末">[21]企业表一!$H$14</definedName>
    <definedName name="전">#REF!</definedName>
    <definedName name="주택사업본부">#REF!</definedName>
    <definedName name="철구사업본부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  <author>wjj526</author>
    <author>wjj</author>
  </authors>
  <commentList>
    <comment ref="A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累计GMV(福禄控股+企福)</t>
        </r>
      </text>
    </comment>
    <comment ref="F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填写累计毛利</t>
        </r>
      </text>
    </comment>
    <comment ref="P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填写累计净利润
每月截图给郎芳</t>
        </r>
      </text>
    </comment>
    <comment ref="R3" authorId="1">
      <text>
        <r>
          <rPr>
            <b/>
            <sz val="9"/>
            <rFont val="宋体"/>
            <charset val="134"/>
          </rPr>
          <t>wjj526:</t>
        </r>
        <r>
          <rPr>
            <sz val="9"/>
            <rFont val="宋体"/>
            <charset val="134"/>
          </rPr>
          <t xml:space="preserve">
Q1按照1-3月的消耗金额摊销的？
</t>
        </r>
      </text>
    </comment>
    <comment ref="R4" authorId="1">
      <text>
        <r>
          <rPr>
            <b/>
            <sz val="9"/>
            <rFont val="宋体"/>
            <charset val="134"/>
          </rPr>
          <t>wjj526:</t>
        </r>
        <r>
          <rPr>
            <sz val="9"/>
            <rFont val="宋体"/>
            <charset val="134"/>
          </rPr>
          <t xml:space="preserve">
Q1按照1-3月的消耗金额摊销的？</t>
        </r>
      </text>
    </comment>
    <comment ref="C2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赵巍的表Q列</t>
        </r>
      </text>
    </comment>
    <comment ref="H2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账面成本-佣金服务费，取损益表本年累计金额</t>
        </r>
      </text>
    </comment>
    <comment ref="J2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赵巍表企福的含税差额收入</t>
        </r>
      </text>
    </comment>
    <comment ref="C3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1-5月海客的GMV及毛利划到投资公司
</t>
        </r>
      </text>
    </comment>
    <comment ref="Q3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利润调整为汇算清缴后利润；</t>
        </r>
      </text>
    </comment>
    <comment ref="E73" authorId="1">
      <text>
        <r>
          <rPr>
            <b/>
            <sz val="9"/>
            <rFont val="宋体"/>
            <charset val="134"/>
          </rPr>
          <t>wjj526:</t>
        </r>
        <r>
          <rPr>
            <sz val="9"/>
            <rFont val="宋体"/>
            <charset val="134"/>
          </rPr>
          <t xml:space="preserve">
剔除企福计提的252万推广费（=752-500）：
福喜公司单体，预提推广费 452万；预提年终奖 300万，合计计提752万，否则福喜公司单体要缴纳205万企业所得税。
预提费用的部分中，有2-3月的233.4+244＝477.4万未发放的业务提成及少量1月提成未报销完毕的提成，累计在500万左右。</t>
        </r>
      </text>
    </comment>
    <comment ref="E74" authorId="1">
      <text>
        <r>
          <rPr>
            <b/>
            <sz val="9"/>
            <rFont val="宋体"/>
            <charset val="134"/>
          </rPr>
          <t>wjj526:</t>
        </r>
        <r>
          <rPr>
            <sz val="9"/>
            <rFont val="宋体"/>
            <charset val="134"/>
          </rPr>
          <t xml:space="preserve">
福喜公司单体，3月预提推广费 452万；预提年终奖 300万，合计计提752万；
              4月冲销预提年中间奖 300万；</t>
        </r>
      </text>
    </comment>
    <comment ref="E75" authorId="1">
      <text>
        <r>
          <rPr>
            <b/>
            <sz val="9"/>
            <rFont val="宋体"/>
            <charset val="134"/>
          </rPr>
          <t>wjj526:</t>
        </r>
        <r>
          <rPr>
            <sz val="9"/>
            <rFont val="宋体"/>
            <charset val="134"/>
          </rPr>
          <t xml:space="preserve">
福喜公司单体，3月预提推广费 452万；预提年终奖 300万，合计计提752万；
              4月冲销预提年中间奖 300万；
上海灵盟单体：截止5月亏损-561.668</t>
        </r>
      </text>
    </comment>
    <comment ref="E76" authorId="2">
      <text>
        <r>
          <rPr>
            <b/>
            <sz val="9"/>
            <rFont val="宋体"/>
            <charset val="134"/>
          </rPr>
          <t>wjj:</t>
        </r>
        <r>
          <rPr>
            <sz val="9"/>
            <rFont val="宋体"/>
            <charset val="134"/>
          </rPr>
          <t xml:space="preserve">
截止630，上海灵盟亏损-5666980.5；
襄阳福穗亏损 -651.81；</t>
        </r>
      </text>
    </comment>
    <comment ref="A9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范围：企福&amp;襄阳福穗</t>
        </r>
      </text>
    </comment>
  </commentList>
</comments>
</file>

<file path=xl/comments2.xml><?xml version="1.0" encoding="utf-8"?>
<comments xmlns="http://schemas.openxmlformats.org/spreadsheetml/2006/main">
  <authors>
    <author>Administrator</author>
  </authors>
  <commentList>
    <comment ref="C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赵巍现金流分析表里是累计净利润，需换算成月度金额</t>
        </r>
      </text>
    </comment>
    <comment ref="C1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赵巍现金流分析表里是累计净利润，需换算成月度金额</t>
        </r>
      </text>
    </comment>
    <comment ref="D1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减海客1月利润</t>
        </r>
      </text>
    </comment>
    <comment ref="E1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赵巍现金流分析表简表万元体内利润</t>
        </r>
      </text>
    </comment>
    <comment ref="G1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赵巍现金流分析表里是累计净利润，需换算成月度金额
</t>
        </r>
      </text>
    </comment>
    <comment ref="H1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5月开始体内利润不算
海客，从1月开始减掉海客</t>
        </r>
      </text>
    </comment>
  </commentList>
</comments>
</file>

<file path=xl/comments3.xml><?xml version="1.0" encoding="utf-8"?>
<comments xmlns="http://schemas.openxmlformats.org/spreadsheetml/2006/main">
  <authors>
    <author>Administrator</author>
    <author>wjj526</author>
    <author>wjj</author>
  </authors>
  <commentList>
    <comment ref="A1" authorId="0">
      <text>
        <r>
          <rPr>
            <b/>
            <sz val="9"/>
            <rFont val="宋体"/>
            <charset val="134"/>
          </rPr>
          <t xml:space="preserve">Administrator:
</t>
        </r>
        <r>
          <rPr>
            <sz val="9"/>
            <rFont val="宋体"/>
            <charset val="134"/>
          </rPr>
          <t>BI损益毛利明细表GMV非关联含税销售额</t>
        </r>
      </text>
    </comment>
    <comment ref="E34" authorId="1">
      <text>
        <r>
          <rPr>
            <b/>
            <sz val="9"/>
            <rFont val="宋体"/>
            <charset val="134"/>
          </rPr>
          <t>wjj526:</t>
        </r>
        <r>
          <rPr>
            <sz val="9"/>
            <rFont val="宋体"/>
            <charset val="134"/>
          </rPr>
          <t xml:space="preserve">
3月天猫+亿禄生活服务专营店 供货西藏福禄1350万金瓜子；</t>
        </r>
      </text>
    </comment>
    <comment ref="E35" authorId="1">
      <text>
        <r>
          <rPr>
            <b/>
            <sz val="9"/>
            <rFont val="宋体"/>
            <charset val="134"/>
          </rPr>
          <t>wjj526:</t>
        </r>
        <r>
          <rPr>
            <sz val="9"/>
            <rFont val="宋体"/>
            <charset val="134"/>
          </rPr>
          <t xml:space="preserve">
4月天猫+亿禄生活服务专营店 供货西藏福禄1250万金瓜子；
</t>
        </r>
      </text>
    </comment>
    <comment ref="E42" authorId="2">
      <text>
        <r>
          <rPr>
            <b/>
            <sz val="9"/>
            <rFont val="宋体"/>
            <charset val="134"/>
          </rPr>
          <t>wjj:</t>
        </r>
        <r>
          <rPr>
            <sz val="9"/>
            <rFont val="宋体"/>
            <charset val="134"/>
          </rPr>
          <t xml:space="preserve">
11月 天猫+亿禄生活服务专营店1600万金瓜子；</t>
        </r>
      </text>
    </comment>
    <comment ref="E50" authorId="1">
      <text>
        <r>
          <rPr>
            <b/>
            <sz val="9"/>
            <rFont val="宋体"/>
            <charset val="134"/>
          </rPr>
          <t>wjj526:</t>
        </r>
        <r>
          <rPr>
            <sz val="9"/>
            <rFont val="宋体"/>
            <charset val="134"/>
          </rPr>
          <t xml:space="preserve">
排除4月亿禄天猫店铺的金瓜子订单1230万；</t>
        </r>
      </text>
    </comment>
    <comment ref="E51" authorId="1">
      <text>
        <r>
          <rPr>
            <b/>
            <sz val="9"/>
            <rFont val="宋体"/>
            <charset val="134"/>
          </rPr>
          <t>wjj526:</t>
        </r>
        <r>
          <rPr>
            <sz val="9"/>
            <rFont val="宋体"/>
            <charset val="134"/>
          </rPr>
          <t xml:space="preserve">
排除5月亿禄天猫店铺的金瓜子订单981万；
</t>
        </r>
      </text>
    </comment>
    <comment ref="E110" authorId="1">
      <text>
        <r>
          <rPr>
            <b/>
            <sz val="9"/>
            <rFont val="宋体"/>
            <charset val="134"/>
          </rPr>
          <t>wjj526:</t>
        </r>
        <r>
          <rPr>
            <sz val="9"/>
            <rFont val="宋体"/>
            <charset val="134"/>
          </rPr>
          <t xml:space="preserve">
4月天猫+亿禄生活服务专营店 供货西藏福禄1350万金瓜子；
</t>
        </r>
      </text>
    </comment>
  </commentList>
</comments>
</file>

<file path=xl/comments4.xml><?xml version="1.0" encoding="utf-8"?>
<comments xmlns="http://schemas.openxmlformats.org/spreadsheetml/2006/main">
  <authors>
    <author>wjj526</author>
  </authors>
  <commentList>
    <comment ref="E42" authorId="0">
      <text>
        <r>
          <rPr>
            <b/>
            <sz val="9"/>
            <rFont val="宋体"/>
            <charset val="134"/>
          </rPr>
          <t>wjj526:</t>
        </r>
        <r>
          <rPr>
            <sz val="9"/>
            <rFont val="宋体"/>
            <charset val="134"/>
          </rPr>
          <t xml:space="preserve">
亿禄天猫店铺的金瓜子1230万，需要排除掉</t>
        </r>
      </text>
    </comment>
    <comment ref="E60" authorId="0">
      <text>
        <r>
          <rPr>
            <b/>
            <sz val="9"/>
            <rFont val="宋体"/>
            <charset val="134"/>
          </rPr>
          <t>wjj526:</t>
        </r>
        <r>
          <rPr>
            <sz val="9"/>
            <rFont val="宋体"/>
            <charset val="134"/>
          </rPr>
          <t xml:space="preserve">
亿禄天猫店铺的金瓜子1230万，需要排除掉</t>
        </r>
      </text>
    </comment>
  </commentList>
</comments>
</file>

<file path=xl/comments5.xml><?xml version="1.0" encoding="utf-8"?>
<comments xmlns="http://schemas.openxmlformats.org/spreadsheetml/2006/main">
  <authors>
    <author>Administrator</author>
  </authors>
  <commentList>
    <comment ref="H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每月群里收集表</t>
        </r>
      </text>
    </comment>
  </commentList>
</comments>
</file>

<file path=xl/comments6.xml><?xml version="1.0" encoding="utf-8"?>
<comments xmlns="http://schemas.openxmlformats.org/spreadsheetml/2006/main">
  <authors>
    <author>Administrator</author>
    <author>wjj526</author>
    <author>wjj</author>
  </authors>
  <commentList>
    <comment ref="A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账面销售收入+佣金-销售成本，换算1.06含税
加投资公司利润
减武汉福禄关联方推广费用抵消（当月数）
加福建财政补贴</t>
        </r>
      </text>
    </comment>
    <comment ref="I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剔除投资公司代运营（利润划拨含税部分）
博宽、海客、铭柏</t>
        </r>
      </text>
    </comment>
    <comment ref="X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2024.7起加上周口福蕊、咸宁福蕊财政补贴</t>
        </r>
      </text>
    </comment>
    <comment ref="D26" authorId="1">
      <text>
        <r>
          <rPr>
            <b/>
            <sz val="9"/>
            <rFont val="宋体"/>
            <charset val="134"/>
          </rPr>
          <t>wjj526:</t>
        </r>
        <r>
          <rPr>
            <sz val="9"/>
            <rFont val="宋体"/>
            <charset val="134"/>
          </rPr>
          <t xml:space="preserve">
芒果TV返点收入301万；
腾讯12月活动补贴调减119.45万；
搜卡爱奇艺金融代运营调增114.59万；</t>
        </r>
      </text>
    </comment>
    <comment ref="E26" authorId="1">
      <text>
        <r>
          <rPr>
            <b/>
            <sz val="9"/>
            <rFont val="宋体"/>
            <charset val="134"/>
          </rPr>
          <t>wjj526:</t>
        </r>
        <r>
          <rPr>
            <sz val="9"/>
            <rFont val="宋体"/>
            <charset val="134"/>
          </rPr>
          <t xml:space="preserve">
天猫网游店铺补销售785557.60；</t>
        </r>
      </text>
    </comment>
    <comment ref="D29" authorId="1">
      <text>
        <r>
          <rPr>
            <b/>
            <sz val="9"/>
            <rFont val="宋体"/>
            <charset val="134"/>
          </rPr>
          <t>wjj526:</t>
        </r>
        <r>
          <rPr>
            <sz val="9"/>
            <rFont val="宋体"/>
            <charset val="134"/>
          </rPr>
          <t xml:space="preserve">
加投资公司毛利（按利润口径）*1.06</t>
        </r>
      </text>
    </comment>
    <comment ref="D30" authorId="1">
      <text>
        <r>
          <rPr>
            <b/>
            <sz val="9"/>
            <rFont val="宋体"/>
            <charset val="134"/>
          </rPr>
          <t>wjj526:</t>
        </r>
        <r>
          <rPr>
            <sz val="9"/>
            <rFont val="宋体"/>
            <charset val="134"/>
          </rPr>
          <t xml:space="preserve">
加投资公司毛利（按利润口径）*1.06</t>
        </r>
      </text>
    </comment>
    <comment ref="D31" authorId="1">
      <text>
        <r>
          <rPr>
            <b/>
            <sz val="9"/>
            <rFont val="宋体"/>
            <charset val="134"/>
          </rPr>
          <t>wjj526:</t>
        </r>
        <r>
          <rPr>
            <sz val="9"/>
            <rFont val="宋体"/>
            <charset val="134"/>
          </rPr>
          <t xml:space="preserve">
加投资公司毛利（按利润口径）*1.06</t>
        </r>
      </text>
    </comment>
    <comment ref="J32" authorId="1">
      <text>
        <r>
          <rPr>
            <b/>
            <sz val="9"/>
            <rFont val="宋体"/>
            <charset val="134"/>
          </rPr>
          <t>wjj526:</t>
        </r>
        <r>
          <rPr>
            <sz val="9"/>
            <rFont val="宋体"/>
            <charset val="134"/>
          </rPr>
          <t xml:space="preserve">
调减了6月份投资公司利润转到体内部分；
仅调整毛利，不影响利润；</t>
        </r>
      </text>
    </comment>
    <comment ref="J34" authorId="1">
      <text>
        <r>
          <rPr>
            <b/>
            <sz val="9"/>
            <rFont val="宋体"/>
            <charset val="134"/>
          </rPr>
          <t>wjj526:</t>
        </r>
        <r>
          <rPr>
            <sz val="9"/>
            <rFont val="宋体"/>
            <charset val="134"/>
          </rPr>
          <t xml:space="preserve">
剔除8月投资公司转移利润；仅影响毛利，不影响利润；</t>
        </r>
      </text>
    </comment>
    <comment ref="X34" authorId="1">
      <text>
        <r>
          <rPr>
            <b/>
            <sz val="9"/>
            <rFont val="宋体"/>
            <charset val="134"/>
          </rPr>
          <t>wjj526:</t>
        </r>
        <r>
          <rPr>
            <sz val="9"/>
            <rFont val="宋体"/>
            <charset val="134"/>
          </rPr>
          <t xml:space="preserve">
剔除8月份弥补的投资公司亏损；</t>
        </r>
      </text>
    </comment>
    <comment ref="Z34" authorId="1">
      <text>
        <r>
          <rPr>
            <b/>
            <sz val="9"/>
            <rFont val="宋体"/>
            <charset val="134"/>
          </rPr>
          <t>wjj526:</t>
        </r>
        <r>
          <rPr>
            <sz val="9"/>
            <rFont val="宋体"/>
            <charset val="134"/>
          </rPr>
          <t xml:space="preserve">
剔除8月份弥补的投资公司亏损；
</t>
        </r>
      </text>
    </comment>
    <comment ref="AA34" authorId="1">
      <text>
        <r>
          <rPr>
            <b/>
            <sz val="9"/>
            <rFont val="宋体"/>
            <charset val="134"/>
          </rPr>
          <t>wjj526:</t>
        </r>
        <r>
          <rPr>
            <sz val="9"/>
            <rFont val="宋体"/>
            <charset val="134"/>
          </rPr>
          <t xml:space="preserve">
剔除8月确认的湖南湖禄转移的利润；</t>
        </r>
      </text>
    </comment>
    <comment ref="S36" authorId="1">
      <text>
        <r>
          <rPr>
            <b/>
            <sz val="9"/>
            <rFont val="宋体"/>
            <charset val="134"/>
          </rPr>
          <t>wjj526:</t>
        </r>
        <r>
          <rPr>
            <sz val="9"/>
            <rFont val="宋体"/>
            <charset val="134"/>
          </rPr>
          <t xml:space="preserve">
武汉天识：社交电商中心-葫芦联盟推广请款支出；</t>
        </r>
      </text>
    </comment>
    <comment ref="Z36" authorId="1">
      <text>
        <r>
          <rPr>
            <b/>
            <sz val="9"/>
            <rFont val="宋体"/>
            <charset val="134"/>
          </rPr>
          <t>wjj526:</t>
        </r>
        <r>
          <rPr>
            <sz val="9"/>
            <rFont val="宋体"/>
            <charset val="134"/>
          </rPr>
          <t xml:space="preserve">
剔除10月份弥补的投资公司亏损；</t>
        </r>
      </text>
    </comment>
    <comment ref="AA36" authorId="1">
      <text>
        <r>
          <rPr>
            <b/>
            <sz val="9"/>
            <rFont val="宋体"/>
            <charset val="134"/>
          </rPr>
          <t>wjj526:</t>
        </r>
        <r>
          <rPr>
            <sz val="9"/>
            <rFont val="宋体"/>
            <charset val="134"/>
          </rPr>
          <t xml:space="preserve">
剔除10月确认的灵时云（苏州）转移的利润；
</t>
        </r>
      </text>
    </comment>
    <comment ref="J37" authorId="1">
      <text>
        <r>
          <rPr>
            <b/>
            <sz val="9"/>
            <rFont val="宋体"/>
            <charset val="134"/>
          </rPr>
          <t>wjj526:</t>
        </r>
        <r>
          <rPr>
            <sz val="9"/>
            <rFont val="宋体"/>
            <charset val="134"/>
          </rPr>
          <t xml:space="preserve">
4817798.29,调整博宽收入商品大类，从手游调整到“网娱”；</t>
        </r>
      </text>
    </comment>
    <comment ref="L37" authorId="1">
      <text>
        <r>
          <rPr>
            <b/>
            <sz val="9"/>
            <rFont val="宋体"/>
            <charset val="134"/>
          </rPr>
          <t>wjj526:</t>
        </r>
        <r>
          <rPr>
            <sz val="9"/>
            <rFont val="宋体"/>
            <charset val="134"/>
          </rPr>
          <t xml:space="preserve">
1、4817798.29,调整博宽收入商品大类，从手游调整到“网娱”；
</t>
        </r>
      </text>
    </comment>
    <comment ref="S37" authorId="1">
      <text>
        <r>
          <rPr>
            <b/>
            <sz val="9"/>
            <rFont val="宋体"/>
            <charset val="134"/>
          </rPr>
          <t>wjj526:</t>
        </r>
        <r>
          <rPr>
            <sz val="9"/>
            <rFont val="宋体"/>
            <charset val="134"/>
          </rPr>
          <t xml:space="preserve">
推广大使成本</t>
        </r>
      </text>
    </comment>
    <comment ref="T37" authorId="1">
      <text>
        <r>
          <rPr>
            <b/>
            <sz val="9"/>
            <rFont val="宋体"/>
            <charset val="134"/>
          </rPr>
          <t>wjj526:</t>
        </r>
        <r>
          <rPr>
            <sz val="9"/>
            <rFont val="宋体"/>
            <charset val="134"/>
          </rPr>
          <t xml:space="preserve">
冲销平安收入重复多计算140260；</t>
        </r>
      </text>
    </comment>
    <comment ref="AA37" authorId="1">
      <text>
        <r>
          <rPr>
            <b/>
            <sz val="9"/>
            <rFont val="宋体"/>
            <charset val="134"/>
          </rPr>
          <t>wjj526:</t>
        </r>
        <r>
          <rPr>
            <sz val="9"/>
            <rFont val="宋体"/>
            <charset val="134"/>
          </rPr>
          <t xml:space="preserve">
FP收取服务费；</t>
        </r>
      </text>
    </comment>
    <comment ref="L38" authorId="1">
      <text>
        <r>
          <rPr>
            <b/>
            <sz val="9"/>
            <rFont val="宋体"/>
            <charset val="134"/>
          </rPr>
          <t xml:space="preserve">wjj526:
</t>
        </r>
        <r>
          <rPr>
            <sz val="9"/>
            <rFont val="宋体"/>
            <charset val="134"/>
          </rPr>
          <t>剔除12月投资公司利润；</t>
        </r>
      </text>
    </comment>
    <comment ref="M38" authorId="1">
      <text>
        <r>
          <rPr>
            <b/>
            <sz val="9"/>
            <rFont val="宋体"/>
            <charset val="134"/>
          </rPr>
          <t>wjj526:</t>
        </r>
        <r>
          <rPr>
            <sz val="9"/>
            <rFont val="宋体"/>
            <charset val="134"/>
          </rPr>
          <t xml:space="preserve">
11-12月大博恩代运营成本，错误计入“生活服务”194385.3；</t>
        </r>
      </text>
    </comment>
    <comment ref="Z38" authorId="1">
      <text>
        <r>
          <rPr>
            <b/>
            <sz val="9"/>
            <rFont val="宋体"/>
            <charset val="134"/>
          </rPr>
          <t>wjj526:</t>
        </r>
        <r>
          <rPr>
            <sz val="9"/>
            <rFont val="宋体"/>
            <charset val="134"/>
          </rPr>
          <t xml:space="preserve">
剔除11-12月投资公司利润亏损；</t>
        </r>
      </text>
    </comment>
    <comment ref="AA38" authorId="1">
      <text>
        <r>
          <rPr>
            <b/>
            <sz val="9"/>
            <rFont val="宋体"/>
            <charset val="134"/>
          </rPr>
          <t>wjj526:</t>
        </r>
        <r>
          <rPr>
            <sz val="9"/>
            <rFont val="宋体"/>
            <charset val="134"/>
          </rPr>
          <t xml:space="preserve">
1、剔除11-12月灵时/18.9万；
2、湖北银联云闪付立减金平台服务费79.8万；
3、杭州纽拜分佣1.4万；
4、永辉超市平台服务费分佣46183.9；</t>
        </r>
      </text>
    </comment>
    <comment ref="Z43" authorId="1">
      <text>
        <r>
          <rPr>
            <b/>
            <sz val="9"/>
            <rFont val="宋体"/>
            <charset val="134"/>
          </rPr>
          <t>wjj526:</t>
        </r>
        <r>
          <rPr>
            <sz val="9"/>
            <rFont val="宋体"/>
            <charset val="134"/>
          </rPr>
          <t xml:space="preserve">
4-5月新疆福禄娃支付创想100万；</t>
        </r>
      </text>
    </comment>
    <comment ref="AA43" authorId="1">
      <text>
        <r>
          <rPr>
            <b/>
            <sz val="9"/>
            <rFont val="宋体"/>
            <charset val="134"/>
          </rPr>
          <t>wjj526:</t>
        </r>
        <r>
          <rPr>
            <sz val="9"/>
            <rFont val="宋体"/>
            <charset val="134"/>
          </rPr>
          <t xml:space="preserve">
元气森林104万-93.6万=10.4万；
福穗的经纪服务收入毛利16.5万；</t>
        </r>
      </text>
    </comment>
    <comment ref="E50" authorId="2">
      <text>
        <r>
          <rPr>
            <b/>
            <sz val="9"/>
            <rFont val="宋体"/>
            <charset val="134"/>
          </rPr>
          <t>wjj:</t>
        </r>
        <r>
          <rPr>
            <sz val="9"/>
            <rFont val="宋体"/>
            <charset val="134"/>
          </rPr>
          <t xml:space="preserve">
12月确认平台券残值收益：9253417.11</t>
        </r>
      </text>
    </comment>
    <comment ref="D5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加投资公司利润</t>
        </r>
      </text>
    </comment>
    <comment ref="L5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减掉利润划拨：海客博宽铭柏代运营收入含税</t>
        </r>
      </text>
    </comment>
    <comment ref="Z5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剔除西藏对四川云时47万的返佣补贴</t>
        </r>
      </text>
    </comment>
    <comment ref="S5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有推广收入抵消</t>
        </r>
      </text>
    </comment>
    <comment ref="Z5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剔除西藏福禄对南京梦橙平台服务成本</t>
        </r>
      </text>
    </comment>
    <comment ref="E5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2024.7起加上福建财政补贴</t>
        </r>
      </text>
    </comment>
    <comment ref="D5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24.8月武汉福禄API支付会员佣金从费用调整到成本，678.19万，其中23年320万</t>
        </r>
      </text>
    </comment>
    <comment ref="Z5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剔除API蚂蚁会员费用，调到代理收入毛利</t>
        </r>
      </text>
    </comment>
    <comment ref="Z5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搜卡计提海客平台服务45万</t>
        </r>
      </text>
    </comment>
    <comment ref="AA62" authorId="2">
      <text>
        <r>
          <rPr>
            <b/>
            <sz val="9"/>
            <rFont val="宋体"/>
            <charset val="134"/>
          </rPr>
          <t>wjj:</t>
        </r>
        <r>
          <rPr>
            <sz val="9"/>
            <rFont val="宋体"/>
            <charset val="134"/>
          </rPr>
          <t xml:space="preserve">
萌桃返佣补贴428万调整到订单收入；</t>
        </r>
      </text>
    </comment>
    <comment ref="E6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182241.39:联通沃百富项目推广成本，1月商品大类计提为“生活服务”；</t>
        </r>
      </text>
    </comment>
    <comment ref="Z6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API蚂蚁会员费用;</t>
        </r>
      </text>
    </comment>
    <comment ref="E6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加上葫芦藤-客户发展中心净利润377.647；</t>
        </r>
      </text>
    </comment>
    <comment ref="AA68" authorId="0">
      <text>
        <r>
          <rPr>
            <b/>
            <sz val="9"/>
            <rFont val="宋体"/>
            <charset val="134"/>
          </rPr>
          <t xml:space="preserve">Administrator:
</t>
        </r>
        <r>
          <rPr>
            <sz val="9"/>
            <rFont val="宋体"/>
            <charset val="134"/>
          </rPr>
          <t>加上葫芦藤-灵活用工项目-推广利润38.674*1.06；</t>
        </r>
      </text>
    </comment>
    <comment ref="B7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新疆福禄注销，确认增值税留抵税损321万；</t>
        </r>
      </text>
    </comment>
    <comment ref="B7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手游苹果卡负数收入调整11608600.18；</t>
        </r>
      </text>
    </comment>
    <comment ref="AP8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业务毛利+佣金服务费</t>
        </r>
      </text>
    </comment>
    <comment ref="C12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税收补贴缴纳增值税</t>
        </r>
      </text>
    </comment>
    <comment ref="C141" authorId="2">
      <text>
        <r>
          <rPr>
            <b/>
            <sz val="9"/>
            <rFont val="宋体"/>
            <charset val="134"/>
          </rPr>
          <t>wjj:</t>
        </r>
        <r>
          <rPr>
            <sz val="9"/>
            <rFont val="宋体"/>
            <charset val="134"/>
          </rPr>
          <t xml:space="preserve">
23年11月-24年5月支付宝学生频道上线商品线下结算坑位费5.5%</t>
        </r>
      </text>
    </comment>
    <comment ref="B190" authorId="0">
      <text>
        <r>
          <rPr>
            <b/>
            <sz val="9"/>
            <rFont val="宋体"/>
            <charset val="134"/>
          </rPr>
          <t xml:space="preserve">Administrator:
</t>
        </r>
        <r>
          <rPr>
            <sz val="9"/>
            <rFont val="宋体"/>
            <charset val="134"/>
          </rPr>
          <t>1月计提的订单收入在“生活服务”，推广成本在“通信”；</t>
        </r>
      </text>
    </comment>
  </commentList>
</comments>
</file>

<file path=xl/comments7.xml><?xml version="1.0" encoding="utf-8"?>
<comments xmlns="http://schemas.openxmlformats.org/spreadsheetml/2006/main">
  <authors>
    <author>wjj</author>
    <author>Administrator</author>
    <author>wjj526</author>
  </authors>
  <commentList>
    <comment ref="B3" authorId="0">
      <text>
        <r>
          <rPr>
            <b/>
            <sz val="9"/>
            <rFont val="宋体"/>
            <charset val="134"/>
          </rPr>
          <t>wjj:</t>
        </r>
        <r>
          <rPr>
            <sz val="9"/>
            <rFont val="宋体"/>
            <charset val="134"/>
          </rPr>
          <t xml:space="preserve">
剔除API蚂蚁会员5.5%渠道费用</t>
        </r>
      </text>
    </comment>
    <comment ref="Z3" authorId="0">
      <text>
        <r>
          <rPr>
            <b/>
            <sz val="9"/>
            <rFont val="宋体"/>
            <charset val="134"/>
          </rPr>
          <t>wjj:</t>
        </r>
        <r>
          <rPr>
            <sz val="9"/>
            <rFont val="宋体"/>
            <charset val="134"/>
          </rPr>
          <t xml:space="preserve">
剔除API蚂蚁会员5.5%渠道费用</t>
        </r>
      </text>
    </comment>
    <comment ref="D15" authorId="1">
      <text/>
    </comment>
    <comment ref="E21" authorId="0">
      <text>
        <r>
          <rPr>
            <b/>
            <sz val="9"/>
            <rFont val="宋体"/>
            <charset val="134"/>
          </rPr>
          <t>wjj:</t>
        </r>
        <r>
          <rPr>
            <sz val="9"/>
            <rFont val="宋体"/>
            <charset val="134"/>
          </rPr>
          <t xml:space="preserve">
加福建财政补贴</t>
        </r>
      </text>
    </comment>
    <comment ref="AC21" authorId="0">
      <text>
        <r>
          <rPr>
            <b/>
            <sz val="9"/>
            <rFont val="宋体"/>
            <charset val="134"/>
          </rPr>
          <t>wjj:</t>
        </r>
        <r>
          <rPr>
            <sz val="9"/>
            <rFont val="宋体"/>
            <charset val="134"/>
          </rPr>
          <t xml:space="preserve">
加福建财政补贴</t>
        </r>
      </text>
    </comment>
    <comment ref="AL26" authorId="2">
      <text>
        <r>
          <rPr>
            <b/>
            <sz val="9"/>
            <rFont val="宋体"/>
            <charset val="134"/>
          </rPr>
          <t>wjj526:</t>
        </r>
        <r>
          <rPr>
            <sz val="9"/>
            <rFont val="宋体"/>
            <charset val="134"/>
          </rPr>
          <t xml:space="preserve">
财付通立减金、支付宝立减金税损490.88万，换算成含税金额520万；</t>
        </r>
      </text>
    </comment>
    <comment ref="AK27" authorId="2">
      <text>
        <r>
          <rPr>
            <b/>
            <sz val="9"/>
            <rFont val="宋体"/>
            <charset val="134"/>
          </rPr>
          <t>wjj526:</t>
        </r>
        <r>
          <rPr>
            <sz val="9"/>
            <rFont val="宋体"/>
            <charset val="134"/>
          </rPr>
          <t xml:space="preserve">
1、肯德基冲减20年8月份残值收入1534098；
2、咖世家咖啡（上海）亏损52万；
3、肯德基券销售上海荣数信息3700万，计提税损209万，整个项目亏损92.6万；
   （6月销售3805万，计提税损215万，确认残值收入13万）</t>
        </r>
      </text>
    </comment>
    <comment ref="AL30" authorId="2">
      <text>
        <r>
          <rPr>
            <b/>
            <sz val="9"/>
            <rFont val="宋体"/>
            <charset val="134"/>
          </rPr>
          <t>wjj526:</t>
        </r>
        <r>
          <rPr>
            <sz val="9"/>
            <rFont val="宋体"/>
            <charset val="134"/>
          </rPr>
          <t xml:space="preserve">
冲销第三方+福禄虚拟充值收入-855837.09；
</t>
        </r>
      </text>
    </comment>
    <comment ref="S33" authorId="1">
      <text/>
    </comment>
  </commentList>
</comments>
</file>

<file path=xl/comments8.xml><?xml version="1.0" encoding="utf-8"?>
<comments xmlns="http://schemas.openxmlformats.org/spreadsheetml/2006/main">
  <authors>
    <author>Administrator</author>
  </authors>
  <commentList>
    <comment ref="L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供应商合计毛利排序</t>
        </r>
      </text>
    </comment>
    <comment ref="S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百度25年1-12月千川推广支出12565972.88； 
24年推广1383593.91；</t>
        </r>
      </text>
    </comment>
    <comment ref="S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瑞幸千川25年1-12月推广：2661417.17
24年推广：115445.55</t>
        </r>
      </text>
    </comment>
    <comment ref="A1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毛利收入组成AH列</t>
        </r>
      </text>
    </comment>
  </commentList>
</comments>
</file>

<file path=xl/sharedStrings.xml><?xml version="1.0" encoding="utf-8"?>
<sst xmlns="http://schemas.openxmlformats.org/spreadsheetml/2006/main" count="2381" uniqueCount="467">
  <si>
    <t>规模</t>
  </si>
  <si>
    <t>结构</t>
  </si>
  <si>
    <t>品类</t>
  </si>
  <si>
    <t>品牌</t>
  </si>
  <si>
    <t>1、21年-22年商品大类增长波动</t>
  </si>
  <si>
    <t>年份</t>
  </si>
  <si>
    <t>游戏</t>
  </si>
  <si>
    <t>通信</t>
  </si>
  <si>
    <t>网娱</t>
  </si>
  <si>
    <t>合计</t>
  </si>
  <si>
    <t>2、21年-22年网娱、生活服务增长波动</t>
  </si>
  <si>
    <t>3、品牌趋势波动，是否针对网娱、生活服务--22年数据波动做分析</t>
  </si>
  <si>
    <t>网娱品牌</t>
  </si>
  <si>
    <t>影视会员、音频、视频直播、知识阅读</t>
  </si>
  <si>
    <t>生活服务</t>
  </si>
  <si>
    <t>加油卡、网络工具、出行生活、餐饮、购物（优惠劵）、其他</t>
  </si>
  <si>
    <t>1、收入构成</t>
  </si>
  <si>
    <t>代理</t>
  </si>
  <si>
    <t>虚拟商品采销差额收入+返点</t>
  </si>
  <si>
    <t>分商品大类-20年-22年</t>
  </si>
  <si>
    <t>增值代运营</t>
  </si>
  <si>
    <t>代运营收入</t>
  </si>
  <si>
    <t>分商品大类-需要提供21年GMV</t>
  </si>
  <si>
    <t>推广收入</t>
  </si>
  <si>
    <t>2、品类毛利21年-22年</t>
  </si>
  <si>
    <t>依赖第一条数据提供商品大类可以出</t>
  </si>
  <si>
    <t>3、四大品类毛利/gmv</t>
  </si>
  <si>
    <t>4、成长性品牌的毛利分析</t>
  </si>
  <si>
    <t>5、供应商毛利波动（前10）</t>
  </si>
  <si>
    <t>GMV</t>
  </si>
  <si>
    <t>毛利收入（含税）</t>
  </si>
  <si>
    <t>净利润</t>
  </si>
  <si>
    <t>毛利率</t>
  </si>
  <si>
    <t>净利润率</t>
  </si>
  <si>
    <t>当月净利润</t>
  </si>
  <si>
    <t>子公司提交资料</t>
  </si>
  <si>
    <t>月份累计</t>
  </si>
  <si>
    <t>上市公司</t>
  </si>
  <si>
    <t>投资公司</t>
  </si>
  <si>
    <t>小计</t>
  </si>
  <si>
    <t>佣金手续费（元）（账面不含税金额）</t>
  </si>
  <si>
    <t>佣金手续费（含税）</t>
  </si>
  <si>
    <t>体内项目-衍生公司</t>
  </si>
  <si>
    <t>跨期返利(含税）</t>
  </si>
  <si>
    <t>上市公司-扣除佣金手续费后、调整跨期返利后毛利收入</t>
  </si>
  <si>
    <t>集团小计</t>
  </si>
  <si>
    <t>上市公司（审计口径）</t>
  </si>
  <si>
    <t>跨期返利</t>
  </si>
  <si>
    <t>H1项目分红</t>
  </si>
  <si>
    <t>H1导师分红</t>
  </si>
  <si>
    <t>西藏福禄确认的上海灵盟投资损失</t>
  </si>
  <si>
    <t>上市公司调整后净利润小计</t>
  </si>
  <si>
    <t>投资公司调整前</t>
  </si>
  <si>
    <t>月份</t>
  </si>
  <si>
    <t>上市公司当月利润（核算）（元）</t>
  </si>
  <si>
    <t>调整跨期返利收入（元）</t>
  </si>
  <si>
    <t>调整投资公司(万元）</t>
  </si>
  <si>
    <t>项目</t>
  </si>
  <si>
    <t>毛利</t>
  </si>
  <si>
    <t>净利润（决算口径）</t>
  </si>
  <si>
    <t>净利润（核算口径）</t>
  </si>
  <si>
    <t>灵工平台中心</t>
  </si>
  <si>
    <t>海外权益中心</t>
  </si>
  <si>
    <t>游戏生态电商中心</t>
  </si>
  <si>
    <t>占比</t>
  </si>
  <si>
    <t>同期变动</t>
  </si>
  <si>
    <t>变动比例</t>
  </si>
  <si>
    <t>体内项目--衍生公司</t>
  </si>
  <si>
    <t>收入（差额）-含税金额</t>
  </si>
  <si>
    <t>收入（差额）-不含税金额</t>
  </si>
  <si>
    <t>利润</t>
  </si>
  <si>
    <t>上海灵盟处置收益</t>
  </si>
  <si>
    <t>2025年</t>
  </si>
  <si>
    <t>类别</t>
  </si>
  <si>
    <t>葫芦藤体内项目毛利</t>
  </si>
  <si>
    <t>累计净利润</t>
  </si>
  <si>
    <t>1月利润</t>
  </si>
  <si>
    <t>2月利润</t>
  </si>
  <si>
    <t>3月利润</t>
  </si>
  <si>
    <t>4月利润</t>
  </si>
  <si>
    <t>5月利润</t>
  </si>
  <si>
    <t>6月利润</t>
  </si>
  <si>
    <t>7月利润</t>
  </si>
  <si>
    <t>8月利润</t>
  </si>
  <si>
    <t>9月利润</t>
  </si>
  <si>
    <t>10月利润</t>
  </si>
  <si>
    <t>11月利润</t>
  </si>
  <si>
    <t>12月利润</t>
  </si>
  <si>
    <t>1、手游</t>
  </si>
  <si>
    <t>游戏直播</t>
  </si>
  <si>
    <t>2、网游</t>
  </si>
  <si>
    <t>3、通信</t>
  </si>
  <si>
    <t>4、网娱</t>
  </si>
  <si>
    <t>渠道线&amp;游戏电商&amp;直播中心</t>
  </si>
  <si>
    <t>5、生活服务</t>
  </si>
  <si>
    <t>客户发展&amp;灵活用工项目-推广</t>
  </si>
  <si>
    <t>含税金额</t>
  </si>
  <si>
    <t>2024年</t>
  </si>
  <si>
    <t>调整博宽&amp;黄石福桃等渠道电商毛利</t>
  </si>
  <si>
    <t>2023年</t>
  </si>
  <si>
    <t>SP0001-网游</t>
  </si>
  <si>
    <t>SP0005-手游</t>
  </si>
  <si>
    <t>SP0002-通信</t>
  </si>
  <si>
    <t>SP0003-网娱</t>
  </si>
  <si>
    <t>SP0004-卡劵</t>
  </si>
  <si>
    <t>SP0006-生活服务</t>
  </si>
  <si>
    <t>总计（含税）</t>
  </si>
  <si>
    <t>体内公司GMV</t>
  </si>
  <si>
    <t>2025年GMV</t>
  </si>
  <si>
    <t>2024年GMV</t>
  </si>
  <si>
    <t>同期增长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</si>
  <si>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</si>
  <si>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</si>
  <si>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</si>
  <si>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</si>
  <si>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</si>
  <si>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</si>
  <si>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</si>
  <si>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</si>
  <si>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</si>
  <si>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</si>
  <si>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</si>
  <si>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</si>
  <si>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合计（亿元）</t>
  </si>
  <si>
    <t>累计数贴PPT37</t>
  </si>
  <si>
    <t>商品大类</t>
  </si>
  <si>
    <t>变动额</t>
  </si>
  <si>
    <t>变动率</t>
  </si>
  <si>
    <t>网游</t>
  </si>
  <si>
    <t>手游</t>
  </si>
  <si>
    <t>总计（万元）</t>
  </si>
  <si>
    <t>2022年</t>
  </si>
  <si>
    <t>2021年</t>
  </si>
  <si>
    <t>GMV交易</t>
  </si>
  <si>
    <t>关联交易</t>
  </si>
  <si>
    <t>总交易</t>
  </si>
  <si>
    <t>关联交易占比</t>
  </si>
  <si>
    <t>GMV交易占比</t>
  </si>
  <si>
    <t>平台</t>
  </si>
  <si>
    <t>平台GMV占比</t>
  </si>
  <si>
    <t>福禄开放平台</t>
  </si>
  <si>
    <t>TOB</t>
  </si>
  <si>
    <t>福游云平台</t>
  </si>
  <si>
    <t>京东</t>
  </si>
  <si>
    <t>TOB平台</t>
  </si>
  <si>
    <t>天猫</t>
  </si>
  <si>
    <t>拼多多</t>
  </si>
  <si>
    <t>支付宝小程序</t>
  </si>
  <si>
    <t>抖快</t>
  </si>
  <si>
    <t>其他</t>
  </si>
  <si>
    <t>抖音</t>
  </si>
  <si>
    <t>快手</t>
  </si>
  <si>
    <t>微信</t>
  </si>
  <si>
    <t>渠道大类</t>
  </si>
  <si>
    <t>第三方B2B2C</t>
  </si>
  <si>
    <t>合计（万元）</t>
  </si>
  <si>
    <t>TOC</t>
  </si>
  <si>
    <t>验算</t>
  </si>
  <si>
    <t>第三方平台</t>
  </si>
  <si>
    <t>充值频道</t>
  </si>
  <si>
    <t>百度小程序</t>
  </si>
  <si>
    <t>mall商城</t>
  </si>
  <si>
    <t>合计(单位：万元）</t>
  </si>
  <si>
    <t>变动</t>
  </si>
  <si>
    <t>短信分销平台</t>
  </si>
  <si>
    <t>苏宁</t>
  </si>
  <si>
    <t>福禄云平台</t>
  </si>
  <si>
    <t>福禄APP</t>
  </si>
  <si>
    <t>APP</t>
  </si>
  <si>
    <t>G库</t>
  </si>
  <si>
    <t>2020年</t>
  </si>
  <si>
    <t>开放平台</t>
  </si>
  <si>
    <t>IOS苹果卡</t>
  </si>
  <si>
    <t>短信平台</t>
  </si>
  <si>
    <t>线下销售</t>
  </si>
  <si>
    <t>支撑分析数据</t>
  </si>
  <si>
    <t>代理商品大类</t>
  </si>
  <si>
    <t>代运营GMV</t>
  </si>
  <si>
    <t>合计（单位：万元）</t>
  </si>
  <si>
    <t>代理GMV年度累计</t>
  </si>
  <si>
    <t>22.1月累计</t>
  </si>
  <si>
    <t>22.2月累计</t>
  </si>
  <si>
    <t>22.3月累计</t>
  </si>
  <si>
    <t>22.4月累计</t>
  </si>
  <si>
    <t>22.5月累计</t>
  </si>
  <si>
    <t>22.6月累计</t>
  </si>
  <si>
    <t>22.7月累计</t>
  </si>
  <si>
    <t>22.8月累计</t>
  </si>
  <si>
    <t>22.9月累计</t>
  </si>
  <si>
    <t>22.10月累计</t>
  </si>
  <si>
    <t>22.11月累计</t>
  </si>
  <si>
    <t>22.12月累计</t>
  </si>
  <si>
    <t>23.1月累计</t>
  </si>
  <si>
    <t>23.2月累计</t>
  </si>
  <si>
    <t>23.3月累计</t>
  </si>
  <si>
    <t>23.4月累计</t>
  </si>
  <si>
    <t>23.5月累计</t>
  </si>
  <si>
    <t>23.6月累计</t>
  </si>
  <si>
    <t>23.7月累计</t>
  </si>
  <si>
    <t>23.8月累计</t>
  </si>
  <si>
    <t>23.9月累计</t>
  </si>
  <si>
    <t>23.10月累计</t>
  </si>
  <si>
    <t>23.11月累计</t>
  </si>
  <si>
    <t>23.12月累计</t>
  </si>
  <si>
    <t>24.1月累计</t>
  </si>
  <si>
    <t>24.2月累计</t>
  </si>
  <si>
    <t>24.3月累计</t>
  </si>
  <si>
    <t>24.4月累计</t>
  </si>
  <si>
    <t>24.5月累计</t>
  </si>
  <si>
    <t>24.6月累计</t>
  </si>
  <si>
    <t>24.7月累计</t>
  </si>
  <si>
    <t>24.8月累计</t>
  </si>
  <si>
    <t>24.9月累计</t>
  </si>
  <si>
    <t>24.10月累计</t>
  </si>
  <si>
    <t>24.11月累计</t>
  </si>
  <si>
    <t>24.12月累计</t>
  </si>
  <si>
    <t>25.1月累计</t>
  </si>
  <si>
    <t>25.2月累计</t>
  </si>
  <si>
    <t>25.3月累计</t>
  </si>
  <si>
    <t>25.4月累计</t>
  </si>
  <si>
    <t>25.5月累计</t>
  </si>
  <si>
    <t>25.6月累计</t>
  </si>
  <si>
    <t>25.7月累计</t>
  </si>
  <si>
    <t>25.8月累计</t>
  </si>
  <si>
    <t>25.9月累计</t>
  </si>
  <si>
    <t>25.10月累计</t>
  </si>
  <si>
    <t>25.11月累计</t>
  </si>
  <si>
    <t>25.12月累计</t>
  </si>
  <si>
    <t>2020.1-本月</t>
  </si>
  <si>
    <t>2021.1-本月</t>
  </si>
  <si>
    <t>2022.1-本月</t>
  </si>
  <si>
    <t>2023.1-本月</t>
  </si>
  <si>
    <t>2024.1-本月</t>
  </si>
  <si>
    <t>2025.1-本月</t>
  </si>
  <si>
    <t>20年占比</t>
  </si>
  <si>
    <t>21年占比</t>
  </si>
  <si>
    <t>22年占比</t>
  </si>
  <si>
    <t>23年占比</t>
  </si>
  <si>
    <t>24年占比</t>
  </si>
  <si>
    <t>25年占比</t>
  </si>
  <si>
    <t>增长</t>
  </si>
  <si>
    <t>增长比率</t>
  </si>
  <si>
    <t>3、品牌趋势波动，针对网娱、生活服务--22年数据波动做分析（分月）-只针对代理收入（订单差额收入+返点）</t>
  </si>
  <si>
    <t>品牌分类</t>
  </si>
  <si>
    <t>求和项:调整后gmv</t>
  </si>
  <si>
    <t>万元</t>
  </si>
  <si>
    <t>网娱-GMV</t>
  </si>
  <si>
    <t>生活-餐饮</t>
  </si>
  <si>
    <t>网娱-影视会员</t>
  </si>
  <si>
    <t>网娱-音频</t>
  </si>
  <si>
    <t>网娱-视频直播</t>
  </si>
  <si>
    <t>网娱-知识阅读</t>
  </si>
  <si>
    <t>网娱-网络工具</t>
  </si>
  <si>
    <t>网娱-其他</t>
  </si>
  <si>
    <t>check</t>
  </si>
  <si>
    <t>生活-出行旅游</t>
  </si>
  <si>
    <t>生活-购物（优惠劵）</t>
  </si>
  <si>
    <t>生活-加油卡</t>
  </si>
  <si>
    <t>生活-健身</t>
  </si>
  <si>
    <t>生活-其他</t>
  </si>
  <si>
    <t>总计</t>
  </si>
  <si>
    <t>22年</t>
  </si>
  <si>
    <t>21年</t>
  </si>
  <si>
    <t>生活服务-GMV</t>
  </si>
  <si>
    <t>生活-立减金</t>
  </si>
  <si>
    <t>12月-调整后</t>
  </si>
  <si>
    <t>代理收入（虚拟商品充值差额收入+返点）</t>
  </si>
  <si>
    <t>增值代运营收入</t>
  </si>
  <si>
    <t>推广收入：按总额反映GMV，按差额反映收入</t>
  </si>
  <si>
    <t>经纪服务+平台服务+游戏开发</t>
  </si>
  <si>
    <t>合计收入（含税）</t>
  </si>
  <si>
    <t>年累计毛利（贴PPT）</t>
  </si>
  <si>
    <t>月度累计</t>
  </si>
  <si>
    <t>20.1月累计</t>
  </si>
  <si>
    <t>20.2月累计</t>
  </si>
  <si>
    <t>20.3月累计</t>
  </si>
  <si>
    <t>20.4月累计</t>
  </si>
  <si>
    <t>20.5月累计</t>
  </si>
  <si>
    <t>20.6月累计</t>
  </si>
  <si>
    <t>20.7月累计</t>
  </si>
  <si>
    <t>20.8月累计</t>
  </si>
  <si>
    <t>20.9月累计</t>
  </si>
  <si>
    <t>20.10月累计</t>
  </si>
  <si>
    <t>20.11月累计</t>
  </si>
  <si>
    <t>20.12月累计</t>
  </si>
  <si>
    <t>21.1月累计</t>
  </si>
  <si>
    <t>21.2月累计</t>
  </si>
  <si>
    <t>21.3月累计</t>
  </si>
  <si>
    <t>21.4月累计</t>
  </si>
  <si>
    <t>21.5月累计</t>
  </si>
  <si>
    <t>21.6月累计</t>
  </si>
  <si>
    <t>21.7月累计</t>
  </si>
  <si>
    <t>21.8月累计</t>
  </si>
  <si>
    <t>21.9月累计</t>
  </si>
  <si>
    <t>21.10月累计</t>
  </si>
  <si>
    <t>21.11月累计</t>
  </si>
  <si>
    <t>21.12月累计</t>
  </si>
  <si>
    <t>收入利润表毛利含税</t>
  </si>
  <si>
    <t>福建福禄</t>
  </si>
  <si>
    <t>沭阳福禄（湖北福之禄至）</t>
  </si>
  <si>
    <t>沭阳葫芦娃(新沂福云）</t>
  </si>
  <si>
    <t>灌南福禄</t>
  </si>
  <si>
    <t>新沂福之禄至</t>
  </si>
  <si>
    <t>园区补贴小计</t>
  </si>
  <si>
    <t>25.1月分析时剔除</t>
  </si>
  <si>
    <t>校验</t>
  </si>
  <si>
    <t>增加投资公司</t>
  </si>
  <si>
    <t>直接服务费-平台服务费</t>
  </si>
  <si>
    <t>福建沭阳补贴</t>
  </si>
  <si>
    <t>灵工补贴</t>
  </si>
  <si>
    <t>平台服务费</t>
  </si>
  <si>
    <t>25.2月分析时剔除</t>
  </si>
  <si>
    <t>卡券</t>
  </si>
  <si>
    <t>毛利合计</t>
  </si>
  <si>
    <t>202501</t>
  </si>
  <si>
    <t>202502</t>
  </si>
  <si>
    <t>25.3月分析时剔除</t>
  </si>
  <si>
    <t>202503</t>
  </si>
  <si>
    <t>202504</t>
  </si>
  <si>
    <t>202505</t>
  </si>
  <si>
    <t>202506</t>
  </si>
  <si>
    <t>202507</t>
  </si>
  <si>
    <t>202508</t>
  </si>
  <si>
    <t>202509</t>
  </si>
  <si>
    <t>202510</t>
  </si>
  <si>
    <t>202511</t>
  </si>
  <si>
    <t>202512</t>
  </si>
  <si>
    <t>2023年小计</t>
  </si>
  <si>
    <t>2024年小计</t>
  </si>
  <si>
    <t>25.4月分析时剔除</t>
  </si>
  <si>
    <t>2025年小计</t>
  </si>
  <si>
    <t>API蚂蚁会员费用</t>
  </si>
  <si>
    <t>技术服务成本-平台服务费</t>
  </si>
  <si>
    <t>武汉福禄</t>
  </si>
  <si>
    <t>喀什一起玩</t>
  </si>
  <si>
    <t>西藏福禄-萌桃返佣</t>
  </si>
  <si>
    <t>求和项:EAS含税金额</t>
  </si>
  <si>
    <t>25.5月分析时剔除</t>
  </si>
  <si>
    <t>25.10月分析时调整</t>
  </si>
  <si>
    <t>25.11月分析时调整</t>
  </si>
  <si>
    <t>24年总计</t>
  </si>
  <si>
    <t>25年总计</t>
  </si>
  <si>
    <t>经纪服务收入-生活服务</t>
  </si>
  <si>
    <t>记账日期</t>
  </si>
  <si>
    <t>摘要</t>
  </si>
  <si>
    <t>周口福蕊</t>
  </si>
  <si>
    <t>咸宁福蕊</t>
  </si>
  <si>
    <t>灵工园区小计</t>
  </si>
  <si>
    <t>本期合计</t>
  </si>
  <si>
    <t>2025/1/31</t>
  </si>
  <si>
    <t>2025/2/28</t>
  </si>
  <si>
    <t>2025/3/31</t>
  </si>
  <si>
    <t>2025/4/30</t>
  </si>
  <si>
    <t>2025/5/31</t>
  </si>
  <si>
    <t>2025/6/30</t>
  </si>
  <si>
    <t>2025/7/31</t>
  </si>
  <si>
    <t>2025/8/31</t>
  </si>
  <si>
    <t>2025/9/30</t>
  </si>
  <si>
    <t>2025/10/31</t>
  </si>
  <si>
    <t>2025/11/30</t>
  </si>
  <si>
    <t>2025/12/31</t>
  </si>
  <si>
    <t>联通沃百富项目</t>
  </si>
  <si>
    <t>推广服务成本--通信</t>
  </si>
  <si>
    <t>代理收入留存率（含税收入/gmv)</t>
  </si>
  <si>
    <t>合计收入留存率（含税收入/gmv)</t>
  </si>
  <si>
    <t>毛利率变动</t>
  </si>
  <si>
    <t>2025年度</t>
  </si>
  <si>
    <t>底稿表</t>
  </si>
  <si>
    <t>2024年度</t>
  </si>
  <si>
    <t>2023年度</t>
  </si>
  <si>
    <t>网娱-毛利（代理收入）</t>
  </si>
  <si>
    <t>求和项:调整后订单毛利（含返点）</t>
  </si>
  <si>
    <t>生活服务-毛利（代理收入）</t>
  </si>
  <si>
    <t>毛利变动</t>
  </si>
  <si>
    <t>求和项:代理毛利收入</t>
  </si>
  <si>
    <t>求和项:调整后毛利（含返点）</t>
  </si>
  <si>
    <t>供应商毛利波动（前10）--存在财务提供累计数据（20-21年参考审计，22年参照BI数据-注意手工导入数据检查）</t>
  </si>
  <si>
    <t>供应商20年</t>
  </si>
  <si>
    <t>毛利（订单差额收入）</t>
  </si>
  <si>
    <t>合计收益(含税）</t>
  </si>
  <si>
    <t>收益率</t>
  </si>
  <si>
    <t>盈利贡献能力</t>
  </si>
  <si>
    <t>深圳市腾讯计算机系统有限公司</t>
  </si>
  <si>
    <t>北京爱奇艺科技有限公司</t>
  </si>
  <si>
    <t>含代运营收入</t>
  </si>
  <si>
    <t>北京百度网讯科技有限公司</t>
  </si>
  <si>
    <t>深圳市维缇网络科技有限公司</t>
  </si>
  <si>
    <t>北京红马传媒文化发展有限公司</t>
  </si>
  <si>
    <t>温州创想网络科技有限公司</t>
  </si>
  <si>
    <t>北京卡路里科技有限公司</t>
  </si>
  <si>
    <t>江苏京东旭科信息技术有限公司</t>
  </si>
  <si>
    <t>返点收入</t>
  </si>
  <si>
    <t>飞狐信息技术（天津）有限公司</t>
  </si>
  <si>
    <t>开放平台供应商-承德幽暗城网络科技有限公司</t>
  </si>
  <si>
    <t>湖南快乐阳光互动娱乐传媒有限公司</t>
  </si>
  <si>
    <t>上海喜马拉雅科技有限公司</t>
  </si>
  <si>
    <t>优酷信息技术（北京）有限公司</t>
  </si>
  <si>
    <t>深圳市迅雷网络技术有限公司</t>
  </si>
  <si>
    <t>上海证大喜马拉雅网络科技有限公司</t>
  </si>
  <si>
    <t>腾讯音乐娱乐（深圳）有限公司</t>
  </si>
  <si>
    <t>北京陌陌科技有限公司</t>
  </si>
  <si>
    <t>西安爱乐剧院管理有限公司</t>
  </si>
  <si>
    <t>温州创想</t>
  </si>
  <si>
    <t>供应商21年</t>
  </si>
  <si>
    <t>供应商名称</t>
  </si>
  <si>
    <t>求和项:订单毛利（含返点）</t>
  </si>
  <si>
    <t>求和项:代运营毛利</t>
  </si>
  <si>
    <t>求和项:合并毛利</t>
  </si>
  <si>
    <t>深圳维缇</t>
  </si>
  <si>
    <t>代运营</t>
  </si>
  <si>
    <t>湖北弈嵘通讯服务有限公司</t>
  </si>
  <si>
    <t>北京联移科技有限责任公司</t>
  </si>
  <si>
    <t>供应商22年1-12月</t>
  </si>
  <si>
    <t>上海宽娱数码科技有限公司</t>
  </si>
  <si>
    <t>杭州乐读科技有限公司</t>
  </si>
  <si>
    <t>资和信电子支付有限公司</t>
  </si>
  <si>
    <t>武汉奥拉夫网络科技有限公司</t>
  </si>
  <si>
    <t>供应商23年1-12月</t>
  </si>
  <si>
    <t>序号</t>
  </si>
  <si>
    <t>留存率</t>
  </si>
  <si>
    <t>北京度友科技有限公司</t>
  </si>
  <si>
    <t>雷神（武汉）网络技术有限公司</t>
  </si>
  <si>
    <t>环胜电子商务（上海）有限公司</t>
  </si>
  <si>
    <t>耐克商业（中国）有限公司</t>
  </si>
  <si>
    <t>支付宝（中国）网络技术有限公司</t>
  </si>
  <si>
    <t>张弛</t>
  </si>
  <si>
    <t>徐德成</t>
  </si>
  <si>
    <t>深圳市博宽网络科技有限公司</t>
  </si>
  <si>
    <t>`</t>
  </si>
  <si>
    <t>供应商24年1-12月</t>
  </si>
  <si>
    <t>2026年</t>
  </si>
  <si>
    <t>2027年</t>
  </si>
  <si>
    <t>2028年</t>
  </si>
  <si>
    <t>2029年</t>
  </si>
  <si>
    <t>2030年</t>
  </si>
  <si>
    <t>西安三只狼科技有限公司</t>
  </si>
  <si>
    <t>2031年</t>
  </si>
  <si>
    <t>2032年</t>
  </si>
  <si>
    <t>2033年</t>
  </si>
  <si>
    <t>深圳市渡渡鸟网络科技有限公司</t>
  </si>
  <si>
    <t>上海麦克风文化传媒有限公司</t>
  </si>
  <si>
    <t>温州耀扬网络科技有限公司</t>
  </si>
  <si>
    <t>供应商</t>
  </si>
  <si>
    <t>累计毛利</t>
  </si>
  <si>
    <t>累计GMV</t>
  </si>
  <si>
    <t>25年盈利能力占比</t>
  </si>
  <si>
    <t>24年同期毛利</t>
  </si>
  <si>
    <t>24年GMV</t>
  </si>
  <si>
    <t>24年盈利占比</t>
  </si>
  <si>
    <t>毛利波动</t>
  </si>
  <si>
    <t>25年累计GMV</t>
  </si>
  <si>
    <t>25年累计毛利</t>
  </si>
  <si>
    <t>24年同期GMV</t>
  </si>
  <si>
    <t>GMV变动</t>
  </si>
  <si>
    <t>广西抖动信息科技有限公司、天津京鼎顺信息科技有限公司等</t>
  </si>
  <si>
    <t>深圳市脸萌科技有限公司</t>
  </si>
  <si>
    <t>拉扎斯网络科技（上海）有限公司</t>
  </si>
  <si>
    <t>瑞幸咖啡（中国）有限公司</t>
  </si>
  <si>
    <t>长沙影辰互娱文化传媒有限公司，山东亿点点文化传播有限公司</t>
  </si>
  <si>
    <t>小计毛利</t>
  </si>
  <si>
    <t>上市公司毛利</t>
  </si>
  <si>
    <t>北京八十度文化传媒有限公司</t>
  </si>
  <si>
    <t>创想-订单</t>
  </si>
  <si>
    <t>维缇-订单</t>
  </si>
  <si>
    <t>八十度-订单</t>
  </si>
  <si>
    <t>创想维缇八十度-代运营</t>
  </si>
  <si>
    <t>苹果卡订单毛利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</si>
</sst>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  <numFmt numFmtId="177" formatCode="_ * #,##0_ ;_ * \-#,##0_ ;_ * &quot;-&quot;??_ ;_ @_ "/>
    <numFmt numFmtId="178" formatCode="0_ "/>
    <numFmt numFmtId="179" formatCode="#,##0_ "/>
    <numFmt numFmtId="180" formatCode="0.0%"/>
    <numFmt numFmtId="181" formatCode="yyyy/m/d;@"/>
    <numFmt numFmtId="182" formatCode="_ * #,##0.000_ ;_ * \-#,##0.000_ ;_ * &quot;-&quot;??.000_ ;_ @_ "/>
    <numFmt numFmtId="183" formatCode="_ * #,##0.00000_ ;_ * \-#,##0.00000_ ;_ * &quot;-&quot;??.000_ ;_ @_ "/>
    <numFmt numFmtId="184" formatCode="#,##0.0_ "/>
    <numFmt numFmtId="185" formatCode="#,##0.0"/>
    <numFmt numFmtId="186" formatCode="0.00_ "/>
    <numFmt numFmtId="187" formatCode="#,##0.000_ "/>
  </numFmts>
  <fonts count="60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0"/>
      <name val="微软雅黑"/>
      <charset val="134"/>
    </font>
    <font>
      <sz val="11"/>
      <name val="微软雅黑"/>
      <charset val="134"/>
    </font>
    <font>
      <sz val="10"/>
      <color indexed="8"/>
      <name val="宋体"/>
      <charset val="134"/>
      <scheme val="minor"/>
    </font>
    <font>
      <sz val="9"/>
      <color indexed="8"/>
      <name val="宋体"/>
      <charset val="134"/>
      <scheme val="minor"/>
    </font>
    <font>
      <sz val="10"/>
      <name val="宋体"/>
      <charset val="134"/>
      <scheme val="minor"/>
    </font>
    <font>
      <sz val="9"/>
      <color theme="1"/>
      <name val="等线"/>
      <charset val="134"/>
    </font>
    <font>
      <sz val="11"/>
      <color indexed="8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9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sz val="8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8"/>
      <color rgb="FFFF0000"/>
      <name val="宋体"/>
      <charset val="134"/>
      <scheme val="minor"/>
    </font>
    <font>
      <sz val="8"/>
      <name val="宋体"/>
      <charset val="134"/>
      <scheme val="minor"/>
    </font>
    <font>
      <sz val="10"/>
      <color theme="1"/>
      <name val="宋体"/>
      <charset val="134"/>
    </font>
    <font>
      <sz val="9"/>
      <name val="宋体"/>
      <charset val="134"/>
      <scheme val="minor"/>
    </font>
    <font>
      <sz val="9"/>
      <color rgb="FF000000"/>
      <name val="Dialog.plain"/>
      <charset val="134"/>
    </font>
    <font>
      <sz val="9"/>
      <color rgb="FF000000"/>
      <name val="宋体"/>
      <charset val="134"/>
    </font>
    <font>
      <sz val="9"/>
      <color rgb="FFFF0000"/>
      <name val="宋体"/>
      <charset val="134"/>
      <scheme val="minor"/>
    </font>
    <font>
      <sz val="8"/>
      <color rgb="FF000000"/>
      <name val="Dialog.plain"/>
      <charset val="134"/>
    </font>
    <font>
      <sz val="8"/>
      <color rgb="FF000000"/>
      <name val="宋体"/>
      <charset val="134"/>
    </font>
    <font>
      <sz val="8"/>
      <color theme="1"/>
      <name val="宋体"/>
      <charset val="134"/>
    </font>
    <font>
      <sz val="8"/>
      <color rgb="FF000000"/>
      <name val="微软雅黑"/>
      <charset val="134"/>
    </font>
    <font>
      <sz val="9"/>
      <color indexed="8"/>
      <name val="等线"/>
      <charset val="1"/>
    </font>
    <font>
      <sz val="8"/>
      <color theme="0"/>
      <name val="宋体"/>
      <charset val="134"/>
      <scheme val="minor"/>
    </font>
    <font>
      <sz val="8"/>
      <color rgb="FF000000"/>
      <name val="宋体"/>
      <charset val="134"/>
      <scheme val="minor"/>
    </font>
    <font>
      <sz val="8"/>
      <color rgb="FF000000"/>
      <name val="Arial"/>
      <charset val="134"/>
    </font>
    <font>
      <sz val="10"/>
      <color theme="0"/>
      <name val="宋体"/>
      <charset val="134"/>
      <scheme val="minor"/>
    </font>
    <font>
      <sz val="9"/>
      <color rgb="FF000000"/>
      <name val="MS Sans Serif"/>
      <charset val="134"/>
    </font>
    <font>
      <sz val="9"/>
      <name val="宋体"/>
      <charset val="134"/>
    </font>
    <font>
      <sz val="9"/>
      <color theme="1"/>
      <name val="宋体"/>
      <charset val="134"/>
    </font>
    <font>
      <b/>
      <sz val="10"/>
      <color theme="1"/>
      <name val="宋体"/>
      <charset val="134"/>
      <scheme val="minor"/>
    </font>
    <font>
      <sz val="10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  <font>
      <sz val="12"/>
      <name val="宋体"/>
      <charset val="134"/>
    </font>
    <font>
      <b/>
      <sz val="9"/>
      <name val="宋体"/>
      <charset val="134"/>
    </font>
    <font>
      <sz val="9"/>
      <name val="宋体"/>
      <charset val="134"/>
    </font>
    <font>
      <sz val="10"/>
      <name val="宋体"/>
      <charset val="134"/>
    </font>
  </fonts>
  <fills count="5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0" tint="-0.35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C9DEF0"/>
        <bgColor rgb="FFC9DEF0"/>
      </patternFill>
    </fill>
    <fill>
      <patternFill patternType="solid">
        <fgColor theme="5" tint="0.8"/>
        <bgColor rgb="FFE8E4CB"/>
      </patternFill>
    </fill>
    <fill>
      <patternFill patternType="solid">
        <fgColor theme="8" tint="0.8"/>
        <bgColor rgb="FFE8E4CB"/>
      </patternFill>
    </fill>
    <fill>
      <patternFill patternType="solid">
        <fgColor theme="7" tint="0.8"/>
        <bgColor rgb="FFE8E4CB"/>
      </patternFill>
    </fill>
    <fill>
      <patternFill patternType="solid">
        <fgColor theme="9" tint="0.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0" fillId="26" borderId="24" applyNumberFormat="0" applyFont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25" applyNumberFormat="0" applyFill="0" applyAlignment="0" applyProtection="0">
      <alignment vertical="center"/>
    </xf>
    <xf numFmtId="0" fontId="42" fillId="0" borderId="25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27" borderId="27" applyNumberFormat="0" applyAlignment="0" applyProtection="0">
      <alignment vertical="center"/>
    </xf>
    <xf numFmtId="0" fontId="45" fillId="28" borderId="28" applyNumberFormat="0" applyAlignment="0" applyProtection="0">
      <alignment vertical="center"/>
    </xf>
    <xf numFmtId="0" fontId="46" fillId="28" borderId="27" applyNumberFormat="0" applyAlignment="0" applyProtection="0">
      <alignment vertical="center"/>
    </xf>
    <xf numFmtId="0" fontId="47" fillId="29" borderId="29" applyNumberFormat="0" applyAlignment="0" applyProtection="0">
      <alignment vertical="center"/>
    </xf>
    <xf numFmtId="0" fontId="48" fillId="0" borderId="30" applyNumberFormat="0" applyFill="0" applyAlignment="0" applyProtection="0">
      <alignment vertical="center"/>
    </xf>
    <xf numFmtId="0" fontId="49" fillId="0" borderId="31" applyNumberFormat="0" applyFill="0" applyAlignment="0" applyProtection="0">
      <alignment vertical="center"/>
    </xf>
    <xf numFmtId="0" fontId="50" fillId="30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3" fillId="33" borderId="0" applyNumberFormat="0" applyBorder="0" applyAlignment="0" applyProtection="0">
      <alignment vertical="center"/>
    </xf>
    <xf numFmtId="0" fontId="54" fillId="34" borderId="0" applyNumberFormat="0" applyBorder="0" applyAlignment="0" applyProtection="0">
      <alignment vertical="center"/>
    </xf>
    <xf numFmtId="0" fontId="54" fillId="35" borderId="0" applyNumberFormat="0" applyBorder="0" applyAlignment="0" applyProtection="0">
      <alignment vertical="center"/>
    </xf>
    <xf numFmtId="0" fontId="53" fillId="36" borderId="0" applyNumberFormat="0" applyBorder="0" applyAlignment="0" applyProtection="0">
      <alignment vertical="center"/>
    </xf>
    <xf numFmtId="0" fontId="53" fillId="37" borderId="0" applyNumberFormat="0" applyBorder="0" applyAlignment="0" applyProtection="0">
      <alignment vertical="center"/>
    </xf>
    <xf numFmtId="0" fontId="54" fillId="38" borderId="0" applyNumberFormat="0" applyBorder="0" applyAlignment="0" applyProtection="0">
      <alignment vertical="center"/>
    </xf>
    <xf numFmtId="0" fontId="54" fillId="39" borderId="0" applyNumberFormat="0" applyBorder="0" applyAlignment="0" applyProtection="0">
      <alignment vertical="center"/>
    </xf>
    <xf numFmtId="0" fontId="53" fillId="40" borderId="0" applyNumberFormat="0" applyBorder="0" applyAlignment="0" applyProtection="0">
      <alignment vertical="center"/>
    </xf>
    <xf numFmtId="0" fontId="53" fillId="41" borderId="0" applyNumberFormat="0" applyBorder="0" applyAlignment="0" applyProtection="0">
      <alignment vertical="center"/>
    </xf>
    <xf numFmtId="0" fontId="54" fillId="42" borderId="0" applyNumberFormat="0" applyBorder="0" applyAlignment="0" applyProtection="0">
      <alignment vertical="center"/>
    </xf>
    <xf numFmtId="0" fontId="54" fillId="43" borderId="0" applyNumberFormat="0" applyBorder="0" applyAlignment="0" applyProtection="0">
      <alignment vertical="center"/>
    </xf>
    <xf numFmtId="0" fontId="53" fillId="44" borderId="0" applyNumberFormat="0" applyBorder="0" applyAlignment="0" applyProtection="0">
      <alignment vertical="center"/>
    </xf>
    <xf numFmtId="0" fontId="53" fillId="45" borderId="0" applyNumberFormat="0" applyBorder="0" applyAlignment="0" applyProtection="0">
      <alignment vertical="center"/>
    </xf>
    <xf numFmtId="0" fontId="54" fillId="22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46" borderId="0" applyNumberFormat="0" applyBorder="0" applyAlignment="0" applyProtection="0">
      <alignment vertical="center"/>
    </xf>
    <xf numFmtId="0" fontId="54" fillId="47" borderId="0" applyNumberFormat="0" applyBorder="0" applyAlignment="0" applyProtection="0">
      <alignment vertical="center"/>
    </xf>
    <xf numFmtId="0" fontId="54" fillId="48" borderId="0" applyNumberFormat="0" applyBorder="0" applyAlignment="0" applyProtection="0">
      <alignment vertical="center"/>
    </xf>
    <xf numFmtId="0" fontId="53" fillId="49" borderId="0" applyNumberFormat="0" applyBorder="0" applyAlignment="0" applyProtection="0">
      <alignment vertical="center"/>
    </xf>
    <xf numFmtId="0" fontId="53" fillId="50" borderId="0" applyNumberFormat="0" applyBorder="0" applyAlignment="0" applyProtection="0">
      <alignment vertical="center"/>
    </xf>
    <xf numFmtId="0" fontId="54" fillId="51" borderId="0" applyNumberFormat="0" applyBorder="0" applyAlignment="0" applyProtection="0">
      <alignment vertical="center"/>
    </xf>
    <xf numFmtId="0" fontId="54" fillId="52" borderId="0" applyNumberFormat="0" applyBorder="0" applyAlignment="0" applyProtection="0">
      <alignment vertical="center"/>
    </xf>
    <xf numFmtId="0" fontId="53" fillId="5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55" fillId="0" borderId="0"/>
    <xf numFmtId="0" fontId="56" fillId="0" borderId="0">
      <alignment vertical="center"/>
    </xf>
  </cellStyleXfs>
  <cellXfs count="607">
    <xf numFmtId="0" fontId="0" fillId="0" borderId="0" xfId="0">
      <alignment vertical="center"/>
    </xf>
    <xf numFmtId="0" fontId="0" fillId="0" borderId="0" xfId="0" applyFill="1">
      <alignment vertical="center"/>
    </xf>
    <xf numFmtId="176" fontId="1" fillId="0" borderId="0" xfId="0" applyNumberFormat="1" applyFont="1">
      <alignment vertical="center"/>
    </xf>
    <xf numFmtId="0" fontId="2" fillId="2" borderId="1" xfId="0" applyFont="1" applyFill="1" applyBorder="1" applyAlignment="1">
      <alignment vertical="center" wrapText="1"/>
    </xf>
    <xf numFmtId="16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2" fillId="0" borderId="0" xfId="0" applyFont="1" applyFill="1">
      <alignment vertical="center"/>
    </xf>
    <xf numFmtId="0" fontId="4" fillId="0" borderId="0" xfId="0" applyFont="1" applyFill="1" applyAlignment="1">
      <alignment vertical="center"/>
    </xf>
    <xf numFmtId="176" fontId="1" fillId="0" borderId="0" xfId="0" applyNumberFormat="1" applyFont="1" applyAlignment="1">
      <alignment horizontal="center" vertical="center"/>
    </xf>
    <xf numFmtId="0" fontId="1" fillId="0" borderId="0" xfId="0" applyFont="1">
      <alignment vertical="center"/>
    </xf>
    <xf numFmtId="177" fontId="1" fillId="0" borderId="0" xfId="1" applyNumberFormat="1" applyFont="1">
      <alignment vertical="center"/>
    </xf>
    <xf numFmtId="9" fontId="1" fillId="0" borderId="0" xfId="3" applyFont="1" applyAlignment="1">
      <alignment horizontal="center" vertical="center"/>
    </xf>
    <xf numFmtId="177" fontId="1" fillId="0" borderId="0" xfId="1" applyNumberFormat="1" applyFont="1" applyFill="1" applyAlignment="1">
      <alignment horizontal="center" vertical="center"/>
    </xf>
    <xf numFmtId="0" fontId="5" fillId="0" borderId="0" xfId="0" applyFont="1" applyFill="1" applyBorder="1" applyAlignment="1">
      <alignment vertical="center"/>
    </xf>
    <xf numFmtId="43" fontId="5" fillId="0" borderId="0" xfId="1" applyFont="1" applyFill="1">
      <alignment vertical="center"/>
    </xf>
    <xf numFmtId="43" fontId="6" fillId="0" borderId="0" xfId="1" applyFont="1">
      <alignment vertical="center"/>
    </xf>
    <xf numFmtId="43" fontId="1" fillId="0" borderId="0" xfId="1" applyFont="1">
      <alignment vertical="center"/>
    </xf>
    <xf numFmtId="43" fontId="7" fillId="3" borderId="0" xfId="0" applyNumberFormat="1" applyFont="1" applyFill="1">
      <alignment vertical="center"/>
    </xf>
    <xf numFmtId="43" fontId="7" fillId="0" borderId="0" xfId="0" applyNumberFormat="1" applyFont="1" applyFill="1">
      <alignment vertical="center"/>
    </xf>
    <xf numFmtId="177" fontId="1" fillId="0" borderId="0" xfId="1" applyNumberFormat="1" applyFont="1" applyFill="1">
      <alignment vertical="center"/>
    </xf>
    <xf numFmtId="0" fontId="1" fillId="0" borderId="0" xfId="0" applyFont="1" applyFill="1">
      <alignment vertical="center"/>
    </xf>
    <xf numFmtId="0" fontId="8" fillId="0" borderId="0" xfId="0" applyFont="1" applyFill="1" applyBorder="1" applyAlignment="1">
      <alignment vertical="center"/>
    </xf>
    <xf numFmtId="0" fontId="8" fillId="0" borderId="0" xfId="0" applyFont="1" applyFill="1" applyAlignment="1">
      <alignment vertical="center"/>
    </xf>
    <xf numFmtId="0" fontId="9" fillId="4" borderId="1" xfId="0" applyFont="1" applyFill="1" applyBorder="1" applyAlignment="1">
      <alignment vertical="center" wrapText="1"/>
    </xf>
    <xf numFmtId="177" fontId="10" fillId="4" borderId="1" xfId="1" applyNumberFormat="1" applyFont="1" applyFill="1" applyBorder="1" applyAlignment="1">
      <alignment horizontal="right" vertical="center" wrapText="1"/>
    </xf>
    <xf numFmtId="177" fontId="9" fillId="4" borderId="1" xfId="1" applyNumberFormat="1" applyFont="1" applyFill="1" applyBorder="1" applyAlignment="1">
      <alignment horizontal="right" vertical="center" wrapText="1"/>
    </xf>
    <xf numFmtId="177" fontId="10" fillId="4" borderId="0" xfId="1" applyNumberFormat="1" applyFont="1" applyFill="1" applyAlignment="1">
      <alignment horizontal="right" vertical="center"/>
    </xf>
    <xf numFmtId="177" fontId="1" fillId="4" borderId="0" xfId="1" applyNumberFormat="1" applyFont="1" applyFill="1" applyAlignment="1">
      <alignment horizontal="right" vertical="center"/>
    </xf>
    <xf numFmtId="177" fontId="1" fillId="0" borderId="0" xfId="0" applyNumberFormat="1" applyFont="1" applyFill="1">
      <alignment vertical="center"/>
    </xf>
    <xf numFmtId="43" fontId="1" fillId="0" borderId="0" xfId="0" applyNumberFormat="1" applyFont="1">
      <alignment vertical="center"/>
    </xf>
    <xf numFmtId="0" fontId="4" fillId="0" borderId="0" xfId="0" applyFont="1" applyFill="1" applyBorder="1" applyAlignment="1">
      <alignment vertical="center"/>
    </xf>
    <xf numFmtId="176" fontId="1" fillId="0" borderId="0" xfId="0" applyNumberFormat="1" applyFont="1" applyFill="1">
      <alignment vertical="center"/>
    </xf>
    <xf numFmtId="0" fontId="6" fillId="0" borderId="0" xfId="0" applyFont="1" applyFill="1" applyAlignment="1">
      <alignment vertical="center"/>
    </xf>
    <xf numFmtId="43" fontId="1" fillId="0" borderId="0" xfId="1" applyFont="1" applyFill="1">
      <alignment vertical="center"/>
    </xf>
    <xf numFmtId="178" fontId="1" fillId="0" borderId="0" xfId="0" applyNumberFormat="1" applyFont="1">
      <alignment vertical="center"/>
    </xf>
    <xf numFmtId="0" fontId="4" fillId="5" borderId="0" xfId="0" applyFont="1" applyFill="1" applyBorder="1" applyAlignment="1">
      <alignment vertical="center"/>
    </xf>
    <xf numFmtId="43" fontId="1" fillId="5" borderId="0" xfId="1" applyFont="1" applyFill="1" applyAlignment="1">
      <alignment horizontal="center" vertical="center"/>
    </xf>
    <xf numFmtId="176" fontId="1" fillId="5" borderId="0" xfId="0" applyNumberFormat="1" applyFont="1" applyFill="1">
      <alignment vertical="center"/>
    </xf>
    <xf numFmtId="43" fontId="6" fillId="5" borderId="0" xfId="1" applyFont="1" applyFill="1">
      <alignment vertical="center"/>
    </xf>
    <xf numFmtId="43" fontId="1" fillId="5" borderId="0" xfId="1" applyFont="1" applyFill="1">
      <alignment vertical="center"/>
    </xf>
    <xf numFmtId="43" fontId="0" fillId="0" borderId="0" xfId="1">
      <alignment vertical="center"/>
    </xf>
    <xf numFmtId="43" fontId="11" fillId="0" borderId="0" xfId="1" applyFont="1" applyFill="1">
      <alignment vertical="center"/>
    </xf>
    <xf numFmtId="0" fontId="5" fillId="5" borderId="0" xfId="0" applyFont="1" applyFill="1" applyAlignment="1">
      <alignment vertical="center"/>
    </xf>
    <xf numFmtId="43" fontId="5" fillId="5" borderId="0" xfId="1" applyFont="1" applyFill="1">
      <alignment vertical="center"/>
    </xf>
    <xf numFmtId="43" fontId="4" fillId="5" borderId="0" xfId="1" applyFont="1" applyFill="1" applyAlignment="1">
      <alignment vertical="center"/>
    </xf>
    <xf numFmtId="43" fontId="4" fillId="5" borderId="0" xfId="1" applyFont="1" applyFill="1">
      <alignment vertical="center"/>
    </xf>
    <xf numFmtId="0" fontId="0" fillId="6" borderId="0" xfId="0" applyFill="1">
      <alignment vertical="center"/>
    </xf>
    <xf numFmtId="176" fontId="1" fillId="6" borderId="0" xfId="0" applyNumberFormat="1" applyFont="1" applyFill="1">
      <alignment vertical="center"/>
    </xf>
    <xf numFmtId="179" fontId="1" fillId="0" borderId="0" xfId="3" applyNumberFormat="1" applyFont="1">
      <alignment vertical="center"/>
    </xf>
    <xf numFmtId="43" fontId="0" fillId="0" borderId="0" xfId="1" applyFill="1">
      <alignment vertical="center"/>
    </xf>
    <xf numFmtId="180" fontId="1" fillId="0" borderId="0" xfId="3" applyNumberFormat="1" applyFont="1">
      <alignment vertical="center"/>
    </xf>
    <xf numFmtId="43" fontId="11" fillId="0" borderId="0" xfId="1" applyFont="1">
      <alignment vertical="center"/>
    </xf>
    <xf numFmtId="0" fontId="12" fillId="0" borderId="0" xfId="0" applyFont="1">
      <alignment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Fill="1">
      <alignment vertical="center"/>
    </xf>
    <xf numFmtId="43" fontId="12" fillId="0" borderId="0" xfId="1" applyFont="1">
      <alignment vertical="center"/>
    </xf>
    <xf numFmtId="176" fontId="12" fillId="0" borderId="0" xfId="1" applyNumberFormat="1" applyFont="1">
      <alignment vertical="center"/>
    </xf>
    <xf numFmtId="176" fontId="13" fillId="0" borderId="0" xfId="1" applyNumberFormat="1" applyFont="1">
      <alignment vertical="center"/>
    </xf>
    <xf numFmtId="180" fontId="12" fillId="0" borderId="0" xfId="3" applyNumberFormat="1" applyFont="1" applyAlignment="1">
      <alignment horizontal="center" vertical="center"/>
    </xf>
    <xf numFmtId="176" fontId="12" fillId="0" borderId="0" xfId="0" applyNumberFormat="1" applyFont="1" applyBorder="1" applyAlignment="1">
      <alignment horizontal="center" vertical="center"/>
    </xf>
    <xf numFmtId="10" fontId="12" fillId="0" borderId="0" xfId="3" applyNumberFormat="1" applyFont="1">
      <alignment vertical="center"/>
    </xf>
    <xf numFmtId="176" fontId="12" fillId="0" borderId="0" xfId="0" applyNumberFormat="1" applyFont="1" applyFill="1" applyBorder="1">
      <alignment vertical="center"/>
    </xf>
    <xf numFmtId="176" fontId="12" fillId="0" borderId="0" xfId="0" applyNumberFormat="1" applyFont="1" applyBorder="1">
      <alignment vertical="center"/>
    </xf>
    <xf numFmtId="180" fontId="12" fillId="0" borderId="0" xfId="3" applyNumberFormat="1" applyFont="1">
      <alignment vertical="center"/>
    </xf>
    <xf numFmtId="176" fontId="12" fillId="0" borderId="0" xfId="0" applyNumberFormat="1" applyFont="1">
      <alignment vertical="center"/>
    </xf>
    <xf numFmtId="10" fontId="12" fillId="0" borderId="0" xfId="0" applyNumberFormat="1" applyFont="1">
      <alignment vertical="center"/>
    </xf>
    <xf numFmtId="0" fontId="13" fillId="0" borderId="0" xfId="0" applyFont="1" applyFill="1" applyAlignment="1">
      <alignment vertical="center"/>
    </xf>
    <xf numFmtId="43" fontId="13" fillId="0" borderId="0" xfId="1" applyFont="1">
      <alignment vertical="center"/>
    </xf>
    <xf numFmtId="0" fontId="13" fillId="0" borderId="0" xfId="0" applyFont="1" applyFill="1" applyBorder="1" applyAlignment="1">
      <alignment vertical="center"/>
    </xf>
    <xf numFmtId="180" fontId="13" fillId="0" borderId="0" xfId="3" applyNumberFormat="1" applyFont="1" applyAlignment="1">
      <alignment horizontal="center" vertical="center"/>
    </xf>
    <xf numFmtId="176" fontId="12" fillId="0" borderId="0" xfId="3" applyNumberFormat="1" applyFont="1">
      <alignment vertical="center"/>
    </xf>
    <xf numFmtId="10" fontId="12" fillId="0" borderId="0" xfId="1" applyNumberFormat="1" applyFont="1">
      <alignment vertical="center"/>
    </xf>
    <xf numFmtId="0" fontId="13" fillId="7" borderId="0" xfId="0" applyFont="1" applyFill="1" applyBorder="1" applyAlignment="1">
      <alignment vertical="center"/>
    </xf>
    <xf numFmtId="43" fontId="13" fillId="7" borderId="0" xfId="1" applyFont="1" applyFill="1">
      <alignment vertical="center"/>
    </xf>
    <xf numFmtId="43" fontId="5" fillId="0" borderId="0" xfId="1" applyFont="1" applyFill="1" applyBorder="1">
      <alignment vertical="center"/>
    </xf>
    <xf numFmtId="43" fontId="4" fillId="0" borderId="0" xfId="1" applyFont="1" applyFill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5" fillId="0" borderId="0" xfId="0" applyFont="1" applyFill="1" applyAlignment="1">
      <alignment horizontal="center" vertical="center"/>
    </xf>
    <xf numFmtId="180" fontId="5" fillId="0" borderId="0" xfId="3" applyNumberFormat="1" applyFont="1" applyFill="1">
      <alignment vertical="center"/>
    </xf>
    <xf numFmtId="0" fontId="5" fillId="8" borderId="0" xfId="0" applyFont="1" applyFill="1" applyBorder="1" applyAlignment="1">
      <alignment vertical="center"/>
    </xf>
    <xf numFmtId="43" fontId="5" fillId="8" borderId="0" xfId="1" applyFont="1" applyFill="1" applyBorder="1">
      <alignment vertical="center"/>
    </xf>
    <xf numFmtId="43" fontId="5" fillId="8" borderId="0" xfId="1" applyFont="1" applyFill="1">
      <alignment vertical="center"/>
    </xf>
    <xf numFmtId="43" fontId="13" fillId="0" borderId="0" xfId="1" applyFont="1" applyFill="1" applyBorder="1">
      <alignment vertical="center"/>
    </xf>
    <xf numFmtId="10" fontId="13" fillId="0" borderId="0" xfId="3" applyNumberFormat="1" applyFont="1" applyFill="1" applyBorder="1">
      <alignment vertical="center"/>
    </xf>
    <xf numFmtId="176" fontId="5" fillId="0" borderId="0" xfId="0" applyNumberFormat="1" applyFont="1" applyFill="1" applyAlignment="1">
      <alignment vertical="center"/>
    </xf>
    <xf numFmtId="176" fontId="4" fillId="0" borderId="0" xfId="0" applyNumberFormat="1" applyFont="1" applyFill="1" applyAlignment="1">
      <alignment horizontal="center" vertical="center"/>
    </xf>
    <xf numFmtId="176" fontId="4" fillId="0" borderId="0" xfId="0" applyNumberFormat="1" applyFont="1" applyFill="1" applyAlignment="1">
      <alignment vertical="center"/>
    </xf>
    <xf numFmtId="0" fontId="4" fillId="0" borderId="0" xfId="0" applyFont="1" applyFill="1" applyAlignment="1">
      <alignment horizontal="center" vertical="center"/>
    </xf>
    <xf numFmtId="179" fontId="12" fillId="0" borderId="0" xfId="0" applyNumberFormat="1" applyFont="1">
      <alignment vertical="center"/>
    </xf>
    <xf numFmtId="0" fontId="4" fillId="8" borderId="0" xfId="0" applyFont="1" applyFill="1" applyAlignment="1">
      <alignment vertical="center"/>
    </xf>
    <xf numFmtId="176" fontId="4" fillId="8" borderId="0" xfId="0" applyNumberFormat="1" applyFont="1" applyFill="1" applyAlignment="1">
      <alignment vertical="center"/>
    </xf>
    <xf numFmtId="9" fontId="12" fillId="0" borderId="0" xfId="3" applyFont="1">
      <alignment vertical="center"/>
    </xf>
    <xf numFmtId="177" fontId="12" fillId="0" borderId="0" xfId="1" applyNumberFormat="1" applyFont="1">
      <alignment vertical="center"/>
    </xf>
    <xf numFmtId="0" fontId="4" fillId="0" borderId="0" xfId="0" applyFont="1" applyFill="1" applyAlignment="1">
      <alignment vertical="center" wrapText="1"/>
    </xf>
    <xf numFmtId="176" fontId="4" fillId="0" borderId="0" xfId="0" applyNumberFormat="1" applyFont="1" applyFill="1" applyAlignment="1">
      <alignment vertical="center" wrapText="1"/>
    </xf>
    <xf numFmtId="176" fontId="4" fillId="0" borderId="0" xfId="0" applyNumberFormat="1" applyFont="1" applyFill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180" fontId="4" fillId="0" borderId="0" xfId="3" applyNumberFormat="1" applyFont="1" applyAlignment="1">
      <alignment horizontal="center" vertical="center" wrapText="1"/>
    </xf>
    <xf numFmtId="180" fontId="4" fillId="0" borderId="0" xfId="3" applyNumberFormat="1" applyFont="1" applyAlignment="1">
      <alignment horizontal="center" vertical="center"/>
    </xf>
    <xf numFmtId="176" fontId="4" fillId="0" borderId="0" xfId="0" applyNumberFormat="1" applyFont="1" applyFill="1" applyAlignment="1">
      <alignment horizontal="right" vertical="center"/>
    </xf>
    <xf numFmtId="0" fontId="4" fillId="7" borderId="0" xfId="0" applyFont="1" applyFill="1" applyAlignment="1">
      <alignment vertical="center"/>
    </xf>
    <xf numFmtId="176" fontId="4" fillId="7" borderId="0" xfId="0" applyNumberFormat="1" applyFont="1" applyFill="1" applyAlignment="1">
      <alignment vertical="center"/>
    </xf>
    <xf numFmtId="176" fontId="4" fillId="7" borderId="0" xfId="0" applyNumberFormat="1" applyFont="1" applyFill="1" applyAlignment="1">
      <alignment horizontal="right" vertical="center"/>
    </xf>
    <xf numFmtId="176" fontId="0" fillId="0" borderId="0" xfId="0" applyNumberFormat="1">
      <alignment vertical="center"/>
    </xf>
    <xf numFmtId="179" fontId="12" fillId="0" borderId="0" xfId="1" applyNumberFormat="1" applyFont="1">
      <alignment vertical="center"/>
    </xf>
    <xf numFmtId="0" fontId="10" fillId="0" borderId="0" xfId="0" applyFont="1">
      <alignment vertical="center"/>
    </xf>
    <xf numFmtId="179" fontId="10" fillId="0" borderId="0" xfId="1" applyNumberFormat="1" applyFont="1">
      <alignment vertical="center"/>
    </xf>
    <xf numFmtId="0" fontId="14" fillId="0" borderId="0" xfId="1" applyNumberFormat="1" applyFont="1">
      <alignment vertical="center"/>
    </xf>
    <xf numFmtId="17" fontId="12" fillId="0" borderId="0" xfId="0" applyNumberFormat="1" applyFont="1">
      <alignment vertical="center"/>
    </xf>
    <xf numFmtId="181" fontId="12" fillId="0" borderId="0" xfId="1" applyNumberFormat="1" applyFont="1" applyAlignment="1">
      <alignment horizontal="left" vertical="center"/>
    </xf>
    <xf numFmtId="176" fontId="11" fillId="0" borderId="0" xfId="0" applyNumberFormat="1" applyFont="1">
      <alignment vertical="center"/>
    </xf>
    <xf numFmtId="179" fontId="12" fillId="0" borderId="0" xfId="1" applyNumberFormat="1" applyFont="1" applyFill="1">
      <alignment vertical="center"/>
    </xf>
    <xf numFmtId="179" fontId="15" fillId="0" borderId="0" xfId="1" applyNumberFormat="1" applyFont="1">
      <alignment vertical="center"/>
    </xf>
    <xf numFmtId="0" fontId="15" fillId="0" borderId="0" xfId="0" applyFont="1">
      <alignment vertical="center"/>
    </xf>
    <xf numFmtId="176" fontId="12" fillId="9" borderId="0" xfId="1" applyNumberFormat="1" applyFont="1" applyFill="1">
      <alignment vertical="center"/>
    </xf>
    <xf numFmtId="43" fontId="12" fillId="0" borderId="0" xfId="1" applyFont="1" applyAlignment="1">
      <alignment horizontal="left" vertical="center"/>
    </xf>
    <xf numFmtId="179" fontId="16" fillId="0" borderId="0" xfId="1" applyNumberFormat="1" applyFont="1">
      <alignment vertical="center"/>
    </xf>
    <xf numFmtId="179" fontId="16" fillId="0" borderId="0" xfId="1" applyNumberFormat="1" applyFont="1" applyFill="1">
      <alignment vertical="center"/>
    </xf>
    <xf numFmtId="43" fontId="11" fillId="0" borderId="0" xfId="0" applyNumberFormat="1" applyFont="1">
      <alignment vertical="center"/>
    </xf>
    <xf numFmtId="10" fontId="0" fillId="0" borderId="0" xfId="3" applyNumberFormat="1">
      <alignment vertical="center"/>
    </xf>
    <xf numFmtId="177" fontId="12" fillId="0" borderId="0" xfId="1" applyNumberFormat="1" applyFont="1" applyAlignment="1">
      <alignment horizontal="center" vertical="center"/>
    </xf>
    <xf numFmtId="57" fontId="17" fillId="0" borderId="0" xfId="0" applyNumberFormat="1" applyFont="1" applyFill="1" applyAlignment="1">
      <alignment vertical="center"/>
    </xf>
    <xf numFmtId="49" fontId="12" fillId="0" borderId="0" xfId="1" applyNumberFormat="1" applyFont="1">
      <alignment vertical="center"/>
    </xf>
    <xf numFmtId="176" fontId="0" fillId="0" borderId="0" xfId="1" applyNumberFormat="1">
      <alignment vertical="center"/>
    </xf>
    <xf numFmtId="0" fontId="12" fillId="0" borderId="0" xfId="0" applyFont="1" applyAlignment="1">
      <alignment horizontal="left" vertical="center"/>
    </xf>
    <xf numFmtId="43" fontId="13" fillId="0" borderId="0" xfId="1" applyFont="1" applyFill="1">
      <alignment vertical="center"/>
    </xf>
    <xf numFmtId="0" fontId="12" fillId="0" borderId="0" xfId="0" applyFont="1" applyFill="1" applyAlignment="1">
      <alignment vertical="center"/>
    </xf>
    <xf numFmtId="176" fontId="13" fillId="0" borderId="0" xfId="0" applyNumberFormat="1" applyFont="1" applyFill="1" applyAlignment="1">
      <alignment vertical="center"/>
    </xf>
    <xf numFmtId="176" fontId="12" fillId="0" borderId="0" xfId="0" applyNumberFormat="1" applyFont="1" applyFill="1" applyAlignment="1">
      <alignment vertical="center"/>
    </xf>
    <xf numFmtId="179" fontId="1" fillId="0" borderId="0" xfId="0" applyNumberFormat="1" applyFont="1">
      <alignment vertical="center"/>
    </xf>
    <xf numFmtId="4" fontId="11" fillId="0" borderId="0" xfId="0" applyNumberFormat="1" applyFont="1">
      <alignment vertical="center"/>
    </xf>
    <xf numFmtId="179" fontId="11" fillId="0" borderId="0" xfId="1" applyNumberFormat="1" applyFont="1">
      <alignment vertical="center"/>
    </xf>
    <xf numFmtId="181" fontId="12" fillId="0" borderId="0" xfId="1" applyNumberFormat="1" applyFont="1">
      <alignment vertical="center"/>
    </xf>
    <xf numFmtId="0" fontId="12" fillId="0" borderId="0" xfId="1" applyNumberFormat="1" applyFont="1">
      <alignment vertical="center"/>
    </xf>
    <xf numFmtId="0" fontId="12" fillId="0" borderId="0" xfId="1" applyNumberFormat="1" applyFont="1" applyAlignment="1">
      <alignment horizontal="center" vertical="center"/>
    </xf>
    <xf numFmtId="0" fontId="11" fillId="0" borderId="0" xfId="0" applyFont="1">
      <alignment vertical="center"/>
    </xf>
    <xf numFmtId="176" fontId="12" fillId="0" borderId="0" xfId="1" applyNumberFormat="1" applyFont="1" applyAlignment="1">
      <alignment vertical="center"/>
    </xf>
    <xf numFmtId="4" fontId="0" fillId="0" borderId="0" xfId="0" applyNumberFormat="1">
      <alignment vertical="center"/>
    </xf>
    <xf numFmtId="10" fontId="11" fillId="0" borderId="0" xfId="3" applyNumberFormat="1" applyFont="1" applyFill="1">
      <alignment vertical="center"/>
    </xf>
    <xf numFmtId="0" fontId="12" fillId="10" borderId="0" xfId="0" applyFont="1" applyFill="1">
      <alignment vertical="center"/>
    </xf>
    <xf numFmtId="17" fontId="12" fillId="8" borderId="0" xfId="0" applyNumberFormat="1" applyFont="1" applyFill="1">
      <alignment vertical="center"/>
    </xf>
    <xf numFmtId="0" fontId="11" fillId="0" borderId="0" xfId="0" applyFont="1" applyFill="1">
      <alignment vertical="center"/>
    </xf>
    <xf numFmtId="17" fontId="12" fillId="9" borderId="0" xfId="0" applyNumberFormat="1" applyFont="1" applyFill="1">
      <alignment vertical="center"/>
    </xf>
    <xf numFmtId="10" fontId="11" fillId="0" borderId="0" xfId="3" applyNumberFormat="1" applyFont="1">
      <alignment vertical="center"/>
    </xf>
    <xf numFmtId="17" fontId="12" fillId="6" borderId="0" xfId="0" applyNumberFormat="1" applyFont="1" applyFill="1">
      <alignment vertical="center"/>
    </xf>
    <xf numFmtId="17" fontId="12" fillId="0" borderId="0" xfId="0" applyNumberFormat="1" applyFont="1" applyFill="1">
      <alignment vertical="center"/>
    </xf>
    <xf numFmtId="17" fontId="12" fillId="7" borderId="0" xfId="0" applyNumberFormat="1" applyFont="1" applyFill="1">
      <alignment vertical="center"/>
    </xf>
    <xf numFmtId="4" fontId="12" fillId="0" borderId="0" xfId="0" applyNumberFormat="1" applyFont="1">
      <alignment vertical="center"/>
    </xf>
    <xf numFmtId="14" fontId="12" fillId="0" borderId="0" xfId="3" applyNumberFormat="1" applyFont="1">
      <alignment vertical="center"/>
    </xf>
    <xf numFmtId="180" fontId="11" fillId="0" borderId="0" xfId="3" applyNumberFormat="1" applyFont="1" applyFill="1">
      <alignment vertical="center"/>
    </xf>
    <xf numFmtId="182" fontId="11" fillId="0" borderId="0" xfId="1" applyNumberFormat="1" applyFont="1" applyFill="1">
      <alignment vertical="center"/>
    </xf>
    <xf numFmtId="183" fontId="11" fillId="0" borderId="0" xfId="1" applyNumberFormat="1" applyFont="1" applyFill="1">
      <alignment vertical="center"/>
    </xf>
    <xf numFmtId="0" fontId="0" fillId="0" borderId="0" xfId="0" applyAlignment="1">
      <alignment vertical="center" wrapText="1"/>
    </xf>
    <xf numFmtId="43" fontId="12" fillId="0" borderId="0" xfId="1" applyFont="1" applyFill="1">
      <alignment vertical="center"/>
    </xf>
    <xf numFmtId="179" fontId="11" fillId="0" borderId="0" xfId="1" applyNumberFormat="1" applyFont="1" applyFill="1">
      <alignment vertical="center"/>
    </xf>
    <xf numFmtId="177" fontId="11" fillId="0" borderId="0" xfId="1" applyNumberFormat="1" applyFont="1">
      <alignment vertical="center"/>
    </xf>
    <xf numFmtId="177" fontId="0" fillId="0" borderId="0" xfId="1" applyNumberFormat="1">
      <alignment vertical="center"/>
    </xf>
    <xf numFmtId="0" fontId="12" fillId="11" borderId="0" xfId="0" applyFont="1" applyFill="1">
      <alignment vertical="center"/>
    </xf>
    <xf numFmtId="43" fontId="12" fillId="10" borderId="0" xfId="1" applyFont="1" applyFill="1">
      <alignment vertical="center"/>
    </xf>
    <xf numFmtId="0" fontId="11" fillId="10" borderId="0" xfId="0" applyFont="1" applyFill="1">
      <alignment vertical="center"/>
    </xf>
    <xf numFmtId="0" fontId="12" fillId="0" borderId="0" xfId="0" applyFont="1" applyAlignment="1">
      <alignment vertical="center" wrapText="1"/>
    </xf>
    <xf numFmtId="43" fontId="12" fillId="0" borderId="0" xfId="1" applyFont="1" applyAlignment="1">
      <alignment vertical="center" wrapText="1"/>
    </xf>
    <xf numFmtId="0" fontId="12" fillId="0" borderId="0" xfId="0" applyFont="1" applyFill="1" applyAlignment="1">
      <alignment vertical="center" wrapText="1"/>
    </xf>
    <xf numFmtId="0" fontId="12" fillId="0" borderId="0" xfId="0" applyFont="1" applyAlignment="1">
      <alignment horizontal="left" vertical="center" wrapText="1"/>
    </xf>
    <xf numFmtId="43" fontId="12" fillId="0" borderId="0" xfId="1" applyFont="1" applyFill="1" applyAlignment="1">
      <alignment vertical="center" wrapText="1"/>
    </xf>
    <xf numFmtId="0" fontId="0" fillId="0" borderId="0" xfId="0" applyFill="1" applyAlignment="1">
      <alignment vertical="center" wrapText="1"/>
    </xf>
    <xf numFmtId="0" fontId="11" fillId="0" borderId="0" xfId="0" applyFont="1" applyFill="1" applyAlignment="1">
      <alignment vertical="center" wrapText="1"/>
    </xf>
    <xf numFmtId="179" fontId="11" fillId="0" borderId="0" xfId="1" applyNumberFormat="1" applyFont="1" applyFill="1" applyAlignment="1">
      <alignment vertical="center" wrapText="1"/>
    </xf>
    <xf numFmtId="43" fontId="11" fillId="0" borderId="0" xfId="1" applyFont="1" applyFill="1" applyAlignment="1">
      <alignment vertical="center" wrapText="1"/>
    </xf>
    <xf numFmtId="0" fontId="11" fillId="0" borderId="0" xfId="0" applyFont="1" applyAlignment="1">
      <alignment vertical="center" wrapText="1"/>
    </xf>
    <xf numFmtId="177" fontId="11" fillId="0" borderId="0" xfId="1" applyNumberFormat="1" applyFont="1" applyAlignment="1">
      <alignment vertical="center" wrapText="1"/>
    </xf>
    <xf numFmtId="177" fontId="0" fillId="0" borderId="0" xfId="0" applyNumberFormat="1" applyAlignment="1">
      <alignment vertical="center" wrapText="1"/>
    </xf>
    <xf numFmtId="17" fontId="12" fillId="12" borderId="0" xfId="0" applyNumberFormat="1" applyFont="1" applyFill="1">
      <alignment vertical="center"/>
    </xf>
    <xf numFmtId="177" fontId="12" fillId="12" borderId="0" xfId="1" applyNumberFormat="1" applyFont="1" applyFill="1">
      <alignment vertical="center"/>
    </xf>
    <xf numFmtId="17" fontId="12" fillId="12" borderId="0" xfId="0" applyNumberFormat="1" applyFont="1" applyFill="1" applyAlignment="1">
      <alignment horizontal="left" vertical="center"/>
    </xf>
    <xf numFmtId="43" fontId="12" fillId="12" borderId="0" xfId="1" applyFont="1" applyFill="1">
      <alignment vertical="center"/>
    </xf>
    <xf numFmtId="0" fontId="12" fillId="12" borderId="0" xfId="0" applyFont="1" applyFill="1">
      <alignment vertical="center"/>
    </xf>
    <xf numFmtId="177" fontId="12" fillId="6" borderId="0" xfId="1" applyNumberFormat="1" applyFont="1" applyFill="1">
      <alignment vertical="center"/>
    </xf>
    <xf numFmtId="17" fontId="12" fillId="6" borderId="0" xfId="0" applyNumberFormat="1" applyFont="1" applyFill="1" applyAlignment="1">
      <alignment horizontal="left" vertical="center"/>
    </xf>
    <xf numFmtId="43" fontId="12" fillId="6" borderId="0" xfId="1" applyFont="1" applyFill="1">
      <alignment vertical="center"/>
    </xf>
    <xf numFmtId="0" fontId="12" fillId="6" borderId="0" xfId="0" applyFont="1" applyFill="1">
      <alignment vertical="center"/>
    </xf>
    <xf numFmtId="0" fontId="11" fillId="6" borderId="0" xfId="0" applyFont="1" applyFill="1">
      <alignment vertical="center"/>
    </xf>
    <xf numFmtId="179" fontId="11" fillId="6" borderId="0" xfId="1" applyNumberFormat="1" applyFont="1" applyFill="1">
      <alignment vertical="center"/>
    </xf>
    <xf numFmtId="177" fontId="12" fillId="7" borderId="0" xfId="1" applyNumberFormat="1" applyFont="1" applyFill="1">
      <alignment vertical="center"/>
    </xf>
    <xf numFmtId="17" fontId="12" fillId="7" borderId="0" xfId="0" applyNumberFormat="1" applyFont="1" applyFill="1" applyAlignment="1">
      <alignment horizontal="left" vertical="center"/>
    </xf>
    <xf numFmtId="177" fontId="12" fillId="7" borderId="0" xfId="0" applyNumberFormat="1" applyFont="1" applyFill="1">
      <alignment vertical="center"/>
    </xf>
    <xf numFmtId="43" fontId="12" fillId="7" borderId="0" xfId="1" applyFont="1" applyFill="1">
      <alignment vertical="center"/>
    </xf>
    <xf numFmtId="0" fontId="18" fillId="7" borderId="0" xfId="0" applyFont="1" applyFill="1">
      <alignment vertical="center"/>
    </xf>
    <xf numFmtId="179" fontId="18" fillId="7" borderId="0" xfId="1" applyNumberFormat="1" applyFont="1" applyFill="1">
      <alignment vertical="center"/>
    </xf>
    <xf numFmtId="43" fontId="18" fillId="0" borderId="0" xfId="1" applyFont="1" applyFill="1">
      <alignment vertical="center"/>
    </xf>
    <xf numFmtId="10" fontId="18" fillId="7" borderId="0" xfId="3" applyNumberFormat="1" applyFont="1" applyFill="1">
      <alignment vertical="center"/>
    </xf>
    <xf numFmtId="10" fontId="11" fillId="7" borderId="0" xfId="3" applyNumberFormat="1" applyFont="1" applyFill="1">
      <alignment vertical="center"/>
    </xf>
    <xf numFmtId="0" fontId="11" fillId="7" borderId="0" xfId="0" applyFont="1" applyFill="1">
      <alignment vertical="center"/>
    </xf>
    <xf numFmtId="177" fontId="12" fillId="9" borderId="0" xfId="1" applyNumberFormat="1" applyFont="1" applyFill="1">
      <alignment vertical="center"/>
    </xf>
    <xf numFmtId="177" fontId="12" fillId="0" borderId="0" xfId="0" applyNumberFormat="1" applyFont="1" applyFill="1">
      <alignment vertical="center"/>
    </xf>
    <xf numFmtId="176" fontId="12" fillId="0" borderId="0" xfId="0" applyNumberFormat="1" applyFont="1" applyFill="1">
      <alignment vertical="center"/>
    </xf>
    <xf numFmtId="17" fontId="12" fillId="9" borderId="0" xfId="0" applyNumberFormat="1" applyFont="1" applyFill="1" applyAlignment="1">
      <alignment horizontal="left" vertical="center"/>
    </xf>
    <xf numFmtId="177" fontId="12" fillId="9" borderId="0" xfId="0" applyNumberFormat="1" applyFont="1" applyFill="1">
      <alignment vertical="center"/>
    </xf>
    <xf numFmtId="43" fontId="12" fillId="9" borderId="0" xfId="1" applyFont="1" applyFill="1">
      <alignment vertical="center"/>
    </xf>
    <xf numFmtId="0" fontId="11" fillId="9" borderId="0" xfId="0" applyFont="1" applyFill="1">
      <alignment vertical="center"/>
    </xf>
    <xf numFmtId="179" fontId="11" fillId="9" borderId="0" xfId="1" applyNumberFormat="1" applyFont="1" applyFill="1">
      <alignment vertical="center"/>
    </xf>
    <xf numFmtId="10" fontId="11" fillId="9" borderId="0" xfId="3" applyNumberFormat="1" applyFont="1" applyFill="1">
      <alignment vertical="center"/>
    </xf>
    <xf numFmtId="177" fontId="11" fillId="0" borderId="0" xfId="1" applyNumberFormat="1" applyFont="1" applyFill="1">
      <alignment vertical="center"/>
    </xf>
    <xf numFmtId="177" fontId="0" fillId="0" borderId="0" xfId="0" applyNumberFormat="1" applyFill="1">
      <alignment vertical="center"/>
    </xf>
    <xf numFmtId="177" fontId="16" fillId="6" borderId="0" xfId="1" applyNumberFormat="1" applyFont="1" applyFill="1">
      <alignment vertical="center"/>
    </xf>
    <xf numFmtId="43" fontId="12" fillId="0" borderId="0" xfId="0" applyNumberFormat="1" applyFont="1" applyFill="1">
      <alignment vertical="center"/>
    </xf>
    <xf numFmtId="10" fontId="11" fillId="6" borderId="0" xfId="3" applyNumberFormat="1" applyFont="1" applyFill="1">
      <alignment vertical="center"/>
    </xf>
    <xf numFmtId="177" fontId="15" fillId="6" borderId="0" xfId="1" applyNumberFormat="1" applyFont="1" applyFill="1">
      <alignment vertical="center"/>
    </xf>
    <xf numFmtId="10" fontId="0" fillId="0" borderId="0" xfId="3" applyNumberFormat="1" applyFill="1">
      <alignment vertical="center"/>
    </xf>
    <xf numFmtId="179" fontId="11" fillId="7" borderId="0" xfId="1" applyNumberFormat="1" applyFont="1" applyFill="1">
      <alignment vertical="center"/>
    </xf>
    <xf numFmtId="180" fontId="11" fillId="7" borderId="0" xfId="3" applyNumberFormat="1" applyFont="1" applyFill="1">
      <alignment vertical="center"/>
    </xf>
    <xf numFmtId="10" fontId="12" fillId="0" borderId="0" xfId="3" applyNumberFormat="1" applyFont="1" applyFill="1">
      <alignment vertical="center"/>
    </xf>
    <xf numFmtId="180" fontId="12" fillId="0" borderId="0" xfId="3" applyNumberFormat="1" applyFont="1" applyFill="1" applyAlignment="1">
      <alignment horizontal="left" vertical="center"/>
    </xf>
    <xf numFmtId="180" fontId="12" fillId="0" borderId="0" xfId="3" applyNumberFormat="1" applyFont="1" applyFill="1">
      <alignment vertical="center"/>
    </xf>
    <xf numFmtId="177" fontId="12" fillId="0" borderId="0" xfId="3" applyNumberFormat="1" applyFont="1" applyFill="1" applyAlignment="1">
      <alignment horizontal="left" vertical="center"/>
    </xf>
    <xf numFmtId="177" fontId="11" fillId="0" borderId="0" xfId="3" applyNumberFormat="1" applyFont="1" applyFill="1">
      <alignment vertical="center"/>
    </xf>
    <xf numFmtId="179" fontId="12" fillId="0" borderId="0" xfId="3" applyNumberFormat="1" applyFont="1">
      <alignment vertical="center"/>
    </xf>
    <xf numFmtId="0" fontId="12" fillId="0" borderId="0" xfId="0" applyFont="1" applyFill="1" applyAlignment="1">
      <alignment horizontal="left" vertical="center"/>
    </xf>
    <xf numFmtId="176" fontId="11" fillId="0" borderId="0" xfId="3" applyNumberFormat="1" applyFont="1" applyFill="1">
      <alignment vertical="center"/>
    </xf>
    <xf numFmtId="176" fontId="11" fillId="0" borderId="0" xfId="3" applyNumberFormat="1" applyFont="1" applyFill="1" applyAlignment="1">
      <alignment horizontal="right" vertical="center"/>
    </xf>
    <xf numFmtId="43" fontId="12" fillId="0" borderId="0" xfId="1" applyFont="1" applyAlignment="1">
      <alignment horizontal="center" vertical="center"/>
    </xf>
    <xf numFmtId="43" fontId="12" fillId="0" borderId="0" xfId="1" applyFont="1" applyAlignment="1">
      <alignment horizontal="center" vertical="center" wrapText="1"/>
    </xf>
    <xf numFmtId="0" fontId="19" fillId="0" borderId="0" xfId="0" applyFont="1" applyFill="1" applyAlignment="1">
      <alignment horizontal="center" vertical="center"/>
    </xf>
    <xf numFmtId="0" fontId="20" fillId="0" borderId="0" xfId="0" applyFont="1" applyFill="1" applyAlignment="1">
      <alignment horizontal="left" vertical="center"/>
    </xf>
    <xf numFmtId="0" fontId="20" fillId="0" borderId="0" xfId="0" applyFont="1" applyFill="1" applyAlignment="1">
      <alignment horizontal="center" vertical="center"/>
    </xf>
    <xf numFmtId="0" fontId="12" fillId="0" borderId="0" xfId="0" applyFont="1" applyFill="1" applyAlignment="1">
      <alignment horizontal="center" vertical="center"/>
    </xf>
    <xf numFmtId="43" fontId="12" fillId="0" borderId="0" xfId="1" applyFont="1" applyFill="1" applyAlignment="1">
      <alignment horizontal="center" vertical="center"/>
    </xf>
    <xf numFmtId="0" fontId="12" fillId="6" borderId="0" xfId="1" applyNumberFormat="1" applyFont="1" applyFill="1" applyAlignment="1">
      <alignment horizontal="left" vertical="center"/>
    </xf>
    <xf numFmtId="43" fontId="12" fillId="6" borderId="0" xfId="1" applyFont="1" applyFill="1" applyAlignment="1">
      <alignment horizontal="center" vertical="center"/>
    </xf>
    <xf numFmtId="0" fontId="19" fillId="0" borderId="0" xfId="0" applyFont="1" applyFill="1" applyAlignment="1">
      <alignment horizontal="left" vertical="center"/>
    </xf>
    <xf numFmtId="39" fontId="19" fillId="0" borderId="0" xfId="0" applyNumberFormat="1" applyFont="1" applyFill="1" applyAlignment="1">
      <alignment horizontal="left" vertical="center"/>
    </xf>
    <xf numFmtId="10" fontId="21" fillId="0" borderId="0" xfId="3" applyNumberFormat="1" applyFont="1" applyFill="1" applyAlignment="1">
      <alignment horizontal="right" vertical="center"/>
    </xf>
    <xf numFmtId="179" fontId="21" fillId="0" borderId="0" xfId="1" applyNumberFormat="1" applyFont="1" applyFill="1">
      <alignment vertical="center"/>
    </xf>
    <xf numFmtId="179" fontId="11" fillId="0" borderId="0" xfId="3" applyNumberFormat="1" applyFont="1" applyFill="1">
      <alignment vertical="center"/>
    </xf>
    <xf numFmtId="39" fontId="19" fillId="0" borderId="0" xfId="0" applyNumberFormat="1" applyFont="1" applyFill="1" applyAlignment="1">
      <alignment horizontal="right" vertical="center"/>
    </xf>
    <xf numFmtId="176" fontId="12" fillId="0" borderId="0" xfId="0" applyNumberFormat="1" applyFont="1" applyFill="1" applyAlignment="1">
      <alignment horizontal="left" vertical="center"/>
    </xf>
    <xf numFmtId="179" fontId="12" fillId="0" borderId="0" xfId="0" applyNumberFormat="1" applyFont="1" applyFill="1">
      <alignment vertical="center"/>
    </xf>
    <xf numFmtId="176" fontId="11" fillId="0" borderId="0" xfId="1" applyNumberFormat="1" applyFont="1" applyFill="1">
      <alignment vertical="center"/>
    </xf>
    <xf numFmtId="49" fontId="12" fillId="9" borderId="0" xfId="1" applyNumberFormat="1" applyFont="1" applyFill="1">
      <alignment vertical="center"/>
    </xf>
    <xf numFmtId="43" fontId="12" fillId="0" borderId="0" xfId="1" applyFont="1" applyFill="1" applyAlignment="1">
      <alignment horizontal="left" vertical="center"/>
    </xf>
    <xf numFmtId="49" fontId="12" fillId="7" borderId="0" xfId="1" applyNumberFormat="1" applyFont="1" applyFill="1">
      <alignment vertical="center"/>
    </xf>
    <xf numFmtId="43" fontId="12" fillId="7" borderId="0" xfId="1" applyNumberFormat="1" applyFont="1" applyFill="1">
      <alignment vertical="center"/>
    </xf>
    <xf numFmtId="43" fontId="12" fillId="7" borderId="0" xfId="0" applyNumberFormat="1" applyFont="1" applyFill="1">
      <alignment vertical="center"/>
    </xf>
    <xf numFmtId="176" fontId="12" fillId="0" borderId="0" xfId="1" applyNumberFormat="1" applyFont="1" applyFill="1">
      <alignment vertical="center"/>
    </xf>
    <xf numFmtId="0" fontId="12" fillId="9" borderId="0" xfId="1" applyNumberFormat="1" applyFont="1" applyFill="1" applyAlignment="1">
      <alignment horizontal="left" vertical="center"/>
    </xf>
    <xf numFmtId="176" fontId="1" fillId="0" borderId="0" xfId="1" applyNumberFormat="1" applyFont="1" applyFill="1">
      <alignment vertical="center"/>
    </xf>
    <xf numFmtId="49" fontId="12" fillId="6" borderId="0" xfId="1" applyNumberFormat="1" applyFont="1" applyFill="1">
      <alignment vertical="center"/>
    </xf>
    <xf numFmtId="4" fontId="12" fillId="0" borderId="0" xfId="0" applyNumberFormat="1" applyFont="1" applyFill="1">
      <alignment vertical="center"/>
    </xf>
    <xf numFmtId="43" fontId="12" fillId="0" borderId="0" xfId="1" applyNumberFormat="1" applyFont="1">
      <alignment vertical="center"/>
    </xf>
    <xf numFmtId="0" fontId="19" fillId="13" borderId="0" xfId="0" applyFont="1" applyFill="1" applyAlignment="1">
      <alignment horizontal="center" vertical="center"/>
    </xf>
    <xf numFmtId="0" fontId="20" fillId="13" borderId="0" xfId="0" applyFont="1" applyFill="1" applyAlignment="1">
      <alignment horizontal="center" vertical="center"/>
    </xf>
    <xf numFmtId="14" fontId="22" fillId="14" borderId="0" xfId="0" applyNumberFormat="1" applyFont="1" applyFill="1" applyAlignment="1">
      <alignment horizontal="left" vertical="center"/>
    </xf>
    <xf numFmtId="0" fontId="23" fillId="14" borderId="0" xfId="0" applyFont="1" applyFill="1" applyAlignment="1">
      <alignment horizontal="left" vertical="center"/>
    </xf>
    <xf numFmtId="39" fontId="23" fillId="14" borderId="0" xfId="0" applyNumberFormat="1" applyFont="1" applyFill="1" applyAlignment="1">
      <alignment horizontal="right" vertical="center"/>
    </xf>
    <xf numFmtId="43" fontId="24" fillId="12" borderId="0" xfId="1" applyFont="1" applyFill="1">
      <alignment vertical="center"/>
    </xf>
    <xf numFmtId="43" fontId="24" fillId="12" borderId="0" xfId="0" applyNumberFormat="1" applyFont="1" applyFill="1">
      <alignment vertical="center"/>
    </xf>
    <xf numFmtId="14" fontId="22" fillId="15" borderId="0" xfId="0" applyNumberFormat="1" applyFont="1" applyFill="1" applyAlignment="1">
      <alignment horizontal="left" vertical="center"/>
    </xf>
    <xf numFmtId="0" fontId="23" fillId="15" borderId="0" xfId="0" applyFont="1" applyFill="1" applyAlignment="1">
      <alignment horizontal="left" vertical="center"/>
    </xf>
    <xf numFmtId="39" fontId="23" fillId="15" borderId="0" xfId="0" applyNumberFormat="1" applyFont="1" applyFill="1" applyAlignment="1">
      <alignment horizontal="right" vertical="center"/>
    </xf>
    <xf numFmtId="43" fontId="24" fillId="6" borderId="0" xfId="0" applyNumberFormat="1" applyFont="1" applyFill="1">
      <alignment vertical="center"/>
    </xf>
    <xf numFmtId="0" fontId="22" fillId="16" borderId="0" xfId="0" applyFont="1" applyFill="1" applyAlignment="1">
      <alignment horizontal="left" vertical="center"/>
    </xf>
    <xf numFmtId="0" fontId="23" fillId="16" borderId="0" xfId="0" applyFont="1" applyFill="1" applyAlignment="1">
      <alignment horizontal="left" vertical="center"/>
    </xf>
    <xf numFmtId="39" fontId="23" fillId="16" borderId="0" xfId="0" applyNumberFormat="1" applyFont="1" applyFill="1" applyAlignment="1">
      <alignment horizontal="right" vertical="center"/>
    </xf>
    <xf numFmtId="43" fontId="24" fillId="7" borderId="0" xfId="0" applyNumberFormat="1" applyFont="1" applyFill="1">
      <alignment vertical="center"/>
    </xf>
    <xf numFmtId="0" fontId="25" fillId="0" borderId="0" xfId="0" applyFont="1" applyFill="1" applyAlignment="1">
      <alignment vertical="center"/>
    </xf>
    <xf numFmtId="181" fontId="11" fillId="0" borderId="0" xfId="0" applyNumberFormat="1" applyFont="1">
      <alignment vertical="center"/>
    </xf>
    <xf numFmtId="14" fontId="12" fillId="0" borderId="0" xfId="0" applyNumberFormat="1" applyFont="1" applyFill="1">
      <alignment vertical="center"/>
    </xf>
    <xf numFmtId="181" fontId="0" fillId="0" borderId="0" xfId="0" applyNumberFormat="1">
      <alignment vertical="center"/>
    </xf>
    <xf numFmtId="181" fontId="1" fillId="0" borderId="0" xfId="0" applyNumberFormat="1" applyFont="1">
      <alignment vertical="center"/>
    </xf>
    <xf numFmtId="14" fontId="26" fillId="0" borderId="0" xfId="0" applyNumberFormat="1" applyFont="1" applyFill="1" applyBorder="1" applyAlignment="1" applyProtection="1">
      <alignment horizontal="left" vertical="center"/>
    </xf>
    <xf numFmtId="181" fontId="7" fillId="0" borderId="0" xfId="0" applyNumberFormat="1" applyFont="1" applyAlignment="1">
      <alignment horizontal="left" vertical="center"/>
    </xf>
    <xf numFmtId="14" fontId="12" fillId="0" borderId="0" xfId="0" applyNumberFormat="1" applyFont="1">
      <alignment vertical="center"/>
    </xf>
    <xf numFmtId="43" fontId="26" fillId="0" borderId="0" xfId="1" applyFont="1" applyFill="1" applyAlignment="1" applyProtection="1">
      <alignment horizontal="center" vertical="center"/>
    </xf>
    <xf numFmtId="43" fontId="26" fillId="0" borderId="0" xfId="1" applyFont="1" applyFill="1" applyAlignment="1" applyProtection="1">
      <alignment horizontal="left" vertical="center"/>
    </xf>
    <xf numFmtId="43" fontId="7" fillId="0" borderId="0" xfId="1" applyFont="1" applyFill="1">
      <alignment vertical="center"/>
    </xf>
    <xf numFmtId="0" fontId="0" fillId="0" borderId="0" xfId="0" applyAlignment="1">
      <alignment horizontal="left" vertical="center"/>
    </xf>
    <xf numFmtId="43" fontId="11" fillId="11" borderId="0" xfId="1" applyFont="1" applyFill="1">
      <alignment vertical="center"/>
    </xf>
    <xf numFmtId="0" fontId="1" fillId="11" borderId="0" xfId="0" applyFont="1" applyFill="1" applyAlignment="1">
      <alignment horizontal="left" vertical="center"/>
    </xf>
    <xf numFmtId="43" fontId="11" fillId="0" borderId="0" xfId="1" applyFont="1" applyAlignment="1">
      <alignment horizontal="center" vertical="center"/>
    </xf>
    <xf numFmtId="181" fontId="11" fillId="0" borderId="0" xfId="1" applyNumberFormat="1" applyFont="1" applyAlignment="1">
      <alignment horizontal="left" vertical="center"/>
    </xf>
    <xf numFmtId="179" fontId="11" fillId="0" borderId="0" xfId="0" applyNumberFormat="1" applyFont="1">
      <alignment vertical="center"/>
    </xf>
    <xf numFmtId="17" fontId="12" fillId="0" borderId="0" xfId="0" applyNumberFormat="1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9" fontId="11" fillId="0" borderId="0" xfId="3" applyFont="1">
      <alignment vertical="center"/>
    </xf>
    <xf numFmtId="181" fontId="11" fillId="0" borderId="0" xfId="0" applyNumberFormat="1" applyFont="1" applyAlignment="1">
      <alignment horizontal="left" vertical="center"/>
    </xf>
    <xf numFmtId="184" fontId="12" fillId="0" borderId="0" xfId="0" applyNumberFormat="1" applyFont="1">
      <alignment vertical="center"/>
    </xf>
    <xf numFmtId="176" fontId="12" fillId="0" borderId="0" xfId="1" applyNumberFormat="1" applyFont="1" applyAlignment="1">
      <alignment horizontal="left" vertical="center"/>
    </xf>
    <xf numFmtId="179" fontId="12" fillId="0" borderId="0" xfId="1" applyNumberFormat="1" applyFont="1" applyAlignment="1">
      <alignment horizontal="left" vertical="center"/>
    </xf>
    <xf numFmtId="43" fontId="1" fillId="10" borderId="0" xfId="1" applyFont="1" applyFill="1">
      <alignment vertical="center"/>
    </xf>
    <xf numFmtId="179" fontId="12" fillId="7" borderId="0" xfId="1" applyNumberFormat="1" applyFont="1" applyFill="1">
      <alignment vertical="center"/>
    </xf>
    <xf numFmtId="17" fontId="12" fillId="17" borderId="0" xfId="0" applyNumberFormat="1" applyFont="1" applyFill="1">
      <alignment vertical="center"/>
    </xf>
    <xf numFmtId="177" fontId="12" fillId="17" borderId="0" xfId="1" applyNumberFormat="1" applyFont="1" applyFill="1">
      <alignment vertical="center"/>
    </xf>
    <xf numFmtId="179" fontId="12" fillId="17" borderId="0" xfId="1" applyNumberFormat="1" applyFont="1" applyFill="1">
      <alignment vertical="center"/>
    </xf>
    <xf numFmtId="179" fontId="12" fillId="6" borderId="0" xfId="0" applyNumberFormat="1" applyFont="1" applyFill="1">
      <alignment vertical="center"/>
    </xf>
    <xf numFmtId="177" fontId="12" fillId="0" borderId="0" xfId="0" applyNumberFormat="1" applyFont="1">
      <alignment vertical="center"/>
    </xf>
    <xf numFmtId="9" fontId="21" fillId="0" borderId="0" xfId="3" applyNumberFormat="1" applyFont="1">
      <alignment vertical="center"/>
    </xf>
    <xf numFmtId="9" fontId="12" fillId="0" borderId="0" xfId="3" applyNumberFormat="1" applyFont="1">
      <alignment vertical="center"/>
    </xf>
    <xf numFmtId="0" fontId="1" fillId="0" borderId="0" xfId="0" applyFont="1" applyFill="1" applyAlignment="1">
      <alignment vertical="center"/>
    </xf>
    <xf numFmtId="10" fontId="1" fillId="0" borderId="0" xfId="0" applyNumberFormat="1" applyFont="1" applyFill="1" applyAlignment="1">
      <alignment vertical="center"/>
    </xf>
    <xf numFmtId="43" fontId="12" fillId="0" borderId="0" xfId="1" applyFont="1" applyFill="1" applyAlignment="1">
      <alignment vertical="center"/>
    </xf>
    <xf numFmtId="0" fontId="12" fillId="18" borderId="2" xfId="0" applyFont="1" applyFill="1" applyBorder="1" applyAlignment="1">
      <alignment horizontal="center" vertical="center"/>
    </xf>
    <xf numFmtId="0" fontId="12" fillId="18" borderId="3" xfId="0" applyFont="1" applyFill="1" applyBorder="1" applyAlignment="1">
      <alignment horizontal="center" vertical="center"/>
    </xf>
    <xf numFmtId="10" fontId="12" fillId="18" borderId="4" xfId="0" applyNumberFormat="1" applyFont="1" applyFill="1" applyBorder="1" applyAlignment="1">
      <alignment horizontal="center" vertical="center"/>
    </xf>
    <xf numFmtId="0" fontId="24" fillId="0" borderId="0" xfId="0" applyFont="1" applyFill="1" applyAlignment="1">
      <alignment vertical="center"/>
    </xf>
    <xf numFmtId="43" fontId="27" fillId="0" borderId="0" xfId="1" applyFont="1" applyFill="1" applyAlignment="1">
      <alignment vertical="center"/>
    </xf>
    <xf numFmtId="43" fontId="24" fillId="0" borderId="0" xfId="1" applyFont="1" applyFill="1" applyAlignment="1">
      <alignment vertical="center"/>
    </xf>
    <xf numFmtId="0" fontId="12" fillId="0" borderId="5" xfId="0" applyFont="1" applyFill="1" applyBorder="1" applyAlignment="1">
      <alignment vertical="center"/>
    </xf>
    <xf numFmtId="179" fontId="28" fillId="0" borderId="0" xfId="0" applyNumberFormat="1" applyFont="1" applyFill="1" applyBorder="1" applyAlignment="1">
      <alignment vertical="center"/>
    </xf>
    <xf numFmtId="180" fontId="12" fillId="0" borderId="6" xfId="0" applyNumberFormat="1" applyFont="1" applyFill="1" applyBorder="1" applyAlignment="1">
      <alignment vertical="center"/>
    </xf>
    <xf numFmtId="43" fontId="1" fillId="0" borderId="0" xfId="0" applyNumberFormat="1" applyFont="1" applyFill="1" applyAlignment="1">
      <alignment vertical="center"/>
    </xf>
    <xf numFmtId="0" fontId="23" fillId="0" borderId="0" xfId="0" applyFont="1" applyFill="1" applyAlignment="1">
      <alignment vertical="center" wrapText="1"/>
    </xf>
    <xf numFmtId="180" fontId="23" fillId="0" borderId="0" xfId="3" applyNumberFormat="1" applyFont="1" applyFill="1" applyAlignment="1">
      <alignment vertical="center" wrapText="1"/>
    </xf>
    <xf numFmtId="180" fontId="27" fillId="0" borderId="0" xfId="3" applyNumberFormat="1" applyFont="1" applyFill="1" applyAlignment="1">
      <alignment vertical="center"/>
    </xf>
    <xf numFmtId="10" fontId="12" fillId="0" borderId="0" xfId="3" applyNumberFormat="1" applyFont="1" applyFill="1" applyAlignment="1">
      <alignment vertical="center"/>
    </xf>
    <xf numFmtId="10" fontId="24" fillId="0" borderId="0" xfId="3" applyNumberFormat="1" applyFont="1" applyFill="1" applyAlignment="1">
      <alignment vertical="center"/>
    </xf>
    <xf numFmtId="180" fontId="1" fillId="0" borderId="0" xfId="3" applyNumberFormat="1" applyFont="1" applyFill="1" applyAlignment="1">
      <alignment vertical="center"/>
    </xf>
    <xf numFmtId="0" fontId="29" fillId="0" borderId="0" xfId="0" applyFont="1" applyFill="1" applyAlignment="1">
      <alignment vertical="center" wrapText="1"/>
    </xf>
    <xf numFmtId="180" fontId="11" fillId="0" borderId="0" xfId="3" applyNumberFormat="1" applyFont="1" applyFill="1" applyAlignment="1">
      <alignment horizontal="left" vertical="center"/>
    </xf>
    <xf numFmtId="180" fontId="1" fillId="0" borderId="0" xfId="0" applyNumberFormat="1" applyFont="1" applyFill="1" applyAlignment="1">
      <alignment vertical="center"/>
    </xf>
    <xf numFmtId="180" fontId="1" fillId="0" borderId="0" xfId="3" applyNumberFormat="1" applyFont="1" applyFill="1" applyAlignment="1">
      <alignment horizontal="left" vertical="center"/>
    </xf>
    <xf numFmtId="180" fontId="1" fillId="0" borderId="0" xfId="0" applyNumberFormat="1" applyFont="1" applyFill="1" applyAlignment="1">
      <alignment horizontal="left" vertical="center"/>
    </xf>
    <xf numFmtId="0" fontId="12" fillId="7" borderId="0" xfId="0" applyFont="1" applyFill="1" applyAlignment="1">
      <alignment vertical="center"/>
    </xf>
    <xf numFmtId="179" fontId="12" fillId="7" borderId="0" xfId="0" applyNumberFormat="1" applyFont="1" applyFill="1" applyAlignment="1">
      <alignment vertical="center"/>
    </xf>
    <xf numFmtId="179" fontId="27" fillId="7" borderId="0" xfId="0" applyNumberFormat="1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177" fontId="12" fillId="0" borderId="0" xfId="1" applyNumberFormat="1" applyFont="1" applyFill="1" applyAlignment="1">
      <alignment horizontal="center" vertical="center"/>
    </xf>
    <xf numFmtId="177" fontId="1" fillId="0" borderId="0" xfId="1" applyNumberFormat="1" applyFont="1" applyFill="1" applyAlignment="1">
      <alignment horizontal="right" vertical="center"/>
    </xf>
    <xf numFmtId="177" fontId="1" fillId="0" borderId="0" xfId="0" applyNumberFormat="1" applyFont="1" applyFill="1" applyAlignment="1">
      <alignment vertical="center"/>
    </xf>
    <xf numFmtId="177" fontId="1" fillId="0" borderId="0" xfId="0" applyNumberFormat="1" applyFont="1" applyFill="1" applyAlignment="1">
      <alignment horizontal="right" vertical="center"/>
    </xf>
    <xf numFmtId="177" fontId="12" fillId="0" borderId="0" xfId="1" applyNumberFormat="1" applyFont="1" applyFill="1" applyAlignment="1">
      <alignment horizontal="right" vertical="center"/>
    </xf>
    <xf numFmtId="177" fontId="1" fillId="0" borderId="0" xfId="1" applyNumberFormat="1" applyFont="1" applyFill="1" applyAlignment="1">
      <alignment vertical="center"/>
    </xf>
    <xf numFmtId="0" fontId="27" fillId="0" borderId="0" xfId="0" applyFont="1" applyFill="1" applyAlignment="1">
      <alignment vertical="center"/>
    </xf>
    <xf numFmtId="177" fontId="30" fillId="0" borderId="0" xfId="1" applyNumberFormat="1" applyFont="1" applyFill="1" applyAlignment="1">
      <alignment vertical="center"/>
    </xf>
    <xf numFmtId="177" fontId="27" fillId="0" borderId="0" xfId="1" applyNumberFormat="1" applyFont="1" applyFill="1" applyAlignment="1">
      <alignment vertical="center"/>
    </xf>
    <xf numFmtId="43" fontId="30" fillId="0" borderId="0" xfId="1" applyNumberFormat="1" applyFont="1" applyFill="1" applyAlignment="1">
      <alignment vertical="center"/>
    </xf>
    <xf numFmtId="0" fontId="12" fillId="8" borderId="2" xfId="0" applyFont="1" applyFill="1" applyBorder="1" applyAlignment="1">
      <alignment vertical="center"/>
    </xf>
    <xf numFmtId="179" fontId="12" fillId="8" borderId="3" xfId="1" applyNumberFormat="1" applyFont="1" applyFill="1" applyBorder="1">
      <alignment vertical="center"/>
    </xf>
    <xf numFmtId="180" fontId="12" fillId="8" borderId="4" xfId="0" applyNumberFormat="1" applyFont="1" applyFill="1" applyBorder="1" applyAlignment="1">
      <alignment vertical="center"/>
    </xf>
    <xf numFmtId="176" fontId="1" fillId="0" borderId="0" xfId="0" applyNumberFormat="1" applyFont="1" applyFill="1" applyAlignment="1">
      <alignment horizontal="left" vertical="center"/>
    </xf>
    <xf numFmtId="177" fontId="12" fillId="0" borderId="0" xfId="1" applyNumberFormat="1" applyFont="1" applyFill="1" applyAlignment="1">
      <alignment vertical="center"/>
    </xf>
    <xf numFmtId="176" fontId="1" fillId="0" borderId="0" xfId="1" applyNumberFormat="1" applyFont="1" applyFill="1" applyAlignment="1">
      <alignment vertical="center"/>
    </xf>
    <xf numFmtId="9" fontId="12" fillId="0" borderId="0" xfId="3" applyFont="1" applyFill="1" applyAlignment="1">
      <alignment vertical="center"/>
    </xf>
    <xf numFmtId="180" fontId="1" fillId="0" borderId="0" xfId="3" applyNumberFormat="1" applyFont="1" applyFill="1" applyAlignment="1">
      <alignment horizontal="center" vertical="center"/>
    </xf>
    <xf numFmtId="180" fontId="11" fillId="0" borderId="0" xfId="3" applyNumberFormat="1" applyFont="1" applyFill="1" applyAlignment="1">
      <alignment horizontal="center" vertical="center"/>
    </xf>
    <xf numFmtId="9" fontId="11" fillId="0" borderId="0" xfId="3" applyFont="1" applyFill="1" applyAlignment="1">
      <alignment horizontal="center" vertical="center"/>
    </xf>
    <xf numFmtId="180" fontId="12" fillId="0" borderId="0" xfId="3" applyNumberFormat="1" applyFont="1" applyFill="1" applyAlignment="1">
      <alignment horizontal="center" vertical="center"/>
    </xf>
    <xf numFmtId="9" fontId="1" fillId="0" borderId="0" xfId="3" applyFont="1" applyFill="1" applyAlignment="1">
      <alignment horizontal="center" vertical="center"/>
    </xf>
    <xf numFmtId="180" fontId="12" fillId="0" borderId="0" xfId="3" applyNumberFormat="1" applyFont="1" applyFill="1" applyAlignment="1">
      <alignment vertical="center"/>
    </xf>
    <xf numFmtId="43" fontId="1" fillId="0" borderId="0" xfId="1" applyFont="1" applyFill="1" applyAlignment="1">
      <alignment vertical="center"/>
    </xf>
    <xf numFmtId="176" fontId="1" fillId="0" borderId="0" xfId="0" applyNumberFormat="1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179" fontId="1" fillId="0" borderId="0" xfId="0" applyNumberFormat="1" applyFont="1" applyFill="1" applyAlignment="1">
      <alignment vertical="center"/>
    </xf>
    <xf numFmtId="176" fontId="1" fillId="0" borderId="0" xfId="3" applyNumberFormat="1" applyFont="1" applyFill="1" applyAlignment="1">
      <alignment vertical="center"/>
    </xf>
    <xf numFmtId="176" fontId="11" fillId="0" borderId="0" xfId="0" applyNumberFormat="1" applyFont="1" applyFill="1" applyAlignment="1">
      <alignment vertical="center"/>
    </xf>
    <xf numFmtId="0" fontId="12" fillId="6" borderId="5" xfId="0" applyFont="1" applyFill="1" applyBorder="1" applyAlignment="1">
      <alignment vertical="center"/>
    </xf>
    <xf numFmtId="179" fontId="28" fillId="6" borderId="0" xfId="0" applyNumberFormat="1" applyFont="1" applyFill="1" applyBorder="1" applyAlignment="1">
      <alignment vertical="center"/>
    </xf>
    <xf numFmtId="180" fontId="12" fillId="6" borderId="6" xfId="0" applyNumberFormat="1" applyFont="1" applyFill="1" applyBorder="1" applyAlignment="1">
      <alignment vertical="center"/>
    </xf>
    <xf numFmtId="176" fontId="12" fillId="0" borderId="0" xfId="1" applyNumberFormat="1" applyFont="1" applyFill="1" applyAlignment="1">
      <alignment vertical="center"/>
    </xf>
    <xf numFmtId="10" fontId="12" fillId="0" borderId="6" xfId="0" applyNumberFormat="1" applyFont="1" applyFill="1" applyBorder="1" applyAlignment="1">
      <alignment vertical="center"/>
    </xf>
    <xf numFmtId="10" fontId="12" fillId="6" borderId="6" xfId="0" applyNumberFormat="1" applyFont="1" applyFill="1" applyBorder="1" applyAlignment="1">
      <alignment vertical="center"/>
    </xf>
    <xf numFmtId="10" fontId="12" fillId="8" borderId="4" xfId="0" applyNumberFormat="1" applyFont="1" applyFill="1" applyBorder="1" applyAlignment="1">
      <alignment vertical="center"/>
    </xf>
    <xf numFmtId="0" fontId="12" fillId="19" borderId="2" xfId="0" applyFont="1" applyFill="1" applyBorder="1" applyAlignment="1">
      <alignment vertical="center"/>
    </xf>
    <xf numFmtId="179" fontId="12" fillId="19" borderId="3" xfId="1" applyNumberFormat="1" applyFont="1" applyFill="1" applyBorder="1">
      <alignment vertical="center"/>
    </xf>
    <xf numFmtId="10" fontId="12" fillId="19" borderId="4" xfId="0" applyNumberFormat="1" applyFont="1" applyFill="1" applyBorder="1" applyAlignment="1">
      <alignment vertical="center"/>
    </xf>
    <xf numFmtId="0" fontId="11" fillId="0" borderId="0" xfId="0" applyFont="1" applyAlignment="1">
      <alignment vertical="center"/>
    </xf>
    <xf numFmtId="43" fontId="11" fillId="0" borderId="0" xfId="1" applyFont="1" applyAlignment="1">
      <alignment vertical="center"/>
    </xf>
    <xf numFmtId="4" fontId="11" fillId="0" borderId="0" xfId="0" applyNumberFormat="1" applyFont="1" applyAlignment="1">
      <alignment vertical="center"/>
    </xf>
    <xf numFmtId="10" fontId="11" fillId="0" borderId="0" xfId="0" applyNumberFormat="1" applyFont="1" applyAlignment="1">
      <alignment vertical="center"/>
    </xf>
    <xf numFmtId="176" fontId="11" fillId="0" borderId="0" xfId="0" applyNumberFormat="1" applyFont="1" applyAlignment="1">
      <alignment vertical="center"/>
    </xf>
    <xf numFmtId="0" fontId="20" fillId="18" borderId="7" xfId="0" applyFont="1" applyFill="1" applyBorder="1" applyAlignment="1">
      <alignment horizontal="center" vertical="center" wrapText="1"/>
    </xf>
    <xf numFmtId="43" fontId="31" fillId="18" borderId="7" xfId="1" applyFont="1" applyFill="1" applyBorder="1" applyAlignment="1">
      <alignment horizontal="center" vertical="center" wrapText="1"/>
    </xf>
    <xf numFmtId="43" fontId="20" fillId="18" borderId="7" xfId="1" applyFont="1" applyFill="1" applyBorder="1" applyAlignment="1">
      <alignment horizontal="center" vertical="center" wrapText="1"/>
    </xf>
    <xf numFmtId="0" fontId="11" fillId="18" borderId="8" xfId="0" applyFont="1" applyFill="1" applyBorder="1" applyAlignment="1">
      <alignment horizontal="center" vertical="center" wrapText="1"/>
    </xf>
    <xf numFmtId="4" fontId="11" fillId="18" borderId="9" xfId="0" applyNumberFormat="1" applyFont="1" applyFill="1" applyBorder="1" applyAlignment="1">
      <alignment horizontal="center" vertical="center" wrapText="1"/>
    </xf>
    <xf numFmtId="10" fontId="11" fillId="18" borderId="10" xfId="0" applyNumberFormat="1" applyFont="1" applyFill="1" applyBorder="1" applyAlignment="1">
      <alignment horizontal="center" vertical="center" wrapText="1"/>
    </xf>
    <xf numFmtId="176" fontId="11" fillId="0" borderId="0" xfId="0" applyNumberFormat="1" applyFont="1" applyAlignment="1">
      <alignment vertical="center" wrapText="1"/>
    </xf>
    <xf numFmtId="0" fontId="20" fillId="0" borderId="0" xfId="0" applyFont="1" applyBorder="1" applyAlignment="1">
      <alignment horizontal="center" vertical="center"/>
    </xf>
    <xf numFmtId="43" fontId="20" fillId="0" borderId="0" xfId="1" applyFont="1" applyFill="1" applyBorder="1" applyAlignment="1">
      <alignment vertical="center"/>
    </xf>
    <xf numFmtId="43" fontId="20" fillId="0" borderId="0" xfId="1" applyFont="1" applyBorder="1" applyAlignment="1">
      <alignment vertical="center"/>
    </xf>
    <xf numFmtId="0" fontId="11" fillId="0" borderId="11" xfId="0" applyFont="1" applyBorder="1" applyAlignment="1">
      <alignment horizontal="center" vertical="center"/>
    </xf>
    <xf numFmtId="185" fontId="11" fillId="0" borderId="12" xfId="0" applyNumberFormat="1" applyFont="1" applyBorder="1" applyAlignment="1">
      <alignment vertical="center"/>
    </xf>
    <xf numFmtId="9" fontId="11" fillId="0" borderId="13" xfId="0" applyNumberFormat="1" applyFont="1" applyBorder="1" applyAlignment="1">
      <alignment vertical="center"/>
    </xf>
    <xf numFmtId="0" fontId="18" fillId="0" borderId="14" xfId="0" applyFont="1" applyBorder="1" applyAlignment="1">
      <alignment horizontal="center" vertical="center"/>
    </xf>
    <xf numFmtId="185" fontId="18" fillId="0" borderId="0" xfId="0" applyNumberFormat="1" applyFont="1" applyBorder="1" applyAlignment="1">
      <alignment vertical="center"/>
    </xf>
    <xf numFmtId="9" fontId="18" fillId="0" borderId="15" xfId="0" applyNumberFormat="1" applyFont="1" applyBorder="1" applyAlignment="1">
      <alignment vertical="center"/>
    </xf>
    <xf numFmtId="185" fontId="18" fillId="0" borderId="0" xfId="0" applyNumberFormat="1" applyFont="1" applyFill="1" applyBorder="1" applyAlignment="1">
      <alignment vertical="center"/>
    </xf>
    <xf numFmtId="185" fontId="11" fillId="0" borderId="0" xfId="0" applyNumberFormat="1" applyFont="1" applyFill="1" applyBorder="1" applyAlignment="1">
      <alignment vertical="center"/>
    </xf>
    <xf numFmtId="0" fontId="20" fillId="0" borderId="0" xfId="0" applyFont="1" applyAlignment="1">
      <alignment horizontal="center" vertical="center"/>
    </xf>
    <xf numFmtId="176" fontId="11" fillId="0" borderId="0" xfId="0" applyNumberFormat="1" applyFont="1" applyAlignment="1">
      <alignment horizontal="right" vertical="center"/>
    </xf>
    <xf numFmtId="10" fontId="11" fillId="0" borderId="0" xfId="3" applyNumberFormat="1" applyFont="1" applyAlignment="1">
      <alignment vertical="center"/>
    </xf>
    <xf numFmtId="0" fontId="18" fillId="20" borderId="16" xfId="0" applyFont="1" applyFill="1" applyBorder="1" applyAlignment="1">
      <alignment horizontal="center" vertical="center"/>
    </xf>
    <xf numFmtId="185" fontId="18" fillId="20" borderId="17" xfId="0" applyNumberFormat="1" applyFont="1" applyFill="1" applyBorder="1" applyAlignment="1">
      <alignment vertical="center"/>
    </xf>
    <xf numFmtId="180" fontId="18" fillId="20" borderId="18" xfId="0" applyNumberFormat="1" applyFont="1" applyFill="1" applyBorder="1" applyAlignment="1">
      <alignment vertical="center"/>
    </xf>
    <xf numFmtId="180" fontId="11" fillId="0" borderId="0" xfId="3" applyNumberFormat="1" applyFont="1" applyAlignment="1">
      <alignment vertical="center"/>
    </xf>
    <xf numFmtId="0" fontId="21" fillId="0" borderId="0" xfId="0" applyFont="1" applyAlignment="1">
      <alignment vertical="center"/>
    </xf>
    <xf numFmtId="4" fontId="11" fillId="21" borderId="16" xfId="0" applyNumberFormat="1" applyFont="1" applyFill="1" applyBorder="1" applyAlignment="1">
      <alignment horizontal="center" vertical="center"/>
    </xf>
    <xf numFmtId="57" fontId="11" fillId="21" borderId="18" xfId="0" applyNumberFormat="1" applyFont="1" applyFill="1" applyBorder="1" applyAlignment="1">
      <alignment horizontal="center" vertical="center"/>
    </xf>
    <xf numFmtId="49" fontId="11" fillId="21" borderId="17" xfId="0" applyNumberFormat="1" applyFont="1" applyFill="1" applyBorder="1" applyAlignment="1">
      <alignment horizontal="center" vertical="center"/>
    </xf>
    <xf numFmtId="0" fontId="11" fillId="21" borderId="18" xfId="0" applyFont="1" applyFill="1" applyBorder="1" applyAlignment="1">
      <alignment horizontal="center" vertical="center"/>
    </xf>
    <xf numFmtId="4" fontId="11" fillId="0" borderId="14" xfId="0" applyNumberFormat="1" applyFont="1" applyBorder="1" applyAlignment="1">
      <alignment horizontal="center" vertical="center"/>
    </xf>
    <xf numFmtId="179" fontId="11" fillId="0" borderId="0" xfId="0" applyNumberFormat="1" applyFont="1" applyAlignment="1">
      <alignment vertical="center"/>
    </xf>
    <xf numFmtId="9" fontId="11" fillId="0" borderId="15" xfId="0" applyNumberFormat="1" applyFont="1" applyBorder="1" applyAlignment="1">
      <alignment vertical="center"/>
    </xf>
    <xf numFmtId="177" fontId="11" fillId="0" borderId="0" xfId="1" applyNumberFormat="1" applyFont="1" applyAlignment="1">
      <alignment vertical="center"/>
    </xf>
    <xf numFmtId="179" fontId="11" fillId="0" borderId="0" xfId="0" applyNumberFormat="1" applyFont="1" applyBorder="1" applyAlignment="1">
      <alignment vertical="center"/>
    </xf>
    <xf numFmtId="9" fontId="11" fillId="0" borderId="0" xfId="3" applyFont="1" applyAlignment="1">
      <alignment vertical="center"/>
    </xf>
    <xf numFmtId="4" fontId="11" fillId="20" borderId="16" xfId="0" applyNumberFormat="1" applyFont="1" applyFill="1" applyBorder="1" applyAlignment="1">
      <alignment horizontal="center" vertical="center"/>
    </xf>
    <xf numFmtId="179" fontId="11" fillId="20" borderId="17" xfId="0" applyNumberFormat="1" applyFont="1" applyFill="1" applyBorder="1" applyAlignment="1">
      <alignment vertical="center"/>
    </xf>
    <xf numFmtId="9" fontId="11" fillId="20" borderId="18" xfId="0" applyNumberFormat="1" applyFont="1" applyFill="1" applyBorder="1" applyAlignment="1">
      <alignment vertical="center"/>
    </xf>
    <xf numFmtId="0" fontId="11" fillId="0" borderId="0" xfId="0" applyFont="1" applyFill="1" applyBorder="1" applyAlignment="1">
      <alignment vertical="center"/>
    </xf>
    <xf numFmtId="10" fontId="11" fillId="0" borderId="0" xfId="3" applyNumberFormat="1" applyFont="1" applyFill="1" applyBorder="1" applyAlignment="1">
      <alignment vertical="center"/>
    </xf>
    <xf numFmtId="10" fontId="11" fillId="0" borderId="0" xfId="0" applyNumberFormat="1" applyFont="1" applyFill="1" applyBorder="1" applyAlignment="1">
      <alignment vertical="center"/>
    </xf>
    <xf numFmtId="0" fontId="11" fillId="0" borderId="0" xfId="0" applyFont="1" applyFill="1" applyBorder="1" applyAlignment="1">
      <alignment horizontal="center" vertical="center"/>
    </xf>
    <xf numFmtId="4" fontId="11" fillId="0" borderId="0" xfId="0" applyNumberFormat="1" applyFont="1" applyFill="1" applyBorder="1" applyAlignment="1">
      <alignment horizontal="center" vertical="center"/>
    </xf>
    <xf numFmtId="10" fontId="11" fillId="0" borderId="0" xfId="0" applyNumberFormat="1" applyFont="1" applyFill="1" applyBorder="1" applyAlignment="1">
      <alignment horizontal="center" vertical="center"/>
    </xf>
    <xf numFmtId="43" fontId="11" fillId="0" borderId="0" xfId="0" applyNumberFormat="1" applyFont="1" applyFill="1" applyBorder="1" applyAlignment="1">
      <alignment horizontal="center" vertical="center"/>
    </xf>
    <xf numFmtId="43" fontId="11" fillId="0" borderId="0" xfId="3" applyNumberFormat="1" applyFont="1" applyFill="1" applyBorder="1" applyAlignment="1">
      <alignment vertical="center"/>
    </xf>
    <xf numFmtId="176" fontId="11" fillId="0" borderId="0" xfId="3" applyNumberFormat="1" applyFont="1" applyFill="1" applyBorder="1" applyAlignment="1">
      <alignment vertical="center"/>
    </xf>
    <xf numFmtId="180" fontId="11" fillId="0" borderId="0" xfId="0" applyNumberFormat="1" applyFont="1" applyFill="1" applyBorder="1" applyAlignment="1">
      <alignment vertical="center"/>
    </xf>
    <xf numFmtId="43" fontId="11" fillId="0" borderId="0" xfId="0" applyNumberFormat="1" applyFont="1" applyFill="1" applyBorder="1" applyAlignment="1">
      <alignment vertical="center"/>
    </xf>
    <xf numFmtId="176" fontId="11" fillId="0" borderId="0" xfId="0" applyNumberFormat="1" applyFont="1" applyFill="1" applyBorder="1" applyAlignment="1">
      <alignment vertical="center"/>
    </xf>
    <xf numFmtId="4" fontId="20" fillId="0" borderId="0" xfId="0" applyNumberFormat="1" applyFont="1" applyBorder="1" applyAlignment="1">
      <alignment vertical="center"/>
    </xf>
    <xf numFmtId="4" fontId="11" fillId="0" borderId="0" xfId="0" applyNumberFormat="1" applyFont="1" applyFill="1" applyBorder="1" applyAlignment="1">
      <alignment vertical="center"/>
    </xf>
    <xf numFmtId="180" fontId="11" fillId="0" borderId="0" xfId="3" applyNumberFormat="1" applyFont="1" applyFill="1" applyBorder="1" applyAlignment="1">
      <alignment vertical="center"/>
    </xf>
    <xf numFmtId="57" fontId="11" fillId="0" borderId="0" xfId="0" applyNumberFormat="1" applyFont="1" applyFill="1" applyBorder="1" applyAlignment="1">
      <alignment horizontal="center" vertical="center"/>
    </xf>
    <xf numFmtId="179" fontId="11" fillId="0" borderId="0" xfId="0" applyNumberFormat="1" applyFont="1" applyFill="1" applyBorder="1" applyAlignment="1">
      <alignment vertical="center"/>
    </xf>
    <xf numFmtId="43" fontId="32" fillId="0" borderId="0" xfId="1" applyFont="1" applyFill="1" applyBorder="1" applyAlignment="1">
      <alignment vertical="center"/>
    </xf>
    <xf numFmtId="43" fontId="32" fillId="0" borderId="0" xfId="1" applyFont="1" applyBorder="1" applyAlignment="1">
      <alignment vertical="center"/>
    </xf>
    <xf numFmtId="43" fontId="33" fillId="0" borderId="0" xfId="1" applyFont="1" applyFill="1" applyBorder="1" applyAlignment="1">
      <alignment vertical="center"/>
    </xf>
    <xf numFmtId="43" fontId="33" fillId="0" borderId="0" xfId="1" applyFont="1" applyBorder="1" applyAlignment="1">
      <alignment vertical="center"/>
    </xf>
    <xf numFmtId="0" fontId="20" fillId="18" borderId="7" xfId="0" applyFont="1" applyFill="1" applyBorder="1" applyAlignment="1">
      <alignment horizontal="center" vertical="center"/>
    </xf>
    <xf numFmtId="43" fontId="31" fillId="18" borderId="7" xfId="1" applyFont="1" applyFill="1" applyBorder="1" applyAlignment="1">
      <alignment horizontal="center" vertical="center"/>
    </xf>
    <xf numFmtId="43" fontId="20" fillId="18" borderId="7" xfId="1" applyFont="1" applyFill="1" applyBorder="1" applyAlignment="1">
      <alignment horizontal="center" vertical="center"/>
    </xf>
    <xf numFmtId="0" fontId="32" fillId="0" borderId="0" xfId="0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12" fillId="18" borderId="19" xfId="0" applyFont="1" applyFill="1" applyBorder="1" applyAlignment="1">
      <alignment horizontal="center" vertical="center"/>
    </xf>
    <xf numFmtId="43" fontId="12" fillId="18" borderId="12" xfId="1" applyFont="1" applyFill="1" applyBorder="1" applyAlignment="1">
      <alignment horizontal="center" vertical="center"/>
    </xf>
    <xf numFmtId="43" fontId="12" fillId="18" borderId="20" xfId="1" applyFont="1" applyFill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43" fontId="12" fillId="0" borderId="12" xfId="1" applyFont="1" applyBorder="1" applyAlignment="1">
      <alignment horizontal="center" vertical="center"/>
    </xf>
    <xf numFmtId="43" fontId="12" fillId="0" borderId="20" xfId="1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43" fontId="12" fillId="0" borderId="0" xfId="1" applyFont="1" applyBorder="1" applyAlignment="1">
      <alignment horizontal="center" vertical="center"/>
    </xf>
    <xf numFmtId="43" fontId="12" fillId="0" borderId="6" xfId="1" applyFont="1" applyBorder="1" applyAlignment="1">
      <alignment horizontal="center" vertical="center"/>
    </xf>
    <xf numFmtId="0" fontId="12" fillId="22" borderId="21" xfId="0" applyFont="1" applyFill="1" applyBorder="1" applyAlignment="1">
      <alignment horizontal="center" vertical="center"/>
    </xf>
    <xf numFmtId="43" fontId="12" fillId="22" borderId="22" xfId="1" applyFont="1" applyFill="1" applyBorder="1" applyAlignment="1">
      <alignment horizontal="center" vertical="center"/>
    </xf>
    <xf numFmtId="43" fontId="12" fillId="22" borderId="23" xfId="1" applyFont="1" applyFill="1" applyBorder="1" applyAlignment="1">
      <alignment horizontal="center" vertical="center"/>
    </xf>
    <xf numFmtId="0" fontId="12" fillId="20" borderId="5" xfId="0" applyFont="1" applyFill="1" applyBorder="1" applyAlignment="1">
      <alignment horizontal="center" vertical="center"/>
    </xf>
    <xf numFmtId="43" fontId="12" fillId="20" borderId="0" xfId="1" applyFont="1" applyFill="1" applyAlignment="1">
      <alignment horizontal="right" vertical="center"/>
    </xf>
    <xf numFmtId="43" fontId="12" fillId="20" borderId="6" xfId="1" applyFont="1" applyFill="1" applyBorder="1" applyAlignment="1">
      <alignment horizontal="right" vertical="center"/>
    </xf>
    <xf numFmtId="0" fontId="12" fillId="23" borderId="21" xfId="0" applyFont="1" applyFill="1" applyBorder="1" applyAlignment="1">
      <alignment horizontal="center" vertical="center"/>
    </xf>
    <xf numFmtId="43" fontId="12" fillId="23" borderId="22" xfId="1" applyFont="1" applyFill="1" applyBorder="1" applyAlignment="1">
      <alignment horizontal="right" vertical="center"/>
    </xf>
    <xf numFmtId="43" fontId="12" fillId="23" borderId="23" xfId="1" applyFont="1" applyFill="1" applyBorder="1" applyAlignment="1">
      <alignment horizontal="right" vertical="center"/>
    </xf>
    <xf numFmtId="43" fontId="31" fillId="18" borderId="7" xfId="1" applyFont="1" applyFill="1" applyBorder="1" applyAlignment="1">
      <alignment vertical="center" wrapText="1"/>
    </xf>
    <xf numFmtId="43" fontId="31" fillId="18" borderId="7" xfId="1" applyFont="1" applyFill="1" applyBorder="1" applyAlignment="1">
      <alignment horizontal="left" vertical="center" wrapText="1"/>
    </xf>
    <xf numFmtId="43" fontId="20" fillId="18" borderId="7" xfId="1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34" fillId="0" borderId="0" xfId="0" applyFont="1">
      <alignment vertical="center"/>
    </xf>
    <xf numFmtId="176" fontId="1" fillId="0" borderId="0" xfId="1" applyNumberFormat="1" applyFont="1">
      <alignment vertical="center"/>
    </xf>
    <xf numFmtId="0" fontId="34" fillId="24" borderId="7" xfId="0" applyFont="1" applyFill="1" applyBorder="1" applyAlignment="1">
      <alignment vertical="center" wrapText="1"/>
    </xf>
    <xf numFmtId="0" fontId="34" fillId="0" borderId="7" xfId="0" applyFont="1" applyBorder="1" applyAlignment="1">
      <alignment horizontal="left" vertical="center" wrapText="1"/>
    </xf>
    <xf numFmtId="177" fontId="34" fillId="0" borderId="7" xfId="1" applyNumberFormat="1" applyFont="1" applyBorder="1" applyAlignment="1">
      <alignment horizontal="center" vertical="center" wrapText="1"/>
    </xf>
    <xf numFmtId="177" fontId="1" fillId="0" borderId="7" xfId="1" applyNumberFormat="1" applyFont="1" applyBorder="1" applyAlignment="1">
      <alignment vertical="center" wrapText="1"/>
    </xf>
    <xf numFmtId="176" fontId="1" fillId="0" borderId="7" xfId="1" applyNumberFormat="1" applyFont="1" applyBorder="1" applyAlignment="1">
      <alignment vertical="center" wrapText="1"/>
    </xf>
    <xf numFmtId="177" fontId="1" fillId="0" borderId="0" xfId="1" applyNumberFormat="1" applyFont="1" applyAlignment="1">
      <alignment vertical="center" wrapText="1"/>
    </xf>
    <xf numFmtId="43" fontId="1" fillId="0" borderId="0" xfId="1" applyFont="1" applyAlignment="1">
      <alignment vertical="center" wrapText="1"/>
    </xf>
    <xf numFmtId="0" fontId="1" fillId="0" borderId="7" xfId="0" applyFont="1" applyBorder="1">
      <alignment vertical="center"/>
    </xf>
    <xf numFmtId="0" fontId="34" fillId="0" borderId="7" xfId="0" applyFont="1" applyBorder="1" applyAlignment="1">
      <alignment vertical="center" wrapText="1"/>
    </xf>
    <xf numFmtId="179" fontId="34" fillId="0" borderId="7" xfId="1" applyNumberFormat="1" applyFont="1" applyBorder="1">
      <alignment vertical="center"/>
    </xf>
    <xf numFmtId="177" fontId="34" fillId="0" borderId="7" xfId="1" applyNumberFormat="1" applyFont="1" applyBorder="1">
      <alignment vertical="center"/>
    </xf>
    <xf numFmtId="177" fontId="1" fillId="0" borderId="7" xfId="1" applyNumberFormat="1" applyFont="1" applyBorder="1">
      <alignment vertical="center"/>
    </xf>
    <xf numFmtId="179" fontId="1" fillId="0" borderId="7" xfId="1" applyNumberFormat="1" applyFont="1" applyBorder="1">
      <alignment vertical="center"/>
    </xf>
    <xf numFmtId="4" fontId="1" fillId="0" borderId="7" xfId="0" applyNumberFormat="1" applyFont="1" applyBorder="1">
      <alignment vertical="center"/>
    </xf>
    <xf numFmtId="0" fontId="1" fillId="0" borderId="7" xfId="0" applyFont="1" applyBorder="1" applyAlignment="1">
      <alignment vertical="center"/>
    </xf>
    <xf numFmtId="176" fontId="34" fillId="0" borderId="7" xfId="0" applyNumberFormat="1" applyFont="1" applyBorder="1" applyAlignment="1">
      <alignment vertical="center" wrapText="1"/>
    </xf>
    <xf numFmtId="43" fontId="1" fillId="0" borderId="0" xfId="1" applyNumberFormat="1" applyFont="1">
      <alignment vertical="center"/>
    </xf>
    <xf numFmtId="177" fontId="1" fillId="0" borderId="0" xfId="0" applyNumberFormat="1" applyFont="1">
      <alignment vertical="center"/>
    </xf>
    <xf numFmtId="177" fontId="1" fillId="0" borderId="0" xfId="1" applyNumberFormat="1" applyFont="1" applyAlignment="1">
      <alignment horizontal="left" vertical="center"/>
    </xf>
    <xf numFmtId="0" fontId="34" fillId="8" borderId="7" xfId="0" applyFont="1" applyFill="1" applyBorder="1">
      <alignment vertical="center"/>
    </xf>
    <xf numFmtId="176" fontId="34" fillId="8" borderId="7" xfId="0" applyNumberFormat="1" applyFont="1" applyFill="1" applyBorder="1">
      <alignment vertical="center"/>
    </xf>
    <xf numFmtId="177" fontId="34" fillId="8" borderId="7" xfId="1" applyNumberFormat="1" applyFont="1" applyFill="1" applyBorder="1">
      <alignment vertical="center"/>
    </xf>
    <xf numFmtId="177" fontId="1" fillId="8" borderId="7" xfId="1" applyNumberFormat="1" applyFont="1" applyFill="1" applyBorder="1">
      <alignment vertical="center"/>
    </xf>
    <xf numFmtId="179" fontId="1" fillId="8" borderId="7" xfId="1" applyNumberFormat="1" applyFont="1" applyFill="1" applyBorder="1">
      <alignment vertical="center"/>
    </xf>
    <xf numFmtId="43" fontId="1" fillId="0" borderId="0" xfId="1" applyNumberFormat="1" applyFont="1" applyFill="1">
      <alignment vertical="center"/>
    </xf>
    <xf numFmtId="43" fontId="34" fillId="0" borderId="0" xfId="1" applyFont="1">
      <alignment vertical="center"/>
    </xf>
    <xf numFmtId="177" fontId="34" fillId="0" borderId="0" xfId="1" applyNumberFormat="1" applyFont="1">
      <alignment vertical="center"/>
    </xf>
    <xf numFmtId="179" fontId="34" fillId="0" borderId="0" xfId="1" applyNumberFormat="1" applyFont="1">
      <alignment vertical="center"/>
    </xf>
    <xf numFmtId="177" fontId="34" fillId="0" borderId="0" xfId="0" applyNumberFormat="1" applyFont="1">
      <alignment vertical="center"/>
    </xf>
    <xf numFmtId="43" fontId="34" fillId="0" borderId="0" xfId="0" applyNumberFormat="1" applyFont="1">
      <alignment vertical="center"/>
    </xf>
    <xf numFmtId="0" fontId="34" fillId="0" borderId="7" xfId="0" applyFont="1" applyBorder="1" applyAlignment="1">
      <alignment horizontal="center" vertical="center" wrapText="1"/>
    </xf>
    <xf numFmtId="0" fontId="34" fillId="0" borderId="7" xfId="0" applyFont="1" applyBorder="1">
      <alignment vertical="center"/>
    </xf>
    <xf numFmtId="176" fontId="1" fillId="0" borderId="7" xfId="1" applyNumberFormat="1" applyFont="1" applyBorder="1">
      <alignment vertical="center"/>
    </xf>
    <xf numFmtId="176" fontId="34" fillId="0" borderId="7" xfId="0" applyNumberFormat="1" applyFont="1" applyBorder="1">
      <alignment vertical="center"/>
    </xf>
    <xf numFmtId="0" fontId="10" fillId="0" borderId="0" xfId="0" applyFont="1" applyAlignment="1">
      <alignment horizontal="left" vertical="center"/>
    </xf>
    <xf numFmtId="176" fontId="34" fillId="0" borderId="7" xfId="0" applyNumberFormat="1" applyFont="1" applyFill="1" applyBorder="1">
      <alignment vertical="center"/>
    </xf>
    <xf numFmtId="177" fontId="34" fillId="0" borderId="7" xfId="1" applyNumberFormat="1" applyFont="1" applyFill="1" applyBorder="1">
      <alignment vertical="center"/>
    </xf>
    <xf numFmtId="177" fontId="1" fillId="0" borderId="7" xfId="1" applyNumberFormat="1" applyFont="1" applyFill="1" applyBorder="1">
      <alignment vertical="center"/>
    </xf>
    <xf numFmtId="176" fontId="1" fillId="0" borderId="7" xfId="1" applyNumberFormat="1" applyFont="1" applyFill="1" applyBorder="1">
      <alignment vertical="center"/>
    </xf>
    <xf numFmtId="0" fontId="16" fillId="0" borderId="0" xfId="0" applyFont="1" applyFill="1" applyAlignment="1">
      <alignment vertical="center"/>
    </xf>
    <xf numFmtId="0" fontId="0" fillId="0" borderId="0" xfId="0" applyAlignment="1">
      <alignment horizontal="center" vertical="center"/>
    </xf>
    <xf numFmtId="180" fontId="12" fillId="0" borderId="0" xfId="0" applyNumberFormat="1" applyFont="1">
      <alignment vertical="center"/>
    </xf>
    <xf numFmtId="180" fontId="0" fillId="0" borderId="0" xfId="0" applyNumberFormat="1">
      <alignment vertical="center"/>
    </xf>
    <xf numFmtId="0" fontId="1" fillId="0" borderId="0" xfId="0" applyFont="1" applyAlignment="1">
      <alignment horizontal="center" vertical="center"/>
    </xf>
    <xf numFmtId="179" fontId="1" fillId="0" borderId="0" xfId="1" applyNumberFormat="1" applyFont="1">
      <alignment vertical="center"/>
    </xf>
    <xf numFmtId="180" fontId="1" fillId="0" borderId="0" xfId="0" applyNumberFormat="1" applyFont="1">
      <alignment vertical="center"/>
    </xf>
    <xf numFmtId="180" fontId="11" fillId="0" borderId="0" xfId="3" applyNumberFormat="1" applyFont="1">
      <alignment vertical="center"/>
    </xf>
    <xf numFmtId="0" fontId="12" fillId="0" borderId="0" xfId="0" applyFont="1" applyAlignment="1">
      <alignment horizontal="center" vertical="center" wrapText="1"/>
    </xf>
    <xf numFmtId="179" fontId="12" fillId="0" borderId="0" xfId="1" applyNumberFormat="1" applyFont="1" applyAlignment="1">
      <alignment vertical="center" wrapText="1"/>
    </xf>
    <xf numFmtId="179" fontId="11" fillId="0" borderId="0" xfId="0" applyNumberFormat="1" applyFont="1" applyAlignment="1">
      <alignment vertical="center" wrapText="1"/>
    </xf>
    <xf numFmtId="179" fontId="12" fillId="24" borderId="0" xfId="1" applyNumberFormat="1" applyFont="1" applyFill="1" applyAlignment="1">
      <alignment horizontal="center" vertical="center" wrapText="1"/>
    </xf>
    <xf numFmtId="43" fontId="12" fillId="24" borderId="0" xfId="1" applyFont="1" applyFill="1" applyAlignment="1">
      <alignment vertical="center" wrapText="1"/>
    </xf>
    <xf numFmtId="179" fontId="12" fillId="0" borderId="0" xfId="1" applyNumberFormat="1" applyFont="1" applyAlignment="1">
      <alignment horizontal="center" vertical="center" wrapText="1"/>
    </xf>
    <xf numFmtId="180" fontId="12" fillId="0" borderId="0" xfId="3" applyNumberFormat="1" applyFont="1" applyAlignment="1">
      <alignment horizontal="center" vertical="center" wrapText="1"/>
    </xf>
    <xf numFmtId="180" fontId="12" fillId="0" borderId="0" xfId="1" applyNumberFormat="1" applyFont="1" applyAlignment="1">
      <alignment horizontal="center" vertical="center" wrapText="1"/>
    </xf>
    <xf numFmtId="180" fontId="11" fillId="0" borderId="0" xfId="3" applyNumberFormat="1" applyFont="1" applyAlignment="1">
      <alignment horizontal="center" vertical="center" wrapText="1"/>
    </xf>
    <xf numFmtId="17" fontId="12" fillId="7" borderId="0" xfId="0" applyNumberFormat="1" applyFont="1" applyFill="1" applyAlignment="1">
      <alignment horizontal="center" vertical="center"/>
    </xf>
    <xf numFmtId="14" fontId="1" fillId="0" borderId="0" xfId="0" applyNumberFormat="1" applyFont="1" applyFill="1">
      <alignment vertical="center"/>
    </xf>
    <xf numFmtId="0" fontId="1" fillId="0" borderId="0" xfId="0" applyNumberFormat="1" applyFont="1" applyAlignment="1">
      <alignment vertical="center" wrapText="1"/>
    </xf>
    <xf numFmtId="186" fontId="1" fillId="0" borderId="0" xfId="0" applyNumberFormat="1" applyFont="1">
      <alignment vertical="center"/>
    </xf>
    <xf numFmtId="179" fontId="23" fillId="0" borderId="0" xfId="0" applyNumberFormat="1" applyFont="1" applyFill="1" applyAlignment="1">
      <alignment vertical="center"/>
    </xf>
    <xf numFmtId="17" fontId="12" fillId="9" borderId="0" xfId="0" applyNumberFormat="1" applyFont="1" applyFill="1" applyAlignment="1">
      <alignment horizontal="center" vertical="center"/>
    </xf>
    <xf numFmtId="17" fontId="12" fillId="6" borderId="0" xfId="0" applyNumberFormat="1" applyFont="1" applyFill="1" applyAlignment="1">
      <alignment horizontal="center" vertical="center"/>
    </xf>
    <xf numFmtId="177" fontId="12" fillId="0" borderId="0" xfId="1" applyNumberFormat="1" applyFont="1" applyFill="1">
      <alignment vertical="center"/>
    </xf>
    <xf numFmtId="179" fontId="15" fillId="0" borderId="0" xfId="1" applyNumberFormat="1" applyFont="1" applyFill="1">
      <alignment vertical="center"/>
    </xf>
    <xf numFmtId="177" fontId="15" fillId="0" borderId="0" xfId="1" applyNumberFormat="1" applyFont="1" applyFill="1">
      <alignment vertical="center"/>
    </xf>
    <xf numFmtId="17" fontId="12" fillId="0" borderId="0" xfId="0" applyNumberFormat="1" applyFont="1" applyFill="1" applyAlignment="1">
      <alignment horizontal="center" vertical="center"/>
    </xf>
    <xf numFmtId="179" fontId="11" fillId="0" borderId="0" xfId="0" applyNumberFormat="1" applyFont="1" applyFill="1">
      <alignment vertical="center"/>
    </xf>
    <xf numFmtId="9" fontId="11" fillId="0" borderId="0" xfId="3" applyFont="1" applyFill="1">
      <alignment vertical="center"/>
    </xf>
    <xf numFmtId="0" fontId="11" fillId="0" borderId="0" xfId="0" applyFont="1" applyAlignment="1">
      <alignment horizontal="center" vertical="center"/>
    </xf>
    <xf numFmtId="180" fontId="0" fillId="0" borderId="0" xfId="0" applyNumberFormat="1" applyBorder="1">
      <alignment vertical="center"/>
    </xf>
    <xf numFmtId="0" fontId="0" fillId="0" borderId="0" xfId="0" applyBorder="1">
      <alignment vertical="center"/>
    </xf>
    <xf numFmtId="0" fontId="12" fillId="0" borderId="0" xfId="0" applyFont="1" applyBorder="1">
      <alignment vertical="center"/>
    </xf>
    <xf numFmtId="43" fontId="12" fillId="0" borderId="0" xfId="1" applyFont="1" applyBorder="1">
      <alignment vertical="center"/>
    </xf>
    <xf numFmtId="0" fontId="11" fillId="9" borderId="0" xfId="0" applyFont="1" applyFill="1" applyAlignment="1">
      <alignment horizontal="center" vertical="center"/>
    </xf>
    <xf numFmtId="0" fontId="23" fillId="9" borderId="0" xfId="0" applyFont="1" applyFill="1" applyAlignment="1">
      <alignment horizontal="center" vertical="center"/>
    </xf>
    <xf numFmtId="0" fontId="20" fillId="9" borderId="0" xfId="0" applyFont="1" applyFill="1" applyAlignment="1">
      <alignment horizontal="center" vertical="center"/>
    </xf>
    <xf numFmtId="176" fontId="12" fillId="9" borderId="0" xfId="0" applyNumberFormat="1" applyFont="1" applyFill="1" applyAlignment="1">
      <alignment horizontal="center" vertical="center"/>
    </xf>
    <xf numFmtId="179" fontId="11" fillId="9" borderId="0" xfId="0" applyNumberFormat="1" applyFont="1" applyFill="1" applyAlignment="1">
      <alignment horizontal="center" vertical="center"/>
    </xf>
    <xf numFmtId="0" fontId="11" fillId="0" borderId="0" xfId="0" applyFont="1" applyFill="1" applyAlignment="1">
      <alignment horizontal="right" vertical="center"/>
    </xf>
    <xf numFmtId="0" fontId="23" fillId="0" borderId="0" xfId="0" applyFont="1" applyFill="1" applyAlignment="1">
      <alignment horizontal="center" vertical="center"/>
    </xf>
    <xf numFmtId="0" fontId="20" fillId="0" borderId="0" xfId="0" applyFont="1" applyFill="1" applyAlignment="1">
      <alignment horizontal="center" vertical="center"/>
    </xf>
    <xf numFmtId="176" fontId="12" fillId="0" borderId="0" xfId="0" applyNumberFormat="1" applyFont="1" applyFill="1" applyAlignment="1">
      <alignment horizontal="center" vertical="center"/>
    </xf>
    <xf numFmtId="179" fontId="11" fillId="0" borderId="0" xfId="0" applyNumberFormat="1" applyFont="1" applyFill="1" applyAlignment="1">
      <alignment horizontal="center" vertical="center"/>
    </xf>
    <xf numFmtId="10" fontId="12" fillId="0" borderId="0" xfId="3" applyNumberFormat="1" applyFont="1" applyFill="1">
      <alignment vertical="center"/>
    </xf>
    <xf numFmtId="179" fontId="12" fillId="0" borderId="0" xfId="1" applyNumberFormat="1" applyFont="1" applyFill="1">
      <alignment vertical="center"/>
    </xf>
    <xf numFmtId="176" fontId="23" fillId="0" borderId="0" xfId="0" applyNumberFormat="1" applyFont="1" applyFill="1" applyBorder="1" applyAlignment="1">
      <alignment horizontal="right" vertical="center"/>
    </xf>
    <xf numFmtId="180" fontId="23" fillId="0" borderId="0" xfId="0" applyNumberFormat="1" applyFont="1" applyFill="1" applyBorder="1" applyAlignment="1">
      <alignment horizontal="right" vertical="center"/>
    </xf>
    <xf numFmtId="176" fontId="12" fillId="0" borderId="0" xfId="0" applyNumberFormat="1" applyFont="1" applyFill="1" applyBorder="1" applyAlignment="1">
      <alignment vertical="center"/>
    </xf>
    <xf numFmtId="0" fontId="24" fillId="0" borderId="0" xfId="0" applyFont="1" applyFill="1" applyBorder="1" applyAlignment="1">
      <alignment vertical="center"/>
    </xf>
    <xf numFmtId="181" fontId="1" fillId="25" borderId="0" xfId="0" applyNumberFormat="1" applyFont="1" applyFill="1" applyAlignment="1">
      <alignment horizontal="center" vertical="center"/>
    </xf>
    <xf numFmtId="179" fontId="35" fillId="25" borderId="0" xfId="0" applyNumberFormat="1" applyFont="1" applyFill="1" applyAlignment="1">
      <alignment horizontal="right" vertical="center"/>
    </xf>
    <xf numFmtId="179" fontId="1" fillId="25" borderId="0" xfId="0" applyNumberFormat="1" applyFont="1" applyFill="1" applyAlignment="1">
      <alignment horizontal="right" vertical="center"/>
    </xf>
    <xf numFmtId="181" fontId="1" fillId="0" borderId="0" xfId="0" applyNumberFormat="1" applyFont="1" applyFill="1" applyAlignment="1">
      <alignment horizontal="left" vertical="center"/>
    </xf>
    <xf numFmtId="179" fontId="35" fillId="0" borderId="0" xfId="0" applyNumberFormat="1" applyFont="1" applyFill="1" applyAlignment="1">
      <alignment horizontal="right" vertical="center"/>
    </xf>
    <xf numFmtId="179" fontId="1" fillId="0" borderId="0" xfId="0" applyNumberFormat="1" applyFont="1" applyFill="1" applyAlignment="1">
      <alignment horizontal="right" vertical="center"/>
    </xf>
    <xf numFmtId="179" fontId="12" fillId="0" borderId="0" xfId="3" applyNumberFormat="1" applyFont="1" applyFill="1">
      <alignment vertical="center"/>
    </xf>
    <xf numFmtId="176" fontId="12" fillId="0" borderId="0" xfId="1" applyNumberFormat="1" applyFont="1" applyFill="1" applyAlignment="1">
      <alignment horizontal="left" vertical="center"/>
    </xf>
    <xf numFmtId="179" fontId="11" fillId="25" borderId="0" xfId="0" applyNumberFormat="1" applyFont="1" applyFill="1" applyAlignment="1">
      <alignment horizontal="right" vertical="center"/>
    </xf>
    <xf numFmtId="179" fontId="11" fillId="0" borderId="0" xfId="0" applyNumberFormat="1" applyFont="1" applyFill="1" applyAlignment="1">
      <alignment horizontal="right" vertical="center"/>
    </xf>
    <xf numFmtId="181" fontId="12" fillId="0" borderId="0" xfId="1" applyNumberFormat="1" applyFont="1" applyFill="1" applyAlignment="1">
      <alignment horizontal="left" vertical="center"/>
    </xf>
    <xf numFmtId="179" fontId="12" fillId="0" borderId="0" xfId="0" applyNumberFormat="1" applyFont="1" applyAlignment="1">
      <alignment horizontal="center" vertical="center"/>
    </xf>
    <xf numFmtId="184" fontId="12" fillId="0" borderId="0" xfId="1" applyNumberFormat="1" applyFont="1">
      <alignment vertical="center"/>
    </xf>
    <xf numFmtId="178" fontId="35" fillId="25" borderId="0" xfId="0" applyNumberFormat="1" applyFont="1" applyFill="1" applyAlignment="1">
      <alignment horizontal="right" vertical="center"/>
    </xf>
    <xf numFmtId="178" fontId="1" fillId="25" borderId="0" xfId="0" applyNumberFormat="1" applyFont="1" applyFill="1" applyAlignment="1">
      <alignment horizontal="right" vertical="center"/>
    </xf>
    <xf numFmtId="178" fontId="35" fillId="0" borderId="0" xfId="0" applyNumberFormat="1" applyFont="1" applyFill="1" applyAlignment="1">
      <alignment horizontal="right" vertical="center"/>
    </xf>
    <xf numFmtId="178" fontId="1" fillId="0" borderId="0" xfId="0" applyNumberFormat="1" applyFont="1" applyFill="1" applyAlignment="1">
      <alignment horizontal="right" vertical="center"/>
    </xf>
    <xf numFmtId="179" fontId="1" fillId="25" borderId="0" xfId="1" applyNumberFormat="1" applyFont="1" applyFill="1">
      <alignment vertical="center"/>
    </xf>
    <xf numFmtId="179" fontId="11" fillId="25" borderId="0" xfId="0" applyNumberFormat="1" applyFont="1" applyFill="1">
      <alignment vertical="center"/>
    </xf>
    <xf numFmtId="179" fontId="1" fillId="0" borderId="0" xfId="1" applyNumberFormat="1" applyFont="1" applyFill="1">
      <alignment vertical="center"/>
    </xf>
    <xf numFmtId="179" fontId="11" fillId="0" borderId="0" xfId="0" applyNumberFormat="1" applyFont="1" applyFill="1">
      <alignment vertical="center"/>
    </xf>
    <xf numFmtId="176" fontId="24" fillId="0" borderId="0" xfId="0" applyNumberFormat="1" applyFont="1" applyFill="1" applyBorder="1" applyAlignment="1">
      <alignment vertical="center"/>
    </xf>
    <xf numFmtId="180" fontId="24" fillId="0" borderId="0" xfId="0" applyNumberFormat="1" applyFont="1" applyFill="1" applyBorder="1" applyAlignment="1">
      <alignment vertical="center"/>
    </xf>
    <xf numFmtId="179" fontId="35" fillId="25" borderId="0" xfId="0" applyNumberFormat="1" applyFont="1" applyFill="1" applyAlignment="1">
      <alignment vertical="center"/>
    </xf>
    <xf numFmtId="179" fontId="35" fillId="0" borderId="0" xfId="0" applyNumberFormat="1" applyFont="1" applyFill="1" applyAlignment="1">
      <alignment vertical="center"/>
    </xf>
    <xf numFmtId="181" fontId="1" fillId="7" borderId="0" xfId="0" applyNumberFormat="1" applyFont="1" applyFill="1" applyAlignment="1">
      <alignment horizontal="left" vertical="center"/>
    </xf>
    <xf numFmtId="179" fontId="1" fillId="7" borderId="0" xfId="1" applyNumberFormat="1" applyFont="1" applyFill="1">
      <alignment vertical="center"/>
    </xf>
    <xf numFmtId="179" fontId="11" fillId="7" borderId="0" xfId="0" applyNumberFormat="1" applyFont="1" applyFill="1">
      <alignment vertical="center"/>
    </xf>
    <xf numFmtId="180" fontId="12" fillId="0" borderId="0" xfId="0" applyNumberFormat="1" applyFont="1" applyBorder="1">
      <alignment vertical="center"/>
    </xf>
    <xf numFmtId="43" fontId="12" fillId="0" borderId="0" xfId="1" applyFont="1" applyFill="1" applyAlignment="1">
      <alignment horizontal="left" vertical="center"/>
    </xf>
    <xf numFmtId="179" fontId="1" fillId="7" borderId="0" xfId="0" applyNumberFormat="1" applyFont="1" applyFill="1">
      <alignment vertical="center"/>
    </xf>
    <xf numFmtId="179" fontId="1" fillId="0" borderId="0" xfId="0" applyNumberFormat="1" applyFont="1" applyAlignment="1">
      <alignment horizontal="center" vertical="center"/>
    </xf>
    <xf numFmtId="179" fontId="1" fillId="0" borderId="0" xfId="0" applyNumberFormat="1" applyFont="1" applyFill="1">
      <alignment vertical="center"/>
    </xf>
    <xf numFmtId="179" fontId="11" fillId="0" borderId="0" xfId="0" applyNumberFormat="1" applyFont="1" applyFill="1" applyAlignment="1">
      <alignment horizontal="center" vertical="center"/>
    </xf>
    <xf numFmtId="179" fontId="12" fillId="0" borderId="0" xfId="1" applyNumberFormat="1" applyFont="1" applyFill="1" applyAlignment="1">
      <alignment horizontal="left" vertical="center"/>
    </xf>
    <xf numFmtId="0" fontId="0" fillId="0" borderId="0" xfId="0" applyFill="1" applyAlignment="1">
      <alignment horizontal="center" vertical="center"/>
    </xf>
    <xf numFmtId="177" fontId="12" fillId="0" borderId="0" xfId="1" applyNumberFormat="1" applyFont="1" applyFill="1" applyAlignment="1">
      <alignment horizontal="left" vertical="center"/>
    </xf>
    <xf numFmtId="181" fontId="1" fillId="6" borderId="0" xfId="0" applyNumberFormat="1" applyFont="1" applyFill="1" applyAlignment="1">
      <alignment horizontal="left" vertical="center"/>
    </xf>
    <xf numFmtId="179" fontId="12" fillId="6" borderId="0" xfId="1" applyNumberFormat="1" applyFont="1" applyFill="1">
      <alignment vertical="center"/>
    </xf>
    <xf numFmtId="179" fontId="11" fillId="6" borderId="0" xfId="0" applyNumberFormat="1" applyFont="1" applyFill="1">
      <alignment vertical="center"/>
    </xf>
    <xf numFmtId="177" fontId="12" fillId="0" borderId="0" xfId="1" applyNumberFormat="1" applyFont="1" applyFill="1">
      <alignment vertical="center"/>
    </xf>
    <xf numFmtId="179" fontId="12" fillId="0" borderId="0" xfId="1" applyNumberFormat="1" applyFont="1" applyFill="1">
      <alignment vertical="center"/>
    </xf>
    <xf numFmtId="179" fontId="16" fillId="0" borderId="0" xfId="1" applyNumberFormat="1" applyFont="1" applyFill="1">
      <alignment vertical="center"/>
    </xf>
    <xf numFmtId="177" fontId="12" fillId="0" borderId="0" xfId="1" applyNumberFormat="1" applyFont="1" applyFill="1">
      <alignment vertical="center"/>
    </xf>
    <xf numFmtId="187" fontId="12" fillId="0" borderId="0" xfId="1" applyNumberFormat="1" applyFont="1">
      <alignment vertical="center"/>
    </xf>
    <xf numFmtId="181" fontId="1" fillId="9" borderId="0" xfId="0" applyNumberFormat="1" applyFont="1" applyFill="1" applyAlignment="1">
      <alignment horizontal="left" vertical="center"/>
    </xf>
    <xf numFmtId="179" fontId="12" fillId="9" borderId="0" xfId="1" applyNumberFormat="1" applyFont="1" applyFill="1">
      <alignment vertical="center"/>
    </xf>
    <xf numFmtId="179" fontId="11" fillId="9" borderId="0" xfId="0" applyNumberFormat="1" applyFont="1" applyFill="1">
      <alignment vertical="center"/>
    </xf>
    <xf numFmtId="43" fontId="0" fillId="0" borderId="0" xfId="0" applyNumberFormat="1" applyAlignment="1">
      <alignment horizontal="center" vertical="center"/>
    </xf>
    <xf numFmtId="177" fontId="11" fillId="0" borderId="0" xfId="0" applyNumberFormat="1" applyFont="1">
      <alignment vertical="center"/>
    </xf>
    <xf numFmtId="43" fontId="12" fillId="0" borderId="0" xfId="1" applyFont="1" applyFill="1">
      <alignment vertical="center"/>
    </xf>
    <xf numFmtId="177" fontId="0" fillId="0" borderId="0" xfId="0" applyNumberFormat="1">
      <alignment vertical="center"/>
    </xf>
    <xf numFmtId="181" fontId="1" fillId="0" borderId="0" xfId="0" applyNumberFormat="1" applyFont="1" applyFill="1" applyAlignment="1">
      <alignment horizontal="left" vertical="center"/>
    </xf>
    <xf numFmtId="179" fontId="11" fillId="17" borderId="0" xfId="0" applyNumberFormat="1" applyFont="1" applyFill="1">
      <alignment vertical="center"/>
    </xf>
    <xf numFmtId="0" fontId="1" fillId="0" borderId="0" xfId="0" applyFont="1" applyAlignment="1">
      <alignment horizontal="left" vertical="center"/>
    </xf>
    <xf numFmtId="43" fontId="12" fillId="0" borderId="0" xfId="1" applyFont="1" applyFill="1">
      <alignment vertical="center"/>
    </xf>
    <xf numFmtId="17" fontId="0" fillId="0" borderId="0" xfId="0" applyNumberFormat="1">
      <alignment vertical="center"/>
    </xf>
    <xf numFmtId="57" fontId="11" fillId="21" borderId="18" xfId="0" applyNumberFormat="1" applyFont="1" applyFill="1" applyBorder="1" applyAlignment="1" quotePrefix="1">
      <alignment horizontal="center" vertical="center"/>
    </xf>
    <xf numFmtId="0" fontId="22" fillId="16" borderId="0" xfId="0" applyFont="1" applyFill="1" applyAlignment="1" quotePrefix="1">
      <alignment horizontal="left"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常规 10" xfId="50"/>
    <cellStyle name="常规 3" xfId="51"/>
    <cellStyle name="常规 2" xfId="52"/>
  </cellStyle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9" Type="http://schemas.openxmlformats.org/officeDocument/2006/relationships/styles" Target="styles.xml"/><Relationship Id="rId48" Type="http://schemas.openxmlformats.org/officeDocument/2006/relationships/sharedStrings" Target="sharedStrings.xml"/><Relationship Id="rId47" Type="http://schemas.openxmlformats.org/officeDocument/2006/relationships/theme" Target="theme/theme1.xml"/><Relationship Id="rId46" Type="http://schemas.openxmlformats.org/officeDocument/2006/relationships/externalLink" Target="externalLinks/externalLink33.xml"/><Relationship Id="rId45" Type="http://schemas.openxmlformats.org/officeDocument/2006/relationships/externalLink" Target="externalLinks/externalLink32.xml"/><Relationship Id="rId44" Type="http://schemas.openxmlformats.org/officeDocument/2006/relationships/externalLink" Target="externalLinks/externalLink31.xml"/><Relationship Id="rId43" Type="http://schemas.openxmlformats.org/officeDocument/2006/relationships/externalLink" Target="externalLinks/externalLink30.xml"/><Relationship Id="rId42" Type="http://schemas.openxmlformats.org/officeDocument/2006/relationships/externalLink" Target="externalLinks/externalLink29.xml"/><Relationship Id="rId41" Type="http://schemas.openxmlformats.org/officeDocument/2006/relationships/externalLink" Target="externalLinks/externalLink28.xml"/><Relationship Id="rId40" Type="http://schemas.openxmlformats.org/officeDocument/2006/relationships/externalLink" Target="externalLinks/externalLink27.xml"/><Relationship Id="rId4" Type="http://schemas.openxmlformats.org/officeDocument/2006/relationships/worksheet" Target="worksheets/sheet4.xml"/><Relationship Id="rId39" Type="http://schemas.openxmlformats.org/officeDocument/2006/relationships/externalLink" Target="externalLinks/externalLink26.xml"/><Relationship Id="rId38" Type="http://schemas.openxmlformats.org/officeDocument/2006/relationships/externalLink" Target="externalLinks/externalLink25.xml"/><Relationship Id="rId37" Type="http://schemas.openxmlformats.org/officeDocument/2006/relationships/externalLink" Target="externalLinks/externalLink24.xml"/><Relationship Id="rId36" Type="http://schemas.openxmlformats.org/officeDocument/2006/relationships/externalLink" Target="externalLinks/externalLink23.xml"/><Relationship Id="rId35" Type="http://schemas.openxmlformats.org/officeDocument/2006/relationships/externalLink" Target="externalLinks/externalLink22.xml"/><Relationship Id="rId34" Type="http://schemas.openxmlformats.org/officeDocument/2006/relationships/externalLink" Target="externalLinks/externalLink21.xml"/><Relationship Id="rId33" Type="http://schemas.openxmlformats.org/officeDocument/2006/relationships/externalLink" Target="externalLinks/externalLink20.xml"/><Relationship Id="rId32" Type="http://schemas.openxmlformats.org/officeDocument/2006/relationships/externalLink" Target="externalLinks/externalLink19.xml"/><Relationship Id="rId31" Type="http://schemas.openxmlformats.org/officeDocument/2006/relationships/externalLink" Target="externalLinks/externalLink18.xml"/><Relationship Id="rId30" Type="http://schemas.openxmlformats.org/officeDocument/2006/relationships/externalLink" Target="externalLinks/externalLink17.xml"/><Relationship Id="rId3" Type="http://schemas.openxmlformats.org/officeDocument/2006/relationships/worksheet" Target="worksheets/sheet3.xml"/><Relationship Id="rId29" Type="http://schemas.openxmlformats.org/officeDocument/2006/relationships/externalLink" Target="externalLinks/externalLink16.xml"/><Relationship Id="rId28" Type="http://schemas.openxmlformats.org/officeDocument/2006/relationships/externalLink" Target="externalLinks/externalLink15.xml"/><Relationship Id="rId27" Type="http://schemas.openxmlformats.org/officeDocument/2006/relationships/externalLink" Target="externalLinks/externalLink14.xml"/><Relationship Id="rId26" Type="http://schemas.openxmlformats.org/officeDocument/2006/relationships/externalLink" Target="externalLinks/externalLink13.xml"/><Relationship Id="rId25" Type="http://schemas.openxmlformats.org/officeDocument/2006/relationships/externalLink" Target="externalLinks/externalLink12.xml"/><Relationship Id="rId24" Type="http://schemas.openxmlformats.org/officeDocument/2006/relationships/externalLink" Target="externalLinks/externalLink11.xml"/><Relationship Id="rId23" Type="http://schemas.openxmlformats.org/officeDocument/2006/relationships/externalLink" Target="externalLinks/externalLink10.xml"/><Relationship Id="rId22" Type="http://schemas.openxmlformats.org/officeDocument/2006/relationships/externalLink" Target="externalLinks/externalLink9.xml"/><Relationship Id="rId21" Type="http://schemas.openxmlformats.org/officeDocument/2006/relationships/externalLink" Target="externalLinks/externalLink8.xml"/><Relationship Id="rId20" Type="http://schemas.openxmlformats.org/officeDocument/2006/relationships/externalLink" Target="externalLinks/externalLink7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6.xml"/><Relationship Id="rId18" Type="http://schemas.openxmlformats.org/officeDocument/2006/relationships/externalLink" Target="externalLinks/externalLink5.xml"/><Relationship Id="rId17" Type="http://schemas.openxmlformats.org/officeDocument/2006/relationships/externalLink" Target="externalLinks/externalLink4.xml"/><Relationship Id="rId16" Type="http://schemas.openxmlformats.org/officeDocument/2006/relationships/externalLink" Target="externalLinks/externalLink3.xml"/><Relationship Id="rId15" Type="http://schemas.openxmlformats.org/officeDocument/2006/relationships/externalLink" Target="externalLinks/externalLink2.xml"/><Relationship Id="rId14" Type="http://schemas.openxmlformats.org/officeDocument/2006/relationships/externalLink" Target="externalLinks/externalLink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2000" b="1">
                <a:solidFill>
                  <a:schemeClr val="dk1"/>
                </a:solidFill>
                <a:latin typeface="+mn-lt"/>
                <a:ea typeface="+mn-ea"/>
                <a:cs typeface="+mn-cs"/>
              </a:rPr>
              <a:t>GMV</a:t>
            </a:r>
            <a:r>
              <a:rPr lang="zh-CN" altLang="en-US" sz="2000" b="1">
                <a:solidFill>
                  <a:schemeClr val="dk1"/>
                </a:solidFill>
                <a:latin typeface="+mn-lt"/>
                <a:ea typeface="+mn-ea"/>
                <a:cs typeface="+mn-cs"/>
              </a:rPr>
              <a:t>同期比较</a:t>
            </a:r>
            <a:endParaRPr lang="zh-CN" altLang="en-US" sz="2000" b="1">
              <a:solidFill>
                <a:schemeClr val="dk1"/>
              </a:solidFill>
              <a:latin typeface="+mn-lt"/>
              <a:ea typeface="+mn-ea"/>
              <a:cs typeface="+mn-cs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'GMV销售额波动分析（分月、年）'!$K$1</c:f>
              <c:strCache>
                <c:ptCount val="1"/>
                <c:pt idx="0">
                  <c:v>2025年GMV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'GMV销售额波动分析（分月、年）'!$J$2:$J$7</c:f>
              <c:strCache>
                <c:ptCount val="6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</c:strCache>
            </c:strRef>
          </c:cat>
          <c:val>
            <c:numRef>
              <c:f>'GMV销售额波动分析（分月、年）'!$K$2:$K$7</c:f>
              <c:numCache>
                <c:formatCode>#,##0.0</c:formatCode>
                <c:ptCount val="6"/>
                <c:pt idx="0">
                  <c:v>6.98924757544806</c:v>
                </c:pt>
                <c:pt idx="1">
                  <c:v>5.52069393789808</c:v>
                </c:pt>
                <c:pt idx="2">
                  <c:v>6.65983879196805</c:v>
                </c:pt>
                <c:pt idx="3">
                  <c:v>6.03460050027811</c:v>
                </c:pt>
                <c:pt idx="4">
                  <c:v>6.04718287136004</c:v>
                </c:pt>
                <c:pt idx="5">
                  <c:v>5.69139847521005</c:v>
                </c:pt>
              </c:numCache>
            </c:numRef>
          </c:val>
        </c:ser>
        <c:ser>
          <c:idx val="1"/>
          <c:order val="1"/>
          <c:tx>
            <c:strRef>
              <c:f>'GMV销售额波动分析（分月、年）'!$L$1</c:f>
              <c:strCache>
                <c:ptCount val="1"/>
                <c:pt idx="0">
                  <c:v>2024年GMV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'GMV销售额波动分析（分月、年）'!$J$2:$J$7</c:f>
              <c:strCache>
                <c:ptCount val="6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</c:strCache>
            </c:strRef>
          </c:cat>
          <c:val>
            <c:numRef>
              <c:f>'GMV销售额波动分析（分月、年）'!$L$2:$L$7</c:f>
              <c:numCache>
                <c:formatCode>#,##0.0</c:formatCode>
                <c:ptCount val="6"/>
                <c:pt idx="0">
                  <c:v>8.38416624659997</c:v>
                </c:pt>
                <c:pt idx="1">
                  <c:v>7.62180494879997</c:v>
                </c:pt>
                <c:pt idx="2">
                  <c:v>6.68328891859694</c:v>
                </c:pt>
                <c:pt idx="3">
                  <c:v>5.03452969116499</c:v>
                </c:pt>
                <c:pt idx="4">
                  <c:v>7.05529658468003</c:v>
                </c:pt>
                <c:pt idx="5">
                  <c:v>8.38027476513797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37149184"/>
        <c:axId val="237159168"/>
      </c:barChart>
      <c:catAx>
        <c:axId val="237149184"/>
        <c:scaling>
          <c:orientation val="minMax"/>
        </c:scaling>
        <c:delete val="0"/>
        <c:axPos val="b"/>
        <c:numFmt formatCode="#,##0.00_);[Red]\(#,##0.00\)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</a:p>
        </c:txPr>
        <c:crossAx val="237159168"/>
        <c:crosses val="autoZero"/>
        <c:auto val="1"/>
        <c:lblAlgn val="ctr"/>
        <c:lblOffset val="100"/>
        <c:noMultiLvlLbl val="0"/>
      </c:catAx>
      <c:valAx>
        <c:axId val="237159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#,##0.0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</a:p>
        </c:txPr>
        <c:crossAx val="237149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d21538c-efe2-4f61-9d18-655464e0fff5}"/>
      </c:ext>
    </c:extLst>
  </c:chart>
  <c:spPr>
    <a:solidFill>
      <a:schemeClr val="accent1">
        <a:lumMod val="20000"/>
        <a:lumOff val="80000"/>
      </a:schemeClr>
    </a:solidFill>
    <a:ln w="6350" cap="flat" cmpd="sng" algn="ctr">
      <a:solidFill>
        <a:schemeClr val="accent3"/>
      </a:solidFill>
      <a:prstDash val="solid"/>
      <a:miter lim="800000"/>
    </a:ln>
    <a:sp3d>
      <a:extrusionClr>
        <a:srgbClr val="FFFFFF"/>
      </a:extrusionClr>
      <a:contourClr>
        <a:srgbClr val="FFFFFF"/>
      </a:contourClr>
    </a:sp3d>
  </c:spPr>
  <c:txPr>
    <a:bodyPr/>
    <a:lstStyle/>
    <a:p>
      <a:pPr>
        <a:defRPr lang="zh-CN">
          <a:solidFill>
            <a:schemeClr val="dk1"/>
          </a:solidFill>
          <a:latin typeface="+mn-lt"/>
          <a:ea typeface="+mn-ea"/>
          <a:cs typeface="+mn-cs"/>
        </a:defRPr>
      </a:pPr>
    </a:p>
  </c:txPr>
  <c:externalData r:id="rId1">
    <c:autoUpdate val="0"/>
  </c:externalData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7</xdr:col>
      <xdr:colOff>411480</xdr:colOff>
      <xdr:row>20</xdr:row>
      <xdr:rowOff>167640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857250"/>
          <a:ext cx="5154295" cy="27393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8</xdr:col>
      <xdr:colOff>121920</xdr:colOff>
      <xdr:row>39</xdr:row>
      <xdr:rowOff>121920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4114800"/>
          <a:ext cx="5542280" cy="26936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323215</xdr:colOff>
      <xdr:row>47</xdr:row>
      <xdr:rowOff>121920</xdr:rowOff>
    </xdr:from>
    <xdr:to>
      <xdr:col>27</xdr:col>
      <xdr:colOff>242570</xdr:colOff>
      <xdr:row>74</xdr:row>
      <xdr:rowOff>130810</xdr:rowOff>
    </xdr:to>
    <xdr:pic>
      <xdr:nvPicPr>
        <xdr:cNvPr id="4" name="图片 3" descr="lQLPDhtlOWEsIDnNAwvNBf6w9ODSNCdaaCQCdoTR6oADAA_1534_779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776210" y="8180070"/>
          <a:ext cx="10760075" cy="46380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16</xdr:col>
      <xdr:colOff>427355</xdr:colOff>
      <xdr:row>0</xdr:row>
      <xdr:rowOff>48895</xdr:rowOff>
    </xdr:from>
    <xdr:to>
      <xdr:col>20</xdr:col>
      <xdr:colOff>956945</xdr:colOff>
      <xdr:row>19</xdr:row>
      <xdr:rowOff>56515</xdr:rowOff>
    </xdr:to>
    <xdr:graphicFrame>
      <xdr:nvGraphicFramePr>
        <xdr:cNvPr id="2" name="图表 1"/>
        <xdr:cNvGraphicFramePr/>
      </xdr:nvGraphicFramePr>
      <xdr:xfrm>
        <a:off x="16202660" y="48895"/>
        <a:ext cx="4321810" cy="34988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393700</xdr:colOff>
      <xdr:row>0</xdr:row>
      <xdr:rowOff>277495</xdr:rowOff>
    </xdr:from>
    <xdr:to>
      <xdr:col>20</xdr:col>
      <xdr:colOff>936625</xdr:colOff>
      <xdr:row>2</xdr:row>
      <xdr:rowOff>35560</xdr:rowOff>
    </xdr:to>
    <xdr:sp>
      <xdr:nvSpPr>
        <xdr:cNvPr id="3" name="单圆角矩形 2"/>
        <xdr:cNvSpPr/>
      </xdr:nvSpPr>
      <xdr:spPr>
        <a:xfrm>
          <a:off x="19227165" y="277495"/>
          <a:ext cx="1276985" cy="241935"/>
        </a:xfrm>
        <a:prstGeom prst="round1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22</a:t>
          </a:r>
          <a:r>
            <a:rPr lang="zh-CN" altLang="en-US" sz="1100"/>
            <a:t>年</a:t>
          </a:r>
          <a:r>
            <a:rPr lang="en-US" altLang="zh-CN" sz="1100"/>
            <a:t>GMV 72.25</a:t>
          </a:r>
          <a:r>
            <a:rPr lang="zh-CN" altLang="en-US" sz="1100"/>
            <a:t>亿</a:t>
          </a:r>
          <a:endParaRPr lang="zh-CN" altLang="en-US" sz="1100"/>
        </a:p>
      </xdr:txBody>
    </xdr:sp>
    <xdr:clientData/>
  </xdr:twoCellAnchor>
  <xdr:twoCellAnchor>
    <xdr:from>
      <xdr:col>19</xdr:col>
      <xdr:colOff>386715</xdr:colOff>
      <xdr:row>0</xdr:row>
      <xdr:rowOff>57150</xdr:rowOff>
    </xdr:from>
    <xdr:to>
      <xdr:col>20</xdr:col>
      <xdr:colOff>936625</xdr:colOff>
      <xdr:row>0</xdr:row>
      <xdr:rowOff>290830</xdr:rowOff>
    </xdr:to>
    <xdr:sp>
      <xdr:nvSpPr>
        <xdr:cNvPr id="4" name="单圆角矩形 3"/>
        <xdr:cNvSpPr/>
      </xdr:nvSpPr>
      <xdr:spPr>
        <a:xfrm>
          <a:off x="19220180" y="57150"/>
          <a:ext cx="1283970" cy="233680"/>
        </a:xfrm>
        <a:prstGeom prst="round1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23</a:t>
          </a:r>
          <a:r>
            <a:rPr lang="zh-CN" altLang="en-US" sz="1100"/>
            <a:t>年</a:t>
          </a:r>
          <a:r>
            <a:rPr lang="en-US" altLang="zh-CN" sz="1100"/>
            <a:t>GMV 85.03</a:t>
          </a:r>
          <a:r>
            <a:rPr lang="zh-CN" altLang="en-US" sz="1100"/>
            <a:t>亿</a:t>
          </a:r>
          <a:endParaRPr lang="zh-CN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&#25105;&#30340;&#25991;&#26723;\tencent%20files\2421946355\filerecv\&#22825;&#35782;&#20844;&#21496;&#27719;&#24635;&#21450;&#25253;&#34920;-20171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wjj526\AppData\Roaming\kingsoft\office6\backup\&#21512;&#24182;&#36807;&#31243;&#24213;&#31295;&#65288;&#27169;&#29256;&#20998;&#20139;&#65289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2018&#24180;&#23613;&#35843;&#36164;&#26009;\&#28145;&#21019;&#25237;&#36164;&#26009;\&#20844;&#21496;&#21333;&#20307;&#25253;&#34920;(1)\&#20844;&#21496;&#21333;&#20307;&#25253;&#34920;\&#25910;&#20837;&#25104;&#26412;-&#32435;&#36808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\&#38598;&#22242;&#20844;&#21496;&#36130;&#21153;&#25253;&#21578;\202204&#36130;&#21153;&#25253;&#21578;\4&#12289;&#36130;&#21153;&#20998;&#26512;&#24213;&#31295;2204\1-2&#12289;&#36130;&#21153;&#20998;&#26512;&#25968;&#25454;-&#25910;&#20837;&#21033;&#28070;&#20998;&#26512;2107&#65288;&#25490;&#38500;IPO&#36153;&#29992;&#65289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\&#38598;&#22242;&#20844;&#21496;&#36130;&#21153;&#25253;&#21578;\202204&#36130;&#21153;&#25253;&#21578;\1&#12289;&#25237;&#36164;&#20844;&#21496;&#21512;&#24182;&#25253;&#34920;\&#36130;&#21153;&#32463;&#33829;&#27010;&#20917;&#65306;&#25237;&#36164;&#23376;&#20844;&#21496;&#21033;&#28070;v2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wjj\AppData\Roaming\kingsoft\office6\backup\1-1&#12289;&#36130;&#21153;&#20998;&#26512;&#25968;&#25454;-&#38144;&#21806;&#30408;&#21033;&#20998;&#26512;2205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FIN\BUDGET97\BS9697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XCEL\&#23457;&#26680;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Desktop\Program%20Files\Microsoft%20Office\Templates\&#30005;&#23376;&#34920;&#26684;&#27169;&#26495;\&#24037;&#19994;&#20225;&#19994;&#36130;&#21153;&#25253;&#34920;.xlt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MMER-780427\aws\Work%202002\Dawnrays\2003\work%20time\Sachs%20245663A02\PBC\A.R%200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shavapfl74.pacrim.ey.net\Shared\2019&#24180;&#36164;&#26009;\2019&#24180;&#23457;&#35745;&#36164;&#26009;\&#23433;&#27704;&#36164;&#26009;20190629\&#36716;&#21457;_%20&#22238;&#22797;_Fulu%20Group%20&#21021;&#29256;&#25253;&#21578;--&#26680;&#31639;&#24050;&#30830;&#35748;\&#26228;&#24029;&#38401;&#39033;&#30446;-&#36130;&#21153;&#23613;&#35843;&#35299;&#37322;&#38468;&#20214;\&#20248;&#37239;&#25104;&#26412;2018&#24180;(&#30830;&#35748;&#65289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shavapfl74.pacrim.ey.net\Shared\2019&#24180;&#36164;&#26009;\2019&#24180;&#23457;&#35745;&#36164;&#26009;\&#23433;&#27704;&#36164;&#26009;20190629\&#36716;&#21457;_%20&#22238;&#22797;_Fulu%20Group%20&#21021;&#29256;&#25253;&#21578;--&#26680;&#31639;&#24050;&#30830;&#35748;\&#26228;&#24029;&#38401;&#39033;&#30446;-&#36130;&#21153;&#23613;&#35843;&#35299;&#37322;&#38468;&#20214;\&#20248;&#37239;&#36820;&#28857;&#35745;&#31639;18&#24180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OYEE-408025\aws\Audit\2005%20Client\Dawnrays\1031\PBC\F-SZ%20pharmaceutical.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26381;&#21153;&#22120;\&#32508;&#21512;&#25991;&#20214;\&#20013;&#40065;&#26524;&#27713;\&#20013;&#40065;200112\YUEB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26381;&#21153;&#22120;\&#32508;&#21512;&#25991;&#20214;\&#20013;&#31185;&#22823;&#27915;\&#20013;&#31185;0111\&#32929;&#21033;&#25237;&#36164;&#20511;&#27454;&#31561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MMER-780427\aws\Work%202002\Dawnrays\2003\sherry'wp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LLIN-760122\aws\Documents%20and%20Settings\test\Desktop\Honda%20Engine\sharefile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shavapfl74.pacrim.ey.net\Shared\Users\HD888RL\Desktop\&#21512;&#24182;&#36807;&#31243;&#24213;&#31295;&#65288;&#27169;&#29256;&#20998;&#20139;&#65289;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shavapfl74.pacrim.ey.net\Shared\2018&#24180;&#23613;&#35843;&#36164;&#26009;\&#28145;&#21019;&#25237;&#36164;&#26009;\&#20844;&#21496;&#21333;&#20307;&#25253;&#34920;(1)\&#20844;&#21496;&#21333;&#20307;&#25253;&#34920;\&#25910;&#20837;&#25104;&#26412;-&#32435;&#36808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Book2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NSIANG-409126\aws\Documents%20and%20Settings\nansiang.lim\Desktop\TSMT\2006\W.P.%20from%20team%20members%20-%20Prefinal\Review%20notes\Cleared%20Review%20notes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shavapfl74.pacrim.ey.net\Shared\WINDOWS\TEMP\notesE1EF34\Rar$DI00.120\2004&#24180;6&#26376;30&#26085;\&#23453;&#38050;H&#32929;\&#25151;&#23627;\&#19968;,&#20108;&#26399;&#26368;&#32456;&#29256;\&#35774;&#22791;&#37096;&#25151;&#23627;&#24314;&#31569;&#29289;&#28165;&#26597;&#35780;&#20272;&#26126;&#32454;&#34920;(&#25552;&#20132;&#29256;&#65289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shavapfl74.pacrim.ey.net\Shared\Documents%20and%20Settings\nansiang.lim\Desktop\TSMT\2006\W.P.%20from%20team%20members%20-%20Prefinal\Review%20notes\Cleared%20Review%20notes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wjj\AppData\Roaming\kingsoft\office6\backup\1-1&#12289;&#36130;&#21153;&#20998;&#26512;&#25968;&#25454;-&#25910;&#20837;&#21033;&#28070;&#20998;&#26512;2208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\&#38598;&#22242;&#20844;&#21496;&#36130;&#21153;&#25253;&#21578;\202208&#36130;&#21153;&#25253;&#21578;\2&#12289;EAS&#21512;&#24182;&#25253;&#34920;202208\2022&#24180;&#20998;&#26376;&#21033;&#28070;&#65288;EAS-&#31119;&#31108;&#25511;&#32929;&#65289;-202208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wjj\AppData\Roaming\kingsoft\office6\backup\1-1&#12289;&#36130;&#21153;&#20998;&#26512;&#25968;&#25454;-&#25910;&#20837;&#21033;&#28070;&#20998;&#26512;2209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\&#31119;&#31108;&#38598;&#22242;&#36130;&#21153;&#20998;&#26512;&#25253;&#21578;\2023&#24180;&#24230;\202308&#36130;&#21153;&#25253;&#21578;\1&#12289;&#25237;&#36164;&#20844;&#21496;&#21512;&#24182;&#25253;&#34920;\&#36130;&#21153;&#32463;&#33829;&#27010;&#20917;&#65306;&#25237;&#36164;&#23376;&#20844;&#21496;&#21033;&#28070;202308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\&#31119;&#31108;&#38598;&#22242;&#36130;&#21153;&#20998;&#26512;&#25253;&#21578;\2023&#24180;&#24230;\&#20195;&#36816;&#33829;&#24215;&#38138;GMV&#32479;&#35745;23&#24180;-2312&#26376;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\&#31119;&#31108;&#38598;&#22242;&#36130;&#21153;&#20998;&#26512;&#25253;&#21578;\2022&#24180;&#24230;\202212&#36130;&#21153;&#25253;&#21578;\4&#12289;&#36130;&#21153;&#20998;&#26512;&#24213;&#31295;2212\1-2&#12289;&#25112;&#30053;&#25237;&#36164;-&#20998;&#26512;&#26126;&#32454;202212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\M&#31119;&#31108;&#38598;&#22242;&#36130;&#21153;&#20998;&#26512;&#25253;&#21578;\2025&#24180;&#24230;&#36130;&#21153;&#25253;&#21578;\2025&#24180;1-5&#26376;&#20379;&#24212;&#21830;&#27611;&#21033;&#65288;&#35843;&#25972;&#65289;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\M&#31119;&#31108;&#38598;&#22242;&#36130;&#21153;&#20998;&#26512;&#25253;&#21578;\2025&#24180;&#24230;&#36130;&#21153;&#25253;&#21578;\2025&#24180;1-7&#26376;&#20379;&#24212;&#21830;&#27611;&#21033;&#65288;&#35843;&#25972;&#65289;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\M&#31119;&#31108;&#38598;&#22242;&#36130;&#21153;&#20998;&#26512;&#25253;&#21578;\2025&#24180;&#24230;&#36130;&#21153;&#25253;&#21578;\&#20195;&#36816;&#33829;&#24215;&#38138;GMV&#32479;&#35745;25&#24180;-2512&#26376;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\M&#31119;&#31108;&#38598;&#22242;&#36130;&#21153;&#20998;&#26512;&#25253;&#21578;\2025&#24180;&#24230;&#36130;&#21153;&#25253;&#21578;\2512&#25910;&#20837;&#25104;&#26412;&#36153;&#29992;&#26126;&#32454;&#21450;&#30740;&#21457;&#36153;&#65288;&#31119;&#31108;&#25511;&#32929;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建行5505"/>
      <sheetName val="招行0203"/>
      <sheetName val="2015（账单分类）"/>
      <sheetName val="201601-201609（账单分类）"/>
      <sheetName val="5月分录"/>
      <sheetName val="6月分录"/>
      <sheetName val="7月分录"/>
      <sheetName val="8月分录"/>
      <sheetName val="9月分录"/>
      <sheetName val="10月分录"/>
      <sheetName val="11月分录"/>
      <sheetName val="科目余额表-2017"/>
      <sheetName val="科目余额表（最末级）"/>
      <sheetName val="资产负债表-2017"/>
      <sheetName val="利润表-2017"/>
      <sheetName val="税金"/>
      <sheetName val="房租租赁&amp;物业费"/>
      <sheetName val="进项发票认证-210709"/>
      <sheetName val="房租"/>
      <sheetName val="电信发票"/>
      <sheetName val="Sheet1"/>
      <sheetName val="核算项目明细账"/>
      <sheetName val="明细分类账"/>
      <sheetName val="土建表三乙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目录"/>
      <sheetName val="参数表"/>
      <sheetName val="未审资产负债表 "/>
      <sheetName val="未审利润表 "/>
      <sheetName val="资产负债表汇总（合并报表格式）"/>
      <sheetName val="资产负债表汇总（个别报表格式）"/>
      <sheetName val="利润表汇总（合并报表格式）"/>
      <sheetName val="利润表汇总（个别报表格式）"/>
      <sheetName val="未分配利润汇总"/>
      <sheetName val="投资抵销分录原始数据"/>
      <sheetName val="本年抵消分录汇总"/>
      <sheetName val="上年抵消分录汇总"/>
      <sheetName val="合并、母公司资产负债表"/>
      <sheetName val="合并资产负债表 "/>
      <sheetName val="合并、母公司利润表"/>
      <sheetName val="合并利润表 "/>
      <sheetName val="合并、母公司现金流量表 "/>
      <sheetName val="合并现金流量表"/>
      <sheetName val="合并所有者权益变动表 (分年打印)"/>
      <sheetName val="合并所有者权益变动表"/>
      <sheetName val="资产负债表合并底稿"/>
      <sheetName val="期初资产负债表试算平衡表"/>
      <sheetName val="本年利润表合并底稿"/>
      <sheetName val="期初利润表试算平衡"/>
      <sheetName val="合并现金流量表合并底稿"/>
      <sheetName val="现金流量表（个别报表）"/>
      <sheetName val="未分配利润合并底稿"/>
      <sheetName val="Sheet2"/>
      <sheetName val="资产负债表-2017"/>
      <sheetName val="5月分录"/>
      <sheetName val="核算项目明细账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核算项目明细账"/>
      <sheetName val="资产负债表-2017"/>
      <sheetName val="明细分类账"/>
      <sheetName val="会计科目"/>
      <sheetName val="凭证录入"/>
      <sheetName val="11-1"/>
      <sheetName val="表三甲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月度收入费用趋势分析(不扣除IPO) "/>
      <sheetName val="月度收入费用趋势分析(扣除IPO)"/>
      <sheetName val="权责制经营报表-股东2107（万元）"/>
      <sheetName val="权责制经营报表-股东2107（扣除IPO）"/>
      <sheetName val="财务报表--原表股东（扣除IPO）"/>
      <sheetName val="IPO费用"/>
      <sheetName val="毛利收入同期比较"/>
      <sheetName val="季度收入对比"/>
      <sheetName val="成本费用分布"/>
      <sheetName val="2020年代运营收入"/>
      <sheetName val="20年代运营费用"/>
      <sheetName val="2021年1-7月店铺费用"/>
      <sheetName val="2020年店铺费用"/>
      <sheetName val="20.1-7月"/>
      <sheetName val="2020年店铺平台服务费"/>
      <sheetName val="2021年办公费"/>
      <sheetName val="2020年办公费"/>
      <sheetName val="2021年中介费用"/>
      <sheetName val="2020年中介费用"/>
      <sheetName val="21年平台推广费"/>
      <sheetName val="20年平台推广服务费"/>
      <sheetName val="Sheet1"/>
      <sheetName val="明细分类账"/>
      <sheetName val="资产负债表-2017"/>
      <sheetName val="5月分录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合并"/>
      <sheetName val="岚晨"/>
      <sheetName val="号号"/>
      <sheetName val="游云"/>
      <sheetName val="映月"/>
      <sheetName val="云时"/>
      <sheetName val="中智"/>
      <sheetName val="灵活用工"/>
      <sheetName val="小幅"/>
      <sheetName val="企业福利"/>
      <sheetName val="揽星"/>
      <sheetName val="海外充值"/>
      <sheetName val="普麦"/>
      <sheetName val="一卡通"/>
      <sheetName val="特特"/>
      <sheetName val="核算项目明细账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经营概况整体变化情况"/>
      <sheetName val="体内经营概况"/>
      <sheetName val="投资公司GMV"/>
      <sheetName val="GMV销售额波动分析（分月、年）"/>
      <sheetName val="GMV销售平台占比"/>
      <sheetName val="收入组成（分收入类型）"/>
      <sheetName val="分月收入成本汇总（未抵消）"/>
      <sheetName val="分商品大类毛利（抵消后） "/>
      <sheetName val="返点中间单据"/>
      <sheetName val="代运营中间单据"/>
      <sheetName val="推广拉新"/>
      <sheetName val="游戏开发"/>
      <sheetName val="核算项目明细账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LCPCXCI"/>
      <sheetName val="PLT"/>
      <sheetName val="PLCP"/>
      <sheetName val="PLIP"/>
      <sheetName val="PLCX"/>
      <sheetName val="PLCI"/>
      <sheetName val="BS"/>
      <sheetName val="Rate"/>
      <sheetName val="NBCF1"/>
      <sheetName val="NBCF"/>
      <sheetName val="ARDAYS"/>
      <sheetName val="INVDAYS"/>
      <sheetName val="APDAYS"/>
      <sheetName val="dm"/>
      <sheetName val="表三甲"/>
      <sheetName val="Sheet1"/>
      <sheetName val="B"/>
      <sheetName val="COA"/>
      <sheetName val="JE"/>
      <sheetName val="F2100-半成品"/>
      <sheetName val="F2000-委托加工物资"/>
      <sheetName val="F1000芯片"/>
      <sheetName val="F1100芯片测试费 "/>
      <sheetName val="Source"/>
      <sheetName val="BS9697"/>
      <sheetName val="A.R 01"/>
      <sheetName val="Customize Your Purchase Order"/>
      <sheetName val="Purchase Order"/>
      <sheetName val="关联交易-存款"/>
      <sheetName val="CRA-Detail"/>
      <sheetName val="參數"/>
      <sheetName val="ARP-U201"/>
      <sheetName val="AR Trend"/>
      <sheetName val="Bad Debt Reserve Trend"/>
      <sheetName val="Bad Debt Reserve calc"/>
      <sheetName val="Control"/>
      <sheetName val="A430"/>
      <sheetName val="设备部房屋"/>
      <sheetName val="O"/>
      <sheetName val="F1100芯片测试费_"/>
      <sheetName val="O Lead"/>
      <sheetName val="master"/>
      <sheetName val="K100"/>
      <sheetName val="K"/>
      <sheetName val="F"/>
      <sheetName val="02"/>
      <sheetName val="Sales"/>
      <sheetName val="accode"/>
      <sheetName val="F100"/>
      <sheetName val="U310"/>
      <sheetName val="DATA"/>
      <sheetName val="Client CPYA_clear"/>
      <sheetName val="资产负债表"/>
      <sheetName val="A5-SAD"/>
      <sheetName val="利润表"/>
      <sheetName val="E100"/>
      <sheetName val="std prod costs"/>
      <sheetName val="Sheet3"/>
      <sheetName val="产品销售收入与成本明细表"/>
      <sheetName val="U7100"/>
      <sheetName val="Cntmrs-Recruit"/>
      <sheetName val="P110"/>
      <sheetName val="P"/>
      <sheetName val="员工工资"/>
      <sheetName val="ws9"/>
      <sheetName val="05年利润"/>
      <sheetName val="F101"/>
      <sheetName val="Exchange"/>
      <sheetName val="itnernal sales"/>
      <sheetName val="Ã«ÀûÂÊ·ÖÎö±í"/>
      <sheetName val="应付帐款"/>
      <sheetName val="12月份项目成本明细表"/>
      <sheetName val="12月份部门明细表"/>
      <sheetName val="Balance"/>
      <sheetName val="Drop List References"/>
      <sheetName val="XL4Poppy"/>
      <sheetName val="orignal"/>
      <sheetName val="Cashflow"/>
      <sheetName val="财务费用明细表"/>
      <sheetName val="长期待摊费用明细表"/>
      <sheetName val="主料"/>
      <sheetName val="_4库产成品"/>
      <sheetName val="内外包"/>
      <sheetName val="工具"/>
      <sheetName val="辅料"/>
      <sheetName val="Original Stefan"/>
      <sheetName val="N100"/>
      <sheetName val="企业表一"/>
      <sheetName val="M-5C"/>
      <sheetName val="M-5A"/>
      <sheetName val="HL A3"/>
      <sheetName val="M Schedules"/>
      <sheetName val="Combined FS 2010"/>
      <sheetName val="N300外币应付"/>
      <sheetName val="K140"/>
      <sheetName val="F140-090630 异地库存货"/>
      <sheetName val="Quantity"/>
      <sheetName val="Cash_Flow"/>
      <sheetName val="Financial Statistics"/>
      <sheetName val="Income"/>
      <sheetName val="LinkData"/>
      <sheetName val="F1"/>
      <sheetName val="F11"/>
      <sheetName val="AFEMAI"/>
      <sheetName val="KEY"/>
      <sheetName val="G"/>
      <sheetName val="A3"/>
      <sheetName val="WORDTAB"/>
      <sheetName val="U-Lead_2011"/>
      <sheetName val="U121_2011"/>
      <sheetName val="U121_2010"/>
      <sheetName val="U123_2011"/>
      <sheetName val="U120_1206"/>
      <sheetName val="U122_1206"/>
      <sheetName val="U126_2011"/>
      <sheetName val="4-货币资金-现金"/>
      <sheetName val="Collateral"/>
      <sheetName val="WTB"/>
      <sheetName val="A"/>
      <sheetName val="  mis-ple  "/>
      <sheetName val="FA Addition"/>
      <sheetName val="P412-2001"/>
      <sheetName val="P413-2002"/>
      <sheetName val="K1500"/>
      <sheetName val="敏感性"/>
      <sheetName val="Stock Analysis"/>
      <sheetName val="Group"/>
      <sheetName val="G-lead"/>
      <sheetName val="Validation source"/>
      <sheetName val="U600-投资收益"/>
      <sheetName val="E"/>
      <sheetName val="U120-GP by Product"/>
      <sheetName val="试算平衡表"/>
      <sheetName val="Detail"/>
      <sheetName val="O401"/>
      <sheetName val="E101"/>
      <sheetName val="bc china-关联方"/>
      <sheetName val="c_data"/>
      <sheetName val="Giant Eddia&amp;ICP&amp;Wofe-C300"/>
      <sheetName val="M100"/>
      <sheetName val="Backward Calculation"/>
      <sheetName val="TB_091231"/>
      <sheetName val="H100"/>
      <sheetName val="生产成本"/>
      <sheetName val="original"/>
      <sheetName val="应收票据(关联方)"/>
      <sheetName val="O10"/>
      <sheetName val="O100"/>
      <sheetName val="ARP-P101"/>
      <sheetName val="152050"/>
      <sheetName val="215620"/>
      <sheetName val="215430"/>
      <sheetName val="ARP-U501"/>
      <sheetName val="A3-HK-2013"/>
      <sheetName val="1"/>
      <sheetName val="Consolidation Rates"/>
      <sheetName val="U200"/>
      <sheetName val="U300"/>
      <sheetName val="U400"/>
      <sheetName val="U500"/>
      <sheetName val="D4RP"/>
      <sheetName val="部门折旧"/>
      <sheetName val="2004_A"/>
      <sheetName val="All Cash Dil"/>
      <sheetName val="固定资产处理情况表"/>
      <sheetName val="审计差异汇总"/>
      <sheetName val="明细分类账"/>
      <sheetName val="A3_科曼"/>
      <sheetName val="G300"/>
      <sheetName val="N"/>
      <sheetName val="U101"/>
      <sheetName val="K110"/>
      <sheetName val="G210"/>
      <sheetName val="O111"/>
      <sheetName val="CY sales report"/>
      <sheetName val="struc_SBU"/>
      <sheetName val="BS10"/>
      <sheetName val="navigation"/>
      <sheetName val="struc_country"/>
      <sheetName val="SP10"/>
      <sheetName val="cover"/>
      <sheetName val="translate"/>
      <sheetName val="W"/>
      <sheetName val="U100"/>
      <sheetName val="5 - ASSETS"/>
      <sheetName val="ZMSTA"/>
      <sheetName val="A3_总公司"/>
      <sheetName val="LOOSECHKLIST"/>
      <sheetName val="Sch 24"/>
      <sheetName val="A3-Per EY"/>
      <sheetName val="U"/>
      <sheetName val="A3_先进封装20141231"/>
      <sheetName val="名称表"/>
      <sheetName val="PRC"/>
      <sheetName val="PopCache"/>
      <sheetName val="27-7"/>
      <sheetName val="Beg- End balance"/>
      <sheetName val="A3_长电滁州"/>
      <sheetName val="A3_先进封装"/>
      <sheetName val="Dimension"/>
      <sheetName val="N_LS"/>
      <sheetName val="N100_应付账款明细"/>
      <sheetName val="Malasia"/>
      <sheetName val="流资汇总"/>
      <sheetName val="100172"/>
      <sheetName val="Pending price by customer"/>
      <sheetName val="P_Lead"/>
      <sheetName val="P410_SH"/>
      <sheetName val="P411_押金"/>
      <sheetName val="P412"/>
      <sheetName val="Basic Data"/>
      <sheetName val="SHIP"/>
      <sheetName val="Sales contracts"/>
      <sheetName val="Part_Datum"/>
      <sheetName val="收入"/>
      <sheetName val="Base Info"/>
      <sheetName val="Fixed vs Var"/>
      <sheetName val="COGS reconcile"/>
      <sheetName val="overheads"/>
      <sheetName val="Parameters"/>
      <sheetName val="Item Info."/>
      <sheetName val="U 510"/>
      <sheetName val="K222-fully deprecia"/>
      <sheetName val="note(1)"/>
      <sheetName val="Consol_OR"/>
      <sheetName val="滤饼 98"/>
      <sheetName val="PROCESS"/>
      <sheetName val="丹阳绝缘"/>
      <sheetName val="东莞生益"/>
      <sheetName val="河北肃宁"/>
      <sheetName val="湖州锦龙"/>
      <sheetName val="浙华立达"/>
      <sheetName val="南京同德"/>
      <sheetName val="三和国际"/>
      <sheetName val="山东招远"/>
      <sheetName val="上海田村"/>
      <sheetName val="PL"/>
      <sheetName val="F_OH"/>
      <sheetName val="土建表三乙"/>
      <sheetName val="ACM0131(GT)"/>
      <sheetName val="P&amp;L Consol"/>
      <sheetName val="U-Lead2014 "/>
      <sheetName val="(5)预付款项"/>
      <sheetName val="资产评估结果分类汇总表 (2)"/>
      <sheetName val="中行汇率表"/>
      <sheetName val="SAR"/>
      <sheetName val="XREF"/>
      <sheetName val="F800(Fnew)"/>
      <sheetName val="HD_FG"/>
      <sheetName val="F900(Fnew)"/>
      <sheetName val="U130"/>
      <sheetName val="设定"/>
      <sheetName val="iData Parameters"/>
      <sheetName val="2002-H300"/>
      <sheetName val="2001-H300"/>
      <sheetName val="China"/>
      <sheetName val="其(N)"/>
      <sheetName val="分公司汇总更新"/>
      <sheetName val="Understand the client"/>
      <sheetName val="Bokslutsprocessen"/>
      <sheetName val="Indata"/>
      <sheetName val="CRA"/>
      <sheetName val="2017年JE 0207ver"/>
      <sheetName val="AR&amp;OR List"/>
      <sheetName val="调整"/>
      <sheetName val="sheet 1"/>
      <sheetName val="F1100芯片测试费_1"/>
      <sheetName val="A_R_01"/>
      <sheetName val="Customize_Your_Purchase_Order"/>
      <sheetName val="Purchase_Order"/>
      <sheetName val="AR_Trend"/>
      <sheetName val="Bad_Debt_Reserve_Trend"/>
      <sheetName val="Bad_Debt_Reserve_calc"/>
      <sheetName val="O_Lead"/>
      <sheetName val="itnernal_sales"/>
      <sheetName val="std_prod_costs"/>
      <sheetName val="Drop_List_References"/>
      <sheetName val="HL_A3"/>
      <sheetName val="F140-090630_异地库存货"/>
      <sheetName val="Client_CPYA_clear"/>
      <sheetName val="Financial_Statistics"/>
      <sheetName val="Stock_Analysis"/>
      <sheetName val="Validation_source"/>
      <sheetName val="Original_Stefan"/>
      <sheetName val="Combined_FS_2010"/>
      <sheetName val="M_Schedules"/>
      <sheetName val="U120-GP_by_Product"/>
      <sheetName val="Giant_Eddia&amp;ICP&amp;Wofe-C300"/>
      <sheetName val="__mis-ple__"/>
      <sheetName val="FA_Addition"/>
      <sheetName val="bc_china-关联方"/>
      <sheetName val="Backward_Calculation"/>
      <sheetName val="Consolidation_Rates"/>
      <sheetName val="All_Cash_Dil"/>
      <sheetName val="Sch_24"/>
      <sheetName val="Basic_Data"/>
      <sheetName val="Item_Info_"/>
      <sheetName val="5_-_ASSETS"/>
      <sheetName val="CY_sales_report"/>
      <sheetName val="Pending_price_by_customer"/>
      <sheetName val="Beg-_End_balance"/>
      <sheetName val="HELP1"/>
      <sheetName val="Summary"/>
      <sheetName val="FD"/>
      <sheetName val="U210' "/>
      <sheetName val="A300-2014-futrue"/>
      <sheetName val="N201"/>
      <sheetName val="P &amp; L Account"/>
      <sheetName val="K401"/>
      <sheetName val="G402."/>
      <sheetName val="refernce red invoice"/>
      <sheetName val="F800"/>
      <sheetName val="F104-产成品"/>
      <sheetName val="PL-2015.11"/>
      <sheetName val="CY2015 分配股利"/>
      <sheetName val="FY2015 - year end migration"/>
      <sheetName val="Par"/>
      <sheetName val="Bilanz"/>
      <sheetName val="GuV(LM)"/>
      <sheetName val="GuV(LM) (kurz)"/>
      <sheetName val="Plan (kurze)"/>
      <sheetName val="Plan"/>
      <sheetName val="U601"/>
      <sheetName val="3.1 项目产品业态表"/>
      <sheetName val="其他应付款"/>
      <sheetName val="其他应收款第三方 "/>
      <sheetName val="StaticCodeListTemplate"/>
      <sheetName val="3-10-10委托代销"/>
      <sheetName val="3-10-11受托代销"/>
      <sheetName val="3-10-2材料采购"/>
      <sheetName val="3-10-3在库低值"/>
      <sheetName val="3-10-4包装物"/>
      <sheetName val="3-10-5委托加工"/>
      <sheetName val="3-10-8分期发出"/>
      <sheetName val="3-10-9在用低值"/>
      <sheetName val="Y2研发项目表"/>
      <sheetName val="Market Analysis &amp; Sales Project"/>
      <sheetName val="Heads"/>
      <sheetName val="POLYOLEFINS"/>
      <sheetName val="data 3A|6A"/>
      <sheetName val="DLDB10"/>
      <sheetName val="Staff List"/>
      <sheetName val="INTER-CO"/>
      <sheetName val="DATA in"/>
      <sheetName val="Expense Report"/>
      <sheetName val="Account List"/>
      <sheetName val="PROOF"/>
      <sheetName val="list"/>
      <sheetName val="改良考虑因素"/>
      <sheetName val="Sheet2"/>
      <sheetName val="银行存款"/>
      <sheetName val="RMB-Group"/>
      <sheetName val="Pcos"/>
      <sheetName val="Initial"/>
      <sheetName val="Code"/>
      <sheetName val="BU Parameters"/>
      <sheetName val="BU-Filter"/>
      <sheetName val="Filter"/>
      <sheetName val="Activity Coding"/>
      <sheetName val="BU-WK Jan"/>
      <sheetName val="BU-WK Feb"/>
      <sheetName val="Treasury"/>
      <sheetName val="披露表(上市)"/>
      <sheetName val="US Bal_Sheet"/>
      <sheetName val="JUly97"/>
      <sheetName val="C"/>
      <sheetName val="Safari09"/>
      <sheetName val="FAB별"/>
      <sheetName val="B646"/>
      <sheetName val="Rules"/>
      <sheetName val="损益附注"/>
      <sheetName val="A300-2014-20171231"/>
      <sheetName val="时间性差异表-固定资产、无形资产、开办费、递延收益"/>
      <sheetName val="Sheet1 (11)"/>
      <sheetName val="管理费用审核表"/>
      <sheetName val="2004.12.31"/>
      <sheetName val="2005.10.31"/>
      <sheetName val="A3 Sum"/>
      <sheetName val="报表科目 (2)"/>
      <sheetName val="PNL"/>
      <sheetName val="Loan Data"/>
      <sheetName val="COMP"/>
      <sheetName val="MV"/>
      <sheetName val="#REF!"/>
      <sheetName val="Ex_Rate"/>
      <sheetName val="Input - perm items"/>
      <sheetName val="Input - temp differences"/>
      <sheetName val="Input"/>
      <sheetName val="F1100芯片测试费_2"/>
      <sheetName val="O_Lead1"/>
      <sheetName val="AR_Trend1"/>
      <sheetName val="Bad_Debt_Reserve_Trend1"/>
      <sheetName val="Bad_Debt_Reserve_calc1"/>
      <sheetName val="A_R_011"/>
      <sheetName val="Customize_Your_Purchase_Order1"/>
      <sheetName val="Purchase_Order1"/>
      <sheetName val="itnernal_sales1"/>
      <sheetName val="std_prod_costs1"/>
      <sheetName val="Drop_List_References1"/>
      <sheetName val="Stock_Analysis1"/>
      <sheetName val="HL_A31"/>
      <sheetName val="Client_CPYA_clear1"/>
      <sheetName val="Validation_source1"/>
      <sheetName val="F140-090630_异地库存货1"/>
      <sheetName val="Financial_Statistics1"/>
      <sheetName val="Original_Stefan1"/>
      <sheetName val="M_Schedules1"/>
      <sheetName val="Combined_FS_20101"/>
      <sheetName val="U120-GP_by_Product1"/>
      <sheetName val="__mis-ple__1"/>
      <sheetName val="FA_Addition1"/>
      <sheetName val="Backward_Calculation1"/>
      <sheetName val="All_Cash_Dil1"/>
      <sheetName val="Consolidation_Rates1"/>
      <sheetName val="bc_china-关联方1"/>
      <sheetName val="Giant_Eddia&amp;ICP&amp;Wofe-C3001"/>
      <sheetName val="Sch_241"/>
      <sheetName val="5_-_ASSETS1"/>
      <sheetName val="Basic_Data1"/>
      <sheetName val="Item_Info_1"/>
      <sheetName val="CY_sales_report1"/>
      <sheetName val="Pending_price_by_customer1"/>
      <sheetName val="U-Lead2014_"/>
      <sheetName val="Sales_contracts"/>
      <sheetName val="Base_Info"/>
      <sheetName val="Fixed_vs_Var"/>
      <sheetName val="COGS_reconcile"/>
      <sheetName val="A3-Per_EY"/>
      <sheetName val="Beg-_End_balance1"/>
      <sheetName val="P&amp;L_Consol"/>
      <sheetName val="AR&amp;OR_List"/>
      <sheetName val="资产评估结果分类汇总表_(2)"/>
      <sheetName val="滤饼_98"/>
      <sheetName val="U_510"/>
      <sheetName val="Understand_the_client"/>
      <sheetName val="sheet_1"/>
      <sheetName val="K222-fully_deprecia"/>
      <sheetName val="P_&amp;_L_Account"/>
      <sheetName val="G402_"/>
      <sheetName val="refernce_red_invoice"/>
      <sheetName val="PL-2015_11"/>
      <sheetName val="CY2015_分配股利"/>
      <sheetName val="FY2015_-_year_end_migration"/>
      <sheetName val="2017年JE_0207ver"/>
      <sheetName val="iData_Parameters"/>
      <sheetName val="其他应收款第三方_"/>
      <sheetName val="GuV(LM)_(kurz)"/>
      <sheetName val="Plan_(kurze)"/>
      <sheetName val="Account_List"/>
      <sheetName val="DATA_in"/>
      <sheetName val="Expense_Report"/>
      <sheetName val="3_1_项目产品业态表"/>
      <sheetName val="US_Bal_Sheet"/>
      <sheetName val="Stores Daily Report by category"/>
      <sheetName val="F1100芯片测试费_3"/>
      <sheetName val="O_Lead2"/>
      <sheetName val="AR_Trend2"/>
      <sheetName val="Bad_Debt_Reserve_Trend2"/>
      <sheetName val="Bad_Debt_Reserve_calc2"/>
      <sheetName val="A_R_012"/>
      <sheetName val="Customize_Your_Purchase_Order2"/>
      <sheetName val="Purchase_Order2"/>
      <sheetName val="itnernal_sales2"/>
      <sheetName val="std_prod_costs2"/>
      <sheetName val="Drop_List_References2"/>
      <sheetName val="Stock_Analysis2"/>
      <sheetName val="HL_A32"/>
      <sheetName val="Client_CPYA_clear2"/>
      <sheetName val="Validation_source2"/>
      <sheetName val="F140-090630_异地库存货2"/>
      <sheetName val="Financial_Statistics2"/>
      <sheetName val="Original_Stefan2"/>
      <sheetName val="M_Schedules2"/>
      <sheetName val="Combined_FS_20102"/>
      <sheetName val="U120-GP_by_Product2"/>
      <sheetName val="__mis-ple__2"/>
      <sheetName val="FA_Addition2"/>
      <sheetName val="Backward_Calculation2"/>
      <sheetName val="All_Cash_Dil2"/>
      <sheetName val="Consolidation_Rates2"/>
      <sheetName val="bc_china-关联方2"/>
      <sheetName val="Giant_Eddia&amp;ICP&amp;Wofe-C3002"/>
      <sheetName val="Sch_242"/>
      <sheetName val="5_-_ASSETS2"/>
      <sheetName val="Basic_Data2"/>
      <sheetName val="Item_Info_2"/>
      <sheetName val="CY_sales_report2"/>
      <sheetName val="Pending_price_by_customer2"/>
      <sheetName val="U-Lead2014_1"/>
      <sheetName val="Sales_contracts1"/>
      <sheetName val="Base_Info1"/>
      <sheetName val="Fixed_vs_Var1"/>
      <sheetName val="COGS_reconcile1"/>
      <sheetName val="A3-Per_EY1"/>
      <sheetName val="Beg-_End_balance2"/>
      <sheetName val="P&amp;L_Consol1"/>
      <sheetName val="AR&amp;OR_List1"/>
      <sheetName val="资产评估结果分类汇总表_(2)1"/>
      <sheetName val="滤饼_981"/>
      <sheetName val="U_5101"/>
      <sheetName val="Understand_the_client1"/>
      <sheetName val="sheet_11"/>
      <sheetName val="K222-fully_deprecia1"/>
      <sheetName val="P_&amp;_L_Account1"/>
      <sheetName val="G402_1"/>
      <sheetName val="refernce_red_invoice1"/>
      <sheetName val="PL-2015_111"/>
      <sheetName val="CY2015_分配股利1"/>
      <sheetName val="FY2015_-_year_end_migration1"/>
      <sheetName val="2017年JE_0207ver1"/>
      <sheetName val="iData_Parameters1"/>
      <sheetName val="其他应收款第三方_1"/>
      <sheetName val="GuV(LM)_(kurz)1"/>
      <sheetName val="Plan_(kurze)1"/>
      <sheetName val="Account_List1"/>
      <sheetName val="DATA_in1"/>
      <sheetName val="Expense_Report1"/>
      <sheetName val="3_1_项目产品业态表1"/>
      <sheetName val="US_Bal_Sheet1"/>
      <sheetName val="SUPTRAF"/>
      <sheetName val="核算项目匹配"/>
      <sheetName val=""/>
      <sheetName val="热力"/>
      <sheetName val="実績SK"/>
      <sheetName val="ACTINV"/>
      <sheetName val="Tennancy"/>
      <sheetName val="Monomers"/>
      <sheetName val="2014"/>
      <sheetName val="UFPrn20010206163251"/>
      <sheetName val="U112-by month"/>
      <sheetName val="TITLE"/>
      <sheetName val="IS Summary-96"/>
      <sheetName val="Romford Market"/>
      <sheetName val="02年1-2月营业费用部门明细"/>
      <sheetName val="TEV Multiples"/>
      <sheetName val="Summary Financials"/>
      <sheetName val="srcsuses"/>
      <sheetName val="Income Statement"/>
      <sheetName val="WACC"/>
      <sheetName val="Valuation Parameters"/>
      <sheetName val="test IRR"/>
      <sheetName val="1、合同要素目录"/>
      <sheetName val="REVALUATION-Jul-02"/>
      <sheetName val="FINANCIALS"/>
      <sheetName val="Factset"/>
      <sheetName val="Sum"/>
      <sheetName val="Assumptions"/>
      <sheetName val="Feb Allocation%"/>
      <sheetName val="P&amp;L_worksheet"/>
      <sheetName val="AP_Accrued"/>
      <sheetName val="4月分摊比例"/>
      <sheetName val="P&amp;L透视数据"/>
      <sheetName val="P&amp;L调整数据"/>
      <sheetName val="Ass"/>
      <sheetName val="Cash"/>
      <sheetName val="Fin_Ass"/>
      <sheetName val="Debt"/>
      <sheetName val="Cover_封面"/>
      <sheetName val="CoCos_Segments"/>
      <sheetName val="Lead "/>
      <sheetName val="Assumption"/>
      <sheetName val="Depn"/>
      <sheetName val="Operations"/>
      <sheetName val="BSDataPts"/>
      <sheetName val="Personal property HZ"/>
      <sheetName val="应付账款AP"/>
      <sheetName val="U210'_"/>
      <sheetName val="分类索引"/>
      <sheetName val="A300"/>
      <sheetName val="Parameter"/>
      <sheetName val="9609추"/>
      <sheetName val="Bloomberg"/>
      <sheetName val="Datastream_IBES"/>
      <sheetName val="DB_Estimates"/>
      <sheetName val="Loan Details"/>
      <sheetName val="19.4disc"/>
      <sheetName val="GB11"/>
      <sheetName val="Inflow non-PS detail"/>
      <sheetName val="Acquiror"/>
      <sheetName val="Model Assumptions"/>
      <sheetName val="wCodeTable"/>
      <sheetName val="Deal"/>
      <sheetName val="Deal Summary"/>
      <sheetName val="Target"/>
      <sheetName val="Scoping"/>
      <sheetName val="Drop down"/>
      <sheetName val="U110_月度产品销售"/>
      <sheetName val="U140_月度佣金及质保"/>
      <sheetName val="流量表编制"/>
      <sheetName val="上报资产负债表"/>
      <sheetName val="补充表"/>
      <sheetName val="RE Mov't"/>
      <sheetName val="2002"/>
      <sheetName val="01"/>
      <sheetName val="Normal Opn Detail"/>
      <sheetName val="Forecast"/>
      <sheetName val="Market_Analysis_&amp;_Sales_Project"/>
      <sheetName val="data_3A|6A"/>
      <sheetName val="Staff_List"/>
      <sheetName val="Sheet1_(11)"/>
      <sheetName val="BU_Parameters"/>
      <sheetName val="Activity_Coding"/>
      <sheetName val="BU-WK_Jan"/>
      <sheetName val="BU-WK_Feb"/>
      <sheetName val="短期投资股票投资.dbf"/>
      <sheetName val="短期投资国债投资.dbf"/>
      <sheetName val="股票投资收益.dbf"/>
      <sheetName val="其他货币海通.dbf"/>
      <sheetName val="其他货币零领路.dbf"/>
      <sheetName val="投资收益债券.db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徐"/>
      <sheetName val="管理文件清单"/>
      <sheetName val="B"/>
      <sheetName val="CY sales report"/>
      <sheetName val="Sheet1"/>
      <sheetName val="Sheet2"/>
      <sheetName val="Sheet3"/>
      <sheetName val="Vendor Data"/>
      <sheetName val="master"/>
      <sheetName val="基本信息输入"/>
      <sheetName val="Consol BS"/>
      <sheetName val="HO &amp; Aust BS"/>
      <sheetName val="F130&quot;"/>
      <sheetName val="K100"/>
      <sheetName val="K140"/>
      <sheetName val="控制清单"/>
      <sheetName val="O.所得税"/>
      <sheetName val="參數"/>
      <sheetName val="廠商編號"/>
      <sheetName val="E1020"/>
      <sheetName val="企业表一"/>
      <sheetName val="M-5C"/>
      <sheetName val="M-5A"/>
      <sheetName val="LIST"/>
      <sheetName val="Source"/>
      <sheetName val="cr余额"/>
      <sheetName val="关联交易-存款"/>
      <sheetName val="Sens"/>
      <sheetName val="Control"/>
      <sheetName val="帐龄表附表"/>
      <sheetName val="目录"/>
      <sheetName val="应收票据"/>
      <sheetName val="应收账款"/>
      <sheetName val="预收账款"/>
      <sheetName val="应交税金"/>
      <sheetName val="其他应交款"/>
      <sheetName val="主营业务收入"/>
      <sheetName val="主营业务税金及附加"/>
      <sheetName val="其他业务利润"/>
      <sheetName val="营业费用"/>
      <sheetName val="预付账款"/>
      <sheetName val="固及累"/>
      <sheetName val="固减值"/>
      <sheetName val="工程物资"/>
      <sheetName val="在建工程"/>
      <sheetName val="在建减值"/>
      <sheetName val="固定清理"/>
      <sheetName val="应付票据"/>
      <sheetName val="应付账款"/>
      <sheetName val="存货"/>
      <sheetName val="生产成本"/>
      <sheetName val="制造费用"/>
      <sheetName val="劳务成本"/>
      <sheetName val="存货跌价准备"/>
      <sheetName val="代销商品款"/>
      <sheetName val="待摊费用"/>
      <sheetName val="应付工资"/>
      <sheetName val="应付福利费"/>
      <sheetName val="预提费用"/>
      <sheetName val="主营业务成本"/>
      <sheetName val="货币资金"/>
      <sheetName val="短期投资"/>
      <sheetName val="短期投资-委托贷款"/>
      <sheetName val="应收股利"/>
      <sheetName val="应收利息"/>
      <sheetName val="应收补贴款"/>
      <sheetName val="其他应收款"/>
      <sheetName val="长期股权投资"/>
      <sheetName val="长期股权投资明细表"/>
      <sheetName val="长期股权投资-减值准备"/>
      <sheetName val="长期债权投资"/>
      <sheetName val="长期债权投资减值准备"/>
      <sheetName val="无形资产"/>
      <sheetName val="长期待摊费用"/>
      <sheetName val="短期借款"/>
      <sheetName val="应付股利"/>
      <sheetName val="其他应付款"/>
      <sheetName val="内部往来"/>
      <sheetName val="预计负债"/>
      <sheetName val="长期借款"/>
      <sheetName val="应付债券"/>
      <sheetName val="长期应付款"/>
      <sheetName val="专项应付款"/>
      <sheetName val="其他长期负债"/>
      <sheetName val="递延税款"/>
      <sheetName val="一年内到期"/>
      <sheetName val="股本"/>
      <sheetName val="资本公积"/>
      <sheetName val="盈余公积"/>
      <sheetName val="未分配利润"/>
      <sheetName val="管理费用"/>
      <sheetName val="财务费用"/>
      <sheetName val="投资收益"/>
      <sheetName val="补贴收入"/>
      <sheetName val="营业外收入"/>
      <sheetName val="营业外支出"/>
      <sheetName val="所得税"/>
      <sheetName val="以前年度损益"/>
      <sheetName val="减值准备"/>
      <sheetName val="股东权益增减变动表"/>
      <sheetName val="Setup"/>
      <sheetName val="FA"/>
      <sheetName val="E100"/>
      <sheetName val="F1910"/>
      <sheetName val="资产负债表"/>
      <sheetName val="GA"/>
      <sheetName val="AR"/>
      <sheetName val="销售"/>
      <sheetName val="Expense summary"/>
      <sheetName val="2008.10.27-31日实际出库明细"/>
      <sheetName val="Sales ADJ 2008.1-10"/>
      <sheetName val="财务费用明细表"/>
      <sheetName val="长期待摊费用明细表"/>
      <sheetName val="Cover &amp; setup"/>
      <sheetName val="预付0907"/>
      <sheetName val="丹阳绝缘"/>
      <sheetName val="东莞生益"/>
      <sheetName val="河北肃宁"/>
      <sheetName val="湖州锦龙"/>
      <sheetName val="浙华立达"/>
      <sheetName val="南京同德"/>
      <sheetName val="三和国际"/>
      <sheetName val="山东招远"/>
      <sheetName val="上海田村"/>
      <sheetName val="设备部房屋"/>
      <sheetName val="G200"/>
      <sheetName val="2008"/>
      <sheetName val="银行借款询证"/>
      <sheetName val="K401"/>
      <sheetName val="合并底稿-自营"/>
      <sheetName val="P500-预提费用明细表"/>
      <sheetName val="XL4Poppy"/>
      <sheetName val="Data"/>
      <sheetName val="D4RP"/>
      <sheetName val="LinkData"/>
      <sheetName val="Comparative Balance Sheet"/>
      <sheetName val="PRC"/>
      <sheetName val="INVDAYS"/>
      <sheetName val="N102"/>
      <sheetName val="电子库龄"/>
      <sheetName val="F306"/>
      <sheetName val="A3"/>
      <sheetName val="CRA-Detail"/>
      <sheetName val="总分类账"/>
      <sheetName val="审核2"/>
      <sheetName val="for disclosure"/>
      <sheetName val="核算项目余额表"/>
      <sheetName val="所得税凭证抽查"/>
      <sheetName val="Sheet9"/>
      <sheetName val="FA Breakdown"/>
      <sheetName val="XREF"/>
      <sheetName val="other comments"/>
      <sheetName val="#REF!"/>
      <sheetName val="三家其他应付公司"/>
      <sheetName val="盘存还原"/>
      <sheetName val="外汇付款计划"/>
      <sheetName val="Third party"/>
      <sheetName val=""/>
      <sheetName val="Reference"/>
      <sheetName val="Sheet1 (11)"/>
      <sheetName val="营业外"/>
      <sheetName val="其他货币资金.dbf"/>
      <sheetName val="银行存款.dbf"/>
      <sheetName val="生产成本账"/>
      <sheetName val="标实对比表"/>
      <sheetName val="其他应收款－个人借款明细"/>
      <sheetName val="提足折旧"/>
      <sheetName val="应付职工薪酬"/>
      <sheetName val="银行存款核对表"/>
      <sheetName val="G1-1营业收入审定表"/>
      <sheetName val="会计科目表"/>
      <sheetName val="应收票据函证控制表"/>
      <sheetName val="summary "/>
      <sheetName val="广告费测试表"/>
      <sheetName val="Summary"/>
      <sheetName val="2002年关联方余额及交易"/>
      <sheetName val="56271-2"/>
      <sheetName val="应收款"/>
      <sheetName val="预付款"/>
      <sheetName val="包增减变动"/>
      <sheetName val="明细分类账"/>
      <sheetName val="eqpmad2"/>
      <sheetName val="POWER ASSUMPTIONS"/>
      <sheetName val="房屋及建筑物"/>
      <sheetName val="DTCT"/>
      <sheetName val="清单12.31"/>
      <sheetName val="Mp-team 1"/>
      <sheetName val="UFPrn20030305081341"/>
      <sheetName val="BS"/>
      <sheetName val="PL"/>
      <sheetName val="TB"/>
      <sheetName val="Movement"/>
      <sheetName val="土建-全钢一期二期"/>
      <sheetName val="其他土建"/>
      <sheetName val="G.1R-Shou COP Gf"/>
      <sheetName val="Main"/>
      <sheetName val="盈余公积Dy"/>
      <sheetName val="_______"/>
      <sheetName val="SW-TEO"/>
      <sheetName val="Toolbox"/>
      <sheetName val="Sale breakdown"/>
      <sheetName val="1_阿联酋_迪拜"/>
      <sheetName val="固定资产清单"/>
      <sheetName val="车辆价值计算表"/>
      <sheetName val="科目余额表1"/>
      <sheetName val="Financ. Overview"/>
      <sheetName val="YS02-02"/>
      <sheetName val="资产负债表(本部原报)"/>
      <sheetName val="科目余额表正式"/>
      <sheetName val="营业收入审定表"/>
      <sheetName val="PIT"/>
      <sheetName val="٥Ā应"/>
      <sheetName val="dxnsjtempsheet"/>
      <sheetName val="erp测算"/>
      <sheetName val="Links"/>
      <sheetName val="Lead"/>
      <sheetName val="存货程序表"/>
      <sheetName val="基本信息"/>
      <sheetName val="余良卿9月"/>
      <sheetName val="应付账款04"/>
      <sheetName val="预付账款04"/>
      <sheetName val="固定资产04"/>
      <sheetName val="累计折旧04"/>
      <sheetName val="固定资产清理04"/>
      <sheetName val="在建工程-杏花镇"/>
      <sheetName val="在建工程-新厂区"/>
      <sheetName val="应付票据04"/>
      <sheetName val="函证汇总表"/>
      <sheetName val="Tickmarks"/>
      <sheetName val="Sales branch breakdown"/>
      <sheetName val="审计调整"/>
      <sheetName val="索引"/>
      <sheetName val="营业费用Dy"/>
      <sheetName val="主营业务收入Dy"/>
      <sheetName val="应缴增值税测算明细表（按月）"/>
      <sheetName val="Open"/>
      <sheetName val="应付帐款明细表1-12月"/>
      <sheetName val="56330-账面 (2)"/>
      <sheetName val="会计科目"/>
      <sheetName val="PER SALES ORG"/>
      <sheetName val="盈余公积 （合并)"/>
      <sheetName val="标本-资产"/>
      <sheetName val="合"/>
      <sheetName val="Validation source"/>
      <sheetName val="合并抵销"/>
      <sheetName val="客户基本概况表"/>
      <sheetName val="总部调整"/>
      <sheetName val="汇总抵消"/>
      <sheetName val="SI"/>
      <sheetName val="账面外销"/>
      <sheetName val="附表10"/>
      <sheetName val="Repayment Summary"/>
      <sheetName val="新准则TB"/>
      <sheetName val="3331"/>
      <sheetName val="3334"/>
      <sheetName val="3388"/>
      <sheetName val="3389"/>
      <sheetName val="4213"/>
      <sheetName val="5357"/>
      <sheetName val="8066"/>
      <sheetName val="审定BS"/>
      <sheetName val="审定IN"/>
      <sheetName val="其他科目"/>
      <sheetName val="原材料（系统）"/>
      <sheetName val="Sale summary"/>
      <sheetName val="2007年其他应收款明细表 (2)"/>
      <sheetName val="利息分配检查表"/>
      <sheetName val="明细表"/>
      <sheetName val="长期借款程序表"/>
      <sheetName val="W"/>
      <sheetName val="管理费用程序表"/>
      <sheetName val="OR Breakdown"/>
      <sheetName val="权益变动"/>
      <sheetName val="科目名称表"/>
      <sheetName val="原报调整分录"/>
      <sheetName val="审计调整分录"/>
      <sheetName val="抽查表"/>
      <sheetName val="南通对尚玛可销售开票汇总表"/>
      <sheetName val="入库截止测试-原材料"/>
      <sheetName val="银行存款明细表"/>
      <sheetName val="HPGR LAB sw"/>
      <sheetName val="预付账款汇总表"/>
      <sheetName val="113301"/>
      <sheetName val="基础数据"/>
      <sheetName val="原材料-纸张帐"/>
      <sheetName val="库存商品余额表.dbf"/>
      <sheetName val="差异调整97"/>
      <sheetName val="param"/>
      <sheetName val="完"/>
      <sheetName val="UFPrn20050217103510"/>
      <sheetName val="Profile"/>
      <sheetName val="Ideal World A3"/>
      <sheetName val="C101"/>
      <sheetName val="E101"/>
      <sheetName val="G101"/>
      <sheetName val="G201"/>
      <sheetName val="G301"/>
      <sheetName val="I101"/>
      <sheetName val="ARP-U101"/>
      <sheetName val="ARP-U301"/>
      <sheetName val="U401"/>
      <sheetName val="ARP-U501"/>
      <sheetName val="I"/>
      <sheetName val="销售毛利分析"/>
      <sheetName val="调整分录表"/>
      <sheetName val="产品销售收入与成本明细表"/>
      <sheetName val="accode"/>
      <sheetName val="Start"/>
      <sheetName val="AS-1"/>
      <sheetName val="AS-3"/>
      <sheetName val="AS-C"/>
      <sheetName val="AS-E"/>
      <sheetName val="AS-P1"/>
      <sheetName val="封面"/>
      <sheetName val="E"/>
      <sheetName val="5201.2004"/>
      <sheetName val="净值"/>
      <sheetName val="CS02"/>
      <sheetName val="Business Unit"/>
      <sheetName val="F101"/>
      <sheetName val="F1"/>
      <sheetName val="2weeeks All  Excess and Shortag"/>
      <sheetName val="应收票据(关联方)"/>
      <sheetName val="Business_Unit"/>
      <sheetName val="2weeeks_All__Excess_and_Shortag"/>
      <sheetName val="Sign Off Form"/>
      <sheetName val="実績SK"/>
      <sheetName val="选择报表"/>
      <sheetName val="H R"/>
      <sheetName val="dept"/>
      <sheetName val="INDEX"/>
      <sheetName val="Tables"/>
      <sheetName val="TSNO-DC"/>
      <sheetName val="12月到货 "/>
      <sheetName val="ANALYSEN"/>
      <sheetName val="N100"/>
      <sheetName val="价格"/>
      <sheetName val="A300"/>
      <sheetName val="部门"/>
      <sheetName val="Dep.HK"/>
      <sheetName val="PRESENTATION"/>
      <sheetName val="Rate"/>
      <sheetName val="DEP"/>
      <sheetName val="3-1-1现金"/>
      <sheetName val="FF-21(a)"/>
      <sheetName val="A"/>
      <sheetName val="UFPrn20021113090847"/>
      <sheetName val="Comp equip"/>
      <sheetName val="Mach &amp; equip"/>
      <sheetName val="WORKING"/>
      <sheetName val="J&amp;Q"/>
      <sheetName val="A430"/>
      <sheetName val="GB"/>
      <sheetName val="analyse"/>
      <sheetName val="BOX SUM"/>
      <sheetName val="FIN GOOD"/>
      <sheetName val="K110"/>
      <sheetName val="G210"/>
      <sheetName val="O111"/>
      <sheetName val="zero (3)"/>
      <sheetName val="12月到货_"/>
      <sheetName val="Newsheet"/>
      <sheetName val="MasterList"/>
      <sheetName val="U301"/>
      <sheetName val="0898"/>
      <sheetName val="SUDAREA"/>
      <sheetName val="F-B"/>
      <sheetName val="App1 Entities sequence number"/>
      <sheetName val="G110"/>
      <sheetName val="U600-投资收益"/>
      <sheetName val="员工工资"/>
      <sheetName val="表二甲机务F型"/>
      <sheetName val="数量统计"/>
      <sheetName val="在产品成本计算XPC,FR2(3)"/>
      <sheetName val="个人欠款账龄分析表"/>
      <sheetName val="存货明细2002"/>
      <sheetName val="產成品收發明細表5"/>
      <sheetName val="營業額比較表"/>
      <sheetName val="accumdeprn"/>
      <sheetName val="Parameters"/>
      <sheetName val="VAS TB"/>
      <sheetName val="FF-6"/>
      <sheetName val="F40-Goodsin transit"/>
      <sheetName val="SAD Conclusion"/>
      <sheetName val="其他营业收入调整"/>
      <sheetName val="2002年12月预"/>
      <sheetName val="本部审计调整"/>
      <sheetName val="mat'lSH"/>
      <sheetName val="WORDTAB"/>
      <sheetName val="DEP12"/>
      <sheetName val="TT04"/>
      <sheetName val="APP6C"/>
      <sheetName val="Within"/>
      <sheetName val="Pls do not delete"/>
      <sheetName val="NAME"/>
      <sheetName val="I1"/>
      <sheetName val="FSA"/>
      <sheetName val="Mapping table"/>
      <sheetName val="其他业务利润明细表"/>
      <sheetName val="投资收益明细表"/>
      <sheetName val="未交税金明细表"/>
      <sheetName val="物料编码"/>
      <sheetName val="C1"/>
      <sheetName val="C1-1"/>
      <sheetName val="C2"/>
      <sheetName val="C3"/>
      <sheetName val="C4"/>
      <sheetName val="C5"/>
      <sheetName val="F"/>
      <sheetName val="F2"/>
      <sheetName val="F3"/>
      <sheetName val="G1"/>
      <sheetName val="G1-1"/>
      <sheetName val="G1-1.1"/>
      <sheetName val="G1-2"/>
      <sheetName val="G2"/>
      <sheetName val="G2-1"/>
      <sheetName val="G3"/>
      <sheetName val="H"/>
      <sheetName val="H1"/>
      <sheetName val="H1-1"/>
      <sheetName val="H2"/>
      <sheetName val="J"/>
      <sheetName val="K"/>
      <sheetName val="K1"/>
      <sheetName val="K2"/>
      <sheetName val="K3"/>
      <sheetName val="K4"/>
      <sheetName val="K5"/>
      <sheetName val="K6"/>
      <sheetName val="L1"/>
      <sheetName val="L2"/>
      <sheetName val="M"/>
      <sheetName val="M1"/>
      <sheetName val="N"/>
      <sheetName val="N1"/>
      <sheetName val="O"/>
      <sheetName val="P1"/>
      <sheetName val="P2"/>
      <sheetName val="P2-1"/>
      <sheetName val="P2-2"/>
      <sheetName val="P3"/>
      <sheetName val="P4"/>
      <sheetName val="P5"/>
      <sheetName val="P6"/>
      <sheetName val="P7"/>
      <sheetName val="Q1"/>
      <sheetName val="Q2"/>
      <sheetName val="S1"/>
      <sheetName val="S2"/>
      <sheetName val="S3"/>
      <sheetName val="S4"/>
      <sheetName val="T"/>
      <sheetName val="U1"/>
      <sheetName val="U1-1"/>
      <sheetName val="U1-2"/>
      <sheetName val="U1-3"/>
      <sheetName val="U2"/>
      <sheetName val="U2-1"/>
      <sheetName val="U3"/>
      <sheetName val="U4"/>
      <sheetName val="U5"/>
      <sheetName val="U6"/>
      <sheetName val="U7"/>
      <sheetName val="U8"/>
      <sheetName val="U9"/>
      <sheetName val="U10"/>
      <sheetName val="U11"/>
      <sheetName val="U12"/>
      <sheetName val="V1"/>
      <sheetName val="V2"/>
      <sheetName val="ES"/>
      <sheetName val="dm"/>
      <sheetName val="d&amp;m&amp;c"/>
      <sheetName val="PAGE1"/>
      <sheetName val="K311 A_List02"/>
      <sheetName val="  listing  "/>
      <sheetName val="流资汇总"/>
      <sheetName val="贴现2003"/>
      <sheetName val="贴现2002"/>
      <sheetName val="贴现(总表)"/>
      <sheetName val="表外项目-银行承兑汇票"/>
      <sheetName val="贷款清单2002"/>
      <sheetName val="贷款清单2003"/>
      <sheetName val="Disposition"/>
      <sheetName val="Collateral"/>
      <sheetName val="Accruing"/>
      <sheetName val="Discounting"/>
      <sheetName val="Holidays"/>
      <sheetName val="FC switches"/>
      <sheetName val="DCH_Prem"/>
      <sheetName val="OutSum"/>
      <sheetName val="U210' "/>
      <sheetName val="中山低值"/>
      <sheetName val="ZLR1"/>
      <sheetName val="加工费"/>
      <sheetName val="AGRO-DATA"/>
      <sheetName val="成本"/>
      <sheetName val="FF-4"/>
      <sheetName val="补贴收入( other income)"/>
      <sheetName val="利润表"/>
      <sheetName val="试算平衡表"/>
      <sheetName val="明细号"/>
      <sheetName val="科目余额表"/>
      <sheetName val="存货跌价明细"/>
      <sheetName val="U210'_"/>
      <sheetName val="Pile径1m･27"/>
      <sheetName val="Exp.-04"/>
      <sheetName val="A.R 01"/>
      <sheetName val="kczj0312"/>
      <sheetName val="国产件1"/>
      <sheetName val="报废备件"/>
      <sheetName val="KD批次、封存件"/>
      <sheetName val="T  B"/>
      <sheetName val="数外余额"/>
      <sheetName val="其他应付款4-12月份明细表"/>
      <sheetName val="捐赠支出未列支全部2005"/>
      <sheetName val="P300"/>
      <sheetName val="AFEMAI"/>
      <sheetName val="Data List"/>
      <sheetName val="loan database"/>
      <sheetName val="M_1_1"/>
      <sheetName val="TAX"/>
      <sheetName val="Transl"/>
      <sheetName val="6月"/>
      <sheetName val="TAX COM"/>
      <sheetName val="ws9"/>
      <sheetName val="F300"/>
      <sheetName val="科目余额表_应付_全年"/>
      <sheetName val="科目余额表_应付_下半年"/>
      <sheetName val="科目余额表_应收_全年"/>
      <sheetName val="科目余额表_应收_下半年"/>
      <sheetName val="科目余额表_预付_全年"/>
      <sheetName val="科目余额表_预付_下半年"/>
      <sheetName val="科目余额表_预收_全年"/>
      <sheetName val="科目余额表_预收_下半年"/>
      <sheetName val="TOP10"/>
      <sheetName val="7a.Other Inc Exp"/>
      <sheetName val="上报资产负债表"/>
      <sheetName val="上报损益表"/>
      <sheetName val="补充表"/>
      <sheetName val="FlexData"/>
      <sheetName val="ETB"/>
      <sheetName val="威娜"/>
      <sheetName val="FA Addition"/>
      <sheetName val="Setting"/>
      <sheetName val="4TW_BS"/>
      <sheetName val="Karin(SH)"/>
      <sheetName val="Confirmation"/>
      <sheetName val="gia vt,nc,may"/>
      <sheetName val="F2100-半成品"/>
      <sheetName val="F2000-委托加工物资"/>
      <sheetName val="F1000芯片"/>
      <sheetName val="F1100芯片测试费 "/>
      <sheetName val="preopen-u"/>
      <sheetName val="Chart of acct "/>
      <sheetName val="韩国中兴Futuretel"/>
      <sheetName val="BALANCE SHEET"/>
      <sheetName val="Sum"/>
      <sheetName val="N4200"/>
      <sheetName val="N1010"/>
      <sheetName val="N100-BJ"/>
      <sheetName val="N7100 -TJ"/>
      <sheetName val="N3200"/>
      <sheetName val="#REF"/>
      <sheetName val="1999 Plan Summary"/>
      <sheetName val="CAN DOI - KET QUA"/>
      <sheetName val="O1"/>
      <sheetName val="WORDs"/>
      <sheetName val="ZKA2_lista"/>
      <sheetName val="Dep_HK"/>
      <sheetName val="2003年主营产品销售按地区"/>
      <sheetName val="U320-TreatyBreakdown_财产险"/>
      <sheetName val="U340-TreatyBreakdown_船舶险"/>
      <sheetName val="FDREPORT"/>
      <sheetName val="E120K"/>
      <sheetName val="B 调整hy A(B2)020116.xls]运煤预"/>
      <sheetName val="02"/>
      <sheetName val="ASSLIST2.XLS"/>
      <sheetName val="Ã«ÀûÂÊ·ÖÎö±í"/>
      <sheetName val="A3 &amp; U 09-01"/>
      <sheetName val="Description"/>
      <sheetName val="资产负债表 (续)"/>
      <sheetName val="M2应交税费导引表"/>
      <sheetName val="P&amp;L Items"/>
      <sheetName val="M_5A"/>
      <sheetName val="M_5C"/>
      <sheetName val="____"/>
      <sheetName val="B?"/>
      <sheetName val="B8"/>
      <sheetName val="H101(OK)"/>
      <sheetName val="A包装物"/>
      <sheetName val="C包装物"/>
      <sheetName val="材料明细账"/>
      <sheetName val="Be"/>
      <sheetName val="Price List"/>
      <sheetName val="管理费用明细"/>
      <sheetName val="Bgሀြ0슌沅"/>
      <sheetName val="Bgैာ4슌櫂"/>
      <sheetName val="4月回款"/>
      <sheetName val="4月销售"/>
      <sheetName val="資料"/>
      <sheetName val="Inventory"/>
      <sheetName val="Aging-ARSum"/>
      <sheetName val="item master"/>
      <sheetName val="台账"/>
      <sheetName val="首页"/>
      <sheetName val="08SELLING"/>
      <sheetName val="Financial Overview"/>
      <sheetName val="EXPENSES"/>
      <sheetName val="PTC"/>
      <sheetName val="Data - Raw Material"/>
      <sheetName val="固定资产2001年折旧"/>
      <sheetName val="审前BS"/>
      <sheetName val="审定BS报出"/>
      <sheetName val="TB IN"/>
      <sheetName val="审定IN报出"/>
      <sheetName val="审前IN"/>
      <sheetName val="科目表"/>
      <sheetName val="查证1"/>
      <sheetName val="应收明细账"/>
      <sheetName val="其他应付单位往来"/>
      <sheetName val="资产负债表调整过程表"/>
      <sheetName val="利润调整过程表"/>
      <sheetName val="短期投资股票投资.dbf"/>
      <sheetName val="短期投资国债投资.dbf"/>
      <sheetName val="股票投资收益.dbf"/>
      <sheetName val="其他货币海通.dbf"/>
      <sheetName val="其他货币零领路.dbf"/>
      <sheetName val="投资收益债券.dbf"/>
      <sheetName val="收入成本表"/>
      <sheetName val="UFPrn20070127142303"/>
      <sheetName val="Excess Calc"/>
      <sheetName val="Breakdown-Intrim"/>
      <sheetName val="资产负债表及损益表"/>
      <sheetName val="重要内部交易"/>
      <sheetName val="124301 查询"/>
      <sheetName val="经贸库存商品"/>
      <sheetName val="公司管理费用"/>
      <sheetName val="跨期运保费抽查"/>
      <sheetName val="_003固定资产"/>
      <sheetName val="_004固定资产"/>
      <sheetName val="_005固定资产"/>
      <sheetName val="其他应付款科目表"/>
      <sheetName val="_005暂借户"/>
      <sheetName val="_霍邱2003资本公积"/>
      <sheetName val="舒城2004资本公积"/>
      <sheetName val="寿县2005资本公积"/>
      <sheetName val="2005年科目余额表"/>
      <sheetName val="股本-评估调整2004"/>
      <sheetName val="盈余公积-评估调账"/>
      <sheetName val="资本公积-评估调整2004年"/>
      <sheetName val="金寨2003资本公积"/>
      <sheetName val="数据索引"/>
      <sheetName val="材料消耗"/>
      <sheetName val="其他液氨采购"/>
      <sheetName val="10月佳通债务转移分析"/>
      <sheetName val="TIS"/>
      <sheetName val="应付账款审定表（2）"/>
      <sheetName val="利过本部Y"/>
      <sheetName val="整车盘点表"/>
      <sheetName val="应收账款明细表"/>
      <sheetName val="户名"/>
      <sheetName val="B厂"/>
      <sheetName val="恒昌铜炼"/>
      <sheetName val="内销硫酸期初"/>
      <sheetName val="OR Aging summary"/>
      <sheetName val="合成単価作成・-BLDG"/>
      <sheetName val="2.25"/>
      <sheetName val="09年1-7月销售发票"/>
      <sheetName val="1月"/>
      <sheetName val="3月"/>
      <sheetName val="9号库账务调整"/>
      <sheetName val="外库历年总费用及库存量"/>
      <sheetName val="2006"/>
      <sheetName val="折旧测试2007"/>
      <sheetName val="其他应付单位"/>
      <sheetName val="科目余额表-最终"/>
      <sheetName val="2000年信托利润表汇总"/>
      <sheetName val="收入成本明细表"/>
      <sheetName val="工程施工与结算"/>
      <sheetName val="现金账6月-1"/>
      <sheetName val="收入、成本、收款"/>
      <sheetName val="KKKKKKKK"/>
      <sheetName val="银行存、借款及票据函证统计表"/>
      <sheetName val="岗位工资"/>
      <sheetName val="销售费用程序表"/>
      <sheetName val="审计程序"/>
      <sheetName val="000065"/>
      <sheetName val="BURDEN99"/>
      <sheetName val="data - DO NOT DELETE"/>
      <sheetName val="三分厂04年1-12月销售价 "/>
      <sheetName val="05年1月销售价"/>
      <sheetName val="04年12月销售价"/>
      <sheetName val="Australia"/>
      <sheetName val="案件予算2011G"/>
      <sheetName val="内部购入存货明细表"/>
      <sheetName val="情况表"/>
      <sheetName val="Understand the client"/>
      <sheetName val="Bokslutsprocessen"/>
      <sheetName val="Indata"/>
      <sheetName val="CRA"/>
      <sheetName val="FA EB+YY"/>
      <sheetName val="物资采购含税转出"/>
      <sheetName val="XBase"/>
      <sheetName val="BDC Raw Data"/>
      <sheetName val="外销涤布"/>
      <sheetName val="基础信息"/>
      <sheetName val="5月"/>
      <sheetName val="MY"/>
      <sheetName val="05.7工资分析"/>
      <sheetName val="表5_2_1固定资产—机器设备"/>
      <sheetName val="成本法-决算调整法"/>
      <sheetName val="4-6-1房屋建筑物"/>
      <sheetName val="#511BkRec"/>
      <sheetName val="#511-SEPT97"/>
      <sheetName val="#511-OCT97"/>
      <sheetName val="#511-NOV97"/>
      <sheetName val="Translate"/>
      <sheetName val="Navigation"/>
      <sheetName val="F113-04"/>
      <sheetName val="Pivat_CNENS"/>
      <sheetName val="orignal"/>
      <sheetName val="153541"/>
      <sheetName val="TAX SCHEDULE"/>
      <sheetName val="U 510"/>
      <sheetName val="E1"/>
      <sheetName val="实收资本"/>
      <sheetName val="B 调整hy A(B2)020116.xls_运煤预"/>
      <sheetName val="B_"/>
      <sheetName val="附表6"/>
      <sheetName val="_x005f_x0000__x005f_x0000__x005f_x0000__x005f_x0000__x0"/>
      <sheetName val="Definitions"/>
      <sheetName val="B__x005f_x0000__x005f_x0000__x005f_x0000__x005f_x0000__"/>
      <sheetName val="B_x005f_x0000__x005f_x0000__x005f_x0000_Ⴜ0Ӌ痨_x000"/>
      <sheetName val="B8_x005f_x0000__x005f_x0000_Ⴌ4Ӌ瘠_x005f_x0002__x00"/>
      <sheetName val="Be_x005f_x0000__x005f_x0000__x005f_x0000__x005f_x0000__"/>
      <sheetName val="Bgሀြ0슌沅_x005f_x0000__x005f_x0000_舤殉腼殉ㅏ怆 ɂሀ"/>
      <sheetName val="Bgैာ4슌櫂_x005f_x0000__x005f_x0000_舤槆腼槆ॽᔒ@Ʉ_x"/>
      <sheetName val="分类"/>
      <sheetName val="Liabrary"/>
      <sheetName val="200612-return report"/>
      <sheetName val="newcost"/>
      <sheetName val="Part_Datum"/>
      <sheetName val="已审CF"/>
      <sheetName val="科目名称"/>
      <sheetName val="Invoice"/>
      <sheetName val="Customize Your Invoice"/>
      <sheetName val="Historic BS"/>
      <sheetName val="工作表目录"/>
      <sheetName val="zb"/>
      <sheetName val="联社营业部"/>
      <sheetName val="桂城信社"/>
      <sheetName val="平洲信社"/>
      <sheetName val="盐步信社"/>
      <sheetName val="大沥信社"/>
      <sheetName val="里水信社"/>
      <sheetName val="松岗信社"/>
      <sheetName val="罗村信社"/>
      <sheetName val="丹灶信社"/>
      <sheetName val="九江信社"/>
      <sheetName val="狮山信社"/>
      <sheetName val="存货赌价准备"/>
      <sheetName val="其乖帔乘款"/>
      <sheetName val="頄謡负债"/>
      <sheetName val="VW 358 &amp; Gleichteile"/>
      <sheetName val="封面 Cover"/>
      <sheetName val="detail"/>
      <sheetName val="客户余额表"/>
      <sheetName val="表头"/>
      <sheetName val="明细表E6-2"/>
      <sheetName val="产销存"/>
      <sheetName val="1-6累计销售"/>
      <sheetName val="收入个月"/>
      <sheetName val="Sheet2 (3)"/>
      <sheetName val="表头信息"/>
      <sheetName val="上期报表"/>
      <sheetName val="2010年台帐"/>
      <sheetName val="MAP_HKG"/>
      <sheetName val="MAP_KSC"/>
      <sheetName val="MAP_PEK"/>
      <sheetName val="MAP_SSH"/>
      <sheetName val="REG_HKG"/>
      <sheetName val="REG_KSC"/>
      <sheetName val="REG_PEK"/>
      <sheetName val="REG_SSH"/>
      <sheetName val="营业费用测试"/>
      <sheetName val="物资公司"/>
      <sheetName val="负债完成横向"/>
      <sheetName val="资产完成横向"/>
      <sheetName val="序时帐"/>
      <sheetName val="期后回款"/>
      <sheetName val="10月回款"/>
      <sheetName val="10月销售"/>
      <sheetName val="2004"/>
      <sheetName val="炼钢"/>
      <sheetName val="余额表"/>
      <sheetName val="利润表项目"/>
      <sheetName val="封面 "/>
      <sheetName val="BPR"/>
      <sheetName val="综合成本分析01.01-0205"/>
      <sheetName val="FY02"/>
      <sheetName val="内部购进明细表"/>
      <sheetName val="基本情况表"/>
      <sheetName val="2010年试算平衡表"/>
      <sheetName val="本年试算平衡表"/>
      <sheetName val="资产负债表原报 (2)"/>
      <sheetName val="系统导出"/>
      <sheetName val="53130"/>
      <sheetName val="实收资本Dy"/>
      <sheetName val="资本公积Dy"/>
      <sheetName val="帐务资料"/>
      <sheetName val="应付职工薪酬Dy"/>
      <sheetName val="短期借款Dy"/>
      <sheetName val="应付账款Dy"/>
      <sheetName val="应付票据Dy"/>
      <sheetName val="其他应付款Dy"/>
      <sheetName val="应交税费Dy"/>
      <sheetName val="预收款项Dy"/>
      <sheetName val="1_巴西保罗公司"/>
      <sheetName val="工资"/>
      <sheetName val="参数"/>
      <sheetName val="管理费用Dy"/>
      <sheetName val="其他货币资金Dy"/>
      <sheetName val="披露表(上市)"/>
      <sheetName val="固定资产明细"/>
      <sheetName val="FA明细"/>
      <sheetName val="职工薪酬分配表"/>
      <sheetName val="01065"/>
      <sheetName val="资合并"/>
      <sheetName val="其他科目_x005f_x0000__x005f_x0000__x005f_x000d__分析表.X"/>
      <sheetName val="产销量值.1"/>
      <sheetName val="294B b4 THAI SALE"/>
      <sheetName val="ALCUST"/>
      <sheetName val="权益调整"/>
      <sheetName val="产成品盘点表"/>
      <sheetName val="8月份 帐套"/>
      <sheetName val="主营业务成本明细表"/>
      <sheetName val="123"/>
      <sheetName val="其他科目_x005f_x005f_x005f_x0000__x005f_x005f_x005f_x0000__"/>
      <sheetName val="应交税费程序表"/>
      <sheetName val="利润重分类分录"/>
      <sheetName val="结算备付金"/>
      <sheetName val="数量金额总账"/>
      <sheetName val="工程物资Dy"/>
      <sheetName val="应收票据单位明细"/>
      <sheetName val="制造费用Dy"/>
      <sheetName val="主菜单"/>
      <sheetName val="预收"/>
      <sheetName val="应付函证"/>
      <sheetName val="应付职工薪酬程序表"/>
      <sheetName val="应付职工薪酬明细表"/>
      <sheetName val="其他科目_x005f_x005f_x005f_x005f_x005f_x005f_x005f_x0000__x"/>
      <sheetName val="_x005f_x005f_x005f_x0000__x005f_x005f_x005f_x0000__x005"/>
      <sheetName val="_x005f_x005f_x005f_x005f_x005f_x005f_x005f_x0000__x005f"/>
      <sheetName val="其他科目_x005f_x005f_x005f_x005f_x005f_x005f_x005f_x005f_x0"/>
      <sheetName val="大连博格华纳"/>
      <sheetName val="金川水综合"/>
      <sheetName val="金川成品库"/>
      <sheetName val="东风杭客"/>
      <sheetName val="彬长矿业"/>
      <sheetName val="一汽4GC"/>
      <sheetName val="淮阴电厂"/>
      <sheetName val="青铜峡迈科"/>
      <sheetName val="东乘发动机"/>
      <sheetName val="一汽冲压扩建"/>
      <sheetName val="京东方江河"/>
      <sheetName val="美光半导体"/>
      <sheetName val="驰宏矿业"/>
      <sheetName val="APU停车场"/>
      <sheetName val="武汉太平爱克"/>
      <sheetName val="蚌埠火车站"/>
      <sheetName val="常州玉柴"/>
      <sheetName val="天津西站"/>
      <sheetName val="东风杭客二期"/>
      <sheetName val="摩比斯二期"/>
      <sheetName val="金川铜火法"/>
      <sheetName val="一汽4GB"/>
      <sheetName val="塔里木油田"/>
      <sheetName val="长春西站"/>
      <sheetName val="陕西电解铝"/>
      <sheetName val="西安大飞机"/>
      <sheetName val="上海川崎重工"/>
      <sheetName val="天津太重"/>
      <sheetName val="京东方三建"/>
      <sheetName val="东乘发动机-B"/>
      <sheetName val="东风杭客三期"/>
      <sheetName val="西安风雷"/>
      <sheetName val="大河物流"/>
      <sheetName val="青海康泰"/>
      <sheetName val="北京现代三厂"/>
      <sheetName val="北汽高端"/>
      <sheetName val="广州大功率"/>
      <sheetName val="大连瓦轴"/>
      <sheetName val="石家庄煤机场"/>
      <sheetName val="郑州东站"/>
      <sheetName val="房山长安"/>
      <sheetName val="金川铜炉渣"/>
      <sheetName val="大连火车站"/>
      <sheetName val="官湖会所"/>
      <sheetName val="九冶陕有色电解"/>
      <sheetName val="蒙古OT"/>
      <sheetName val="中信戴卡"/>
      <sheetName val="本二一期"/>
      <sheetName val="客户编码"/>
      <sheetName val="应付账款程序表"/>
      <sheetName val="应付账款明细表"/>
      <sheetName val="其他应付款 "/>
      <sheetName val="SAP"/>
      <sheetName val="53470坏账准备计算"/>
      <sheetName val="所得税费用程序表"/>
      <sheetName val="gvl"/>
      <sheetName val="审定表"/>
      <sheetName val="_x005f_x005f_x005f_x005f_x005f_x005f_x005f_x005f_x005f_x005f_"/>
      <sheetName val="其他科目_x005f_x0000__x005f_x0000__x005f_x000a__分析表.X"/>
      <sheetName val="其他科目_x005f_x0000__x005f_x0000__"/>
      <sheetName val="_x005f_x0000__x005f_x0000__x005"/>
      <sheetName val="其他科目_x005f_x005f_x005f_x0000__x"/>
      <sheetName val="_x005f_x005f_x005f_x0000__x005f"/>
      <sheetName val="其他科目_x005f_x005f_x005f_x005f_x0"/>
      <sheetName val="_x005f_x005f_x005f_x005f_"/>
      <sheetName val="坏账准备_其他应收款Dy"/>
      <sheetName val="坏账准备_预付账款Dy"/>
      <sheetName val="现金导引表"/>
      <sheetName val="US Codes"/>
      <sheetName val="光缆总表"/>
      <sheetName val="会计科目(不能修订）"/>
      <sheetName val="for_disclosure"/>
      <sheetName val="FA_Breakdown"/>
      <sheetName val="other_comments"/>
      <sheetName val="summary_"/>
      <sheetName val="POWER_ASSUMPTIONS"/>
      <sheetName val="清单12_31"/>
      <sheetName val="Third_party"/>
      <sheetName val="Mp-team_1"/>
      <sheetName val="G_1R-Shou_COP_Gf"/>
      <sheetName val="Sale_breakdown"/>
      <sheetName val="Financ__Overview"/>
      <sheetName val="Sheet1_(11)"/>
      <sheetName val="Sales_branch_breakdown"/>
      <sheetName val="Validation_source"/>
      <sheetName val="56330-账面_(2)"/>
      <sheetName val="PER_SALES_ORG"/>
      <sheetName val="盈余公积_（合并)"/>
      <sheetName val="Sale_summary"/>
      <sheetName val="2007年其他应收款明细表_(2)"/>
      <sheetName val="Expense_summary"/>
      <sheetName val="2008_10_27-31日实际出库明细"/>
      <sheetName val="Sales_ADJ_2008_1-10"/>
      <sheetName val="OR_Breakdown"/>
      <sheetName val="HPGR_LAB_sw"/>
      <sheetName val="TB_IN"/>
      <sheetName val="短期投资股票投资_dbf"/>
      <sheetName val="短期投资国债投资_dbf"/>
      <sheetName val="股票投资收益_dbf"/>
      <sheetName val="其他货币海通_dbf"/>
      <sheetName val="其他货币零领路_dbf"/>
      <sheetName val="投资收益债券_dbf"/>
      <sheetName val="引用数据"/>
      <sheetName val="填写参数"/>
      <sheetName val="3-07-17制造费用"/>
      <sheetName val="3-07-15在建工程"/>
      <sheetName val="2-09"/>
      <sheetName val="营业外收支明细"/>
      <sheetName val="上年调整分录"/>
      <sheetName val="封面目录"/>
      <sheetName val="本年调整分录"/>
      <sheetName val="报表附注"/>
      <sheetName val="2011现流底稿"/>
      <sheetName val="利表审定"/>
      <sheetName val="资产审定表"/>
      <sheetName val="负债审定表"/>
      <sheetName val="现金"/>
      <sheetName val="存货分析表G2-4"/>
      <sheetName val="本部固定明细"/>
      <sheetName val="预付账款明细表"/>
      <sheetName val="母公司附注"/>
      <sheetName val="FA movement"/>
      <sheetName val="应收账款余额表"/>
      <sheetName val="所得税明细表"/>
      <sheetName val="EXP"/>
      <sheetName val="GuV"/>
      <sheetName val="备选程序"/>
      <sheetName val="D433 制造费用分月汇总表"/>
      <sheetName val="D432 管理费用分月汇总表"/>
      <sheetName val="表头（请先填写）"/>
      <sheetName val="主营业务明细表"/>
      <sheetName val="12月份品种酒生产月报表"/>
      <sheetName val="银行未达账项明细表"/>
      <sheetName val="银行存款"/>
      <sheetName val="收入明细－按客户"/>
      <sheetName val="UFPrn20100427142245"/>
      <sheetName val="T02"/>
      <sheetName val="T04"/>
      <sheetName val="嘉诚珠宝"/>
      <sheetName val="本期调整分录"/>
      <sheetName val="报表格式"/>
      <sheetName val="上期调整分录"/>
      <sheetName val="现金流量上期调整分录"/>
      <sheetName val="现金流量本期调整分录"/>
      <sheetName val="1-11 "/>
      <sheetName val="维简及井巷"/>
      <sheetName val="Pre-operating Exp"/>
      <sheetName val="Miscellaneous Exp."/>
      <sheetName val="Rental 2002"/>
      <sheetName val="Rental 2001"/>
      <sheetName val="35.1租赁明细"/>
      <sheetName val="for disc"/>
      <sheetName val="Confirmation Control"/>
      <sheetName val="邯矿"/>
      <sheetName val="合并表"/>
      <sheetName val="金化"/>
      <sheetName val="通达"/>
      <sheetName val="Statistics {pbe}"/>
      <sheetName val="Allow {pbe}"/>
      <sheetName val="A101010一般企业收入明细表"/>
      <sheetName val="A101020金融企业收入明细表"/>
      <sheetName val="A103000事业单位、民间非营利组织收入、支出明细表"/>
      <sheetName val="A102010一般企业成本支出明细表"/>
      <sheetName val="A102020金融企业支出明细表"/>
      <sheetName val="2-07"/>
      <sheetName val="A104000期间费用明细表"/>
      <sheetName val="2-11"/>
      <sheetName val="2-12"/>
      <sheetName val="2-13"/>
      <sheetName val="A108010境外所得纳税调整后所得明细表"/>
      <sheetName val="A105000纳税调整项目明细表"/>
      <sheetName val="A107010免税、减计收入及加计扣除优惠明细表"/>
      <sheetName val="A108000境外所得税收抵免明细表"/>
      <sheetName val="A107020所得减免优惠明细表"/>
      <sheetName val="A107030抵扣应纳税所得额明细表"/>
      <sheetName val="A106000企业所得税弥补亏损明细表"/>
      <sheetName val="A107040减免所得税优惠明细表"/>
      <sheetName val="A107050税额抵免优惠明细表"/>
      <sheetName val="6-01"/>
      <sheetName val="A109000跨地区经营汇总纳税企业年度分摊企业所得税明细表"/>
      <sheetName val="2-01"/>
      <sheetName val="2-02"/>
      <sheetName val="2-03"/>
      <sheetName val="2-04"/>
      <sheetName val="2-05"/>
      <sheetName val="2-06"/>
      <sheetName val="2-08"/>
      <sheetName val="2-10"/>
      <sheetName val="A105010视同销售和房地产开发企业特定业务纳税调整明细表"/>
      <sheetName val="A105020未按权责发生制确认收入纳税调整明细表"/>
      <sheetName val="A105030投资收益纳税调整明细表"/>
      <sheetName val="3-01-04"/>
      <sheetName val="3-01-05"/>
      <sheetName val="3-01-06"/>
      <sheetName val="3-01-08"/>
      <sheetName val="A105040专项用途财政性资金纳税调整表"/>
      <sheetName val="3-01-09"/>
      <sheetName val="3-01-10-01"/>
      <sheetName val="3-01-10-02"/>
      <sheetName val="A105050职工薪酬纳税调整明细表"/>
      <sheetName val="3-02-02"/>
      <sheetName val="A105060广告费和业务宣传费跨年度纳税调整明细表"/>
      <sheetName val="A105070捐赠支出纳税调整明细表"/>
      <sheetName val="3-02-05"/>
      <sheetName val="3-02-06"/>
      <sheetName val="3-02-07"/>
      <sheetName val="3-02-08"/>
      <sheetName val="3-02-09"/>
      <sheetName val="3-02-10"/>
      <sheetName val="3-02-11"/>
      <sheetName val="3-02-12"/>
      <sheetName val="3-02-13"/>
      <sheetName val="3-02-14-01"/>
      <sheetName val="3-02-14-02"/>
      <sheetName val="A105080资产折旧、摊销情况及纳税调整明细表"/>
      <sheetName val="3-03-08"/>
      <sheetName val="A105090资产损失税前扣除及纳税调整明细表"/>
      <sheetName val="3-03-11"/>
      <sheetName val="A105100企业重组纳税调整明细表"/>
      <sheetName val="A105110政策性搬迁纳税调整明细表"/>
      <sheetName val="A105120特殊行业准备金纳税调整明细表"/>
      <sheetName val="3-04-05"/>
      <sheetName val="3-05"/>
      <sheetName val="3-06"/>
      <sheetName val="3-02-01-01"/>
      <sheetName val="3-02-01-02"/>
      <sheetName val="3-02-01-03"/>
      <sheetName val="3-02-01-04"/>
      <sheetName val="3-02-01-05"/>
      <sheetName val="3-02-01-07"/>
      <sheetName val="3-02-01-06"/>
      <sheetName val="3-02-01-08"/>
      <sheetName val="3-02-03"/>
      <sheetName val="A105081固定资产加速折旧、扣除明细表"/>
      <sheetName val="3-03-02"/>
      <sheetName val="3-03-03"/>
      <sheetName val="3-03-05"/>
      <sheetName val="3-03-04"/>
      <sheetName val="3-03-06"/>
      <sheetName val="3-03-07"/>
      <sheetName val="3-03-10"/>
      <sheetName val="A105091资产损失（专项申报）税前扣除及纳税调整明细表"/>
      <sheetName val="5-01-08"/>
      <sheetName val="A100000中华人民共和国企业所得税年度纳税申报表（A类）"/>
      <sheetName val="5-01-01"/>
      <sheetName val="资本公积审定表"/>
      <sheetName val="表10"/>
      <sheetName val="目录 Index"/>
      <sheetName val="  mis-ple  "/>
      <sheetName val="5折旧预测ok"/>
      <sheetName val="COGS reconcile"/>
      <sheetName val="WC analysis Graph"/>
      <sheetName val="Group overview"/>
      <sheetName val="現金"/>
      <sheetName val="AJE Entry-活塞"/>
      <sheetName val="培训中心"/>
      <sheetName val="inf"/>
      <sheetName val="披露表(国资)"/>
      <sheetName val="4-货币资金-现金"/>
      <sheetName val="现金流量表"/>
      <sheetName val="S "/>
      <sheetName val="12201001"/>
      <sheetName val="refernce red invoice"/>
      <sheetName val="信用分析"/>
      <sheetName val="首先输入"/>
      <sheetName val="UFPrn20090223104227"/>
      <sheetName val="未展开"/>
      <sheetName val="A3.试算表"/>
      <sheetName val="5 Analysis"/>
      <sheetName val="1"/>
      <sheetName val="B13"/>
      <sheetName val="100172"/>
      <sheetName val="Sum sum Dep"/>
      <sheetName val="Summary 0701"/>
      <sheetName val="N201"/>
      <sheetName val="9100-PO"/>
      <sheetName val="12月到货_1"/>
      <sheetName val="Comp_equip"/>
      <sheetName val="Mach_&amp;_equip"/>
      <sheetName val="zero_(3)"/>
      <sheetName val="App1_Entities_sequence_number"/>
      <sheetName val="Consol_BS"/>
      <sheetName val="HO_&amp;_Aust_BS"/>
      <sheetName val="A_R_01"/>
      <sheetName val="BOX_SUM"/>
      <sheetName val="FIN_GOOD"/>
      <sheetName val="CY_sales_report"/>
      <sheetName val="T__B"/>
      <sheetName val="G102"/>
      <sheetName val="Chart of Account"/>
      <sheetName val="To tied 2001 opening RE"/>
      <sheetName val="Aging Datasheet"/>
      <sheetName val="ECCS_1 DataSheet"/>
      <sheetName val="KPI Datasheet"/>
      <sheetName val="KEY"/>
      <sheetName val="Customers"/>
      <sheetName val="DEFINITION"/>
      <sheetName val="ADMIN"/>
      <sheetName val="VAS_TB"/>
      <sheetName val="F40-Goodsin_transit"/>
      <sheetName val="SAD_Conclusion"/>
      <sheetName val="Pls_do_not_delete"/>
      <sheetName val="Mapping_table"/>
      <sheetName val="Data_List"/>
      <sheetName val="审计分工配置表"/>
      <sheetName val="U210'_1"/>
      <sheetName val="补贴收入(_other_income)"/>
      <sheetName val="Exp_-04"/>
      <sheetName val="TAX_COM"/>
      <sheetName val="Ideal_World_A3"/>
      <sheetName val="loan_database"/>
      <sheetName val="F100-RM list"/>
      <sheetName val="03-B4"/>
      <sheetName val="03-B10"/>
      <sheetName val="04-B5"/>
      <sheetName val="04-B11"/>
      <sheetName val="調査シート"/>
      <sheetName val="Basic Data"/>
      <sheetName val="Other Exp-13"/>
      <sheetName val="Purchase Order"/>
      <sheetName val="FN8"/>
      <sheetName val="DFMEA-DRBFM"/>
      <sheetName val="ye"/>
      <sheetName val="索引表"/>
      <sheetName val="LXGJC"/>
      <sheetName val="ARP"/>
      <sheetName val="Final sample listing"/>
      <sheetName val="Hotel"/>
      <sheetName val="UFPrn20070303114642"/>
      <sheetName val="收入"/>
      <sheetName val="所得税调整"/>
      <sheetName val="Item Info."/>
      <sheetName val="company"/>
      <sheetName val="0410"/>
      <sheetName val="IBA&amp;HP"/>
      <sheetName val="管理"/>
      <sheetName val="SHIP"/>
      <sheetName val="Summry Prod"/>
      <sheetName val="Info div"/>
      <sheetName val="Hardware Detail"/>
      <sheetName val="nada"/>
      <sheetName val="Paramètres"/>
      <sheetName val="Entities"/>
      <sheetName val="Q110"/>
      <sheetName val="序时账"/>
      <sheetName val="01 RM and PM"/>
      <sheetName val="0000"/>
      <sheetName val="Return Summary"/>
      <sheetName val="Material list"/>
      <sheetName val="Allgem. Angaben"/>
      <sheetName val="product"/>
      <sheetName val="struc_custom"/>
      <sheetName val="AP1998KX(estimated)"/>
      <sheetName val="核銷表"/>
      <sheetName val="Upload Template"/>
      <sheetName val="Breakdown"/>
      <sheetName val="E15"/>
      <sheetName val="Rules"/>
      <sheetName val="D5"/>
      <sheetName val="Equip.-FTY"/>
      <sheetName val="产品销售明细表"/>
      <sheetName val="GP Ratio"/>
      <sheetName val="III-1-9"/>
      <sheetName val="III-1-10"/>
      <sheetName val="III-1-2-1"/>
      <sheetName val="III-1-1"/>
      <sheetName val="III-1-8"/>
      <sheetName val="III-1-4"/>
      <sheetName val="III-1-6"/>
      <sheetName val="III-1-7"/>
      <sheetName val="III-1-5"/>
      <sheetName val="H053"/>
      <sheetName val="上月累计"/>
      <sheetName val="损益同期"/>
      <sheetName val="年初数"/>
      <sheetName val="其他科目_x005f_x0000__x005f_x0000__x005f_x000d_[分析表.X"/>
      <sheetName val="Ref"/>
      <sheetName val="K200"/>
      <sheetName val="B?_x005f_x0000__x005f_x0000__x005f_x0000__x005f_x0000__"/>
      <sheetName val="Listen"/>
      <sheetName val="Bilanz Aktiva"/>
      <sheetName val="Bil.Zu-Abgang"/>
      <sheetName val="Cash Flow"/>
      <sheetName val="Bilanz Passiva"/>
      <sheetName val="Item"/>
      <sheetName val="Bilanz"/>
      <sheetName val="Personal"/>
      <sheetName val="commentary"/>
      <sheetName val="Cash of Company"/>
      <sheetName val="New investment"/>
      <sheetName val="Stamp duty code"/>
      <sheetName val=" 弃"/>
      <sheetName val="ZI2存货"/>
      <sheetName val="调整分录"/>
      <sheetName val="科目库"/>
      <sheetName val="Liste"/>
      <sheetName val="102501 CFMA "/>
      <sheetName val="Stammdaten"/>
      <sheetName val="Interne Ergebnisrechnung (UKV)"/>
      <sheetName val="Kennzahlen"/>
      <sheetName val="Account"/>
      <sheetName val="Sales"/>
      <sheetName val="receivable"/>
      <sheetName val="其他利润明细"/>
      <sheetName val="期初调整"/>
      <sheetName val="本期调整"/>
      <sheetName val="基础表"/>
      <sheetName val="审定现金"/>
      <sheetName val="Checklist"/>
      <sheetName val="cover"/>
      <sheetName val="有效性"/>
      <sheetName val="营业费用多栏明细账"/>
      <sheetName val="046 Fixed Ass. mov."/>
      <sheetName val="应收明细"/>
      <sheetName val="存货明细"/>
      <sheetName val="1131.01.01"/>
      <sheetName val="Parameter"/>
      <sheetName val="初始设定"/>
      <sheetName val="Deutsch"/>
      <sheetName val="敏感"/>
      <sheetName val="报表项目列表"/>
      <sheetName val="填表人、评估人员（引用表）"/>
      <sheetName val="Income Statement"/>
      <sheetName val="Altman Z"/>
      <sheetName val="应付帐款帐龄分析表"/>
      <sheetName val="天海(國內)試算"/>
      <sheetName val="暂估"/>
      <sheetName val="应收账款贷方余额表"/>
      <sheetName val="应收账款借方余额表"/>
      <sheetName val="_2640"/>
      <sheetName val="2002年一般预算收入"/>
      <sheetName val="_3220"/>
      <sheetName val="资产评估结果分类汇总表 (2)"/>
      <sheetName val="11"/>
      <sheetName val="固定资产(原表)"/>
      <sheetName val="索赔（按车型）A4"/>
      <sheetName val="制造成本预算表A3"/>
      <sheetName val="销售收入A4"/>
      <sheetName val="销售费用预算表(A4)"/>
      <sheetName val="质量月报表"/>
      <sheetName val="基础信息表"/>
      <sheetName val="TB--附注"/>
      <sheetName val="储藏室"/>
      <sheetName val="科目余额表-总部及380"/>
      <sheetName val="递延所得税资产Dy"/>
      <sheetName val="营业税金及附加Dy"/>
      <sheetName val="Currency"/>
      <sheetName val="DropDown"/>
      <sheetName val="Non-Statistical Sampling"/>
      <sheetName val="百利包227g_20_"/>
      <sheetName val="Tabelle3"/>
      <sheetName val="低易品在库及低易品在用"/>
      <sheetName val="2014年折旧费预算"/>
      <sheetName val="销售毛利润表"/>
      <sheetName val="总公司2002_12_31"/>
      <sheetName val="Exp_Actual"/>
      <sheetName val="Rpt_Actual"/>
      <sheetName val="Exp_BAP"/>
      <sheetName val="Rpt_BAP"/>
      <sheetName val="Exp_LY"/>
      <sheetName val="Rpt_LY"/>
      <sheetName val="Sch PR-2"/>
      <sheetName val="Sch PR-3"/>
      <sheetName val="TB 1999-2000"/>
      <sheetName val="CoList"/>
      <sheetName val="L4"/>
      <sheetName val="Period"/>
      <sheetName val="BUD"/>
      <sheetName val="Namelist"/>
      <sheetName val="代码表"/>
      <sheetName val="信息"/>
      <sheetName val="汇总抵消 "/>
      <sheetName val="离石试算"/>
      <sheetName val="inputs"/>
      <sheetName val="2012年长期挂账"/>
      <sheetName val="收入查证表"/>
      <sheetName val="Consol"/>
      <sheetName val="货币资金审定表"/>
      <sheetName val="说明"/>
      <sheetName val="TB表"/>
      <sheetName val="Sch.1"/>
      <sheetName val="总利润表"/>
      <sheetName val="记账凭证测试表—应收账款"/>
      <sheetName val="机器设备计算表"/>
      <sheetName val="待摊费用明细表"/>
      <sheetName val="长期借款明细表1"/>
      <sheetName val="yb"/>
      <sheetName val="价格指数"/>
      <sheetName val="液氮"/>
      <sheetName val="成品入库05"/>
      <sheetName val="8-4函证结果汇总表"/>
      <sheetName val="销项税"/>
      <sheetName val="冲压领料"/>
      <sheetName val="2010.02"/>
      <sheetName val="存货整体结构12月"/>
      <sheetName val="存货整体结构7月"/>
      <sheetName val="预算科目"/>
      <sheetName val="制费-分月"/>
      <sheetName val="成都费用（未分部门）"/>
      <sheetName val="利息7月-8月"/>
      <sheetName val="A1-A3"/>
      <sheetName val="A1_人员计划2009"/>
      <sheetName val="销量"/>
      <sheetName val="CHART_E"/>
      <sheetName val="Yr_1997"/>
      <sheetName val="数据定义2"/>
      <sheetName val="Drop Down"/>
      <sheetName val="13应付账款明细表"/>
      <sheetName val="暂估分供应商汇总"/>
      <sheetName val="细节测试审计抽样"/>
      <sheetName val="405-10-2"/>
      <sheetName val="130-5-1（不打印)"/>
      <sheetName val="130-7（不打印）"/>
      <sheetName val="405-10-1"/>
      <sheetName val="填表说明"/>
      <sheetName val="评估假设"/>
      <sheetName val="审核2.XLS"/>
      <sheetName val="存货汇总表"/>
      <sheetName val="模块明细"/>
      <sheetName val="05_7工资分析"/>
      <sheetName val="TOTAL"/>
      <sheetName val="2012年营业收入审定表"/>
      <sheetName val="2012年主营业务收入毛利分析"/>
      <sheetName val="2011年主营业务收入毛利分析"/>
      <sheetName val="Validation"/>
      <sheetName val="Adjustment summary"/>
      <sheetName val="lx"/>
      <sheetName val="本期报表"/>
      <sheetName val="利润分析"/>
      <sheetName val="资产负债分析"/>
      <sheetName val="工时统计"/>
      <sheetName val="外地"/>
      <sheetName val="坯布"/>
      <sheetName val="材料"/>
      <sheetName val="外销"/>
      <sheetName val="2、利2010年"/>
      <sheetName val="附注索引"/>
      <sheetName val="日常摊销表"/>
      <sheetName val="抵消分录表"/>
      <sheetName val="合并资产负债过渡表"/>
      <sheetName val="合并利润过渡表"/>
      <sheetName val="子公司调整表"/>
      <sheetName val="合并现金流量过渡表"/>
      <sheetName val="母公司调整表"/>
      <sheetName val="227、JMJD佳美经典"/>
      <sheetName val="损电冶总部公司"/>
      <sheetName val="标准索引体系_CF当期档案"/>
      <sheetName val="分产品销售收入、成本分析表"/>
      <sheetName val="原材料-地方材料发出计价"/>
      <sheetName val="总目录"/>
      <sheetName val="Monetary assets 2007 (27a) "/>
      <sheetName val="合并利润表"/>
      <sheetName val="4-6-2-1机器设备"/>
      <sheetName val="附注表（二）"/>
      <sheetName val="广州库"/>
      <sheetName val="Investment Property"/>
      <sheetName val="xj"/>
      <sheetName val="5"/>
      <sheetName val="4"/>
      <sheetName val="3"/>
      <sheetName val="资产减值准备 "/>
      <sheetName val="程序表"/>
      <sheetName val="程序表2"/>
      <sheetName val="权益法审定表"/>
      <sheetName val="入库分类"/>
      <sheetName val="审定表G3-1"/>
      <sheetName val="原料油"/>
      <sheetName val="报表索引"/>
      <sheetName val="报表科目数据源"/>
      <sheetName val="数据有效性"/>
      <sheetName val="存货汇总表10"/>
      <sheetName val="总表"/>
      <sheetName val="10色母料"/>
      <sheetName val="清单"/>
      <sheetName val="产成品计价3"/>
      <sheetName val="存货差异分析表"/>
      <sheetName val="数字视频并帐"/>
      <sheetName val="附注汇总"/>
      <sheetName val="营业费用截止"/>
      <sheetName val="固定资产类别年统计表 (2)"/>
      <sheetName val="帐"/>
      <sheetName val="累计1"/>
      <sheetName val="qq"/>
      <sheetName val="新城资金明细"/>
      <sheetName val="申鑫大厦租金明细"/>
      <sheetName val="三林明细"/>
      <sheetName val="东陆明细"/>
      <sheetName val="设定"/>
      <sheetName val="53230"/>
      <sheetName val="63130"/>
      <sheetName val="应收票据检查表"/>
      <sheetName val="应收帐款"/>
      <sheetName val="其他应收单位"/>
      <sheetName val="预收帐款"/>
      <sheetName val="应付帐款"/>
      <sheetName val="预付帐款 (2)"/>
      <sheetName val="Purchase"/>
      <sheetName val="K3代码"/>
      <sheetName val="_"/>
      <sheetName val="其他科目_x005f_x0000__x005f_x0000__x005f_x000a_[分析表.X"/>
      <sheetName val="Quantity"/>
      <sheetName val="B Excess Calc"/>
      <sheetName val="B 05 Breakdown by Product"/>
      <sheetName val="domestic sales tests"/>
      <sheetName val="17应付票据明细表"/>
      <sheetName val="1-12月收入"/>
      <sheetName val="   函证设计表D2-5-2"/>
      <sheetName val="商务折扣"/>
      <sheetName val="2月收入成本明细表"/>
      <sheetName val="管理费用-业务招待费"/>
      <sheetName val="预付明细表04"/>
      <sheetName val="上年试算表"/>
      <sheetName val="基"/>
      <sheetName val="账上导出数（包括暂估）"/>
      <sheetName val="资产表"/>
      <sheetName val="负债表"/>
      <sheetName val="Basic_Data"/>
      <sheetName val="销售分客户 "/>
      <sheetName val="Profit and Loss"/>
      <sheetName val="审计说明"/>
      <sheetName val="示范99tzfl"/>
      <sheetName val="四月份月报"/>
      <sheetName val="农业用地"/>
      <sheetName val="利－合并"/>
      <sheetName val="负－合并"/>
      <sheetName val="5132"/>
      <sheetName val="Guidance-English"/>
      <sheetName val="目錄"/>
      <sheetName val="汇总"/>
      <sheetName val="锦江会 aud "/>
      <sheetName val="Salary_F2 &amp; B08"/>
      <sheetName val="Non-Statistical Sampling Master"/>
      <sheetName val="AR Drop Downs"/>
      <sheetName val="Two Step Revenue Testing Master"/>
      <sheetName val="Global Data"/>
      <sheetName val="Scoping"/>
      <sheetName val="inventory2002"/>
      <sheetName val="PPV2002"/>
      <sheetName val="合并试算宁波秉琨"/>
      <sheetName val="单体试算常州智业"/>
      <sheetName val="单体试算药业"/>
      <sheetName val="合同管理"/>
      <sheetName val="财务报告"/>
      <sheetName val="合并试算平衡表"/>
      <sheetName val="余额表200606"/>
      <sheetName val="200611"/>
      <sheetName val="200612"/>
      <sheetName val="固定资产卡片"/>
      <sheetName val="其他应收款Dy"/>
      <sheetName val="界面"/>
      <sheetName val="其他应收款审定表C7-1"/>
      <sheetName val="负债试算表"/>
      <sheetName val="低值易耗品"/>
      <sheetName val="劳务费"/>
      <sheetName val="折旧"/>
      <sheetName val="福利费"/>
      <sheetName val="水电费"/>
      <sheetName val="办公费"/>
      <sheetName val="业务招待费"/>
      <sheetName val="差"/>
      <sheetName val="机"/>
      <sheetName val="劳保"/>
      <sheetName val="通迅费"/>
      <sheetName val="修"/>
      <sheetName val="存货明细表"/>
      <sheetName val="计价测试参数表"/>
      <sheetName val="商铺"/>
      <sheetName val="市场法测算表-商铺"/>
      <sheetName val="销售6.13"/>
      <sheetName val="TRSORNHY"/>
      <sheetName val="财务成本"/>
      <sheetName val="NFMSDLQJ"/>
      <sheetName val="SIPQLPXP"/>
      <sheetName val="运煤预算"/>
      <sheetName val="清单1.1"/>
      <sheetName val="QAD-面套库存"/>
      <sheetName val="AR Report B4"/>
      <sheetName val="Financials"/>
      <sheetName val="Council Staff"/>
      <sheetName val="INPUT SHEET"/>
      <sheetName val="Andy"/>
      <sheetName val="1380_3YR"/>
      <sheetName val="K200Motor"/>
      <sheetName val="K210F&amp;F"/>
      <sheetName val="K220-OE"/>
      <sheetName val="1390_3YR--not used"/>
      <sheetName val="1390_5YR"/>
      <sheetName val="1810_1010"/>
      <sheetName val="1810_1100-3 yr"/>
      <sheetName val="1810_1301_BP"/>
      <sheetName val="1810_1301_CASTROL"/>
      <sheetName val="2002 VS 2003"/>
      <sheetName val="chn01 e"/>
      <sheetName val="以前年度损益调整"/>
      <sheetName val="PM_TE"/>
      <sheetName val="PM-TE"/>
      <sheetName val="Detail Loan Move. &amp; Listing"/>
      <sheetName val="Client Data"/>
      <sheetName val="Shine Best con BS"/>
      <sheetName val="Balsheet"/>
      <sheetName val="CY BS"/>
      <sheetName val="Deferred Dev Cost"/>
      <sheetName val="2002-07"/>
      <sheetName val="Input"/>
      <sheetName val="Sch11"/>
      <sheetName val="PL-Accumulate"/>
      <sheetName val="PL-Current"/>
      <sheetName val="H101"/>
      <sheetName val="DLDB10"/>
      <sheetName val="9100_PO"/>
      <sheetName val="Interim ___ Top"/>
      <sheetName val="GL"/>
      <sheetName val="K310Breakdown of Additon in SH"/>
      <sheetName val="摊销表"/>
      <sheetName val="TB-累1"/>
      <sheetName val="TB-累2"/>
      <sheetName val="TB-当2"/>
      <sheetName val="A800"/>
      <sheetName val="UFPrn20070105155428"/>
      <sheetName val="1月回款"/>
      <sheetName val="1月销售"/>
      <sheetName val="Consol PRC"/>
      <sheetName val="CF"/>
      <sheetName val="F30.Nov.Price.Variance.For.Ref"/>
      <sheetName val="METHANOL"/>
      <sheetName val="DSCR"/>
      <sheetName val="敏感性"/>
      <sheetName val="OPSRESULTS"/>
      <sheetName val="DEBT"/>
      <sheetName val="投入产出汇总"/>
      <sheetName val="指标"/>
      <sheetName val="Calculations"/>
      <sheetName val="2171_FYbk"/>
      <sheetName val="2171-BK"/>
      <sheetName val="分期数据方案阶段"/>
      <sheetName val="一期分产品成本"/>
      <sheetName val="二期分产品成本"/>
      <sheetName val="三期分产品成本"/>
      <sheetName val="ARP-G101"/>
      <sheetName val="E221"/>
      <sheetName val="ARP-P101"/>
      <sheetName val="COA"/>
      <sheetName val="CA_new"/>
      <sheetName val="Lists"/>
      <sheetName val="母公司"/>
      <sheetName val="成本项目"/>
      <sheetName val="生产领料 _3_"/>
      <sheetName val="凭证记录"/>
      <sheetName val="_x005f_x0000_"/>
      <sheetName val="JE"/>
      <sheetName val="2000HW6Y"/>
      <sheetName val="Client Code"/>
      <sheetName val="Project Code"/>
      <sheetName val="21710101进项税额"/>
      <sheetName val="银行"/>
      <sheetName val="Additions to FA"/>
      <sheetName val="短期借款审定表"/>
      <sheetName val="Sample design"/>
      <sheetName val="L2-4100-a武汉海讯和海泰"/>
      <sheetName val="K701"/>
      <sheetName val="UPRICE"/>
      <sheetName val="BS-9.06"/>
      <sheetName val="Nov,01"/>
      <sheetName val="Category"/>
      <sheetName val="Client"/>
      <sheetName val="养路支出审定表"/>
      <sheetName val="养路支出明细表"/>
      <sheetName val="养路支出抽查表"/>
      <sheetName val="通用式抽查表"/>
      <sheetName val="借款工程支出审定表"/>
      <sheetName val="借款工程支出抽查表"/>
      <sheetName val="直接材料"/>
      <sheetName val="組目"/>
      <sheetName val="Reserves"/>
      <sheetName val="adj-v1"/>
      <sheetName val="Adm."/>
      <sheetName val="AP2004 ledger"/>
      <sheetName val="T6.1.1(old eeri  basket)"/>
      <sheetName val="T6.1.1(old basket, 11.1983=100)"/>
      <sheetName val="HK0203"/>
      <sheetName val="Shanxi Zhanpen"/>
      <sheetName val="其他科目__分析表_XLS_G9-1__分"/>
      <sheetName val="BDC_Raw_Data"/>
      <sheetName val="C01-1"/>
      <sheetName val="其他科目&#10;[分析表_XLS]G9-1&#10;[分"/>
      <sheetName val="FA_EB+YY"/>
      <sheetName val="Repayment_Summary"/>
      <sheetName val="8月份_帐套"/>
      <sheetName val="294B_b4_THAI_SALE"/>
      <sheetName val="产销量值_1"/>
      <sheetName val="Excess_Calc"/>
      <sheetName val="124301_查询"/>
      <sheetName val="OR_Aging_summary"/>
      <sheetName val="2_25"/>
      <sheetName val="其他货币资金_dbf"/>
      <sheetName val="银行存款_dbf"/>
      <sheetName val="Selection"/>
      <sheetName val="retrieve BRANCH fy98"/>
      <sheetName val="在建工程设备"/>
      <sheetName val="调整分录汇总"/>
      <sheetName val="关联方及集团内清单"/>
      <sheetName val="预付清单"/>
      <sheetName val="2014原材料总账"/>
      <sheetName val="accudepr1"/>
      <sheetName val="FE-0调整分录"/>
      <sheetName val="累计折旧复核表—房屋本期"/>
      <sheetName val="累计折旧明细表"/>
      <sheetName val="累计折旧复核(有减值准备时选用)"/>
      <sheetName val="应付帐款余额表"/>
      <sheetName val="FA-2"/>
      <sheetName val="数据字典"/>
      <sheetName val="基本参数"/>
      <sheetName val="22未审 利润表及利润分配表"/>
      <sheetName val="2002.1-6管理费用"/>
      <sheetName val="无形资产使用寿命分析表"/>
      <sheetName val="无形资产累计摊销计算表"/>
      <sheetName val="货币资金明细表"/>
      <sheetName val="119-4"/>
      <sheetName val="企业提供表"/>
      <sheetName val="商品收发总账"/>
      <sheetName val="存货整体结构11月 "/>
      <sheetName val="計算書（加）"/>
      <sheetName val="投資(加）"/>
      <sheetName val="期初帐龄辅助表MT"/>
      <sheetName val="坏账准备辅助表MT"/>
      <sheetName val="报表层次重要性水平"/>
      <sheetName val="所有者权益(股东权益)变动表(未审)"/>
      <sheetName val="报表项目"/>
      <sheetName val="非合并关联往来"/>
      <sheetName val="当期所得税"/>
      <sheetName val="生产性生物资产Dy"/>
      <sheetName val="公用信息"/>
      <sheetName val="原TB表"/>
      <sheetName val="4-6-4机器设备"/>
      <sheetName val="4-6-5车辆"/>
      <sheetName val="4-6-6电子设备"/>
      <sheetName val="商品零售价格指数"/>
      <sheetName val="机械设备步骤复核表"/>
      <sheetName val="PZTPLOPN"/>
      <sheetName val="_x005f_x0000__x005f"/>
      <sheetName val="B1-4001"/>
      <sheetName val="20041231"/>
      <sheetName val="20050131"/>
      <sheetName val="20050228"/>
      <sheetName val="20051130"/>
      <sheetName val="20051231"/>
      <sheetName val="20060131"/>
      <sheetName val="20060228"/>
      <sheetName val="20060331"/>
      <sheetName val="20060430"/>
      <sheetName val="20060531"/>
      <sheetName val="20060630"/>
      <sheetName val="20060731"/>
      <sheetName val="5-Key Ratios"/>
      <sheetName val="Sheet5"/>
      <sheetName val="21授信借款"/>
      <sheetName val="周转"/>
      <sheetName val="Time Series"/>
      <sheetName val="C-02 Cash &amp; Bank"/>
      <sheetName val="CMC"/>
      <sheetName val="12.31"/>
      <sheetName val="GP analysis Per month"/>
      <sheetName val="Sales breakdown "/>
      <sheetName val="MA Adj. Test"/>
      <sheetName val="CompanyData"/>
      <sheetName val="4-1"/>
      <sheetName val="3 AJE - 09-11未入帐工资清单"/>
      <sheetName val="外仓1"/>
      <sheetName val="外仓TEM1"/>
      <sheetName val="Loss"/>
      <sheetName val="Key Figures"/>
      <sheetName val="Menge"/>
      <sheetName val="披露表(标准)"/>
      <sheetName val="国家"/>
      <sheetName val="其他科目_x005f_x0000__x"/>
      <sheetName val="其他科目_x005f_x005f_x0"/>
      <sheetName val="Profit &amp; Loss"/>
      <sheetName val="English"/>
      <sheetName val="Z-01"/>
      <sheetName val="SysSheet"/>
      <sheetName val="M-01"/>
      <sheetName val="Movement(1)"/>
      <sheetName val="A_01"/>
      <sheetName val="A_03"/>
      <sheetName val="A_02"/>
      <sheetName val="A_1"/>
      <sheetName val="A_3"/>
      <sheetName val="A_2"/>
      <sheetName val="ZE预付供应商往来"/>
      <sheetName val="2008年"/>
      <sheetName val="余额表（终稿）"/>
      <sheetName val="应收账款Dy"/>
      <sheetName val="UFPrn20060111164230"/>
      <sheetName val="原材料Mx1"/>
      <sheetName val="Common Assumptions"/>
      <sheetName val="科目余额"/>
      <sheetName val="所得税费用"/>
      <sheetName val="“预收账款”余额明细表"/>
      <sheetName val="DWMC"/>
      <sheetName val="合并"/>
      <sheetName val="内部往来调节表6"/>
      <sheetName val="销售成本明细表19之一"/>
      <sheetName val="PRC_ 071231-Parent-Mgt-XX"/>
      <sheetName val="Questions"/>
      <sheetName val="上海创品"/>
      <sheetName val="上海德泰"/>
      <sheetName val="云南爱法"/>
      <sheetName val="北京健亮"/>
      <sheetName val="华东电子管"/>
      <sheetName val="南京南安"/>
      <sheetName val="南京新金辉"/>
      <sheetName val="南美板材"/>
      <sheetName val="杭州国际"/>
      <sheetName val="上海山崎"/>
      <sheetName val="广州依利"/>
      <sheetName val="杜昆电子"/>
      <sheetName val="杜邦公司"/>
      <sheetName val="桂林无线"/>
      <sheetName val="武进华锋"/>
      <sheetName val="江浦大河"/>
      <sheetName val="扬中宏达"/>
      <sheetName val="江苏物资"/>
      <sheetName val="江阴金塔电工"/>
      <sheetName val="深圳先得利"/>
      <sheetName val="深圳太平洋"/>
      <sheetName val="深圳金洲"/>
      <sheetName val="苏州天龙"/>
      <sheetName val="西江电子"/>
      <sheetName val="长沙管件"/>
      <sheetName val="W3"/>
      <sheetName val="Q-purchase of RM test"/>
      <sheetName val="基础"/>
      <sheetName val="管理费用_波动分析"/>
      <sheetName val="折旧年限"/>
      <sheetName val="附A-7"/>
      <sheetName val="ZI-2-4计价汇总"/>
      <sheetName val="专项沔㧄匈"/>
      <sheetName val="值列表"/>
      <sheetName val="流动资产清查评估汇总表"/>
      <sheetName val="补贴收入明细表"/>
      <sheetName val="倍丰及关联方清册"/>
      <sheetName val="日报（扣除变更数）"/>
      <sheetName val="JY-4"/>
      <sheetName val="合同付款"/>
      <sheetName val="营销费用预算"/>
      <sheetName val="营销合约"/>
      <sheetName val="管道进度明细表"/>
      <sheetName val="附注"/>
      <sheetName val="差旅费"/>
      <sheetName val="关联方"/>
      <sheetName val="数据库"/>
      <sheetName val="底稿"/>
      <sheetName val="Custom"/>
      <sheetName val="Dic"/>
      <sheetName val="列表"/>
      <sheetName val="存货整体结构9月 "/>
      <sheetName val="审计说明7-3"/>
      <sheetName val="存货20"/>
      <sheetName val="原材料21"/>
      <sheetName val="包装物22"/>
      <sheetName val="产成品23"/>
      <sheetName val="在产品24"/>
      <sheetName val="存货账龄表25-1 "/>
      <sheetName val="08年未开票成本"/>
      <sheetName val="07年未开票成本"/>
      <sheetName val="生化公司6-7月发生额及余额表"/>
      <sheetName val="应付账款明细账"/>
      <sheetName val="1-7月应付账款余额表"/>
      <sheetName val="124-3-3"/>
      <sheetName val="405-3-1"/>
      <sheetName val="剥离前"/>
      <sheetName val="役"/>
      <sheetName val="Sheet Index"/>
      <sheetName val="PPE折旧测试"/>
      <sheetName val="自动化程序汇总"/>
      <sheetName val="信息表"/>
      <sheetName val="GB4-1应付账款"/>
      <sheetName val="GB10-2其他应付款明细"/>
      <sheetName val="分配表1(原.辅.协）"/>
      <sheetName val="IRDG-reval-trd"/>
      <sheetName val="多级销售汇总表（备用）"/>
      <sheetName val="2005.01-2005.11余额表"/>
      <sheetName val="应收"/>
      <sheetName val="合并信息数据表"/>
      <sheetName val="TT template"/>
      <sheetName val="F-2 AdjJournalEntries"/>
      <sheetName val="Provision"/>
      <sheetName val="1、存货跌价冲回"/>
      <sheetName val="重要关联方交易"/>
      <sheetName val="4-3开户行银行代码"/>
      <sheetName val="合并数据源"/>
      <sheetName val="数据源"/>
      <sheetName val="Movement format-Jun'12"/>
      <sheetName val="分吨位"/>
      <sheetName val="办公用品"/>
      <sheetName val="备品备件"/>
      <sheetName val="标签"/>
      <sheetName val="玻璃仪器"/>
      <sheetName val="辅料"/>
      <sheetName val="化剂"/>
      <sheetName val="瓶类"/>
      <sheetName val="其他材料"/>
      <sheetName val="燃料"/>
      <sheetName val="产成品"/>
      <sheetName val="纸箱纸盒"/>
      <sheetName val="中草药"/>
      <sheetName val="主料"/>
      <sheetName val="自制半成品"/>
      <sheetName val="应收账款审定表"/>
      <sheetName val="数量对比"/>
      <sheetName val="二级明细"/>
      <sheetName val="其他应收-导出"/>
      <sheetName val="KM"/>
      <sheetName val="08.8"/>
      <sheetName val="生产成本Dy"/>
      <sheetName val="原材料Dy"/>
      <sheetName val="t_Schema"/>
      <sheetName val="3306"/>
      <sheetName val="8042"/>
      <sheetName val="企财01表(12)"/>
      <sheetName val="企财02表(12)"/>
      <sheetName val="合并试算平衡"/>
      <sheetName val="2004 Audit adj"/>
      <sheetName val="其他科目_x005f_x0000__x005f_x0000_[分析表.XLS]G9-1"/>
      <sheetName val="普查库示例"/>
      <sheetName val="电子"/>
      <sheetName val="替代测试"/>
      <sheetName val="纳税调整计算表"/>
      <sheetName val="制造费用明细表"/>
      <sheetName val="生产成本检查表"/>
      <sheetName val="订单418"/>
      <sheetName val="申报表封面"/>
      <sheetName val="中国银行3"/>
      <sheetName val="2010.12.31-付总"/>
      <sheetName val="个人借款"/>
      <sheetName val="往来款明细（应收、预收）"/>
      <sheetName val="分合同收入"/>
      <sheetName val="分合同成本"/>
      <sheetName val="应收账款明细账"/>
      <sheetName val="收入明细帐"/>
      <sheetName val="成本明细帐"/>
      <sheetName val="其他应收款明细表"/>
      <sheetName val="基本信息 "/>
      <sheetName val="福利费1"/>
      <sheetName val="成本汇总表"/>
      <sheetName val="其他应收单位款板纸"/>
      <sheetName val="银行存款控制测试"/>
      <sheetName val="Erection"/>
      <sheetName val="LOV"/>
      <sheetName val="其它应收款"/>
      <sheetName val="预付货款"/>
      <sheetName val="其他科目_x005f_x0000__x005f_x0000__分析表.XLS_G9-1"/>
      <sheetName val="应付账款 (2)"/>
      <sheetName val="山西明细"/>
      <sheetName val="batch"/>
      <sheetName val="借款利息全年"/>
      <sheetName val="04.9.30"/>
      <sheetName val="地下室顶板~3.57"/>
      <sheetName val="金铜矿存货收发存汇总表1-9月"/>
      <sheetName val="公司TB"/>
      <sheetName val="应收票据Dy"/>
      <sheetName val="Comp"/>
      <sheetName val="1st Year Impact"/>
      <sheetName val="Total Impact"/>
      <sheetName val="K102"/>
      <sheetName val="NAV Summary"/>
      <sheetName val="이자"/>
      <sheetName val="변제"/>
      <sheetName val="상환대상"/>
      <sheetName val="预提费用Dy"/>
      <sheetName val="长期借款Dy"/>
      <sheetName val="基本情况"/>
      <sheetName val="其他业务收入Dy"/>
      <sheetName val="首表"/>
      <sheetName val="应收股利Dy"/>
      <sheetName val="其他应收款D8-7坏账测试"/>
      <sheetName val="明细表D29-2"/>
      <sheetName val="综合"/>
      <sheetName val="%E5%AE%A1%E6%A0%B82.XLS"/>
      <sheetName val="预付账款Dy"/>
      <sheetName val="取费表"/>
      <sheetName val="FAB별"/>
      <sheetName val="C_301"/>
      <sheetName val="C_311"/>
      <sheetName val="C_318"/>
      <sheetName val="注释汇总"/>
      <sheetName val="879099"/>
      <sheetName val="其他应交款Dy"/>
      <sheetName val="V300-PBOC SWAP"/>
      <sheetName val="2001"/>
      <sheetName val="Ex rate"/>
      <sheetName val="cholesky"/>
      <sheetName val="成本计算单_汇总显示_"/>
      <sheetName val="122101"/>
      <sheetName val="1221012"/>
      <sheetName val="122102"/>
      <sheetName val="1221022"/>
      <sheetName val="jg"/>
      <sheetName val="Sheet1 (2)"/>
      <sheetName val="laroux"/>
      <sheetName val="原材料发出计价测试-OK"/>
      <sheetName val="编码"/>
      <sheetName val="设置"/>
      <sheetName val="Adj. spreadsheet for June"/>
      <sheetName val="固定资产折旧表"/>
      <sheetName val="当月应收"/>
      <sheetName val="DDB Depr (Mths)"/>
      <sheetName val="销售-3（新药）"/>
      <sheetName val="_3062"/>
      <sheetName val="_3065"/>
      <sheetName val="_3066"/>
      <sheetName val="_3152"/>
      <sheetName val="_5326"/>
      <sheetName val="表三"/>
      <sheetName val="其他科目_x005f_x0000__x005f_x0000___分析表.XLS_G9-"/>
      <sheetName val="资产负债表-2017"/>
      <sheetName val="土建表三乙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资产负债表"/>
      <sheetName val="损益表"/>
      <sheetName val="财务状况变动表"/>
      <sheetName val="利润分配表"/>
      <sheetName val="主营业务收支明细表"/>
      <sheetName val="短期借款审定表"/>
      <sheetName val="source"/>
      <sheetName val="Sheet1"/>
      <sheetName val="Validation source"/>
      <sheetName val="master"/>
      <sheetName val="个人欠款账龄分析表"/>
      <sheetName val="F110"/>
      <sheetName val="SFS(BUDGET)"/>
      <sheetName val="设备部房屋"/>
      <sheetName val="Financial Exp明细分类账"/>
      <sheetName val="Business Unit"/>
      <sheetName val="数外余额"/>
      <sheetName val="财务费用明细表"/>
      <sheetName val="长期待摊费用明细表"/>
      <sheetName val="财刡父儵単动表"/>
      <sheetName val="#REF"/>
      <sheetName val="F1"/>
      <sheetName val="Collateral"/>
      <sheetName val="B"/>
      <sheetName val="FF-1"/>
      <sheetName val="Marco"/>
      <sheetName val="工业企业财务报表"/>
      <sheetName val="Formula"/>
      <sheetName val="1998"/>
      <sheetName val="船舶日标准"/>
      <sheetName val="1999 Plan Summary"/>
      <sheetName val="12(762mm)套管"/>
      <sheetName val="incomestatement"/>
      <sheetName val="Main"/>
      <sheetName val="FSA"/>
      <sheetName val="Case"/>
      <sheetName val="PL"/>
      <sheetName val="loan database"/>
      <sheetName val="E1020"/>
      <sheetName val="附表6"/>
      <sheetName val="DATA"/>
      <sheetName val="所有制分类"/>
      <sheetName val="4-货币资金-现金"/>
      <sheetName val="SCH-U-5 以前年度损益调整"/>
      <sheetName val="XL4Poppy"/>
      <sheetName val="资料"/>
      <sheetName val="Estimated AP 9.03"/>
      <sheetName val="投资收益明细表"/>
      <sheetName val="封面"/>
      <sheetName val="岭头19-1"/>
      <sheetName val="H100"/>
      <sheetName val="选择报表"/>
      <sheetName val="Client Data"/>
      <sheetName val="Part_Datum"/>
      <sheetName val="BUSINESS OBJECTS"/>
      <sheetName val="A16"/>
      <sheetName val="eqpmad2"/>
      <sheetName val="SAD effects"/>
      <sheetName val="上报资产负债表"/>
      <sheetName val="上报损益表"/>
      <sheetName val="现金流量表（月报）"/>
      <sheetName val="补充表"/>
      <sheetName val="Dora"/>
      <sheetName val="关联交易-存款"/>
      <sheetName val="其他货币资金.dbf"/>
      <sheetName val="银行存款.dbf"/>
      <sheetName val="OutSum"/>
      <sheetName val="accode"/>
      <sheetName val="存货明细2002"/>
      <sheetName val="zero"/>
      <sheetName val="Lists"/>
      <sheetName val="钻井(调整)"/>
      <sheetName val="CS02表"/>
      <sheetName val="六期B区CS02"/>
      <sheetName val="CS01A汇总"/>
      <sheetName val="G102"/>
      <sheetName val="前提1-综合"/>
      <sheetName val="生产成本账"/>
      <sheetName val="低易品在库及低易品在用"/>
      <sheetName val="资产负债表弘通200504"/>
      <sheetName val="2001"/>
      <sheetName val="利润分析"/>
      <sheetName val="资产负债分析"/>
      <sheetName val="Sheet2"/>
      <sheetName val="Currencies and exchange rates"/>
      <sheetName val="K311 A_List02"/>
      <sheetName val="VCC 11110-461"/>
      <sheetName val="企业表一"/>
      <sheetName val="M-5C"/>
      <sheetName val="M-5A"/>
      <sheetName val="TOP10"/>
      <sheetName val="A300-2014-futrue"/>
      <sheetName val="本部"/>
      <sheetName val="AFEMAI"/>
      <sheetName val="A300_Shining Investment (HK)"/>
      <sheetName val="WORKING"/>
      <sheetName val="CONTRACT REGISTER"/>
      <sheetName val="数字视频并帐"/>
      <sheetName val="户名"/>
      <sheetName val="IV-2-4"/>
      <sheetName val="IV-2-6"/>
      <sheetName val="IV-2-5"/>
      <sheetName val="IV-2-17"/>
      <sheetName val="结果汇总表 (万元)"/>
      <sheetName val="核算项目余额表"/>
      <sheetName val="AGENT"/>
      <sheetName val="现金流量表"/>
      <sheetName val="明细账"/>
      <sheetName val="条件"/>
      <sheetName val="COMMON"/>
      <sheetName val="Salary"/>
      <sheetName val="应付帐款帐龄分析表"/>
      <sheetName val="A3.1 2012"/>
      <sheetName val="合同库"/>
      <sheetName val="公司间应收RMB香港"/>
      <sheetName val="未完工合同成本安装"/>
      <sheetName val="应付帐款安装费"/>
      <sheetName val=""/>
      <sheetName val="示范99tzfl"/>
      <sheetName val="1月"/>
      <sheetName val="외화금융(97-03)"/>
      <sheetName val="一般管理费用基础表01"/>
      <sheetName val="2003海工"/>
      <sheetName val="III-1-9"/>
      <sheetName val="III-1-10"/>
      <sheetName val="III-1-2-1"/>
      <sheetName val="III-1-1"/>
      <sheetName val="III-1-8"/>
      <sheetName val="III-1-4"/>
      <sheetName val="III-1-6"/>
      <sheetName val="III-1-7"/>
      <sheetName val="III-1-5"/>
      <sheetName val="科目余额表"/>
      <sheetName val="清单定稿"/>
      <sheetName val="资产负债表(97)"/>
      <sheetName val="M_1_1"/>
      <sheetName val="货币资金主表"/>
      <sheetName val="差异调整97"/>
      <sheetName val="差异调整95"/>
      <sheetName val="差异调整96"/>
      <sheetName val="三家其他应付公司"/>
      <sheetName val="成本"/>
      <sheetName val="材料消耗"/>
      <sheetName val="Breakdown"/>
      <sheetName val="Purchase"/>
      <sheetName val="4-2.销售分公司应收帐款"/>
      <sheetName val="生产成本明细账"/>
      <sheetName val="符号标识"/>
      <sheetName val="资产负债表汇编"/>
      <sheetName val="Repayment Summary"/>
      <sheetName val="预付款项RMB租金"/>
      <sheetName val="未完工合同成本设备"/>
      <sheetName val="H053"/>
      <sheetName val="W"/>
      <sheetName val="Equip.-FTY"/>
      <sheetName val="LJSZ BS"/>
      <sheetName val="W3"/>
      <sheetName val="短期投资股票投资.dbf"/>
      <sheetName val="短期投资国债投资.dbf"/>
      <sheetName val="股票投资收益.dbf"/>
      <sheetName val="其他货币海通.dbf"/>
      <sheetName val="其他货币零领路.dbf"/>
      <sheetName val="投资收益债券.dbf"/>
      <sheetName val="出库截至测试"/>
      <sheetName val="入库截至测试"/>
      <sheetName val="物料收发汇总表"/>
      <sheetName val="标准零件库"/>
      <sheetName val="中山低值"/>
      <sheetName val="工时统计"/>
      <sheetName val="BS"/>
      <sheetName val="明细分类账"/>
      <sheetName val="VE20"/>
      <sheetName val="GB"/>
      <sheetName val="NE"/>
      <sheetName val="初选车间基础资料"/>
      <sheetName val="HQ-AP,Prep.NP"/>
      <sheetName val="资产类"/>
      <sheetName val="负债类"/>
      <sheetName val="损益类"/>
      <sheetName val="A3_conso"/>
      <sheetName val="BALANCE SHEET"/>
      <sheetName val="管理费用明细"/>
      <sheetName val="清单12.31"/>
      <sheetName val="Sheet1 (11)"/>
      <sheetName val="申报表封面"/>
      <sheetName val="银行借款询证"/>
      <sheetName val="KM"/>
      <sheetName val="制造成本预算表A3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预付帐龄"/>
      <sheetName val="开户参数表"/>
      <sheetName val="退货余额表"/>
      <sheetName val="PRC 13"/>
      <sheetName val="末交增值税"/>
      <sheetName val="PER SALES ORG"/>
      <sheetName val="库存商品余额表.dbf"/>
      <sheetName val="总分类账"/>
      <sheetName val="P&amp;L Report-S"/>
      <sheetName val="P&amp;L Report-M"/>
      <sheetName val="Staff Welfare"/>
      <sheetName val="Summary"/>
      <sheetName val="N220"/>
      <sheetName val="INVDAYS"/>
      <sheetName val="表三甲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A.R 01"/>
      <sheetName val="Part_Datum"/>
      <sheetName val="数外余额"/>
      <sheetName val="Sheet1"/>
      <sheetName val="资产负债表-2017"/>
      <sheetName val="土建表三乙"/>
      <sheetName val="短期借款审定表"/>
      <sheetName val="调整凭证"/>
      <sheetName val="INVDAY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明细分类账"/>
      <sheetName val="18年优酷返点合计"/>
      <sheetName val="调整凭证"/>
      <sheetName val="B"/>
      <sheetName val="关联交易-存款"/>
      <sheetName val="Part_Datum"/>
      <sheetName val="t_Schema"/>
      <sheetName val="资产负债表-201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Page1"/>
      <sheetName val="t_Schema"/>
      <sheetName val="短期借款审定表"/>
      <sheetName val="INVDAYS"/>
      <sheetName val="调整凭证"/>
      <sheetName val="F101"/>
      <sheetName val="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F"/>
      <sheetName val="F10"/>
      <sheetName val="F20"/>
      <sheetName val="F100"/>
      <sheetName val="F110&quot;"/>
      <sheetName val="F110"/>
      <sheetName val="F120&quot;"/>
      <sheetName val="F120"/>
      <sheetName val="F130&quot;"/>
      <sheetName val="F130"/>
      <sheetName val="F140&quot;"/>
      <sheetName val="F140"/>
      <sheetName val="F150&quot;"/>
      <sheetName val="F150"/>
      <sheetName val="F160&quot;"/>
      <sheetName val="F160"/>
      <sheetName val="F170&quot;"/>
      <sheetName val="F170"/>
      <sheetName val="F200"/>
      <sheetName val="F201&quot;"/>
      <sheetName val="F201"/>
      <sheetName val="F202"/>
      <sheetName val="F210"/>
      <sheetName val="F211&quot;"/>
      <sheetName val="F211"/>
      <sheetName val="F212"/>
      <sheetName val="F221&quot;"/>
      <sheetName val="F220"/>
      <sheetName val="F221"/>
      <sheetName val="F222"/>
      <sheetName val="F300"/>
      <sheetName val="F310"/>
      <sheetName val="F400"/>
      <sheetName val="F410"/>
      <sheetName val="F500"/>
      <sheetName val="F600"/>
      <sheetName val="F610&quot;"/>
      <sheetName val="F610"/>
      <sheetName val="F700"/>
      <sheetName val="F710&quot;"/>
      <sheetName val="F710"/>
      <sheetName val="F800"/>
      <sheetName val="F810&quot;"/>
      <sheetName val="F810"/>
      <sheetName val="F820"/>
      <sheetName val="F101"/>
      <sheetName val="F2100-半成品"/>
      <sheetName val="F2000-委托加工物资"/>
      <sheetName val="F1000芯片"/>
      <sheetName val="F1100芯片测试费 "/>
      <sheetName val="A.R 01"/>
      <sheetName val="Part_Datum"/>
      <sheetName val="资产负债表-2017"/>
      <sheetName val="t_Schema"/>
      <sheetName val="其他应付款4-12月份明细表"/>
      <sheetName val="短期借款审定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余额表"/>
      <sheetName val="数外余额"/>
      <sheetName val="其他应付款4-12月份明细表"/>
      <sheetName val="Data"/>
      <sheetName val="master"/>
      <sheetName val="2weeeks All  Excess and Shortag"/>
      <sheetName val="Business Unit"/>
      <sheetName val="10.1.1参数"/>
      <sheetName val="ARP-U301"/>
      <sheetName val="U411"/>
      <sheetName val="U201"/>
      <sheetName val="资产负债表"/>
      <sheetName val="DWMC"/>
      <sheetName val="C_301"/>
      <sheetName val="C_311"/>
      <sheetName val="C_318"/>
      <sheetName val="大楼分录"/>
      <sheetName val="真实性U120C"/>
      <sheetName val="CRITERIA1"/>
      <sheetName val="CRITERIA2"/>
      <sheetName val="XL4Poppy"/>
      <sheetName val="数量对比"/>
      <sheetName val="ycl"/>
      <sheetName val="kcsp"/>
      <sheetName val="4-货币资金-现金"/>
      <sheetName val="A4-2"/>
      <sheetName val=""/>
      <sheetName val="（27）实收资本"/>
      <sheetName val="2002年管理费用"/>
      <sheetName val="_x005f_x0000__x005f_x0000__x005f_x0000__x005f_x0000__x0"/>
      <sheetName val="2004年总务部库存变动情况表"/>
      <sheetName val="L1-1"/>
      <sheetName val="Distrib cost"/>
      <sheetName val="KKKKKKKK"/>
      <sheetName val="BS"/>
      <sheetName val="资债比较原"/>
      <sheetName val="1461（12.6）"/>
      <sheetName val="货币资金主表"/>
      <sheetName val="符号标识"/>
      <sheetName val="主营业务成本明细表"/>
      <sheetName val="银行存款明细G2001"/>
      <sheetName val="在产品2001"/>
      <sheetName val="07-所得税"/>
      <sheetName val="06-所得税"/>
      <sheetName val="05-所得税"/>
      <sheetName val="基本情况表"/>
      <sheetName val="索引"/>
      <sheetName val="流资汇总"/>
      <sheetName val="数量金额总账"/>
      <sheetName val="FA-06-不看"/>
      <sheetName val="FA-05-不看"/>
      <sheetName val="物业调整"/>
      <sheetName val="利润表"/>
      <sheetName val="2009 调整分录"/>
      <sheetName val="YS02-02"/>
      <sheetName val="DA-1"/>
      <sheetName val="固定资产2001年折旧"/>
      <sheetName val="所得税凭证抽查"/>
      <sheetName val="调整凭证"/>
      <sheetName val="B"/>
      <sheetName val="F101"/>
      <sheetName val="Part_Datu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资料"/>
      <sheetName val="重要事项"/>
      <sheetName val="应付股利"/>
      <sheetName val="短期借款"/>
      <sheetName val="短期借款审定表"/>
      <sheetName val="财务费用"/>
      <sheetName val="长期借款审定表"/>
      <sheetName val="长期投资(母审定)"/>
      <sheetName val="长期投资（母公司）"/>
      <sheetName val="盈余公积"/>
      <sheetName val="盈余公积审定表"/>
      <sheetName val="退货收入"/>
      <sheetName val="凭证库"/>
      <sheetName val="代码"/>
      <sheetName val="余额表"/>
      <sheetName val="数外余额"/>
      <sheetName val="Invested Capital"/>
      <sheetName val="BALANCE SHEET"/>
      <sheetName val="Source"/>
      <sheetName val="资产负债表"/>
      <sheetName val="B"/>
      <sheetName val="FF-3"/>
      <sheetName val="Control"/>
      <sheetName val="Vlookup table"/>
      <sheetName val="discount bank detail"/>
      <sheetName val="其他应付款4-12月份明细表"/>
      <sheetName val="INDEX"/>
      <sheetName val="Tables"/>
      <sheetName val="master"/>
      <sheetName val="选择报表"/>
      <sheetName val="工时统计"/>
      <sheetName val="Export31.03.05"/>
      <sheetName val="FY02"/>
      <sheetName val="Sheet1"/>
      <sheetName val="B2-2001"/>
      <sheetName val="4-货币资金-现金"/>
      <sheetName val="投资收益"/>
      <sheetName val="剥离前"/>
      <sheetName val="BS"/>
      <sheetName val="引用数据"/>
      <sheetName val="C_301"/>
      <sheetName val="C_311"/>
      <sheetName val="C_318"/>
      <sheetName val="original"/>
      <sheetName val="XL4Poppy"/>
      <sheetName val="A4-2"/>
      <sheetName val="Detail BS 1.98"/>
      <sheetName val="P&amp;L"/>
      <sheetName val=""/>
      <sheetName val="销售数量50台以上两年对比情况"/>
      <sheetName val="银行存款明细G2001"/>
      <sheetName val="Distrib cost"/>
      <sheetName val="FA lead"/>
      <sheetName val="_x005f_x0000__x005f_x0000__x005f_x0000__x005f_x0000__x0"/>
      <sheetName val="凤县折旧测算"/>
      <sheetName val="待转内赊销收入"/>
      <sheetName val="改装车系列"/>
      <sheetName val="收入对应付"/>
      <sheetName val="收入对应付2004"/>
      <sheetName val="分项收入明细账12"/>
      <sheetName val="分项成本明细账"/>
      <sheetName val="主营收入明细12"/>
      <sheetName val="中山低值"/>
      <sheetName val="Adm."/>
      <sheetName val="销售毛利润汇总表"/>
      <sheetName val="Erection"/>
      <sheetName val="FA-06-不看"/>
      <sheetName val="FA-05-不看"/>
      <sheetName val="1"/>
      <sheetName val="RSPEC graphs"/>
      <sheetName val="CFD EST"/>
      <sheetName val="Pg Cases RSPEC"/>
      <sheetName val="Sum Table"/>
      <sheetName val="SCORE"/>
      <sheetName val="内部往来"/>
      <sheetName val="备忘录"/>
      <sheetName val="AR-BS"/>
      <sheetName val="#REF"/>
      <sheetName val="ARP"/>
      <sheetName val="A4d"/>
      <sheetName val="2004核对表"/>
      <sheetName val="KKKKKKKK"/>
      <sheetName val="固定资产清单"/>
      <sheetName val="07-所得税"/>
      <sheetName val="06-所得税"/>
      <sheetName val="05-所得税"/>
      <sheetName val="O adj"/>
      <sheetName val="CRITERIA1"/>
      <sheetName val="CRITERIA2"/>
      <sheetName val="5-2-1机器设备"/>
      <sheetName val="5-2-3电子设备等"/>
      <sheetName val="现金流量表2"/>
      <sheetName val="资债比较原"/>
      <sheetName val="#REF!"/>
      <sheetName val="索引"/>
      <sheetName val="Income Statement"/>
      <sheetName val="XREF"/>
      <sheetName val="J1-4002"/>
      <sheetName val="0506合并附注"/>
      <sheetName val="基本情况表"/>
      <sheetName val="货币资金主表"/>
      <sheetName val="2010 AJE"/>
      <sheetName val="企业表一"/>
      <sheetName val="M-5A"/>
      <sheetName val="M-5C"/>
      <sheetName val="Co. Inf."/>
      <sheetName val="t_Schema"/>
      <sheetName val="A.R 01"/>
      <sheetName val="调整凭证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C"/>
      <sheetName val="C100"/>
      <sheetName val="C -02"/>
      <sheetName val="C100-02"/>
      <sheetName val="G"/>
      <sheetName val="G200"/>
      <sheetName val="M"/>
      <sheetName val="M100"/>
      <sheetName val="N"/>
      <sheetName val="N 10"/>
      <sheetName val="N100"/>
      <sheetName val="N300"/>
      <sheetName val="N400"/>
      <sheetName val="N500"/>
      <sheetName val="I"/>
      <sheetName val="I -02"/>
      <sheetName val="J"/>
      <sheetName val="J100"/>
      <sheetName val="J110"/>
      <sheetName val="J111"/>
      <sheetName val="J112"/>
      <sheetName val="J113"/>
      <sheetName val="J114"/>
      <sheetName val="J115"/>
      <sheetName val="J116"/>
      <sheetName val="J117"/>
      <sheetName val="J118"/>
      <sheetName val="J119"/>
      <sheetName val="J120"/>
      <sheetName val="J121"/>
      <sheetName val="J122"/>
      <sheetName val="J200"/>
      <sheetName val="J210"/>
      <sheetName val="J220"/>
      <sheetName val="J230"/>
      <sheetName val="J240"/>
      <sheetName val="J300"/>
      <sheetName val="S"/>
      <sheetName val="S100"/>
      <sheetName val="S200 "/>
      <sheetName val="K"/>
      <sheetName val="K100"/>
      <sheetName val="K110"/>
      <sheetName val="K130"/>
      <sheetName val="K120"/>
      <sheetName val="K140"/>
      <sheetName val="K200"/>
      <sheetName val="K300"/>
      <sheetName val="K400"/>
      <sheetName val="L"/>
      <sheetName val="L100"/>
      <sheetName val="L -02"/>
      <sheetName val="L100 -02"/>
      <sheetName val="U"/>
      <sheetName val="U200"/>
      <sheetName val="U300"/>
      <sheetName val="U400"/>
      <sheetName val="U500"/>
      <sheetName val="U600"/>
      <sheetName val="U700"/>
      <sheetName val="A.R 01"/>
      <sheetName val="Source"/>
      <sheetName val="F130&quot;"/>
      <sheetName val="master"/>
      <sheetName val="选择报表"/>
      <sheetName val="部门折旧"/>
      <sheetName val="F101"/>
      <sheetName val="Part_Datum"/>
      <sheetName val="数外余额"/>
      <sheetName val="企业表一"/>
      <sheetName val="M-5C"/>
      <sheetName val="M-5A"/>
      <sheetName val="t_Schem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P320-welfare notup"/>
      <sheetName val="P420-welfare notup"/>
      <sheetName val="O230_DT_00"/>
      <sheetName val="XO240_DT_01"/>
      <sheetName val="XO250_DT_02"/>
      <sheetName val="XO260_DT_03"/>
      <sheetName val="XO270_DT_nts"/>
      <sheetName val="Financial Exp明细分类账"/>
      <sheetName val="Ã«ÀûÂÊ·ÖÎö±í"/>
      <sheetName val="PNL"/>
      <sheetName val="M-5C"/>
      <sheetName val="企业表一"/>
      <sheetName val="M-5A"/>
      <sheetName val="资产负债表"/>
      <sheetName val="source"/>
      <sheetName val="其他应付款4-12月份明细表"/>
      <sheetName val="调整凭证"/>
      <sheetName val="A.R 01"/>
      <sheetName val="F1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目录"/>
      <sheetName val="参数表"/>
      <sheetName val="未审资产负债表 "/>
      <sheetName val="未审利润表 "/>
      <sheetName val="资产负债表汇总（合并报表格式）"/>
      <sheetName val="资产负债表汇总（个别报表格式）"/>
      <sheetName val="利润表汇总（合并报表格式）"/>
      <sheetName val="利润表汇总（个别报表格式）"/>
      <sheetName val="未分配利润汇总"/>
      <sheetName val="投资抵销分录原始数据"/>
      <sheetName val="本年抵消分录汇总"/>
      <sheetName val="上年抵消分录汇总"/>
      <sheetName val="合并、母公司资产负债表"/>
      <sheetName val="合并资产负债表 "/>
      <sheetName val="合并、母公司利润表"/>
      <sheetName val="合并利润表 "/>
      <sheetName val="合并、母公司现金流量表 "/>
      <sheetName val="合并现金流量表"/>
      <sheetName val="合并所有者权益变动表 (分年打印)"/>
      <sheetName val="合并所有者权益变动表"/>
      <sheetName val="资产负债表合并底稿"/>
      <sheetName val="期初资产负债表试算平衡表"/>
      <sheetName val="本年利润表合并底稿"/>
      <sheetName val="期初利润表试算平衡"/>
      <sheetName val="合并现金流量表合并底稿"/>
      <sheetName val="现金流量表（个别报表）"/>
      <sheetName val="未分配利润合并底稿"/>
      <sheetName val="Sheet2"/>
      <sheetName val="数外余额"/>
      <sheetName val="t_Schema"/>
      <sheetName val="企业表一"/>
      <sheetName val="M-5C"/>
      <sheetName val="M-5A"/>
      <sheetName val="其他应付款4-12月份明细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核算项目明细账"/>
      <sheetName val="A.R 01"/>
      <sheetName val="F101"/>
      <sheetName val="数外余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00.3.31 (2)"/>
      <sheetName val="应收帐款(贸易部预混料合并)2004.1中牧 "/>
      <sheetName val="应付帐款底稿2004.1月排序 "/>
      <sheetName val="其他应付款2004年1月"/>
      <sheetName val="应收分类2004.1"/>
      <sheetName val="内部采购 2004.1 "/>
      <sheetName val="应收款内部往来2004.1 "/>
      <sheetName val="预提费用 2004.1 "/>
      <sheetName val="长期待摊费用2004.1 "/>
      <sheetName val="预付帐款2004.1 "/>
      <sheetName val="预收帐款2004.1   "/>
      <sheetName val="其他应收款2004年1月"/>
      <sheetName val="固定资产 2004年1月 "/>
      <sheetName val="财务费(汇总)2004年1月 "/>
      <sheetName val="管理费(汇总)2004年1月"/>
      <sheetName val="营业费(汇总）2004年1月 "/>
      <sheetName val="应交税金 (2003.12月)  (新)"/>
      <sheetName val="现金流量表(2003.12月) (新)"/>
      <sheetName val="应收帐款(贸易部预混料合并)2003.12底稿"/>
      <sheetName val="财务快报 (12月) "/>
      <sheetName val="经济指标月报 (12月) "/>
      <sheetName val="资产负债表(2003.12月x "/>
      <sheetName val="损益表 (2003.12月)x "/>
      <sheetName val="现金流量表2003.12"/>
      <sheetName val="现金流量表(2003.12月)"/>
      <sheetName val="应交税金 (2003.12月) "/>
      <sheetName val="营业费(汇总）2003年12月 "/>
      <sheetName val="管理费(汇总)2003年12月 "/>
      <sheetName val="产品销售明细表( 二部12月)x"/>
      <sheetName val="产品销售明细表( 二部12月)(22)"/>
      <sheetName val="产品销售明细表（三部12月）(22)"/>
      <sheetName val="利润比较 (12月三部)  (22)"/>
      <sheetName val="库存商品（12月二部）   (22)"/>
      <sheetName val="库存商品（12月三部）  (22)"/>
      <sheetName val="利润比较表（12月二部）  (22)"/>
      <sheetName val="固定资产 2003年12月 "/>
      <sheetName val="财务费(汇总)2003年12月 "/>
      <sheetName val="其他应收款2003年12月"/>
      <sheetName val="预收帐款2003.12  "/>
      <sheetName val="预付帐款2003.12 "/>
      <sheetName val="长期待摊费用2003.12 "/>
      <sheetName val="预提费用 2002.12 "/>
      <sheetName val="应收款内部往来2003.12 "/>
      <sheetName val="内部采购 2003.12"/>
      <sheetName val="应收分类2003.12"/>
      <sheetName val="其他应付款2003年12月 "/>
      <sheetName val="应付帐款底稿12月排序 "/>
      <sheetName val="应收帐款(贸易部预混料合并)2003.12中牧"/>
      <sheetName val="营业费(贸易部）2003.12 "/>
      <sheetName val="营业费(预混料）2003.12"/>
      <sheetName val="营业费2003年12月 储运部 "/>
      <sheetName val="管理费2003年12月  行政部"/>
      <sheetName val="管理费2003年12月 贸易部"/>
      <sheetName val="管理费2003年12月 预混料部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ࠄ"/>
      <sheetName val="资产负债表"/>
      <sheetName val="11-1"/>
      <sheetName val="#REF!"/>
      <sheetName val="设备部房屋"/>
      <sheetName val="4-货币资金-现金"/>
      <sheetName val="Financial Exp明细分类账"/>
      <sheetName val="E1020"/>
      <sheetName val="标准零件库"/>
      <sheetName val="A430"/>
      <sheetName val="企业表一"/>
      <sheetName val="M-5C"/>
      <sheetName val="M-5A"/>
      <sheetName val="其他应付款4-12月份明细表"/>
      <sheetName val="核算项目明细账"/>
      <sheetName val="A.R 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REXM-L"/>
      <sheetName val="RGSZ-U"/>
      <sheetName val="REXM-P (2)"/>
      <sheetName val="REXM-T"/>
      <sheetName val="TSNJ-E"/>
      <sheetName val="RGXM-J"/>
      <sheetName val="REXM-C"/>
      <sheetName val="TSNJ-C"/>
      <sheetName val="TSSZ-C"/>
      <sheetName val="RGSZ-F"/>
      <sheetName val="RESZ-C"/>
      <sheetName val="REXM-P"/>
      <sheetName val="TSNJ-K"/>
      <sheetName val="TSNJ-G"/>
      <sheetName val="REXM-K"/>
      <sheetName val="TSNJ-L"/>
      <sheetName val="RESZ-L"/>
      <sheetName val="Given"/>
      <sheetName val="Sheet1"/>
      <sheetName val="设备部房屋"/>
      <sheetName val="RESZ-S"/>
      <sheetName val="RESZ-P"/>
      <sheetName val="rgsz-g"/>
      <sheetName val="RGSZ-U (2)"/>
      <sheetName val="resz-n"/>
      <sheetName val="N1040 (2)"/>
      <sheetName val="RGSZ-K"/>
      <sheetName val="E400_F (2)"/>
      <sheetName val="RGSZ-C"/>
      <sheetName val="TSSZ-u"/>
      <sheetName val="tssz-s"/>
      <sheetName val="TSSZ-P"/>
      <sheetName val="N-TSSZ"/>
      <sheetName val="N1040"/>
      <sheetName val="c-tssz"/>
      <sheetName val="U-TSNJ"/>
      <sheetName val="E100_F SS"/>
      <sheetName val="RGSZ-E"/>
      <sheetName val="OS (2)"/>
      <sheetName val="E400_F"/>
      <sheetName val="E100_Fss"/>
      <sheetName val="TSNJ-k (2)"/>
      <sheetName val="REXM-Lf"/>
      <sheetName val="RGXM-K"/>
      <sheetName val="OS"/>
      <sheetName val="TSNJ-U-Update"/>
      <sheetName val="sss"/>
      <sheetName val="TSNJ-P"/>
      <sheetName val="U-TSSZ"/>
      <sheetName val="Q-RESZ-P"/>
      <sheetName val="Q-TSSZ-P"/>
      <sheetName val="TSMT-K"/>
      <sheetName val="TSSZ-E"/>
      <sheetName val="TSSZ-F"/>
      <sheetName val="resz-f"/>
      <sheetName val="RESZ-T"/>
      <sheetName val="rgsz-o"/>
      <sheetName val="ARP-U501"/>
      <sheetName val="企业表一"/>
      <sheetName val="M-5C"/>
      <sheetName val="M-5A"/>
      <sheetName val="K140"/>
      <sheetName val="Source"/>
      <sheetName val="数外余额"/>
      <sheetName val="资产负债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设备部房屋"/>
      <sheetName val="设备部构筑物"/>
      <sheetName val="M-5C"/>
      <sheetName val="企业表一"/>
      <sheetName val="M-5A"/>
      <sheetName val="Financial Exp明细分类账"/>
      <sheetName val="B"/>
      <sheetName val="资产负债表"/>
      <sheetName val="Source"/>
      <sheetName val="G102"/>
      <sheetName val="F1910"/>
      <sheetName val="核算项目明细账"/>
      <sheetName val="A.R 01"/>
      <sheetName val="K140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rgsz-o"/>
      <sheetName val="resz-f"/>
      <sheetName val="RESZ-S"/>
      <sheetName val="RESZ-P"/>
      <sheetName val="rgsz-g"/>
      <sheetName val="RGSZ-U (2)"/>
      <sheetName val="resz-n"/>
      <sheetName val="N1040 (2)"/>
      <sheetName val="RGSZ-K"/>
      <sheetName val="E400_F (2)"/>
      <sheetName val="RGSZ-C"/>
      <sheetName val="TSSZ-u"/>
      <sheetName val="tssz-s"/>
      <sheetName val="TSSZ-P"/>
      <sheetName val="N-TSSZ"/>
      <sheetName val="N1040"/>
      <sheetName val="c-tssz"/>
      <sheetName val="U-TSNJ"/>
      <sheetName val="E100_F SS"/>
      <sheetName val="RGSZ-E"/>
      <sheetName val="OS (2)"/>
      <sheetName val="E400_F"/>
      <sheetName val="E100_Fss"/>
      <sheetName val="TSNJ-k (2)"/>
      <sheetName val="REXM-Lf"/>
      <sheetName val="RGXM-K"/>
      <sheetName val="OS"/>
      <sheetName val="TSNJ-U-Update"/>
      <sheetName val="sss"/>
      <sheetName val="TSNJ-P"/>
      <sheetName val="U-TSSZ"/>
      <sheetName val="Q-RESZ-P"/>
      <sheetName val="Q-TSSZ-P"/>
      <sheetName val="TSMT-K"/>
      <sheetName val="TSSZ-E"/>
      <sheetName val="TSSZ-F"/>
      <sheetName val="REXM-L"/>
      <sheetName val="RGSZ-U"/>
      <sheetName val="REXM-P (2)"/>
      <sheetName val="REXM-T"/>
      <sheetName val="TSNJ-E"/>
      <sheetName val="RGXM-J"/>
      <sheetName val="REXM-C"/>
      <sheetName val="TSNJ-C"/>
      <sheetName val="TSSZ-C"/>
      <sheetName val="RGSZ-F"/>
      <sheetName val="RESZ-C"/>
      <sheetName val="REXM-P"/>
      <sheetName val="TSNJ-K"/>
      <sheetName val="TSNJ-G"/>
      <sheetName val="REXM-K"/>
      <sheetName val="TSNJ-L"/>
      <sheetName val="RESZ-L"/>
      <sheetName val="Given"/>
      <sheetName val="RESZ-T"/>
      <sheetName val="K140"/>
      <sheetName val="F101"/>
      <sheetName val="资产负债表"/>
      <sheetName val="设备部房屋"/>
      <sheetName val="M-5C"/>
      <sheetName val="企业表一"/>
      <sheetName val="M-5A"/>
      <sheetName val="核算项目明细账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月度收入费用趋势分析(扣除IPO)"/>
      <sheetName val="权责制经营报表-EAS 2204（审计口径）-分析"/>
      <sheetName val="权责制经营报表-EAS 2208（审计口径）"/>
      <sheetName val="财务报表--EAS（原表）"/>
      <sheetName val="投资公司"/>
      <sheetName val="IPO费用"/>
      <sheetName val="毛利收入同期比较"/>
      <sheetName val="季度收入对比"/>
      <sheetName val="成本费用分布（EAS）"/>
      <sheetName val="2020年代运营收入"/>
      <sheetName val="20年代运营费用"/>
      <sheetName val="2022年BI费用"/>
      <sheetName val="2022年店铺费用 "/>
      <sheetName val="2021年1-12月店铺费用"/>
      <sheetName val="2021年1-8月店铺"/>
      <sheetName val="2022年办公费"/>
      <sheetName val="2021年办公费"/>
      <sheetName val="2022年中介费用"/>
      <sheetName val="2021年中介费用"/>
      <sheetName val="22年市场推广费"/>
      <sheetName val="21年市场推广费"/>
      <sheetName val="Sheet1"/>
      <sheetName val="设备部房屋"/>
      <sheetName val="资产负债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22年抵消（控股） "/>
      <sheetName val="22年关联交易抵消明细（福禄集团）"/>
      <sheetName val="22年分月利润汇总（控股）"/>
      <sheetName val="福禄控股"/>
      <sheetName val="22年分月利润汇总 (香港)"/>
      <sheetName val="福禄（香港）"/>
      <sheetName val="22年分月利润汇总 (科技)"/>
      <sheetName val="福禄（武汉）"/>
      <sheetName val="天津如意"/>
      <sheetName val="海南福禄"/>
      <sheetName val="海南一分"/>
      <sheetName val="海南二分"/>
      <sheetName val="22年分月利润汇总 (福禄)"/>
      <sheetName val="武汉福禄"/>
      <sheetName val="武汉一起游"/>
      <sheetName val="武汉立硕"/>
      <sheetName val="武汉天识"/>
      <sheetName val="武汉搜卡"/>
      <sheetName val="新疆福禄"/>
      <sheetName val="喀什一起玩"/>
      <sheetName val="武汉亿禄"/>
      <sheetName val="新疆葫芦娃"/>
      <sheetName val="西藏葫芦娃"/>
      <sheetName val="武汉福禄私募基金"/>
      <sheetName val="杭州分公司"/>
      <sheetName val="鄂州福禄"/>
      <sheetName val="22年分月利润汇总 (西藏) "/>
      <sheetName val="湖北氪金"/>
      <sheetName val="西藏福禄"/>
      <sheetName val="武汉福禄创新"/>
      <sheetName val="福建福禄"/>
      <sheetName val="资产负债表"/>
      <sheetName val="核算项目明细账"/>
      <sheetName val="设备部房屋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月度收入费用趋势分析(扣除IPO)"/>
      <sheetName val="权责制经营报表-EAS 2204（审计口径）-分析"/>
      <sheetName val="权责制经营报表-EAS 2209（审计口径）"/>
      <sheetName val="财务报表--EAS（原表）"/>
      <sheetName val="投资公司"/>
      <sheetName val="IPO费用"/>
      <sheetName val="毛利收入同期比较"/>
      <sheetName val="季度收入对比"/>
      <sheetName val="成本费用分布（EAS）"/>
      <sheetName val="2020年代运营收入"/>
      <sheetName val="20年代运营费用"/>
      <sheetName val="2022年BI费用"/>
      <sheetName val="2022年店铺费用 "/>
      <sheetName val="2021年1-12月店铺费用"/>
      <sheetName val="2021年1-9月店铺"/>
      <sheetName val="2022年办公费"/>
      <sheetName val="2021年办公费"/>
      <sheetName val="2022年中介费用"/>
      <sheetName val="2021年中介费用"/>
      <sheetName val="22年市场推广费"/>
      <sheetName val="21年市场推广费"/>
      <sheetName val="Sheet1"/>
      <sheetName val="K140"/>
      <sheetName val="资产负债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合并"/>
      <sheetName val="1"/>
      <sheetName val="挽风"/>
      <sheetName val="练练"/>
      <sheetName val="游云"/>
      <sheetName val="映月"/>
      <sheetName val="云时"/>
      <sheetName val="中智"/>
      <sheetName val="灵活用工-企管"/>
      <sheetName val="企业福利"/>
      <sheetName val="小幅"/>
      <sheetName val="揽星"/>
      <sheetName val="特特"/>
      <sheetName val="灵活用工-推广"/>
      <sheetName val="客服"/>
      <sheetName val="康海-资金组"/>
      <sheetName val="灵活用工项目-行政"/>
      <sheetName val="履约消费项目"/>
      <sheetName val="一卡通"/>
      <sheetName val="普麦"/>
      <sheetName val="灵活用工-上海灵盟"/>
      <sheetName val="设备部房屋"/>
      <sheetName val="K14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代运营店铺GMV统计2023年1-12月"/>
      <sheetName val="维缇1-6月"/>
      <sheetName val="创想1-6月"/>
      <sheetName val="维缇7-10月"/>
      <sheetName val="创想7-10"/>
      <sheetName val="Sheet1"/>
      <sheetName val="广州金逸6月代运营收入"/>
      <sheetName val="朝夕光年3-5月汇总"/>
      <sheetName val="西瓜视频代运营"/>
      <sheetName val="GMV+收入成本（改）"/>
      <sheetName val="应收代运营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</sheetDataSet>
  </externalBook>
</externalLink>
</file>

<file path=xl/externalLinks/externalLink29.xml><?xml version="1.0" encoding="utf-8"?>
<externalLink xmlns="http://schemas.openxmlformats.org/spreadsheetml/2006/main">
  <externalBook xmlns:r="http://schemas.openxmlformats.org/officeDocument/2006/relationships" r:id="rId1">
    <sheetNames>
      <sheetName val="范围确认"/>
      <sheetName val="GMV-战略需求"/>
      <sheetName val="毛利-战略需求"/>
      <sheetName val="上市公司经营概况"/>
      <sheetName val="投资公司"/>
      <sheetName val="利润组成"/>
      <sheetName val="GMV销售额波动分析（分月、年）"/>
      <sheetName val="GMV销售平台占比"/>
      <sheetName val="GMV表-品牌"/>
      <sheetName val="GMV表-商品大类"/>
      <sheetName val="毛利-收入组成"/>
      <sheetName val="毛利-留存率"/>
      <sheetName val="毛利-品牌"/>
      <sheetName val="毛利-供应商"/>
      <sheetName val="前十大供应商"/>
      <sheetName val="肯德基残值收入"/>
      <sheetName val="立减金税损"/>
      <sheetName val="腾讯&amp;爱奇艺成本"/>
      <sheetName val="返点中间单据"/>
      <sheetName val="代运营中间单据"/>
      <sheetName val="代运营成本"/>
      <sheetName val="服务合单"/>
      <sheetName val="2020年收入底稿"/>
      <sheetName val="2020年游戏开发"/>
      <sheetName val="20年推广收入整理"/>
      <sheetName val="2021年收入底稿"/>
      <sheetName val="2021年游戏收入"/>
      <sheetName val="2022年收入底稿"/>
      <sheetName val="代运营店铺GMV统计2023年1-12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</sheetDataSet>
  </externalBook>
</externalLink>
</file>

<file path=xl/externalLinks/externalLink30.xml><?xml version="1.0" encoding="utf-8"?>
<externalLink xmlns="http://schemas.openxmlformats.org/spreadsheetml/2006/main">
  <externalBook xmlns:r="http://schemas.openxmlformats.org/officeDocument/2006/relationships" r:id="rId1">
    <sheetNames>
      <sheetName val="取值范围"/>
      <sheetName val="供应商毛利2501"/>
      <sheetName val="供应商毛利2502"/>
      <sheetName val="供应商毛利2503"/>
      <sheetName val="供应商毛利2504"/>
      <sheetName val="供应商毛利2505"/>
      <sheetName val="供应商毛利25年1-5月"/>
      <sheetName val="供应商毛利24年1-12月"/>
      <sheetName val="供应商毛利23.1-12月合计"/>
      <sheetName val="品牌分类底稿"/>
      <sheetName val="留存率汇总"/>
      <sheetName val="盈利能力汇总"/>
      <sheetName val="合并毛利波动"/>
      <sheetName val="通信推广毛利"/>
      <sheetName val="库存档案错误"/>
    </sheetNames>
    <sheetDataSet>
      <sheetData sheetId="0"/>
      <sheetData sheetId="1"/>
      <sheetData sheetId="2"/>
      <sheetData sheetId="3"/>
      <sheetData sheetId="4"/>
      <sheetData sheetId="5">
        <row r="1">
          <cell r="R1" t="str">
            <v>品牌分类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31.xml><?xml version="1.0" encoding="utf-8"?>
<externalLink xmlns="http://schemas.openxmlformats.org/spreadsheetml/2006/main">
  <externalBook xmlns:r="http://schemas.openxmlformats.org/officeDocument/2006/relationships" r:id="rId1">
    <sheetNames>
      <sheetName val="取值范围"/>
      <sheetName val="供应商毛利2501"/>
      <sheetName val="供应商毛利2502"/>
      <sheetName val="供应商毛利2503"/>
      <sheetName val="供应商毛利2504"/>
      <sheetName val="供应商毛利2505"/>
      <sheetName val="供应商毛利2506"/>
      <sheetName val="供应商毛利2507"/>
      <sheetName val="供应商毛利25年1-7月"/>
      <sheetName val="2024调整"/>
      <sheetName val="调整24年"/>
      <sheetName val="供应商毛利24年1-12月"/>
      <sheetName val="2023调整"/>
      <sheetName val="供应商毛利23.1-12月合计"/>
      <sheetName val="品牌分类底稿"/>
      <sheetName val="留存率汇总"/>
      <sheetName val="盈利能力汇总"/>
      <sheetName val="合并毛利波动"/>
      <sheetName val="品牌毛利波动"/>
      <sheetName val="武汉立硕-上海宽娱"/>
      <sheetName val="上海宽娱-返佣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30">
          <cell r="K30">
            <v>-4236035.96394205</v>
          </cell>
        </row>
        <row r="564">
          <cell r="K564">
            <v>-14841863.2712</v>
          </cell>
        </row>
      </sheetData>
      <sheetData sheetId="18"/>
      <sheetData sheetId="19"/>
      <sheetData sheetId="20"/>
    </sheetDataSet>
  </externalBook>
</externalLink>
</file>

<file path=xl/externalLinks/externalLink32.xml><?xml version="1.0" encoding="utf-8"?>
<externalLink xmlns="http://schemas.openxmlformats.org/spreadsheetml/2006/main">
  <externalBook xmlns:r="http://schemas.openxmlformats.org/officeDocument/2006/relationships" r:id="rId1">
    <sheetNames>
      <sheetName val="代运营店铺GMV统计2025年1-12月"/>
    </sheetNames>
    <sheetDataSet>
      <sheetData sheetId="0">
        <row r="15">
          <cell r="AY15">
            <v>271941.58926457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>
  <externalBook xmlns:r="http://schemas.openxmlformats.org/officeDocument/2006/relationships" r:id="rId1">
    <sheetNames>
      <sheetName val="2501成本费用（EAS）"/>
      <sheetName val="2502成本费用（EAS）"/>
      <sheetName val="2503成本费用（EAS）"/>
      <sheetName val="2504成本费用（EAS）"/>
      <sheetName val="2505成本费用（EAS）"/>
      <sheetName val="2506成本费用（EAS）"/>
      <sheetName val="2507成本费用（EAS）"/>
      <sheetName val="2508成本费用（EAS）"/>
      <sheetName val="2509成本费用（EAS）"/>
      <sheetName val="2510成本费用（EAS）"/>
      <sheetName val="2511成本费用（EAS）"/>
      <sheetName val="2412成本费用（EAS）"/>
      <sheetName val="2312成本费用（EAS） (汇算清缴)"/>
      <sheetName val="2512成本费用（EAS）"/>
      <sheetName val="损益表简表2505"/>
      <sheetName val="损益表简表2506"/>
      <sheetName val="损益表简表2508"/>
      <sheetName val="损益表简表2509"/>
      <sheetName val="企业福利2506"/>
      <sheetName val="企业福利2509"/>
      <sheetName val="损益S02（业务中心）251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7">
          <cell r="BU27">
            <v>28815803.46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comments" Target="../comments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comments" Target="../comments7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comments" Target="../comments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O45"/>
  <sheetViews>
    <sheetView topLeftCell="A37" workbookViewId="0">
      <selection activeCell="I61" sqref="I61"/>
    </sheetView>
  </sheetViews>
  <sheetFormatPr defaultColWidth="8.89166666666667" defaultRowHeight="13.5"/>
  <sheetData>
    <row r="1" spans="1:15">
      <c r="A1" t="s">
        <v>0</v>
      </c>
    </row>
    <row r="2" spans="1:15">
      <c r="A2" t="s">
        <v>1</v>
      </c>
      <c r="B2" t="s">
        <v>2</v>
      </c>
    </row>
    <row r="3" spans="1:15">
      <c r="B3" t="s">
        <v>3</v>
      </c>
    </row>
    <row r="5" spans="1:15">
      <c r="A5" t="s">
        <v>4</v>
      </c>
      <c r="J5" t="s">
        <v>5</v>
      </c>
      <c r="K5" t="s">
        <v>6</v>
      </c>
      <c r="L5" t="s">
        <v>7</v>
      </c>
      <c r="M5" t="s">
        <v>8</v>
      </c>
      <c r="N5" t="s">
        <v>8</v>
      </c>
      <c r="O5" t="s">
        <v>9</v>
      </c>
    </row>
    <row r="6" spans="1:15">
      <c r="J6" s="606">
        <v>43831</v>
      </c>
    </row>
    <row r="7" spans="1:15">
      <c r="J7" s="606">
        <v>43862</v>
      </c>
    </row>
    <row r="8" spans="1:15">
      <c r="J8" s="606">
        <v>43891</v>
      </c>
    </row>
    <row r="9" spans="1:15">
      <c r="J9" s="606">
        <v>43922</v>
      </c>
    </row>
    <row r="10" spans="1:15">
      <c r="J10" s="606">
        <v>43952</v>
      </c>
    </row>
    <row r="11" spans="1:15">
      <c r="J11" s="606">
        <v>43983</v>
      </c>
    </row>
    <row r="12" spans="1:15">
      <c r="J12" s="606">
        <v>44013</v>
      </c>
    </row>
    <row r="13" spans="1:15">
      <c r="J13" s="606">
        <v>44044</v>
      </c>
    </row>
    <row r="14" spans="1:15">
      <c r="J14" s="606">
        <v>44075</v>
      </c>
    </row>
    <row r="15" spans="1:15">
      <c r="J15" s="606">
        <v>44105</v>
      </c>
    </row>
    <row r="16" spans="1:15">
      <c r="J16" s="606">
        <v>44136</v>
      </c>
    </row>
    <row r="17" spans="1:10">
      <c r="J17" s="606">
        <v>44166</v>
      </c>
    </row>
    <row r="18" spans="1:10">
      <c r="J18" s="606">
        <v>44197</v>
      </c>
    </row>
    <row r="19" spans="1:10">
      <c r="J19" s="606">
        <v>44228</v>
      </c>
    </row>
    <row r="20" spans="1:10">
      <c r="J20" s="606">
        <v>44256</v>
      </c>
    </row>
    <row r="21" spans="1:10">
      <c r="J21" s="606">
        <v>44287</v>
      </c>
    </row>
    <row r="22" spans="1:10">
      <c r="J22" s="606">
        <v>44317</v>
      </c>
    </row>
    <row r="23" spans="1:10">
      <c r="J23" s="606">
        <v>44348</v>
      </c>
    </row>
    <row r="24" spans="1:10">
      <c r="A24" t="s">
        <v>10</v>
      </c>
      <c r="J24" s="606">
        <v>44378</v>
      </c>
    </row>
    <row r="25" spans="1:10">
      <c r="J25" s="606">
        <v>44409</v>
      </c>
    </row>
    <row r="26" spans="1:10">
      <c r="J26" s="606">
        <v>44440</v>
      </c>
    </row>
    <row r="27" spans="1:10">
      <c r="J27" s="606">
        <v>44470</v>
      </c>
    </row>
    <row r="28" spans="1:10">
      <c r="J28" s="606">
        <v>44501</v>
      </c>
    </row>
    <row r="29" spans="1:10">
      <c r="J29" s="606">
        <v>44531</v>
      </c>
    </row>
    <row r="30" spans="1:10">
      <c r="J30" s="606">
        <v>44562</v>
      </c>
    </row>
    <row r="31" spans="1:10">
      <c r="J31" s="606">
        <v>44593</v>
      </c>
    </row>
    <row r="32" spans="1:10">
      <c r="J32" s="606">
        <v>44621</v>
      </c>
    </row>
    <row r="33" spans="1:10">
      <c r="J33" s="606">
        <v>44652</v>
      </c>
    </row>
    <row r="34" spans="1:10">
      <c r="J34" s="606">
        <v>44682</v>
      </c>
    </row>
    <row r="35" spans="1:10">
      <c r="J35" s="606">
        <v>44713</v>
      </c>
    </row>
    <row r="36" spans="1:10">
      <c r="J36" s="606">
        <v>44743</v>
      </c>
    </row>
    <row r="37" spans="1:10">
      <c r="J37" s="606">
        <v>44774</v>
      </c>
    </row>
    <row r="38" spans="1:10">
      <c r="J38" s="606">
        <v>44805</v>
      </c>
    </row>
    <row r="39" spans="1:10">
      <c r="J39" s="606">
        <v>44835</v>
      </c>
    </row>
    <row r="40" spans="1:10">
      <c r="J40" s="606">
        <v>44866</v>
      </c>
    </row>
    <row r="43" spans="1:10">
      <c r="A43" t="s">
        <v>11</v>
      </c>
    </row>
    <row r="44" spans="1:10">
      <c r="A44" t="s">
        <v>12</v>
      </c>
      <c r="B44" t="s">
        <v>13</v>
      </c>
    </row>
    <row r="45" spans="1:10">
      <c r="A45" t="s">
        <v>14</v>
      </c>
      <c r="B45" t="s">
        <v>15</v>
      </c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D30"/>
  <sheetViews>
    <sheetView workbookViewId="0">
      <selection activeCell="D22" sqref="D22"/>
    </sheetView>
  </sheetViews>
  <sheetFormatPr defaultColWidth="8.89166666666667" defaultRowHeight="13.5" outlineLevelCol="3"/>
  <cols>
    <col min="1" max="1" width="13" customWidth="1"/>
    <col min="2" max="2" width="11.3333333333333" customWidth="1"/>
    <col min="3" max="3" width="25.6666666666667" customWidth="1"/>
    <col min="4" max="4" width="29.8916666666667" customWidth="1"/>
  </cols>
  <sheetData>
    <row r="1" spans="1:4">
      <c r="A1" t="s">
        <v>16</v>
      </c>
      <c r="B1" t="s">
        <v>17</v>
      </c>
      <c r="C1" t="s">
        <v>18</v>
      </c>
      <c r="D1" t="s">
        <v>19</v>
      </c>
    </row>
    <row r="2" spans="1:4">
      <c r="B2" t="s">
        <v>20</v>
      </c>
      <c r="C2" t="s">
        <v>21</v>
      </c>
      <c r="D2" t="s">
        <v>22</v>
      </c>
    </row>
    <row r="3" spans="1:4">
      <c r="B3" t="s">
        <v>23</v>
      </c>
      <c r="D3" t="s">
        <v>22</v>
      </c>
    </row>
    <row r="8" spans="1:4">
      <c r="A8" t="s">
        <v>24</v>
      </c>
      <c r="B8" t="s">
        <v>25</v>
      </c>
    </row>
    <row r="18" spans="1:1">
      <c r="A18" t="s">
        <v>26</v>
      </c>
    </row>
    <row r="25" spans="1:1">
      <c r="A25" t="s">
        <v>27</v>
      </c>
    </row>
    <row r="26" spans="1:1">
      <c r="A26" t="s">
        <v>14</v>
      </c>
    </row>
    <row r="27" spans="1:1">
      <c r="A27" t="s">
        <v>8</v>
      </c>
    </row>
    <row r="30" spans="1:1">
      <c r="A30" t="s">
        <v>28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AW120"/>
  <sheetViews>
    <sheetView workbookViewId="0">
      <pane ySplit="2" topLeftCell="A71" activePane="bottomLeft" state="frozen"/>
      <selection/>
      <selection pane="bottomLeft" activeCell="M94" sqref="M94"/>
    </sheetView>
  </sheetViews>
  <sheetFormatPr defaultColWidth="9" defaultRowHeight="13.5"/>
  <cols>
    <col min="1" max="1" width="11.6333333333333" style="500" customWidth="1"/>
    <col min="2" max="2" width="11.375" style="106" customWidth="1"/>
    <col min="3" max="3" width="9.88333333333333" style="106" customWidth="1"/>
    <col min="4" max="4" width="10.875" style="106" customWidth="1"/>
    <col min="5" max="5" width="9.125" style="282" customWidth="1"/>
    <col min="6" max="6" width="8.5" style="500" customWidth="1"/>
    <col min="7" max="7" width="10.375" style="106" customWidth="1"/>
    <col min="8" max="8" width="13.5" style="57" customWidth="1"/>
    <col min="9" max="9" width="9" style="106" customWidth="1"/>
    <col min="10" max="11" width="8.5" style="106" customWidth="1"/>
    <col min="12" max="12" width="10" style="106" customWidth="1"/>
    <col min="13" max="13" width="12" style="106" customWidth="1"/>
    <col min="14" max="14" width="9.63333333333333" style="106" customWidth="1"/>
    <col min="15" max="15" width="6.75833333333333" customWidth="1"/>
    <col min="16" max="16" width="9" style="500" customWidth="1"/>
    <col min="17" max="18" width="9" style="106" customWidth="1"/>
    <col min="19" max="19" width="7.75833333333333" style="106" customWidth="1"/>
    <col min="20" max="22" width="6.875" style="106" customWidth="1"/>
    <col min="23" max="23" width="9.625" style="106" customWidth="1"/>
    <col min="24" max="28" width="9" style="106" customWidth="1"/>
    <col min="29" max="29" width="9" customWidth="1"/>
    <col min="30" max="31" width="8.75833333333333" style="54" customWidth="1"/>
    <col min="32" max="32" width="8.75833333333333" style="501" customWidth="1"/>
    <col min="33" max="34" width="9" customWidth="1"/>
    <col min="35" max="35" width="9.25833333333333" style="502" customWidth="1"/>
    <col min="36" max="36" width="8" customWidth="1"/>
    <col min="37" max="37" width="7.5" style="502" customWidth="1"/>
    <col min="38" max="38" width="8" customWidth="1"/>
    <col min="39" max="39" width="9.63333333333333" style="54"/>
    <col min="40" max="40" width="14" style="57" customWidth="1"/>
    <col min="41" max="41" width="13.2583333333333" style="57" customWidth="1"/>
    <col min="42" max="42" width="11.7583333333333" style="57" customWidth="1"/>
    <col min="43" max="43" width="12.6333333333333"/>
    <col min="44" max="44" width="12.6333333333333" style="11"/>
    <col min="45" max="45" width="16.125" style="11" customWidth="1"/>
    <col min="46" max="46" width="13.7583333333333" style="11"/>
    <col min="47" max="49" width="9" style="11"/>
  </cols>
  <sheetData>
    <row r="1" s="11" customFormat="1" ht="21" customHeight="1" spans="1:49">
      <c r="A1" s="503" t="s">
        <v>29</v>
      </c>
      <c r="B1" s="504"/>
      <c r="C1" s="504"/>
      <c r="D1" s="504"/>
      <c r="E1" s="282"/>
      <c r="F1" s="503" t="s">
        <v>30</v>
      </c>
      <c r="G1" s="504"/>
      <c r="H1" s="57"/>
      <c r="I1" s="504"/>
      <c r="J1" s="504"/>
      <c r="K1" s="504"/>
      <c r="L1" s="504"/>
      <c r="M1" s="504"/>
      <c r="N1" s="504"/>
      <c r="P1" s="503" t="s">
        <v>31</v>
      </c>
      <c r="Q1" s="504"/>
      <c r="R1" s="504"/>
      <c r="S1" s="504"/>
      <c r="T1" s="504"/>
      <c r="U1" s="504"/>
      <c r="V1" s="504"/>
      <c r="W1" s="504"/>
      <c r="X1" s="504"/>
      <c r="Y1" s="504"/>
      <c r="Z1" s="504"/>
      <c r="AA1" s="504"/>
      <c r="AB1" s="504"/>
      <c r="AC1" s="11" t="s">
        <v>32</v>
      </c>
      <c r="AD1" s="54"/>
      <c r="AE1" s="54"/>
      <c r="AF1" s="65"/>
      <c r="AH1" s="11" t="s">
        <v>33</v>
      </c>
      <c r="AI1" s="505"/>
      <c r="AK1" s="506"/>
      <c r="AM1" s="54" t="s">
        <v>34</v>
      </c>
      <c r="AN1" s="57"/>
      <c r="AO1" s="57"/>
      <c r="AP1" s="57"/>
      <c r="AR1" s="11" t="s">
        <v>35</v>
      </c>
    </row>
    <row r="2" s="154" customFormat="1" ht="42" spans="1:49">
      <c r="A2" s="507" t="s">
        <v>36</v>
      </c>
      <c r="B2" s="508" t="s">
        <v>37</v>
      </c>
      <c r="C2" s="508" t="s">
        <v>38</v>
      </c>
      <c r="D2" s="508" t="s">
        <v>39</v>
      </c>
      <c r="E2" s="509"/>
      <c r="F2" s="507" t="s">
        <v>36</v>
      </c>
      <c r="G2" s="510" t="s">
        <v>37</v>
      </c>
      <c r="H2" s="511" t="s">
        <v>40</v>
      </c>
      <c r="I2" s="510" t="s">
        <v>41</v>
      </c>
      <c r="J2" s="510" t="s">
        <v>42</v>
      </c>
      <c r="K2" s="510" t="s">
        <v>43</v>
      </c>
      <c r="L2" s="510" t="s">
        <v>44</v>
      </c>
      <c r="M2" s="512" t="s">
        <v>38</v>
      </c>
      <c r="N2" s="512" t="s">
        <v>45</v>
      </c>
      <c r="P2" s="507" t="s">
        <v>36</v>
      </c>
      <c r="Q2" s="510" t="s">
        <v>46</v>
      </c>
      <c r="R2" s="510" t="s">
        <v>47</v>
      </c>
      <c r="S2" s="510" t="s">
        <v>42</v>
      </c>
      <c r="T2" s="510" t="s">
        <v>48</v>
      </c>
      <c r="U2" s="510" t="s">
        <v>49</v>
      </c>
      <c r="V2" s="510" t="s">
        <v>50</v>
      </c>
      <c r="W2" s="512" t="s">
        <v>51</v>
      </c>
      <c r="X2" s="512" t="s">
        <v>52</v>
      </c>
      <c r="Y2" s="512" t="s">
        <v>48</v>
      </c>
      <c r="Z2" s="512" t="s">
        <v>49</v>
      </c>
      <c r="AA2" s="512" t="s">
        <v>45</v>
      </c>
      <c r="AB2" s="512"/>
      <c r="AC2" s="507" t="s">
        <v>53</v>
      </c>
      <c r="AD2" s="512" t="s">
        <v>46</v>
      </c>
      <c r="AE2" s="512" t="s">
        <v>38</v>
      </c>
      <c r="AF2" s="513" t="s">
        <v>45</v>
      </c>
      <c r="AH2" s="507" t="s">
        <v>53</v>
      </c>
      <c r="AI2" s="514" t="s">
        <v>46</v>
      </c>
      <c r="AJ2" s="512" t="s">
        <v>38</v>
      </c>
      <c r="AK2" s="515" t="s">
        <v>39</v>
      </c>
      <c r="AM2" s="507" t="s">
        <v>53</v>
      </c>
      <c r="AN2" s="163" t="s">
        <v>54</v>
      </c>
      <c r="AO2" s="163" t="s">
        <v>55</v>
      </c>
      <c r="AP2" s="163" t="s">
        <v>56</v>
      </c>
      <c r="AR2" s="457" t="s">
        <v>36</v>
      </c>
      <c r="AS2" s="457" t="s">
        <v>57</v>
      </c>
      <c r="AT2" s="457" t="s">
        <v>29</v>
      </c>
      <c r="AU2" s="457" t="s">
        <v>58</v>
      </c>
      <c r="AV2" s="457" t="s">
        <v>59</v>
      </c>
      <c r="AW2" s="457" t="s">
        <v>60</v>
      </c>
    </row>
    <row r="3" spans="1:49">
      <c r="A3" s="516">
        <v>44562</v>
      </c>
      <c r="B3" s="106">
        <v>108052.899578</v>
      </c>
      <c r="C3" s="106">
        <v>2374.05855046</v>
      </c>
      <c r="D3" s="106">
        <f t="shared" ref="D3:D42" si="0">B3+C3</f>
        <v>110426.95812846</v>
      </c>
      <c r="F3" s="516">
        <v>44562</v>
      </c>
      <c r="G3" s="106">
        <f>'毛利-收入组成'!AQ27</f>
        <v>2571.87997958</v>
      </c>
      <c r="H3" s="57">
        <v>2707835.92</v>
      </c>
      <c r="I3" s="106">
        <f t="shared" ref="I3:I42" si="1">H3*1.06/10000</f>
        <v>287.03060752</v>
      </c>
      <c r="J3" s="106">
        <v>655.10540815</v>
      </c>
      <c r="K3" s="106">
        <f t="shared" ref="K3:K50" si="2">R3*1.06</f>
        <v>-486.041770088523</v>
      </c>
      <c r="L3" s="106">
        <f t="shared" ref="L3:L42" si="3">G3-I3+J3-K3</f>
        <v>3425.99655029852</v>
      </c>
      <c r="M3" s="106">
        <v>1436.02002718</v>
      </c>
      <c r="N3" s="106">
        <f t="shared" ref="N3:N42" si="4">L3+M3</f>
        <v>4862.01657747852</v>
      </c>
      <c r="P3" s="516">
        <v>44562</v>
      </c>
      <c r="Q3" s="106">
        <v>554.64112</v>
      </c>
      <c r="R3" s="106">
        <f>-4585299.71781625/10000</f>
        <v>-458.529971781625</v>
      </c>
      <c r="S3" s="106">
        <v>160.39838015</v>
      </c>
      <c r="W3" s="106">
        <f t="shared" ref="W3:W43" si="5">Q3-R3+S3</f>
        <v>1173.56947193163</v>
      </c>
      <c r="X3" s="106">
        <v>-1005.61331266</v>
      </c>
      <c r="AA3" s="106">
        <f t="shared" ref="AA3:AA42" si="6">W3+X3</f>
        <v>167.956159271625</v>
      </c>
      <c r="AC3" s="516">
        <v>44562</v>
      </c>
      <c r="AD3" s="62">
        <f t="shared" ref="AD3:AD42" si="7">L3/B3</f>
        <v>0.0317066600126302</v>
      </c>
      <c r="AE3" s="65">
        <f t="shared" ref="AE3:AE42" si="8">M3/C3</f>
        <v>0.604879785674096</v>
      </c>
      <c r="AF3" s="62">
        <f t="shared" ref="AF3:AF42" si="9">N3/D3</f>
        <v>0.0440292539057585</v>
      </c>
      <c r="AH3" s="516">
        <v>44562</v>
      </c>
      <c r="AI3" s="506">
        <f t="shared" ref="AI3:AI42" si="10">W3*1.06/L3</f>
        <v>0.363101253017645</v>
      </c>
      <c r="AJ3" s="506">
        <f t="shared" ref="AJ3:AJ42" si="11">X3*1.06/M3</f>
        <v>-0.742294739101147</v>
      </c>
      <c r="AK3" s="506">
        <f t="shared" ref="AK3:AK42" si="12">AA3*1.06/N3</f>
        <v>0.0366172196229434</v>
      </c>
      <c r="AM3" s="516">
        <v>44562</v>
      </c>
      <c r="AN3" s="57">
        <v>4419474.36</v>
      </c>
      <c r="AO3" s="57">
        <f>-12638207.1/3</f>
        <v>-4212735.7</v>
      </c>
      <c r="AR3" s="517">
        <v>45931</v>
      </c>
      <c r="AS3" s="2" t="s">
        <v>61</v>
      </c>
    </row>
    <row r="4" spans="1:49">
      <c r="A4" s="516">
        <v>44593</v>
      </c>
      <c r="B4" s="106">
        <v>194083.644645</v>
      </c>
      <c r="C4" s="106">
        <v>4905.4859935</v>
      </c>
      <c r="D4" s="106">
        <f t="shared" si="0"/>
        <v>198989.1306385</v>
      </c>
      <c r="F4" s="516">
        <v>44593</v>
      </c>
      <c r="G4" s="106">
        <f>'毛利-收入组成'!AQ28</f>
        <v>4593.9911843797</v>
      </c>
      <c r="H4" s="57">
        <v>4898251.55</v>
      </c>
      <c r="I4" s="106">
        <f t="shared" si="1"/>
        <v>519.2146643</v>
      </c>
      <c r="J4" s="106">
        <v>895.37</v>
      </c>
      <c r="K4" s="106">
        <f t="shared" si="2"/>
        <v>-952.56962669466</v>
      </c>
      <c r="L4" s="106">
        <f t="shared" si="3"/>
        <v>5922.71614677436</v>
      </c>
      <c r="M4" s="106">
        <v>3006.565433</v>
      </c>
      <c r="N4" s="106">
        <f t="shared" si="4"/>
        <v>8929.28157977436</v>
      </c>
      <c r="P4" s="516">
        <v>44593</v>
      </c>
      <c r="Q4" s="106">
        <v>632.652321</v>
      </c>
      <c r="R4" s="106">
        <f>-4585299.71781625/10000-4401206.19439752/10000</f>
        <v>-898.650591221377</v>
      </c>
      <c r="S4" s="106">
        <v>103.02</v>
      </c>
      <c r="W4" s="106">
        <f t="shared" si="5"/>
        <v>1634.32291222138</v>
      </c>
      <c r="X4" s="106">
        <v>-1072.18</v>
      </c>
      <c r="AA4" s="106">
        <f t="shared" si="6"/>
        <v>562.142912221377</v>
      </c>
      <c r="AC4" s="516">
        <v>44593</v>
      </c>
      <c r="AD4" s="62">
        <f t="shared" si="7"/>
        <v>0.030516307325162</v>
      </c>
      <c r="AE4" s="65">
        <f t="shared" si="8"/>
        <v>0.612898586803395</v>
      </c>
      <c r="AF4" s="62">
        <f t="shared" si="9"/>
        <v>0.0448732126781137</v>
      </c>
      <c r="AH4" s="516">
        <v>44593</v>
      </c>
      <c r="AI4" s="506">
        <f t="shared" si="10"/>
        <v>0.292497942501964</v>
      </c>
      <c r="AJ4" s="506">
        <f t="shared" si="11"/>
        <v>-0.378009667617967</v>
      </c>
      <c r="AK4" s="506">
        <f t="shared" si="12"/>
        <v>0.0667322988564235</v>
      </c>
      <c r="AM4" s="516">
        <v>44593</v>
      </c>
      <c r="AN4" s="57">
        <v>2602332.17</v>
      </c>
      <c r="AO4" s="57">
        <f t="shared" ref="AO3:AO5" si="13">-12638207.1/3</f>
        <v>-4212735.7</v>
      </c>
      <c r="AR4" s="517">
        <v>45931</v>
      </c>
      <c r="AS4" s="2" t="s">
        <v>62</v>
      </c>
    </row>
    <row r="5" spans="1:49">
      <c r="A5" s="516">
        <v>44621</v>
      </c>
      <c r="B5" s="106">
        <v>326827.751907</v>
      </c>
      <c r="C5" s="106">
        <v>7834.8750365</v>
      </c>
      <c r="D5" s="106">
        <f t="shared" si="0"/>
        <v>334662.6269435</v>
      </c>
      <c r="F5" s="516">
        <v>44621</v>
      </c>
      <c r="G5" s="106">
        <f>'毛利-收入组成'!AQ29</f>
        <v>8008.3700428397</v>
      </c>
      <c r="H5" s="57">
        <v>6963186.24</v>
      </c>
      <c r="I5" s="106">
        <f t="shared" si="1"/>
        <v>738.09774144</v>
      </c>
      <c r="J5" s="106">
        <v>1265.12</v>
      </c>
      <c r="K5" s="106">
        <f t="shared" si="2"/>
        <v>-1339.64995287565</v>
      </c>
      <c r="L5" s="106">
        <f t="shared" si="3"/>
        <v>9875.04225427535</v>
      </c>
      <c r="M5" s="106">
        <v>4720.674914</v>
      </c>
      <c r="N5" s="106">
        <f t="shared" si="4"/>
        <v>14595.7171682754</v>
      </c>
      <c r="P5" s="516">
        <v>44621</v>
      </c>
      <c r="Q5" s="106">
        <v>1386.528945</v>
      </c>
      <c r="R5" s="106">
        <v>-1263.82071026005</v>
      </c>
      <c r="S5" s="106">
        <v>203.797852</v>
      </c>
      <c r="W5" s="106">
        <f t="shared" si="5"/>
        <v>2854.14750726005</v>
      </c>
      <c r="X5" s="106">
        <v>-1370.88</v>
      </c>
      <c r="AA5" s="106">
        <f t="shared" si="6"/>
        <v>1483.26750726005</v>
      </c>
      <c r="AC5" s="516">
        <v>44621</v>
      </c>
      <c r="AD5" s="62">
        <f t="shared" si="7"/>
        <v>0.0302148217116071</v>
      </c>
      <c r="AE5" s="65">
        <f t="shared" si="8"/>
        <v>0.602520766701191</v>
      </c>
      <c r="AF5" s="62">
        <f t="shared" si="9"/>
        <v>0.0436132271523091</v>
      </c>
      <c r="AH5" s="516">
        <v>44621</v>
      </c>
      <c r="AI5" s="506">
        <f t="shared" si="10"/>
        <v>0.306367940490161</v>
      </c>
      <c r="AJ5" s="506">
        <f t="shared" si="11"/>
        <v>-0.307823102940318</v>
      </c>
      <c r="AK5" s="506">
        <f t="shared" si="12"/>
        <v>0.107720884117504</v>
      </c>
      <c r="AM5" s="516">
        <v>44621</v>
      </c>
      <c r="AN5" s="57">
        <v>6160436.96</v>
      </c>
      <c r="AO5" s="57">
        <f t="shared" si="13"/>
        <v>-4212735.7</v>
      </c>
      <c r="AP5" s="94">
        <v>146.567852</v>
      </c>
      <c r="AR5" s="517">
        <v>45931</v>
      </c>
      <c r="AS5" s="22" t="s">
        <v>63</v>
      </c>
      <c r="AT5" s="11">
        <v>118797.22</v>
      </c>
      <c r="AU5" s="518">
        <v>3600.68</v>
      </c>
      <c r="AV5" s="519">
        <v>1573.3</v>
      </c>
    </row>
    <row r="6" spans="1:49">
      <c r="A6" s="516">
        <v>44652</v>
      </c>
      <c r="B6" s="106">
        <v>448332.98415</v>
      </c>
      <c r="C6" s="106">
        <v>8907.41382564</v>
      </c>
      <c r="D6" s="106">
        <f t="shared" si="0"/>
        <v>457240.39797564</v>
      </c>
      <c r="F6" s="516">
        <v>44652</v>
      </c>
      <c r="G6" s="106">
        <f>'毛利-收入组成'!AQ30</f>
        <v>10700.5648440397</v>
      </c>
      <c r="H6" s="57">
        <v>9273917.56</v>
      </c>
      <c r="I6" s="106">
        <f t="shared" si="1"/>
        <v>983.03526136</v>
      </c>
      <c r="J6" s="106">
        <v>1531.86418181</v>
      </c>
      <c r="K6" s="106">
        <f t="shared" si="2"/>
        <v>-1249.42270405276</v>
      </c>
      <c r="L6" s="106">
        <f t="shared" si="3"/>
        <v>12498.8164685425</v>
      </c>
      <c r="M6" s="106">
        <v>6687.3105206</v>
      </c>
      <c r="N6" s="106">
        <f t="shared" si="4"/>
        <v>19186.1269891425</v>
      </c>
      <c r="P6" s="516">
        <v>44652</v>
      </c>
      <c r="Q6" s="106">
        <v>1630.635369</v>
      </c>
      <c r="R6" s="106">
        <v>-1178.70066420072</v>
      </c>
      <c r="S6" s="106">
        <v>4.46740400000002</v>
      </c>
      <c r="W6" s="106">
        <f t="shared" si="5"/>
        <v>2813.80343720072</v>
      </c>
      <c r="X6" s="106">
        <v>-1783.218096</v>
      </c>
      <c r="AA6" s="106">
        <f t="shared" si="6"/>
        <v>1030.58534120072</v>
      </c>
      <c r="AC6" s="516">
        <v>44652</v>
      </c>
      <c r="AD6" s="62">
        <f t="shared" si="7"/>
        <v>0.0278784227581183</v>
      </c>
      <c r="AE6" s="65">
        <f t="shared" si="8"/>
        <v>0.750757812705476</v>
      </c>
      <c r="AF6" s="62">
        <f t="shared" si="9"/>
        <v>0.0419606996102838</v>
      </c>
      <c r="AH6" s="516">
        <v>44652</v>
      </c>
      <c r="AI6" s="506">
        <f t="shared" si="10"/>
        <v>0.238633125859522</v>
      </c>
      <c r="AJ6" s="506">
        <f t="shared" si="11"/>
        <v>-0.282656409618976</v>
      </c>
      <c r="AK6" s="506">
        <f t="shared" si="12"/>
        <v>0.0569380397769164</v>
      </c>
      <c r="AL6" s="282"/>
      <c r="AM6" s="516">
        <v>44652</v>
      </c>
      <c r="AN6" s="57">
        <v>3124110.2</v>
      </c>
      <c r="AO6" s="57">
        <v>851200.460593292</v>
      </c>
      <c r="AP6" s="94">
        <v>-11.900448</v>
      </c>
      <c r="AR6" s="2"/>
      <c r="AS6" s="2"/>
    </row>
    <row r="7" spans="1:49">
      <c r="A7" s="516">
        <v>44682</v>
      </c>
      <c r="B7" s="106">
        <v>584617.02294829</v>
      </c>
      <c r="C7" s="106">
        <v>11251.9151577398</v>
      </c>
      <c r="D7" s="106">
        <f t="shared" si="0"/>
        <v>595868.93810603</v>
      </c>
      <c r="F7" s="516">
        <v>44682</v>
      </c>
      <c r="G7" s="106">
        <f>'毛利-收入组成'!AQ31</f>
        <v>13310.05702192</v>
      </c>
      <c r="H7" s="57">
        <v>11902620.33</v>
      </c>
      <c r="I7" s="106">
        <f t="shared" si="1"/>
        <v>1261.67775498</v>
      </c>
      <c r="J7" s="106">
        <v>1849.54393938</v>
      </c>
      <c r="K7" s="106">
        <f t="shared" si="2"/>
        <v>-1388.95709598</v>
      </c>
      <c r="L7" s="106">
        <f t="shared" si="3"/>
        <v>15286.8803023</v>
      </c>
      <c r="M7" s="106">
        <v>8601.35285132</v>
      </c>
      <c r="N7" s="106">
        <f t="shared" si="4"/>
        <v>23888.23315362</v>
      </c>
      <c r="P7" s="516">
        <v>44682</v>
      </c>
      <c r="Q7" s="106">
        <v>1691.002652</v>
      </c>
      <c r="R7" s="106">
        <f>-13103368.83/10000</f>
        <v>-1310.336883</v>
      </c>
      <c r="S7" s="106">
        <v>45.146767</v>
      </c>
      <c r="W7" s="106">
        <f t="shared" si="5"/>
        <v>3046.486302</v>
      </c>
      <c r="X7" s="106">
        <v>-2102.622364</v>
      </c>
      <c r="AA7" s="106">
        <f t="shared" si="6"/>
        <v>943.863938</v>
      </c>
      <c r="AC7" s="516">
        <v>44682</v>
      </c>
      <c r="AD7" s="62">
        <f t="shared" si="7"/>
        <v>0.0261485377644437</v>
      </c>
      <c r="AE7" s="65">
        <f t="shared" si="8"/>
        <v>0.764434563426603</v>
      </c>
      <c r="AF7" s="62">
        <f t="shared" si="9"/>
        <v>0.0400897439452857</v>
      </c>
      <c r="AH7" s="516">
        <v>44682</v>
      </c>
      <c r="AI7" s="506">
        <f t="shared" si="10"/>
        <v>0.211244898649081</v>
      </c>
      <c r="AJ7" s="506">
        <f t="shared" si="11"/>
        <v>-0.259119669238771</v>
      </c>
      <c r="AK7" s="506">
        <f t="shared" si="12"/>
        <v>0.0418823681034102</v>
      </c>
      <c r="AL7" s="282"/>
      <c r="AM7" s="516">
        <v>44682</v>
      </c>
      <c r="AN7" s="57">
        <v>603672.789999899</v>
      </c>
      <c r="AO7" s="57">
        <f t="shared" ref="AO7:AO14" si="14">(R7-R6)*10000</f>
        <v>-1316362.1879928</v>
      </c>
      <c r="AP7" s="94">
        <v>208.222596</v>
      </c>
      <c r="AR7" s="2"/>
      <c r="AS7" s="2"/>
    </row>
    <row r="8" spans="1:49">
      <c r="A8" s="516">
        <v>44713</v>
      </c>
      <c r="B8" s="106">
        <v>727745.906409721</v>
      </c>
      <c r="C8" s="106">
        <v>13983.2696523</v>
      </c>
      <c r="D8" s="106">
        <f t="shared" si="0"/>
        <v>741729.176062021</v>
      </c>
      <c r="F8" s="516">
        <v>44713</v>
      </c>
      <c r="G8" s="106">
        <f>'毛利-收入组成'!AQ32</f>
        <v>17052.4032780401</v>
      </c>
      <c r="H8" s="57">
        <v>15547055.48</v>
      </c>
      <c r="I8" s="106">
        <f t="shared" si="1"/>
        <v>1647.98788088</v>
      </c>
      <c r="J8" s="106">
        <v>2173.82725368</v>
      </c>
      <c r="K8" s="106">
        <f t="shared" si="2"/>
        <v>-1365.4349349</v>
      </c>
      <c r="L8" s="106">
        <f t="shared" si="3"/>
        <v>18943.6775857401</v>
      </c>
      <c r="M8" s="106">
        <v>10706.91425212</v>
      </c>
      <c r="N8" s="106">
        <f t="shared" si="4"/>
        <v>29650.5918378601</v>
      </c>
      <c r="P8" s="516">
        <v>44713</v>
      </c>
      <c r="Q8" s="106">
        <v>3194.83820600002</v>
      </c>
      <c r="R8" s="106">
        <f>-12881461.65/10000</f>
        <v>-1288.146165</v>
      </c>
      <c r="S8" s="106">
        <v>-520.135645</v>
      </c>
      <c r="W8" s="106">
        <f t="shared" si="5"/>
        <v>3962.84872600002</v>
      </c>
      <c r="X8" s="106">
        <v>-2258.996982</v>
      </c>
      <c r="AA8" s="106">
        <f t="shared" si="6"/>
        <v>1703.85174400002</v>
      </c>
      <c r="AC8" s="516">
        <v>44713</v>
      </c>
      <c r="AD8" s="62">
        <f t="shared" si="7"/>
        <v>0.0260306206038276</v>
      </c>
      <c r="AE8" s="65">
        <f t="shared" si="8"/>
        <v>0.765694613516868</v>
      </c>
      <c r="AF8" s="62">
        <f t="shared" si="9"/>
        <v>0.0399749568909782</v>
      </c>
      <c r="AH8" s="516">
        <v>44713</v>
      </c>
      <c r="AI8" s="506">
        <f t="shared" si="10"/>
        <v>0.221742564533618</v>
      </c>
      <c r="AJ8" s="506">
        <f t="shared" si="11"/>
        <v>-0.223643969171218</v>
      </c>
      <c r="AK8" s="506">
        <f t="shared" si="12"/>
        <v>0.0609122023100355</v>
      </c>
      <c r="AL8" s="282"/>
      <c r="AM8" s="516">
        <v>44713</v>
      </c>
      <c r="AN8" s="57">
        <v>15038355.5800002</v>
      </c>
      <c r="AO8" s="57">
        <f t="shared" si="14"/>
        <v>221907.179999998</v>
      </c>
      <c r="AP8" s="94">
        <v>-280.713167</v>
      </c>
      <c r="AR8" s="2"/>
      <c r="AS8" s="2"/>
    </row>
    <row r="9" spans="1:49">
      <c r="A9" s="516">
        <v>44743</v>
      </c>
      <c r="B9" s="106">
        <v>850965.842971721</v>
      </c>
      <c r="C9" s="106">
        <v>16453.57114572</v>
      </c>
      <c r="D9" s="106">
        <f t="shared" si="0"/>
        <v>867419.414117441</v>
      </c>
      <c r="F9" s="516">
        <v>44743</v>
      </c>
      <c r="G9" s="106">
        <f>'毛利-收入组成'!AQ33</f>
        <v>20185.9328324601</v>
      </c>
      <c r="H9" s="57">
        <v>18238987.66</v>
      </c>
      <c r="I9" s="106">
        <f t="shared" si="1"/>
        <v>1933.33269196</v>
      </c>
      <c r="J9" s="106">
        <v>2432.4562</v>
      </c>
      <c r="K9" s="106">
        <f t="shared" si="2"/>
        <v>-1463.22476002</v>
      </c>
      <c r="L9" s="106">
        <f t="shared" si="3"/>
        <v>22148.2811005201</v>
      </c>
      <c r="M9" s="106">
        <v>13005.352</v>
      </c>
      <c r="N9" s="106">
        <f t="shared" si="4"/>
        <v>35153.6331005201</v>
      </c>
      <c r="P9" s="516">
        <v>44743</v>
      </c>
      <c r="Q9" s="106">
        <v>3804.432008</v>
      </c>
      <c r="R9" s="106">
        <f>-13804007.17/10000</f>
        <v>-1380.400717</v>
      </c>
      <c r="S9" s="106">
        <v>-820.04</v>
      </c>
      <c r="W9" s="106">
        <f t="shared" si="5"/>
        <v>4364.792725</v>
      </c>
      <c r="X9" s="106">
        <v>-2988.73</v>
      </c>
      <c r="AA9" s="106">
        <f t="shared" si="6"/>
        <v>1376.062725</v>
      </c>
      <c r="AC9" s="516">
        <v>44743</v>
      </c>
      <c r="AD9" s="62">
        <f t="shared" si="7"/>
        <v>0.0260272269250837</v>
      </c>
      <c r="AE9" s="65">
        <f t="shared" si="8"/>
        <v>0.790427311178767</v>
      </c>
      <c r="AF9" s="62">
        <f t="shared" si="9"/>
        <v>0.0405266847022179</v>
      </c>
      <c r="AH9" s="516">
        <v>44743</v>
      </c>
      <c r="AI9" s="506">
        <f t="shared" si="10"/>
        <v>0.208895682129994</v>
      </c>
      <c r="AJ9" s="506">
        <f t="shared" si="11"/>
        <v>-0.243596159488801</v>
      </c>
      <c r="AK9" s="506">
        <f t="shared" si="12"/>
        <v>0.0414929086939358</v>
      </c>
      <c r="AL9" s="282"/>
      <c r="AM9" s="516">
        <v>44743</v>
      </c>
      <c r="AN9" s="57">
        <v>6095938.02000006</v>
      </c>
      <c r="AO9" s="57">
        <f t="shared" si="14"/>
        <v>-922545.519999999</v>
      </c>
      <c r="AP9" s="94">
        <v>15.963167</v>
      </c>
      <c r="AR9" s="2"/>
      <c r="AS9" s="2"/>
    </row>
    <row r="10" spans="1:49">
      <c r="A10" s="516">
        <v>44774</v>
      </c>
      <c r="B10" s="106">
        <v>985758.183133721</v>
      </c>
      <c r="C10" s="520">
        <v>19132.3184785</v>
      </c>
      <c r="D10" s="106">
        <f t="shared" si="0"/>
        <v>1004890.50161222</v>
      </c>
      <c r="F10" s="516">
        <v>44774</v>
      </c>
      <c r="G10" s="106">
        <f>'毛利-收入组成'!AQ34</f>
        <v>25497.3651300401</v>
      </c>
      <c r="H10" s="57">
        <v>21451872.05</v>
      </c>
      <c r="I10" s="106">
        <f t="shared" si="1"/>
        <v>2273.8984373</v>
      </c>
      <c r="J10" s="106">
        <v>3031.335</v>
      </c>
      <c r="K10" s="106">
        <f t="shared" si="2"/>
        <v>-1426.75733960175</v>
      </c>
      <c r="L10" s="106">
        <f t="shared" si="3"/>
        <v>27681.5590323418</v>
      </c>
      <c r="M10" s="106">
        <v>15290.9982</v>
      </c>
      <c r="N10" s="106">
        <f t="shared" si="4"/>
        <v>42972.5572323418</v>
      </c>
      <c r="P10" s="516">
        <v>44774</v>
      </c>
      <c r="Q10" s="106">
        <f>54992357.66/10000</f>
        <v>5499.235766</v>
      </c>
      <c r="R10" s="106">
        <f>-13459974.9019033/10000</f>
        <v>-1345.99749019033</v>
      </c>
      <c r="S10" s="106">
        <v>-606.21</v>
      </c>
      <c r="W10" s="106">
        <f t="shared" si="5"/>
        <v>6239.02325619033</v>
      </c>
      <c r="X10" s="106">
        <v>-3396.47</v>
      </c>
      <c r="AA10" s="106">
        <f t="shared" si="6"/>
        <v>2842.55325619033</v>
      </c>
      <c r="AC10" s="516">
        <v>44774</v>
      </c>
      <c r="AD10" s="62">
        <f t="shared" si="7"/>
        <v>0.0280814904770481</v>
      </c>
      <c r="AE10" s="65">
        <f t="shared" si="8"/>
        <v>0.799223482359616</v>
      </c>
      <c r="AF10" s="62">
        <f t="shared" si="9"/>
        <v>0.0427634226449526</v>
      </c>
      <c r="AH10" s="516">
        <v>44774</v>
      </c>
      <c r="AI10" s="506">
        <f t="shared" si="10"/>
        <v>0.238908677211244</v>
      </c>
      <c r="AJ10" s="506">
        <f t="shared" si="11"/>
        <v>-0.235449520882162</v>
      </c>
      <c r="AK10" s="506">
        <f t="shared" si="12"/>
        <v>0.0701169919972563</v>
      </c>
      <c r="AL10" s="282"/>
      <c r="AM10" s="516">
        <v>44774</v>
      </c>
      <c r="AN10" s="57">
        <v>16948037.5799993</v>
      </c>
      <c r="AO10" s="57">
        <f t="shared" si="14"/>
        <v>344032.268096701</v>
      </c>
      <c r="AP10" s="94">
        <v>302.64</v>
      </c>
      <c r="AR10" s="2"/>
      <c r="AS10" s="2"/>
    </row>
    <row r="11" spans="1:49">
      <c r="A11" s="516">
        <v>44805</v>
      </c>
      <c r="B11" s="106">
        <v>1135221.79571072</v>
      </c>
      <c r="C11" s="106">
        <v>22645.07122958</v>
      </c>
      <c r="D11" s="106">
        <f t="shared" si="0"/>
        <v>1157866.8669403</v>
      </c>
      <c r="F11" s="516">
        <v>44805</v>
      </c>
      <c r="G11" s="106">
        <f>'毛利-收入组成'!AQ35</f>
        <v>28661.8814268601</v>
      </c>
      <c r="H11" s="57">
        <v>24370597.15</v>
      </c>
      <c r="I11" s="106">
        <f t="shared" si="1"/>
        <v>2583.2832979</v>
      </c>
      <c r="J11" s="106">
        <v>4014.432</v>
      </c>
      <c r="K11" s="106">
        <f t="shared" si="2"/>
        <v>-1269.18044734172</v>
      </c>
      <c r="L11" s="106">
        <f t="shared" si="3"/>
        <v>31362.2105763018</v>
      </c>
      <c r="M11" s="106">
        <v>17952.319</v>
      </c>
      <c r="N11" s="106">
        <f t="shared" si="4"/>
        <v>49314.5295763018</v>
      </c>
      <c r="P11" s="516">
        <v>44805</v>
      </c>
      <c r="Q11" s="106">
        <f>60424603.79/10000</f>
        <v>6042.460379</v>
      </c>
      <c r="R11" s="106">
        <f>-11973400.44662/10000</f>
        <v>-1197.340044662</v>
      </c>
      <c r="S11" s="106">
        <v>-844.98</v>
      </c>
      <c r="W11" s="106">
        <f t="shared" si="5"/>
        <v>6394.820423662</v>
      </c>
      <c r="X11" s="106">
        <v>-4007.97</v>
      </c>
      <c r="AA11" s="106">
        <f t="shared" si="6"/>
        <v>2386.850423662</v>
      </c>
      <c r="AC11" s="516">
        <v>44805</v>
      </c>
      <c r="AD11" s="62">
        <f t="shared" si="7"/>
        <v>0.0276265049656372</v>
      </c>
      <c r="AE11" s="65">
        <f t="shared" si="8"/>
        <v>0.792769376523306</v>
      </c>
      <c r="AF11" s="62">
        <f t="shared" si="9"/>
        <v>0.0425908461364103</v>
      </c>
      <c r="AH11" s="516">
        <v>44805</v>
      </c>
      <c r="AI11" s="506">
        <f t="shared" si="10"/>
        <v>0.216136220136337</v>
      </c>
      <c r="AJ11" s="506">
        <f t="shared" si="11"/>
        <v>-0.236651777411041</v>
      </c>
      <c r="AK11" s="506">
        <f t="shared" si="12"/>
        <v>0.051304584486953</v>
      </c>
      <c r="AL11" s="282"/>
      <c r="AM11" s="516">
        <v>44805</v>
      </c>
      <c r="AN11" s="57">
        <v>5432246.12999998</v>
      </c>
      <c r="AO11" s="57">
        <f t="shared" si="14"/>
        <v>1486574.4552833</v>
      </c>
      <c r="AP11" s="94">
        <v>-155.56</v>
      </c>
      <c r="AR11" s="2"/>
      <c r="AS11" s="2"/>
    </row>
    <row r="12" spans="1:49">
      <c r="A12" s="516">
        <v>44835</v>
      </c>
      <c r="B12" s="106">
        <v>1282790.9938808</v>
      </c>
      <c r="C12" s="106">
        <v>30802.28958358</v>
      </c>
      <c r="D12" s="106">
        <f t="shared" si="0"/>
        <v>1313593.28346438</v>
      </c>
      <c r="F12" s="516">
        <v>44835</v>
      </c>
      <c r="G12" s="106">
        <f>'毛利-收入组成'!AQ36</f>
        <v>31941.9235956401</v>
      </c>
      <c r="H12" s="57">
        <v>27931644.94</v>
      </c>
      <c r="I12" s="106">
        <f t="shared" si="1"/>
        <v>2960.75436364</v>
      </c>
      <c r="J12" s="106">
        <v>4527.9066</v>
      </c>
      <c r="K12" s="106">
        <f t="shared" si="2"/>
        <v>-1399.68033677282</v>
      </c>
      <c r="L12" s="106">
        <f t="shared" si="3"/>
        <v>34908.7561687729</v>
      </c>
      <c r="M12" s="106">
        <v>20691.8572</v>
      </c>
      <c r="N12" s="106">
        <f t="shared" si="4"/>
        <v>55600.6133687729</v>
      </c>
      <c r="P12" s="516">
        <v>44835</v>
      </c>
      <c r="Q12" s="106">
        <f>70722471.56/10000</f>
        <v>7072.247156</v>
      </c>
      <c r="R12" s="106">
        <f>-13204531.4789889/10000</f>
        <v>-1320.45314789889</v>
      </c>
      <c r="S12" s="106">
        <v>-989.72</v>
      </c>
      <c r="W12" s="106">
        <f t="shared" si="5"/>
        <v>7402.98030389889</v>
      </c>
      <c r="X12" s="106">
        <v>-3546.33</v>
      </c>
      <c r="AA12" s="106">
        <f t="shared" si="6"/>
        <v>3856.65030389889</v>
      </c>
      <c r="AC12" s="516">
        <v>44835</v>
      </c>
      <c r="AD12" s="62">
        <f t="shared" si="7"/>
        <v>0.0272131285106424</v>
      </c>
      <c r="AE12" s="65">
        <f t="shared" si="8"/>
        <v>0.671763608476376</v>
      </c>
      <c r="AF12" s="62">
        <f t="shared" si="9"/>
        <v>0.0423271145404578</v>
      </c>
      <c r="AH12" s="516">
        <v>44835</v>
      </c>
      <c r="AI12" s="506">
        <f t="shared" si="10"/>
        <v>0.224790567850492</v>
      </c>
      <c r="AJ12" s="506">
        <f t="shared" si="11"/>
        <v>-0.181670971516274</v>
      </c>
      <c r="AK12" s="506">
        <f t="shared" si="12"/>
        <v>0.0735252558280014</v>
      </c>
      <c r="AL12" s="282"/>
      <c r="AM12" s="516">
        <v>44835</v>
      </c>
      <c r="AN12" s="57">
        <v>10297813.0400008</v>
      </c>
      <c r="AO12" s="57">
        <f t="shared" si="14"/>
        <v>-1231131.0323689</v>
      </c>
      <c r="AP12" s="94">
        <v>-99.33</v>
      </c>
      <c r="AR12" s="2"/>
      <c r="AS12" s="2"/>
    </row>
    <row r="13" spans="1:49">
      <c r="A13" s="516">
        <v>44866</v>
      </c>
      <c r="B13" s="106">
        <v>1458208.41004867</v>
      </c>
      <c r="C13" s="106">
        <v>28395.37322158</v>
      </c>
      <c r="D13" s="106">
        <f t="shared" si="0"/>
        <v>1486603.78327025</v>
      </c>
      <c r="F13" s="516">
        <v>44866</v>
      </c>
      <c r="G13" s="106">
        <f>'毛利-收入组成'!AQ37</f>
        <v>36141.2309813801</v>
      </c>
      <c r="H13" s="57">
        <v>34940281.78</v>
      </c>
      <c r="I13" s="106">
        <f t="shared" si="1"/>
        <v>3703.66986868</v>
      </c>
      <c r="J13" s="106">
        <v>5080.3998</v>
      </c>
      <c r="K13" s="106">
        <f t="shared" si="2"/>
        <v>-1487.86396943835</v>
      </c>
      <c r="L13" s="106">
        <f t="shared" si="3"/>
        <v>39005.8248821384</v>
      </c>
      <c r="M13" s="106">
        <v>23119.872</v>
      </c>
      <c r="N13" s="106">
        <f t="shared" si="4"/>
        <v>62125.6968821385</v>
      </c>
      <c r="P13" s="516">
        <v>44866</v>
      </c>
      <c r="Q13" s="106">
        <f>75107451.42/10000</f>
        <v>7510.745142</v>
      </c>
      <c r="R13" s="106">
        <f>-14036452.5418712/10000</f>
        <v>-1403.64525418712</v>
      </c>
      <c r="S13" s="106">
        <v>-1132.02</v>
      </c>
      <c r="W13" s="106">
        <f t="shared" si="5"/>
        <v>7782.37039618712</v>
      </c>
      <c r="X13" s="106">
        <v>-3545.53</v>
      </c>
      <c r="AA13" s="106">
        <f t="shared" si="6"/>
        <v>4236.84039618712</v>
      </c>
      <c r="AC13" s="516">
        <v>44866</v>
      </c>
      <c r="AD13" s="62">
        <f t="shared" si="7"/>
        <v>0.0267491427242808</v>
      </c>
      <c r="AE13" s="65">
        <f t="shared" si="8"/>
        <v>0.81421264723611</v>
      </c>
      <c r="AF13" s="62">
        <f t="shared" si="9"/>
        <v>0.041790353005475</v>
      </c>
      <c r="AH13" s="516">
        <v>44866</v>
      </c>
      <c r="AI13" s="506">
        <f t="shared" si="10"/>
        <v>0.211489249230975</v>
      </c>
      <c r="AJ13" s="506">
        <f t="shared" si="11"/>
        <v>-0.162555476085681</v>
      </c>
      <c r="AK13" s="506">
        <f t="shared" si="12"/>
        <v>0.0722897455537364</v>
      </c>
      <c r="AL13" s="282"/>
      <c r="AM13" s="516">
        <v>44866</v>
      </c>
      <c r="AN13" s="57">
        <v>3561925.27999946</v>
      </c>
      <c r="AO13" s="57">
        <f t="shared" si="14"/>
        <v>-831921.062882298</v>
      </c>
      <c r="AP13" s="94">
        <v>-166.06</v>
      </c>
      <c r="AR13" s="2"/>
      <c r="AS13" s="2"/>
    </row>
    <row r="14" spans="1:49">
      <c r="A14" s="516">
        <v>44896</v>
      </c>
      <c r="B14" s="106">
        <v>1630463.79639959</v>
      </c>
      <c r="C14" s="106">
        <v>43463.22048443</v>
      </c>
      <c r="D14" s="106">
        <f t="shared" si="0"/>
        <v>1673927.01688402</v>
      </c>
      <c r="F14" s="516">
        <v>44896</v>
      </c>
      <c r="G14" s="106">
        <f>'毛利-收入组成'!AQ38</f>
        <v>43520.1239824001</v>
      </c>
      <c r="H14" s="57">
        <v>39830925.24</v>
      </c>
      <c r="I14" s="106">
        <f t="shared" si="1"/>
        <v>4222.07807544</v>
      </c>
      <c r="J14" s="106">
        <v>6011.9066</v>
      </c>
      <c r="K14" s="106">
        <f t="shared" si="2"/>
        <v>-1190.80491743</v>
      </c>
      <c r="L14" s="106">
        <f t="shared" si="3"/>
        <v>46500.7574243901</v>
      </c>
      <c r="M14" s="106">
        <v>25043.454</v>
      </c>
      <c r="N14" s="106">
        <f t="shared" si="4"/>
        <v>71544.2114243901</v>
      </c>
      <c r="P14" s="516">
        <v>44896</v>
      </c>
      <c r="Q14" s="106">
        <f>115027391.79/10000</f>
        <v>11502.739179</v>
      </c>
      <c r="R14" s="106">
        <f>-11234008.655/10000</f>
        <v>-1123.4008655</v>
      </c>
      <c r="S14" s="106">
        <v>-1269.48</v>
      </c>
      <c r="W14" s="106">
        <f t="shared" si="5"/>
        <v>11356.6600445</v>
      </c>
      <c r="X14" s="106">
        <v>-4104.55</v>
      </c>
      <c r="AA14" s="106">
        <f t="shared" si="6"/>
        <v>7252.1100445</v>
      </c>
      <c r="AC14" s="516">
        <v>44896</v>
      </c>
      <c r="AD14" s="62">
        <f t="shared" si="7"/>
        <v>0.0285199570374231</v>
      </c>
      <c r="AE14" s="65">
        <f t="shared" si="8"/>
        <v>0.576198765781091</v>
      </c>
      <c r="AF14" s="62">
        <f t="shared" si="9"/>
        <v>0.0427403409484173</v>
      </c>
      <c r="AH14" s="516">
        <v>44896</v>
      </c>
      <c r="AI14" s="506">
        <f t="shared" si="10"/>
        <v>0.258878786366949</v>
      </c>
      <c r="AJ14" s="506">
        <f t="shared" si="11"/>
        <v>-0.173730947815745</v>
      </c>
      <c r="AK14" s="506">
        <f t="shared" si="12"/>
        <v>0.107447360088581</v>
      </c>
      <c r="AL14" s="282"/>
      <c r="AM14" s="516">
        <v>44896</v>
      </c>
      <c r="AN14" s="57">
        <v>18287189.7299999</v>
      </c>
      <c r="AO14" s="57">
        <f t="shared" si="14"/>
        <v>2802443.8868712</v>
      </c>
      <c r="AP14" s="94">
        <v>184.5</v>
      </c>
      <c r="AR14" s="2"/>
      <c r="AS14" s="131"/>
      <c r="AT14" s="2"/>
      <c r="AU14" s="2"/>
    </row>
    <row r="15" spans="1:49">
      <c r="A15" s="521">
        <v>44927</v>
      </c>
      <c r="B15" s="106">
        <f>'GMV表-商品大类'!T18+B71</f>
        <v>139899.12003602</v>
      </c>
      <c r="C15" s="94">
        <v>3494.72214152</v>
      </c>
      <c r="D15" s="106">
        <f t="shared" si="0"/>
        <v>143393.84217754</v>
      </c>
      <c r="F15" s="521">
        <v>44927</v>
      </c>
      <c r="G15" s="106">
        <f>'毛利-收入组成'!AQ39</f>
        <v>4343.28341928</v>
      </c>
      <c r="H15" s="57">
        <v>3630321.34</v>
      </c>
      <c r="I15" s="106">
        <f t="shared" si="1"/>
        <v>384.81406204</v>
      </c>
      <c r="J15" s="106">
        <v>1931.32878064</v>
      </c>
      <c r="K15" s="106">
        <f t="shared" si="2"/>
        <v>206.063629458917</v>
      </c>
      <c r="L15" s="106">
        <f t="shared" si="3"/>
        <v>5683.73450842108</v>
      </c>
      <c r="M15" s="106">
        <v>2148.77725842</v>
      </c>
      <c r="N15" s="106">
        <f t="shared" si="4"/>
        <v>7832.51176684108</v>
      </c>
      <c r="P15" s="521">
        <v>44927</v>
      </c>
      <c r="Q15" s="106">
        <v>1390.690031</v>
      </c>
      <c r="R15" s="106">
        <f>1943996.50432941/10000</f>
        <v>194.399650432941</v>
      </c>
      <c r="S15" s="106">
        <v>785.577999</v>
      </c>
      <c r="W15" s="106">
        <f t="shared" si="5"/>
        <v>1981.86837956706</v>
      </c>
      <c r="X15" s="106">
        <v>206.133102</v>
      </c>
      <c r="AA15" s="106">
        <f t="shared" si="6"/>
        <v>2188.00148156706</v>
      </c>
      <c r="AC15" s="521">
        <v>44927</v>
      </c>
      <c r="AD15" s="62">
        <f t="shared" si="7"/>
        <v>0.0406273785493268</v>
      </c>
      <c r="AE15" s="65">
        <f t="shared" si="8"/>
        <v>0.614863548918773</v>
      </c>
      <c r="AF15" s="62">
        <f t="shared" si="9"/>
        <v>0.0546223718389765</v>
      </c>
      <c r="AH15" s="521">
        <v>44927</v>
      </c>
      <c r="AI15" s="506">
        <f t="shared" si="10"/>
        <v>0.369612704328209</v>
      </c>
      <c r="AJ15" s="506">
        <f t="shared" si="11"/>
        <v>0.10168624377599</v>
      </c>
      <c r="AK15" s="506">
        <f t="shared" si="12"/>
        <v>0.296109554572232</v>
      </c>
      <c r="AL15" s="282"/>
      <c r="AM15" s="521">
        <v>44927</v>
      </c>
      <c r="AN15" s="57">
        <v>13906900.31</v>
      </c>
      <c r="AO15" s="57">
        <f>R15*10000</f>
        <v>1943996.50432941</v>
      </c>
      <c r="AP15" s="94">
        <v>98.863</v>
      </c>
      <c r="AR15" s="2"/>
      <c r="AS15" s="2"/>
    </row>
    <row r="16" spans="1:49">
      <c r="A16" s="521">
        <v>44958</v>
      </c>
      <c r="B16" s="106">
        <f>'GMV表-商品大类'!T19+B72</f>
        <v>273756.55040439</v>
      </c>
      <c r="C16" s="94">
        <v>6379.21119306</v>
      </c>
      <c r="D16" s="106">
        <f t="shared" si="0"/>
        <v>280135.761597449</v>
      </c>
      <c r="F16" s="521">
        <v>44958</v>
      </c>
      <c r="G16" s="106">
        <f>'毛利-收入组成'!AQ40</f>
        <v>7467.24827732</v>
      </c>
      <c r="H16" s="57">
        <v>6214995.07</v>
      </c>
      <c r="I16" s="106">
        <f t="shared" si="1"/>
        <v>658.78947742</v>
      </c>
      <c r="J16" s="106">
        <v>2249.6399443</v>
      </c>
      <c r="K16" s="106">
        <f t="shared" si="2"/>
        <v>-169.182570786703</v>
      </c>
      <c r="L16" s="106">
        <f t="shared" si="3"/>
        <v>9227.2813149867</v>
      </c>
      <c r="M16" s="106">
        <v>3659.1240757</v>
      </c>
      <c r="N16" s="106">
        <f t="shared" si="4"/>
        <v>12886.4053906867</v>
      </c>
      <c r="P16" s="521">
        <v>44958</v>
      </c>
      <c r="Q16" s="106">
        <v>2066.431446</v>
      </c>
      <c r="R16" s="106">
        <f>-1596061.9885538/10000</f>
        <v>-159.60619885538</v>
      </c>
      <c r="S16" s="106">
        <v>597.929336</v>
      </c>
      <c r="W16" s="106">
        <f t="shared" si="5"/>
        <v>2823.96698085538</v>
      </c>
      <c r="X16" s="106">
        <v>130.11791</v>
      </c>
      <c r="AA16" s="106">
        <f t="shared" si="6"/>
        <v>2954.08489085538</v>
      </c>
      <c r="AC16" s="521">
        <v>44958</v>
      </c>
      <c r="AD16" s="62">
        <f t="shared" si="7"/>
        <v>0.0337061571727007</v>
      </c>
      <c r="AE16" s="65">
        <f t="shared" si="8"/>
        <v>0.57360133799627</v>
      </c>
      <c r="AF16" s="62">
        <f t="shared" si="9"/>
        <v>0.0460005724267516</v>
      </c>
      <c r="AH16" s="521">
        <v>44958</v>
      </c>
      <c r="AI16" s="506">
        <f t="shared" si="10"/>
        <v>0.324408121690719</v>
      </c>
      <c r="AJ16" s="506">
        <f t="shared" si="11"/>
        <v>0.0376934429515388</v>
      </c>
      <c r="AK16" s="506">
        <f t="shared" si="12"/>
        <v>0.242994837533963</v>
      </c>
      <c r="AL16" s="282"/>
      <c r="AM16" s="521">
        <v>44958</v>
      </c>
      <c r="AN16" s="57">
        <v>6757414.14999998</v>
      </c>
      <c r="AO16" s="57">
        <f t="shared" ref="AO16:AO26" si="15">(R16-R15)*10000</f>
        <v>-3540058.49288321</v>
      </c>
      <c r="AP16" s="94">
        <f t="shared" ref="AP16:AP26" si="16">S16-S15</f>
        <v>-187.648663</v>
      </c>
      <c r="AR16" s="2"/>
      <c r="AS16" s="2"/>
    </row>
    <row r="17" spans="1:49">
      <c r="A17" s="521">
        <v>44986</v>
      </c>
      <c r="B17" s="106">
        <f>'GMV表-商品大类'!T20+B73</f>
        <v>430030.63880231</v>
      </c>
      <c r="C17" s="94">
        <v>9120.95515956</v>
      </c>
      <c r="D17" s="106">
        <f t="shared" si="0"/>
        <v>439151.59396187</v>
      </c>
      <c r="F17" s="521">
        <v>44986</v>
      </c>
      <c r="G17" s="106">
        <f>'毛利-收入组成'!AQ41</f>
        <v>10413.0989674</v>
      </c>
      <c r="H17" s="57">
        <v>9373428.75</v>
      </c>
      <c r="I17" s="106">
        <f t="shared" si="1"/>
        <v>993.5834475</v>
      </c>
      <c r="J17" s="106">
        <v>2973.55565506</v>
      </c>
      <c r="K17" s="106">
        <f t="shared" si="2"/>
        <v>45.1427844535965</v>
      </c>
      <c r="L17" s="106">
        <f t="shared" si="3"/>
        <v>12347.9283905064</v>
      </c>
      <c r="M17" s="106">
        <v>5379.91459144</v>
      </c>
      <c r="N17" s="106">
        <f t="shared" si="4"/>
        <v>17727.8429819464</v>
      </c>
      <c r="P17" s="521">
        <v>44986</v>
      </c>
      <c r="Q17" s="113">
        <v>2269.45320700002</v>
      </c>
      <c r="R17" s="113">
        <v>42.5875325033929</v>
      </c>
      <c r="S17" s="113">
        <v>365.21191</v>
      </c>
      <c r="W17" s="106">
        <f t="shared" si="5"/>
        <v>2592.07758449663</v>
      </c>
      <c r="X17" s="113">
        <v>-140.709009</v>
      </c>
      <c r="Y17" s="113"/>
      <c r="Z17" s="113"/>
      <c r="AA17" s="113">
        <f t="shared" si="6"/>
        <v>2451.36857549663</v>
      </c>
      <c r="AC17" s="521">
        <v>44986</v>
      </c>
      <c r="AD17" s="62">
        <f t="shared" si="7"/>
        <v>0.028714066571854</v>
      </c>
      <c r="AE17" s="65">
        <f t="shared" si="8"/>
        <v>0.589841140245177</v>
      </c>
      <c r="AF17" s="62">
        <f t="shared" si="9"/>
        <v>0.0403683903820366</v>
      </c>
      <c r="AH17" s="521">
        <v>44986</v>
      </c>
      <c r="AI17" s="506">
        <f t="shared" si="10"/>
        <v>0.2225152392104</v>
      </c>
      <c r="AJ17" s="506">
        <f t="shared" si="11"/>
        <v>-0.0277237764661386</v>
      </c>
      <c r="AK17" s="506">
        <f t="shared" si="12"/>
        <v>0.146574554652397</v>
      </c>
      <c r="AL17" s="282"/>
      <c r="AM17" s="521">
        <v>44986</v>
      </c>
      <c r="AN17" s="57">
        <v>2030217.6100002</v>
      </c>
      <c r="AO17" s="57">
        <f t="shared" si="15"/>
        <v>2021937.31358773</v>
      </c>
      <c r="AP17" s="94">
        <f t="shared" si="16"/>
        <v>-232.717426</v>
      </c>
      <c r="AR17" s="2"/>
      <c r="AS17" s="2"/>
    </row>
    <row r="18" spans="1:49">
      <c r="A18" s="521">
        <v>45017</v>
      </c>
      <c r="B18" s="106">
        <f>'GMV表-商品大类'!T21+B74</f>
        <v>562009.478344309</v>
      </c>
      <c r="C18" s="94">
        <v>11863.172752</v>
      </c>
      <c r="D18" s="106">
        <f t="shared" si="0"/>
        <v>573872.651096309</v>
      </c>
      <c r="F18" s="521">
        <v>45017</v>
      </c>
      <c r="G18" s="106">
        <f>'毛利-收入组成'!AQ42</f>
        <v>12608.747482</v>
      </c>
      <c r="H18" s="57">
        <v>12671633.97</v>
      </c>
      <c r="I18" s="106">
        <f t="shared" si="1"/>
        <v>1343.19320082</v>
      </c>
      <c r="J18" s="106">
        <v>3381.6408503</v>
      </c>
      <c r="K18" s="106">
        <f t="shared" si="2"/>
        <v>39.3692006790701</v>
      </c>
      <c r="L18" s="106">
        <f t="shared" si="3"/>
        <v>14607.8259308009</v>
      </c>
      <c r="M18" s="106">
        <v>6902.0784827</v>
      </c>
      <c r="N18" s="106">
        <f t="shared" si="4"/>
        <v>21509.9044135009</v>
      </c>
      <c r="P18" s="521">
        <v>45017</v>
      </c>
      <c r="Q18" s="113">
        <f>24847709.2/10000</f>
        <v>2484.77092</v>
      </c>
      <c r="R18" s="113">
        <f>371407.553576133/10000</f>
        <v>37.1407553576133</v>
      </c>
      <c r="S18" s="113">
        <v>-115.895065</v>
      </c>
      <c r="W18" s="106">
        <f t="shared" si="5"/>
        <v>2331.73509964239</v>
      </c>
      <c r="X18" s="113">
        <v>-310.77087</v>
      </c>
      <c r="Y18" s="113"/>
      <c r="Z18" s="113"/>
      <c r="AA18" s="113">
        <f t="shared" si="6"/>
        <v>2020.96422964239</v>
      </c>
      <c r="AC18" s="521">
        <v>45017</v>
      </c>
      <c r="AD18" s="62">
        <f t="shared" si="7"/>
        <v>0.0259921344633472</v>
      </c>
      <c r="AE18" s="65">
        <f t="shared" si="8"/>
        <v>0.581807129255231</v>
      </c>
      <c r="AF18" s="62">
        <f t="shared" si="9"/>
        <v>0.0374820169116076</v>
      </c>
      <c r="AH18" s="521">
        <v>45017</v>
      </c>
      <c r="AI18" s="506">
        <f t="shared" si="10"/>
        <v>0.169199661697051</v>
      </c>
      <c r="AJ18" s="506">
        <f t="shared" si="11"/>
        <v>-0.0477272350677671</v>
      </c>
      <c r="AK18" s="506">
        <f t="shared" si="12"/>
        <v>0.0995923571876191</v>
      </c>
      <c r="AL18" s="282"/>
      <c r="AM18" s="521">
        <v>45017</v>
      </c>
      <c r="AN18" s="57">
        <v>2153177.1299999</v>
      </c>
      <c r="AO18" s="57">
        <f t="shared" si="15"/>
        <v>-54467.771457796</v>
      </c>
      <c r="AP18" s="94">
        <f t="shared" si="16"/>
        <v>-481.106975</v>
      </c>
    </row>
    <row r="19" spans="1:49">
      <c r="A19" s="521">
        <v>45047</v>
      </c>
      <c r="B19" s="106">
        <f>'GMV表-商品大类'!T22+B75</f>
        <v>718524.900966309</v>
      </c>
      <c r="C19" s="94">
        <v>14129.50973536</v>
      </c>
      <c r="D19" s="106">
        <f t="shared" si="0"/>
        <v>732654.410701669</v>
      </c>
      <c r="F19" s="521">
        <v>45047</v>
      </c>
      <c r="G19" s="106">
        <f>'毛利-收入组成'!AQ43</f>
        <v>16236.98625948</v>
      </c>
      <c r="H19" s="57">
        <v>16554204.63</v>
      </c>
      <c r="I19" s="106">
        <f t="shared" si="1"/>
        <v>1754.74569078</v>
      </c>
      <c r="J19" s="106">
        <v>3943.98779104</v>
      </c>
      <c r="K19" s="106">
        <f t="shared" si="2"/>
        <v>49.602631431591</v>
      </c>
      <c r="L19" s="106">
        <f t="shared" si="3"/>
        <v>18376.6257283084</v>
      </c>
      <c r="M19" s="106">
        <v>8310.21333937</v>
      </c>
      <c r="N19" s="106">
        <f t="shared" si="4"/>
        <v>26686.8390676784</v>
      </c>
      <c r="P19" s="521">
        <v>45047</v>
      </c>
      <c r="Q19" s="113">
        <f>33865340.38/10000</f>
        <v>3386.534038</v>
      </c>
      <c r="R19" s="113">
        <f>467949.353128217/10000</f>
        <v>46.7949353128217</v>
      </c>
      <c r="S19" s="113">
        <v>-480.000064</v>
      </c>
      <c r="W19" s="106">
        <f t="shared" si="5"/>
        <v>2859.73903868718</v>
      </c>
      <c r="X19" s="113">
        <v>-782.021931</v>
      </c>
      <c r="Y19" s="113"/>
      <c r="Z19" s="113"/>
      <c r="AA19" s="113">
        <f t="shared" si="6"/>
        <v>2077.71710768718</v>
      </c>
      <c r="AC19" s="521">
        <v>45047</v>
      </c>
      <c r="AD19" s="62">
        <f t="shared" si="7"/>
        <v>0.0255754890381594</v>
      </c>
      <c r="AE19" s="65">
        <f t="shared" si="8"/>
        <v>0.588145908458038</v>
      </c>
      <c r="AF19" s="62">
        <f t="shared" si="9"/>
        <v>0.0364248664552776</v>
      </c>
      <c r="AH19" s="521">
        <v>45047</v>
      </c>
      <c r="AI19" s="506">
        <f t="shared" si="10"/>
        <v>0.164955385489447</v>
      </c>
      <c r="AJ19" s="506">
        <f t="shared" si="11"/>
        <v>-0.0997499357727491</v>
      </c>
      <c r="AK19" s="506">
        <f t="shared" si="12"/>
        <v>0.082526826371723</v>
      </c>
      <c r="AL19" s="282"/>
      <c r="AM19" s="521">
        <v>45047</v>
      </c>
      <c r="AN19" s="57">
        <v>9017631.17999948</v>
      </c>
      <c r="AO19" s="57">
        <f t="shared" si="15"/>
        <v>96541.799552084</v>
      </c>
      <c r="AP19" s="94">
        <f t="shared" si="16"/>
        <v>-364.104999</v>
      </c>
    </row>
    <row r="20" spans="1:49">
      <c r="A20" s="521">
        <v>45078</v>
      </c>
      <c r="B20" s="106">
        <f>'GMV表-商品大类'!T23+B76</f>
        <v>885719.333738409</v>
      </c>
      <c r="C20" s="94">
        <v>16876.62326292</v>
      </c>
      <c r="D20" s="106">
        <f t="shared" si="0"/>
        <v>902595.957001329</v>
      </c>
      <c r="F20" s="521">
        <v>45078</v>
      </c>
      <c r="G20" s="106">
        <f>'毛利-收入组成'!AQ44</f>
        <v>21479.88015268</v>
      </c>
      <c r="H20" s="57">
        <v>22188118.01</v>
      </c>
      <c r="I20" s="106">
        <f t="shared" si="1"/>
        <v>2351.94050906</v>
      </c>
      <c r="J20" s="106">
        <v>4738.25328498</v>
      </c>
      <c r="K20" s="106">
        <f t="shared" si="2"/>
        <v>3.08844218448878</v>
      </c>
      <c r="L20" s="106">
        <f t="shared" si="3"/>
        <v>23863.1044864155</v>
      </c>
      <c r="M20" s="106">
        <v>9775.24810616</v>
      </c>
      <c r="N20" s="106">
        <f t="shared" si="4"/>
        <v>33638.3525925755</v>
      </c>
      <c r="P20" s="521">
        <v>45078</v>
      </c>
      <c r="Q20" s="113">
        <f>56339633.83/10000</f>
        <v>5633.963383</v>
      </c>
      <c r="R20" s="113">
        <f>29136.2470234791/10000</f>
        <v>2.91362470234791</v>
      </c>
      <c r="S20" s="113">
        <v>-606.535579</v>
      </c>
      <c r="W20" s="106">
        <f t="shared" si="5"/>
        <v>5024.51417929765</v>
      </c>
      <c r="X20" s="113">
        <v>-595.029043</v>
      </c>
      <c r="Y20" s="113"/>
      <c r="Z20" s="113"/>
      <c r="AA20" s="113">
        <f t="shared" si="6"/>
        <v>4429.48513629765</v>
      </c>
      <c r="AC20" s="521">
        <v>45078</v>
      </c>
      <c r="AD20" s="62">
        <f t="shared" si="7"/>
        <v>0.0269420611896266</v>
      </c>
      <c r="AE20" s="65">
        <f t="shared" si="8"/>
        <v>0.579218244898398</v>
      </c>
      <c r="AF20" s="62">
        <f t="shared" si="9"/>
        <v>0.037268450331122</v>
      </c>
      <c r="AH20" s="521">
        <v>45078</v>
      </c>
      <c r="AI20" s="506">
        <f t="shared" si="10"/>
        <v>0.223189109073692</v>
      </c>
      <c r="AJ20" s="506">
        <f t="shared" si="11"/>
        <v>-0.0645232508403073</v>
      </c>
      <c r="AK20" s="506">
        <f t="shared" si="12"/>
        <v>0.139580386154577</v>
      </c>
      <c r="AL20" s="282"/>
      <c r="AM20" s="521">
        <v>45078</v>
      </c>
      <c r="AN20" s="57">
        <v>22474293.45</v>
      </c>
      <c r="AO20" s="57">
        <f t="shared" si="15"/>
        <v>-438813.106104738</v>
      </c>
      <c r="AP20" s="94">
        <f t="shared" si="16"/>
        <v>-126.535515</v>
      </c>
      <c r="AQ20" s="112"/>
    </row>
    <row r="21" spans="1:49">
      <c r="A21" s="521">
        <v>45108</v>
      </c>
      <c r="B21" s="106">
        <f>'GMV表-商品大类'!T24+B77</f>
        <v>1031827.74739441</v>
      </c>
      <c r="C21" s="94">
        <v>19317.60663662</v>
      </c>
      <c r="D21" s="106">
        <f t="shared" si="0"/>
        <v>1051145.35403103</v>
      </c>
      <c r="F21" s="521">
        <v>45108</v>
      </c>
      <c r="G21" s="106">
        <f>'毛利-收入组成'!AQ45</f>
        <v>24896.66765134</v>
      </c>
      <c r="H21" s="57">
        <v>25343927.79</v>
      </c>
      <c r="I21" s="106">
        <f t="shared" si="1"/>
        <v>2686.45634574</v>
      </c>
      <c r="J21" s="106">
        <v>5300.66350086</v>
      </c>
      <c r="K21" s="106">
        <f t="shared" si="2"/>
        <v>100.729321678845</v>
      </c>
      <c r="L21" s="106">
        <f t="shared" si="3"/>
        <v>27410.1454847812</v>
      </c>
      <c r="M21" s="106">
        <v>11006.20861114</v>
      </c>
      <c r="N21" s="106">
        <f t="shared" si="4"/>
        <v>38416.3540959212</v>
      </c>
      <c r="P21" s="521">
        <v>45108</v>
      </c>
      <c r="Q21" s="113">
        <f>64434719.82/10000</f>
        <v>6443.471982</v>
      </c>
      <c r="R21" s="113">
        <f>950276.619611746/10000</f>
        <v>95.0276619611746</v>
      </c>
      <c r="S21" s="113">
        <v>-889.852811</v>
      </c>
      <c r="W21" s="106">
        <f t="shared" si="5"/>
        <v>5458.59150903883</v>
      </c>
      <c r="X21" s="113">
        <v>-612.043189</v>
      </c>
      <c r="Y21" s="113"/>
      <c r="Z21" s="113"/>
      <c r="AA21" s="113">
        <f t="shared" si="6"/>
        <v>4846.54832003883</v>
      </c>
      <c r="AC21" s="521">
        <v>45108</v>
      </c>
      <c r="AD21" s="62">
        <f t="shared" si="7"/>
        <v>0.0265646524373839</v>
      </c>
      <c r="AE21" s="65">
        <f t="shared" si="8"/>
        <v>0.569750115434888</v>
      </c>
      <c r="AF21" s="62">
        <f t="shared" si="9"/>
        <v>0.0365471377945958</v>
      </c>
      <c r="AH21" s="521">
        <v>45108</v>
      </c>
      <c r="AI21" s="506">
        <f t="shared" si="10"/>
        <v>0.211093626000408</v>
      </c>
      <c r="AJ21" s="506">
        <f t="shared" si="11"/>
        <v>-0.0589454373673554</v>
      </c>
      <c r="AK21" s="506">
        <f t="shared" si="12"/>
        <v>0.133727974456238</v>
      </c>
      <c r="AL21" s="282"/>
      <c r="AM21" s="521">
        <v>45108</v>
      </c>
      <c r="AN21" s="57">
        <v>8095085.99</v>
      </c>
      <c r="AO21" s="57">
        <f t="shared" si="15"/>
        <v>921140.372588267</v>
      </c>
      <c r="AP21" s="94">
        <f t="shared" si="16"/>
        <v>-283.317232</v>
      </c>
      <c r="AQ21" s="112"/>
    </row>
    <row r="22" spans="1:49">
      <c r="A22" s="521">
        <v>45139</v>
      </c>
      <c r="B22" s="106">
        <f>'GMV表-商品大类'!T25+B78</f>
        <v>1194307.37326741</v>
      </c>
      <c r="C22" s="94">
        <v>22430.2952629</v>
      </c>
      <c r="D22" s="106">
        <f t="shared" si="0"/>
        <v>1216737.66853031</v>
      </c>
      <c r="F22" s="521">
        <v>45139</v>
      </c>
      <c r="G22" s="106">
        <f>'毛利-收入组成'!AQ46</f>
        <v>29102.01093286</v>
      </c>
      <c r="H22" s="57">
        <v>29881459.15</v>
      </c>
      <c r="I22" s="106">
        <f t="shared" si="1"/>
        <v>3167.4346699</v>
      </c>
      <c r="J22" s="106">
        <v>6106.31846974</v>
      </c>
      <c r="K22" s="106">
        <f t="shared" si="2"/>
        <v>89.8921667714832</v>
      </c>
      <c r="L22" s="106">
        <f t="shared" si="3"/>
        <v>31951.0025659285</v>
      </c>
      <c r="M22" s="106">
        <v>12594.13329026</v>
      </c>
      <c r="N22" s="106">
        <f t="shared" si="4"/>
        <v>44545.1358561885</v>
      </c>
      <c r="P22" s="521">
        <v>45139</v>
      </c>
      <c r="Q22" s="520">
        <f>75519119.24/10000</f>
        <v>7551.911924</v>
      </c>
      <c r="R22" s="113">
        <f>848039.309164936/10000</f>
        <v>84.8039309164936</v>
      </c>
      <c r="S22" s="113">
        <v>-990.768691</v>
      </c>
      <c r="W22" s="106">
        <f t="shared" si="5"/>
        <v>6476.33930208351</v>
      </c>
      <c r="X22" s="113">
        <v>-592.286309</v>
      </c>
      <c r="Y22" s="113"/>
      <c r="Z22" s="113"/>
      <c r="AA22" s="113">
        <f t="shared" si="6"/>
        <v>5884.05299308351</v>
      </c>
      <c r="AC22" s="521">
        <v>45139</v>
      </c>
      <c r="AD22" s="62">
        <f t="shared" si="7"/>
        <v>0.0267527466388459</v>
      </c>
      <c r="AE22" s="65">
        <f t="shared" si="8"/>
        <v>0.561478711833583</v>
      </c>
      <c r="AF22" s="62">
        <f t="shared" si="9"/>
        <v>0.0366103039367511</v>
      </c>
      <c r="AH22" s="521">
        <v>45139</v>
      </c>
      <c r="AI22" s="506">
        <f t="shared" si="10"/>
        <v>0.2148577230415</v>
      </c>
      <c r="AJ22" s="506">
        <f t="shared" si="11"/>
        <v>-0.0498504718880134</v>
      </c>
      <c r="AK22" s="506">
        <f t="shared" si="12"/>
        <v>0.140017446412211</v>
      </c>
      <c r="AL22" s="282"/>
      <c r="AM22" s="521">
        <v>45139</v>
      </c>
      <c r="AN22" s="57">
        <v>11084399.42</v>
      </c>
      <c r="AO22" s="57">
        <f t="shared" si="15"/>
        <v>-102237.31044681</v>
      </c>
      <c r="AP22" s="94">
        <f t="shared" si="16"/>
        <v>-100.91588</v>
      </c>
    </row>
    <row r="23" spans="1:49">
      <c r="A23" s="521">
        <v>45170</v>
      </c>
      <c r="B23" s="106">
        <f>'GMV表-商品大类'!T26+B79</f>
        <v>1339120.09949441</v>
      </c>
      <c r="C23" s="94">
        <v>25425.01396346</v>
      </c>
      <c r="D23" s="106">
        <f t="shared" si="0"/>
        <v>1364545.11345787</v>
      </c>
      <c r="F23" s="521">
        <v>45170</v>
      </c>
      <c r="G23" s="106">
        <f>'毛利-收入组成'!AQ47</f>
        <v>31954.74835676</v>
      </c>
      <c r="H23" s="57">
        <v>32816668.12</v>
      </c>
      <c r="I23" s="106">
        <f t="shared" si="1"/>
        <v>3478.56682072</v>
      </c>
      <c r="J23" s="106">
        <v>7413.07615702</v>
      </c>
      <c r="K23" s="106">
        <f t="shared" si="2"/>
        <v>-155.33227174</v>
      </c>
      <c r="L23" s="106">
        <f t="shared" si="3"/>
        <v>36044.5899648</v>
      </c>
      <c r="M23" s="106">
        <v>14057.41198298</v>
      </c>
      <c r="N23" s="106">
        <f t="shared" si="4"/>
        <v>50102.00194778</v>
      </c>
      <c r="P23" s="521">
        <v>45170</v>
      </c>
      <c r="Q23" s="106">
        <f>83475621.39/10000</f>
        <v>8347.562139</v>
      </c>
      <c r="R23" s="106">
        <f>-1465398.79/10000</f>
        <v>-146.539879</v>
      </c>
      <c r="S23" s="106">
        <v>-698.136753</v>
      </c>
      <c r="W23" s="106">
        <f t="shared" si="5"/>
        <v>7795.965265</v>
      </c>
      <c r="X23" s="106">
        <v>-570.927247</v>
      </c>
      <c r="AA23" s="113">
        <f t="shared" si="6"/>
        <v>7225.038018</v>
      </c>
      <c r="AC23" s="521">
        <v>45170</v>
      </c>
      <c r="AD23" s="62">
        <f t="shared" si="7"/>
        <v>0.026916622324173</v>
      </c>
      <c r="AE23" s="65">
        <f t="shared" si="8"/>
        <v>0.552896922817146</v>
      </c>
      <c r="AF23" s="62">
        <f t="shared" si="9"/>
        <v>0.0367169992795749</v>
      </c>
      <c r="AH23" s="521">
        <v>45170</v>
      </c>
      <c r="AI23" s="506">
        <f t="shared" si="10"/>
        <v>0.229263897549399</v>
      </c>
      <c r="AJ23" s="506">
        <f t="shared" si="11"/>
        <v>-0.0430508035584875</v>
      </c>
      <c r="AK23" s="506">
        <f t="shared" si="12"/>
        <v>0.152858967732712</v>
      </c>
      <c r="AL23" s="282"/>
      <c r="AM23" s="521">
        <v>45170</v>
      </c>
      <c r="AN23" s="57">
        <v>7956502.15</v>
      </c>
      <c r="AO23" s="57">
        <f t="shared" si="15"/>
        <v>-2313438.09916494</v>
      </c>
      <c r="AP23" s="94">
        <f t="shared" si="16"/>
        <v>292.631938</v>
      </c>
    </row>
    <row r="24" spans="1:49">
      <c r="A24" s="521">
        <v>45200</v>
      </c>
      <c r="B24" s="106">
        <f>'GMV表-商品大类'!T27+B80</f>
        <v>1446744.99411341</v>
      </c>
      <c r="C24" s="94">
        <v>28365.19535696</v>
      </c>
      <c r="D24" s="106">
        <f t="shared" si="0"/>
        <v>1475110.18947037</v>
      </c>
      <c r="F24" s="521">
        <v>45200</v>
      </c>
      <c r="G24" s="106">
        <f>'毛利-收入组成'!AQ48</f>
        <v>35384.21696206</v>
      </c>
      <c r="H24" s="57">
        <v>35555089.73</v>
      </c>
      <c r="I24" s="106">
        <f t="shared" si="1"/>
        <v>3768.83951138</v>
      </c>
      <c r="J24" s="106">
        <v>8333.3067081</v>
      </c>
      <c r="K24" s="106">
        <f t="shared" si="2"/>
        <v>50.9291158804987</v>
      </c>
      <c r="L24" s="106">
        <f t="shared" si="3"/>
        <v>39897.7550428995</v>
      </c>
      <c r="M24" s="106">
        <v>15607.0722929</v>
      </c>
      <c r="N24" s="106">
        <f t="shared" si="4"/>
        <v>55504.8273357995</v>
      </c>
      <c r="P24" s="521">
        <v>45200</v>
      </c>
      <c r="Q24" s="106">
        <f>89396323.84/10000</f>
        <v>8939.632384</v>
      </c>
      <c r="R24" s="106">
        <f>480463.357363195/10000</f>
        <v>48.0463357363195</v>
      </c>
      <c r="S24" s="106">
        <v>-747.087156</v>
      </c>
      <c r="W24" s="106">
        <f t="shared" si="5"/>
        <v>8144.49889226368</v>
      </c>
      <c r="X24" s="106">
        <v>-460.831844</v>
      </c>
      <c r="AA24" s="113">
        <f t="shared" si="6"/>
        <v>7683.66704826368</v>
      </c>
      <c r="AC24" s="521">
        <v>45200</v>
      </c>
      <c r="AD24" s="62">
        <f t="shared" si="7"/>
        <v>0.0275776002026878</v>
      </c>
      <c r="AE24" s="65">
        <f t="shared" si="8"/>
        <v>0.550219101137637</v>
      </c>
      <c r="AF24" s="62">
        <f t="shared" si="9"/>
        <v>0.0376275804560256</v>
      </c>
      <c r="AH24" s="521">
        <v>45200</v>
      </c>
      <c r="AI24" s="506">
        <f t="shared" si="10"/>
        <v>0.216382320672349</v>
      </c>
      <c r="AJ24" s="506">
        <f t="shared" si="11"/>
        <v>-0.0312987436383069</v>
      </c>
      <c r="AK24" s="506">
        <f t="shared" si="12"/>
        <v>0.146738355240434</v>
      </c>
      <c r="AL24" s="282"/>
      <c r="AM24" s="521">
        <v>45200</v>
      </c>
      <c r="AN24" s="57">
        <v>5920702.45</v>
      </c>
      <c r="AO24" s="57">
        <f t="shared" si="15"/>
        <v>1945862.14736319</v>
      </c>
      <c r="AP24" s="94">
        <f t="shared" si="16"/>
        <v>-48.9504030000001</v>
      </c>
    </row>
    <row r="25" spans="1:49">
      <c r="A25" s="521">
        <v>45231</v>
      </c>
      <c r="B25" s="106">
        <f>'GMV表-商品大类'!T28+B81</f>
        <v>1573930.73969541</v>
      </c>
      <c r="C25" s="94">
        <v>32045.49472628</v>
      </c>
      <c r="D25" s="106">
        <f t="shared" si="0"/>
        <v>1605976.23442169</v>
      </c>
      <c r="F25" s="521">
        <v>45231</v>
      </c>
      <c r="G25" s="106">
        <f>'毛利-收入组成'!AQ49</f>
        <v>40497.76256342</v>
      </c>
      <c r="H25" s="57">
        <v>39818569.04</v>
      </c>
      <c r="I25" s="106">
        <f t="shared" si="1"/>
        <v>4220.76831824</v>
      </c>
      <c r="J25" s="106">
        <v>9122.31324458</v>
      </c>
      <c r="K25" s="106">
        <f t="shared" si="2"/>
        <v>-126.910945369862</v>
      </c>
      <c r="L25" s="106">
        <f t="shared" si="3"/>
        <v>45526.2184351299</v>
      </c>
      <c r="M25" s="106">
        <v>16855.04007242</v>
      </c>
      <c r="N25" s="106">
        <f t="shared" si="4"/>
        <v>62381.2585075499</v>
      </c>
      <c r="P25" s="521">
        <v>45231</v>
      </c>
      <c r="Q25" s="106">
        <f>105607329.35/10000</f>
        <v>10560.732935</v>
      </c>
      <c r="R25" s="106">
        <f>-1197273.069527/10000</f>
        <v>-119.7273069527</v>
      </c>
      <c r="S25" s="106">
        <v>-669.69008</v>
      </c>
      <c r="W25" s="106">
        <f t="shared" si="5"/>
        <v>10010.7701619527</v>
      </c>
      <c r="X25" s="106">
        <v>-555.38892</v>
      </c>
      <c r="AA25" s="113">
        <f t="shared" si="6"/>
        <v>9455.3812419527</v>
      </c>
      <c r="AC25" s="521">
        <v>45231</v>
      </c>
      <c r="AD25" s="62">
        <f t="shared" si="7"/>
        <v>0.0289251726819569</v>
      </c>
      <c r="AE25" s="65">
        <f t="shared" si="8"/>
        <v>0.525972222191891</v>
      </c>
      <c r="AF25" s="62">
        <f t="shared" si="9"/>
        <v>0.0388432015184915</v>
      </c>
      <c r="AH25" s="521">
        <v>45231</v>
      </c>
      <c r="AI25" s="506">
        <f t="shared" si="10"/>
        <v>0.233083632605902</v>
      </c>
      <c r="AJ25" s="506">
        <f t="shared" si="11"/>
        <v>-0.0349279653249424</v>
      </c>
      <c r="AK25" s="506">
        <f t="shared" si="12"/>
        <v>0.160668514170115</v>
      </c>
      <c r="AL25" s="282"/>
      <c r="AM25" s="521">
        <v>45231</v>
      </c>
      <c r="AN25" s="57">
        <v>16211005.510004</v>
      </c>
      <c r="AO25" s="57">
        <f t="shared" si="15"/>
        <v>-1677736.42689019</v>
      </c>
      <c r="AP25" s="94">
        <f t="shared" si="16"/>
        <v>77.3970760000001</v>
      </c>
    </row>
    <row r="26" spans="1:49">
      <c r="A26" s="521">
        <v>45261</v>
      </c>
      <c r="B26" s="106">
        <f>'GMV表-商品大类'!T29+B82</f>
        <v>1683893.28490741</v>
      </c>
      <c r="C26" s="94">
        <v>35301.10856646</v>
      </c>
      <c r="D26" s="106">
        <f t="shared" si="0"/>
        <v>1719194.39347387</v>
      </c>
      <c r="F26" s="521">
        <v>45261</v>
      </c>
      <c r="G26" s="106">
        <f>'毛利-收入组成'!AQ50</f>
        <v>47538.617733</v>
      </c>
      <c r="H26" s="57">
        <v>42529215.12</v>
      </c>
      <c r="I26" s="106">
        <f t="shared" si="1"/>
        <v>4508.09680272</v>
      </c>
      <c r="J26" s="106">
        <v>10356.61089324</v>
      </c>
      <c r="K26" s="106">
        <f t="shared" si="2"/>
        <v>116.107738506865</v>
      </c>
      <c r="L26" s="106">
        <f t="shared" si="3"/>
        <v>53271.0240850131</v>
      </c>
      <c r="M26" s="106">
        <v>18153.92860676</v>
      </c>
      <c r="N26" s="106">
        <f t="shared" si="4"/>
        <v>71424.9526917731</v>
      </c>
      <c r="P26" s="521">
        <v>45261</v>
      </c>
      <c r="Q26" s="106">
        <f>130338051.49/10000</f>
        <v>13033.805149</v>
      </c>
      <c r="R26" s="106">
        <f>1095356.02364967/10000</f>
        <v>109.535602364967</v>
      </c>
      <c r="S26" s="106">
        <v>-1547.280056</v>
      </c>
      <c r="W26" s="106">
        <f t="shared" si="5"/>
        <v>11376.989490635</v>
      </c>
      <c r="X26" s="106">
        <v>-455.016944</v>
      </c>
      <c r="AA26" s="113">
        <f t="shared" si="6"/>
        <v>10921.972546635</v>
      </c>
      <c r="AC26" s="521">
        <v>45261</v>
      </c>
      <c r="AD26" s="62">
        <f t="shared" si="7"/>
        <v>0.0316356295036489</v>
      </c>
      <c r="AE26" s="65">
        <f t="shared" si="8"/>
        <v>0.514259448044877</v>
      </c>
      <c r="AF26" s="62">
        <f t="shared" si="9"/>
        <v>0.0415455942404798</v>
      </c>
      <c r="AH26" s="521">
        <v>45261</v>
      </c>
      <c r="AI26" s="506">
        <f t="shared" si="10"/>
        <v>0.226382148029061</v>
      </c>
      <c r="AJ26" s="506">
        <f t="shared" si="11"/>
        <v>-0.0265682415684062</v>
      </c>
      <c r="AK26" s="506">
        <f t="shared" si="12"/>
        <v>0.162090284461142</v>
      </c>
      <c r="AM26" s="521">
        <v>45261</v>
      </c>
      <c r="AN26" s="57">
        <v>24730722.1399987</v>
      </c>
      <c r="AO26" s="57">
        <f t="shared" si="15"/>
        <v>2292629.09317667</v>
      </c>
      <c r="AP26" s="94">
        <f t="shared" si="16"/>
        <v>-877.589976</v>
      </c>
    </row>
    <row r="27" s="1" customFormat="1" spans="1:49">
      <c r="A27" s="522">
        <v>45292</v>
      </c>
      <c r="B27" s="106">
        <f>'GMV表-商品大类'!T30+B83</f>
        <v>101433.387802576</v>
      </c>
      <c r="C27" s="523">
        <v>2264.32705332</v>
      </c>
      <c r="D27" s="106">
        <f t="shared" si="0"/>
        <v>103697.714855896</v>
      </c>
      <c r="E27" s="282"/>
      <c r="F27" s="522">
        <v>45292</v>
      </c>
      <c r="G27" s="106">
        <f>'毛利-收入组成'!AQ51</f>
        <v>2786.25839992003</v>
      </c>
      <c r="H27" s="155">
        <v>2201641.67</v>
      </c>
      <c r="I27" s="106">
        <f t="shared" si="1"/>
        <v>233.37401702</v>
      </c>
      <c r="J27" s="106">
        <v>1992.77635938</v>
      </c>
      <c r="K27" s="106">
        <f t="shared" si="2"/>
        <v>-137.41391452202</v>
      </c>
      <c r="L27" s="106">
        <f t="shared" si="3"/>
        <v>4683.07465680205</v>
      </c>
      <c r="M27" s="524">
        <v>1641.75470322</v>
      </c>
      <c r="N27" s="106">
        <f t="shared" si="4"/>
        <v>6324.82936002205</v>
      </c>
      <c r="P27" s="522">
        <v>45292</v>
      </c>
      <c r="Q27" s="113">
        <f>3364142.28/10000</f>
        <v>336.414228</v>
      </c>
      <c r="R27" s="113">
        <f>-1296357.68417/10000</f>
        <v>-129.635768417</v>
      </c>
      <c r="S27" s="113">
        <v>701.999403</v>
      </c>
      <c r="T27" s="113"/>
      <c r="U27" s="113"/>
      <c r="V27" s="113"/>
      <c r="W27" s="106">
        <f t="shared" si="5"/>
        <v>1168.049399417</v>
      </c>
      <c r="X27" s="524">
        <v>66.763345</v>
      </c>
      <c r="Y27" s="524"/>
      <c r="Z27" s="524"/>
      <c r="AA27" s="113">
        <f t="shared" si="6"/>
        <v>1234.812744417</v>
      </c>
      <c r="AB27" s="106"/>
      <c r="AC27" s="522">
        <v>45292</v>
      </c>
      <c r="AD27" s="62">
        <f t="shared" si="7"/>
        <v>0.0461689662373983</v>
      </c>
      <c r="AE27" s="65">
        <f t="shared" si="8"/>
        <v>0.725051931351007</v>
      </c>
      <c r="AF27" s="62">
        <f t="shared" si="9"/>
        <v>0.0609929482902434</v>
      </c>
      <c r="AH27" s="522">
        <v>45292</v>
      </c>
      <c r="AI27" s="506">
        <f t="shared" si="10"/>
        <v>0.264384502515599</v>
      </c>
      <c r="AJ27" s="506">
        <f t="shared" si="11"/>
        <v>0.0431057974502521</v>
      </c>
      <c r="AK27" s="506">
        <f t="shared" si="12"/>
        <v>0.206946533191127</v>
      </c>
      <c r="AM27" s="522">
        <v>45292</v>
      </c>
      <c r="AN27" s="155">
        <v>3364142.27999995</v>
      </c>
      <c r="AO27" s="155">
        <f>R27*10000</f>
        <v>-1296357.68417</v>
      </c>
      <c r="AP27" s="523">
        <f>S27</f>
        <v>701.999403</v>
      </c>
      <c r="AR27" s="22"/>
      <c r="AS27" s="22"/>
      <c r="AT27" s="22"/>
      <c r="AU27" s="22"/>
      <c r="AV27" s="22"/>
      <c r="AW27" s="22"/>
    </row>
    <row r="28" s="1" customFormat="1" spans="1:49">
      <c r="A28" s="522">
        <v>45323</v>
      </c>
      <c r="B28" s="106">
        <f>'GMV表-商品大类'!T31+B84</f>
        <v>190089.478264575</v>
      </c>
      <c r="C28" s="523">
        <v>4490.929287</v>
      </c>
      <c r="D28" s="106">
        <f t="shared" si="0"/>
        <v>194580.407551575</v>
      </c>
      <c r="E28" s="282"/>
      <c r="F28" s="522">
        <v>45323</v>
      </c>
      <c r="G28" s="106">
        <f>'毛利-收入组成'!AQ52</f>
        <v>5256.80723673997</v>
      </c>
      <c r="H28" s="155">
        <v>4535148.59</v>
      </c>
      <c r="I28" s="106">
        <f t="shared" si="1"/>
        <v>480.72575054</v>
      </c>
      <c r="J28" s="106">
        <v>2470.02606528</v>
      </c>
      <c r="K28" s="106">
        <f t="shared" si="2"/>
        <v>-236.357036616187</v>
      </c>
      <c r="L28" s="106">
        <f t="shared" si="3"/>
        <v>7482.46458809616</v>
      </c>
      <c r="M28" s="524">
        <v>3234.96868876</v>
      </c>
      <c r="N28" s="106">
        <f t="shared" si="4"/>
        <v>10717.4332768562</v>
      </c>
      <c r="P28" s="522">
        <v>45323</v>
      </c>
      <c r="Q28" s="113">
        <v>566.717446999972</v>
      </c>
      <c r="R28" s="113">
        <f>-2229783.36430365/10000</f>
        <v>-222.978336430365</v>
      </c>
      <c r="S28" s="113">
        <v>664.828579</v>
      </c>
      <c r="T28" s="113"/>
      <c r="U28" s="113"/>
      <c r="V28" s="113"/>
      <c r="W28" s="106">
        <f t="shared" si="5"/>
        <v>1454.52436243034</v>
      </c>
      <c r="X28" s="524">
        <v>318.488097</v>
      </c>
      <c r="Y28" s="524"/>
      <c r="Z28" s="524"/>
      <c r="AA28" s="113">
        <f t="shared" si="6"/>
        <v>1773.01245943034</v>
      </c>
      <c r="AB28" s="106"/>
      <c r="AC28" s="522">
        <v>45323</v>
      </c>
      <c r="AD28" s="62">
        <f t="shared" si="7"/>
        <v>0.0393628550954394</v>
      </c>
      <c r="AE28" s="65">
        <f t="shared" si="8"/>
        <v>0.72033391799874</v>
      </c>
      <c r="AF28" s="62">
        <f t="shared" si="9"/>
        <v>0.0550797144055493</v>
      </c>
      <c r="AH28" s="522">
        <v>45323</v>
      </c>
      <c r="AI28" s="506">
        <f t="shared" si="10"/>
        <v>0.206054543395902</v>
      </c>
      <c r="AJ28" s="506">
        <f t="shared" si="11"/>
        <v>0.104358779110596</v>
      </c>
      <c r="AK28" s="506">
        <f t="shared" si="12"/>
        <v>0.175358517141845</v>
      </c>
      <c r="AM28" s="522">
        <v>45323</v>
      </c>
      <c r="AN28" s="155">
        <v>2303032.18999975</v>
      </c>
      <c r="AO28" s="155">
        <f t="shared" ref="AO28:AO38" si="17">(R28-R27)*10000</f>
        <v>-933425.68013365</v>
      </c>
      <c r="AP28" s="523">
        <f t="shared" ref="AP28:AP38" si="18">S28-S27</f>
        <v>-37.170824</v>
      </c>
      <c r="AR28" s="22"/>
      <c r="AS28" s="22"/>
      <c r="AT28" s="22"/>
      <c r="AU28" s="22"/>
      <c r="AV28" s="22"/>
      <c r="AW28" s="22"/>
    </row>
    <row r="29" s="1" customFormat="1" spans="1:49">
      <c r="A29" s="522">
        <v>45352</v>
      </c>
      <c r="B29" s="106">
        <f>'GMV表-商品大类'!T32+B85</f>
        <v>268614.836868545</v>
      </c>
      <c r="C29" s="523">
        <v>6554.900142</v>
      </c>
      <c r="D29" s="106">
        <f t="shared" si="0"/>
        <v>275169.737010545</v>
      </c>
      <c r="E29" s="282"/>
      <c r="F29" s="522">
        <v>45352</v>
      </c>
      <c r="G29" s="106">
        <f>'毛利-收入组成'!AQ53</f>
        <v>8421.34225815003</v>
      </c>
      <c r="H29" s="155">
        <v>6411571.26</v>
      </c>
      <c r="I29" s="106">
        <f t="shared" si="1"/>
        <v>679.62655356</v>
      </c>
      <c r="J29" s="106">
        <v>3319.78557576</v>
      </c>
      <c r="K29" s="106">
        <f t="shared" si="2"/>
        <v>-625.339479260226</v>
      </c>
      <c r="L29" s="106">
        <f t="shared" si="3"/>
        <v>11686.8407596103</v>
      </c>
      <c r="M29" s="524">
        <v>4047.31223566</v>
      </c>
      <c r="N29" s="106">
        <f t="shared" si="4"/>
        <v>15734.1529952703</v>
      </c>
      <c r="P29" s="522">
        <v>45352</v>
      </c>
      <c r="Q29" s="113">
        <f>19480246.9399998/10000</f>
        <v>1948.02469399998</v>
      </c>
      <c r="R29" s="113">
        <f>-5899429.04962477/10000</f>
        <v>-589.942904962477</v>
      </c>
      <c r="S29" s="113">
        <v>484.122276</v>
      </c>
      <c r="T29" s="113"/>
      <c r="U29" s="113"/>
      <c r="V29" s="113"/>
      <c r="W29" s="106">
        <f t="shared" si="5"/>
        <v>3022.08987496246</v>
      </c>
      <c r="X29" s="524">
        <v>-142.421724</v>
      </c>
      <c r="Y29" s="524"/>
      <c r="Z29" s="524"/>
      <c r="AA29" s="113">
        <f t="shared" si="6"/>
        <v>2879.66815096246</v>
      </c>
      <c r="AB29" s="106"/>
      <c r="AC29" s="522">
        <v>45352</v>
      </c>
      <c r="AD29" s="62">
        <f t="shared" si="7"/>
        <v>0.0435078005960244</v>
      </c>
      <c r="AE29" s="65">
        <f t="shared" si="8"/>
        <v>0.617448343679131</v>
      </c>
      <c r="AF29" s="62">
        <f t="shared" si="9"/>
        <v>0.0571798089652108</v>
      </c>
      <c r="AH29" s="522">
        <v>45352</v>
      </c>
      <c r="AI29" s="506">
        <f t="shared" si="10"/>
        <v>0.274104467867074</v>
      </c>
      <c r="AJ29" s="506">
        <f t="shared" si="11"/>
        <v>-0.0373005635962212</v>
      </c>
      <c r="AK29" s="506">
        <f t="shared" si="12"/>
        <v>0.194001433756096</v>
      </c>
      <c r="AM29" s="522">
        <v>45352</v>
      </c>
      <c r="AN29" s="155">
        <f t="shared" ref="AN29:AN38" si="19">(Q29-Q28)*10000</f>
        <v>13813072.4700001</v>
      </c>
      <c r="AO29" s="155">
        <f t="shared" si="17"/>
        <v>-3669645.68532112</v>
      </c>
      <c r="AP29" s="523">
        <f t="shared" si="18"/>
        <v>-180.706303</v>
      </c>
      <c r="AR29" s="22"/>
      <c r="AS29" s="22"/>
      <c r="AT29" s="22"/>
      <c r="AU29" s="22"/>
      <c r="AV29" s="22"/>
      <c r="AW29" s="22"/>
    </row>
    <row r="30" s="1" customFormat="1" spans="1:49">
      <c r="A30" s="522">
        <v>45383</v>
      </c>
      <c r="B30" s="106">
        <f>'GMV表-商品大类'!T33+B86</f>
        <v>329663.721740195</v>
      </c>
      <c r="C30" s="523">
        <v>7811.582488</v>
      </c>
      <c r="D30" s="106">
        <f t="shared" si="0"/>
        <v>337475.304228195</v>
      </c>
      <c r="E30" s="282"/>
      <c r="F30" s="522">
        <v>45383</v>
      </c>
      <c r="G30" s="106">
        <f>'毛利-收入组成'!AQ54</f>
        <v>9720.54984241008</v>
      </c>
      <c r="H30" s="155">
        <v>8210403.33</v>
      </c>
      <c r="I30" s="106">
        <f t="shared" si="1"/>
        <v>870.30275298</v>
      </c>
      <c r="J30" s="106">
        <v>3986.50777644</v>
      </c>
      <c r="K30" s="106">
        <f t="shared" si="2"/>
        <v>-630.704409538778</v>
      </c>
      <c r="L30" s="106">
        <f t="shared" si="3"/>
        <v>13467.4592754089</v>
      </c>
      <c r="M30" s="524">
        <v>4692.47300356</v>
      </c>
      <c r="N30" s="106">
        <f t="shared" si="4"/>
        <v>18159.9322789689</v>
      </c>
      <c r="P30" s="522">
        <v>45383</v>
      </c>
      <c r="Q30" s="113">
        <f>17237592.6600001/10000</f>
        <v>1723.75926600001</v>
      </c>
      <c r="R30" s="113">
        <f>-5950041.59942243/10000</f>
        <v>-595.004159942243</v>
      </c>
      <c r="S30" s="113">
        <v>527.017285</v>
      </c>
      <c r="T30" s="113"/>
      <c r="U30" s="113"/>
      <c r="V30" s="113"/>
      <c r="W30" s="106">
        <f t="shared" si="5"/>
        <v>2845.78071094225</v>
      </c>
      <c r="X30" s="524">
        <v>-364.304285</v>
      </c>
      <c r="Y30" s="524"/>
      <c r="Z30" s="524"/>
      <c r="AA30" s="113">
        <f t="shared" si="6"/>
        <v>2481.47642594225</v>
      </c>
      <c r="AB30" s="106"/>
      <c r="AC30" s="522">
        <v>45383</v>
      </c>
      <c r="AD30" s="62">
        <f t="shared" si="7"/>
        <v>0.0408521119773757</v>
      </c>
      <c r="AE30" s="65">
        <f t="shared" si="8"/>
        <v>0.6007070924193</v>
      </c>
      <c r="AF30" s="62">
        <f t="shared" si="9"/>
        <v>0.0538111442569126</v>
      </c>
      <c r="AH30" s="522">
        <v>45383</v>
      </c>
      <c r="AI30" s="506">
        <f t="shared" si="10"/>
        <v>0.223986387625977</v>
      </c>
      <c r="AJ30" s="506">
        <f t="shared" si="11"/>
        <v>-0.0822940359607894</v>
      </c>
      <c r="AK30" s="506">
        <f t="shared" si="12"/>
        <v>0.144844428442337</v>
      </c>
      <c r="AM30" s="522">
        <v>45383</v>
      </c>
      <c r="AN30" s="155">
        <f t="shared" si="19"/>
        <v>-2242654.2799997</v>
      </c>
      <c r="AO30" s="155">
        <f t="shared" si="17"/>
        <v>-50612.5497976598</v>
      </c>
      <c r="AP30" s="523">
        <f t="shared" si="18"/>
        <v>42.895009</v>
      </c>
      <c r="AR30" s="22"/>
      <c r="AS30" s="22"/>
      <c r="AT30" s="22"/>
      <c r="AU30" s="22"/>
      <c r="AV30" s="22"/>
      <c r="AW30" s="22"/>
    </row>
    <row r="31" s="1" customFormat="1" spans="1:49">
      <c r="A31" s="522">
        <v>45413</v>
      </c>
      <c r="B31" s="106">
        <f>'GMV表-商品大类'!T34+B87</f>
        <v>411711.946101995</v>
      </c>
      <c r="C31" s="523">
        <v>48484.603022</v>
      </c>
      <c r="D31" s="106">
        <f t="shared" si="0"/>
        <v>460196.549123995</v>
      </c>
      <c r="E31" s="282"/>
      <c r="F31" s="522">
        <v>45413</v>
      </c>
      <c r="G31" s="106">
        <f>'毛利-收入组成'!AQ55</f>
        <v>11948.9678637501</v>
      </c>
      <c r="H31" s="155">
        <v>10009914.44</v>
      </c>
      <c r="I31" s="106">
        <f t="shared" si="1"/>
        <v>1061.05093064</v>
      </c>
      <c r="J31" s="106">
        <v>4828.78357006</v>
      </c>
      <c r="K31" s="106">
        <f t="shared" si="2"/>
        <v>-643.365156971987</v>
      </c>
      <c r="L31" s="94">
        <f t="shared" si="3"/>
        <v>16360.0656601421</v>
      </c>
      <c r="M31" s="525">
        <v>5488.19571194</v>
      </c>
      <c r="N31" s="106">
        <f t="shared" si="4"/>
        <v>21848.2613720821</v>
      </c>
      <c r="P31" s="522">
        <v>45413</v>
      </c>
      <c r="Q31" s="113">
        <f>17363557.5599997/10000</f>
        <v>1736.35575599997</v>
      </c>
      <c r="R31" s="113">
        <f>-6069482.61294327/10000</f>
        <v>-606.948261294327</v>
      </c>
      <c r="S31" s="113">
        <v>469.472018</v>
      </c>
      <c r="T31" s="113"/>
      <c r="U31" s="113"/>
      <c r="V31" s="113"/>
      <c r="W31" s="106">
        <f t="shared" si="5"/>
        <v>2812.7760352943</v>
      </c>
      <c r="X31" s="524">
        <v>-520.886018</v>
      </c>
      <c r="Y31" s="524"/>
      <c r="Z31" s="524"/>
      <c r="AA31" s="113">
        <f t="shared" si="6"/>
        <v>2291.8900172943</v>
      </c>
      <c r="AB31" s="106"/>
      <c r="AC31" s="522">
        <v>45413</v>
      </c>
      <c r="AD31" s="62">
        <f t="shared" si="7"/>
        <v>0.0397366795280921</v>
      </c>
      <c r="AE31" s="65">
        <f t="shared" si="8"/>
        <v>0.113194609625858</v>
      </c>
      <c r="AF31" s="62">
        <f t="shared" si="9"/>
        <v>0.0474759348232212</v>
      </c>
      <c r="AH31" s="522">
        <v>45413</v>
      </c>
      <c r="AI31" s="506">
        <f t="shared" si="10"/>
        <v>0.182245148604499</v>
      </c>
      <c r="AJ31" s="506">
        <f t="shared" si="11"/>
        <v>-0.100604863248367</v>
      </c>
      <c r="AK31" s="506">
        <f t="shared" si="12"/>
        <v>0.111194358990792</v>
      </c>
      <c r="AM31" s="522">
        <v>45413</v>
      </c>
      <c r="AN31" s="155">
        <f t="shared" si="19"/>
        <v>125964.899999599</v>
      </c>
      <c r="AO31" s="155">
        <f t="shared" si="17"/>
        <v>-119441.013520841</v>
      </c>
      <c r="AP31" s="523">
        <f t="shared" si="18"/>
        <v>-57.545267</v>
      </c>
      <c r="AR31" s="22"/>
      <c r="AS31" s="22"/>
      <c r="AT31" s="22"/>
      <c r="AU31" s="22"/>
      <c r="AV31" s="22"/>
      <c r="AW31" s="22"/>
    </row>
    <row r="32" s="1" customFormat="1" spans="1:49">
      <c r="A32" s="522">
        <v>45444</v>
      </c>
      <c r="B32" s="106">
        <f>'GMV表-商品大类'!T35+B88</f>
        <v>509385.359714375</v>
      </c>
      <c r="C32" s="523">
        <v>57933.490216</v>
      </c>
      <c r="D32" s="106">
        <f t="shared" si="0"/>
        <v>567318.849930375</v>
      </c>
      <c r="E32" s="282"/>
      <c r="F32" s="522">
        <v>45444</v>
      </c>
      <c r="G32" s="106">
        <f>'毛利-收入组成'!AQ56</f>
        <v>13920.3868771701</v>
      </c>
      <c r="H32" s="155">
        <v>13079264.52</v>
      </c>
      <c r="I32" s="106">
        <f t="shared" si="1"/>
        <v>1386.40203912</v>
      </c>
      <c r="J32" s="106">
        <v>5206.97539086</v>
      </c>
      <c r="K32" s="106">
        <f t="shared" si="2"/>
        <v>-648.292812046771</v>
      </c>
      <c r="L32" s="94">
        <f t="shared" si="3"/>
        <v>18389.2530409569</v>
      </c>
      <c r="M32" s="524">
        <v>6076.52398014</v>
      </c>
      <c r="N32" s="106">
        <f t="shared" si="4"/>
        <v>24465.7770210969</v>
      </c>
      <c r="P32" s="522">
        <v>45444</v>
      </c>
      <c r="Q32" s="113">
        <f>20545121.3099999/10000</f>
        <v>2054.51213099999</v>
      </c>
      <c r="R32" s="113">
        <f>-6115969.92496954/10000</f>
        <v>-611.596992496954</v>
      </c>
      <c r="S32" s="113">
        <v>407.138557</v>
      </c>
      <c r="T32" s="113"/>
      <c r="U32" s="113"/>
      <c r="V32" s="113"/>
      <c r="W32" s="106">
        <f t="shared" si="5"/>
        <v>3073.24768049694</v>
      </c>
      <c r="X32" s="524">
        <v>-1234.855557</v>
      </c>
      <c r="Y32" s="524"/>
      <c r="Z32" s="524"/>
      <c r="AA32" s="113">
        <f t="shared" si="6"/>
        <v>1838.39212349694</v>
      </c>
      <c r="AB32" s="106"/>
      <c r="AC32" s="522">
        <v>45444</v>
      </c>
      <c r="AD32" s="62">
        <f t="shared" si="7"/>
        <v>0.0361008668393379</v>
      </c>
      <c r="AE32" s="65">
        <f t="shared" si="8"/>
        <v>0.104887931962742</v>
      </c>
      <c r="AF32" s="62">
        <f t="shared" si="9"/>
        <v>0.0431252672533258</v>
      </c>
      <c r="AH32" s="522">
        <v>45444</v>
      </c>
      <c r="AI32" s="506">
        <f t="shared" si="10"/>
        <v>0.177149258540914</v>
      </c>
      <c r="AJ32" s="506">
        <f t="shared" si="11"/>
        <v>-0.21541047064046</v>
      </c>
      <c r="AK32" s="506">
        <f t="shared" si="12"/>
        <v>0.0796498573998446</v>
      </c>
      <c r="AM32" s="522">
        <v>45444</v>
      </c>
      <c r="AN32" s="155">
        <f t="shared" si="19"/>
        <v>3181563.7500002</v>
      </c>
      <c r="AO32" s="155">
        <f t="shared" si="17"/>
        <v>-46487.31202627</v>
      </c>
      <c r="AP32" s="523">
        <f t="shared" si="18"/>
        <v>-62.333461</v>
      </c>
      <c r="AR32" s="22"/>
      <c r="AS32" s="22"/>
      <c r="AT32" s="22"/>
      <c r="AU32" s="22"/>
      <c r="AV32" s="22"/>
      <c r="AW32" s="22"/>
    </row>
    <row r="33" s="1" customFormat="1" spans="1:49">
      <c r="A33" s="522">
        <v>45474</v>
      </c>
      <c r="B33" s="106">
        <f>'GMV表-商品大类'!T36+B89</f>
        <v>607746.803181114</v>
      </c>
      <c r="C33" s="523">
        <v>67786.586914</v>
      </c>
      <c r="D33" s="106">
        <f t="shared" si="0"/>
        <v>675533.390095114</v>
      </c>
      <c r="E33" s="282"/>
      <c r="F33" s="522">
        <v>45474</v>
      </c>
      <c r="G33" s="106">
        <f>'毛利-收入组成'!AQ57</f>
        <v>16860.6072862501</v>
      </c>
      <c r="H33" s="155">
        <v>16583095.26</v>
      </c>
      <c r="I33" s="106">
        <f t="shared" si="1"/>
        <v>1757.80809756</v>
      </c>
      <c r="J33" s="106">
        <v>4830.44363518</v>
      </c>
      <c r="K33" s="106">
        <f t="shared" si="2"/>
        <v>216.828172297702</v>
      </c>
      <c r="L33" s="94">
        <f t="shared" si="3"/>
        <v>19716.4146515724</v>
      </c>
      <c r="M33" s="524">
        <v>7385.84691382</v>
      </c>
      <c r="N33" s="106">
        <f t="shared" si="4"/>
        <v>27102.2615653924</v>
      </c>
      <c r="P33" s="522">
        <v>45474</v>
      </c>
      <c r="Q33" s="113">
        <f>28247260.5499999/10000</f>
        <v>2824.72605499999</v>
      </c>
      <c r="R33" s="113">
        <f>2045548.79526134/10000</f>
        <v>204.554879526134</v>
      </c>
      <c r="S33" s="113">
        <v>345.709455</v>
      </c>
      <c r="T33" s="113"/>
      <c r="U33" s="113"/>
      <c r="V33" s="113"/>
      <c r="W33" s="106">
        <f t="shared" si="5"/>
        <v>2965.88063047386</v>
      </c>
      <c r="X33" s="524">
        <v>-914.541455</v>
      </c>
      <c r="Y33" s="524"/>
      <c r="Z33" s="524"/>
      <c r="AA33" s="113">
        <f t="shared" si="6"/>
        <v>2051.33917547386</v>
      </c>
      <c r="AB33" s="106"/>
      <c r="AC33" s="522">
        <v>45474</v>
      </c>
      <c r="AD33" s="62">
        <f t="shared" si="7"/>
        <v>0.0324418237140389</v>
      </c>
      <c r="AE33" s="65">
        <f t="shared" si="8"/>
        <v>0.10895735056244</v>
      </c>
      <c r="AF33" s="62">
        <f t="shared" si="9"/>
        <v>0.0401197956500365</v>
      </c>
      <c r="AH33" s="522">
        <v>45474</v>
      </c>
      <c r="AI33" s="506">
        <f t="shared" si="10"/>
        <v>0.159452594392032</v>
      </c>
      <c r="AJ33" s="506">
        <f t="shared" si="11"/>
        <v>-0.131252915692862</v>
      </c>
      <c r="AK33" s="506">
        <f t="shared" si="12"/>
        <v>0.0802301874607713</v>
      </c>
      <c r="AM33" s="522">
        <v>45474</v>
      </c>
      <c r="AN33" s="155">
        <f t="shared" si="19"/>
        <v>7702139.24</v>
      </c>
      <c r="AO33" s="155">
        <f t="shared" si="17"/>
        <v>8161518.72023088</v>
      </c>
      <c r="AP33" s="523">
        <f t="shared" si="18"/>
        <v>-61.4291019999999</v>
      </c>
      <c r="AR33" s="22"/>
      <c r="AS33" s="22"/>
      <c r="AT33" s="22"/>
      <c r="AU33" s="22"/>
      <c r="AV33" s="22"/>
      <c r="AW33" s="22"/>
    </row>
    <row r="34" s="1" customFormat="1" spans="1:49">
      <c r="A34" s="522">
        <v>45505</v>
      </c>
      <c r="B34" s="106">
        <f>'GMV表-商品大类'!T37+B90</f>
        <v>688414.047391074</v>
      </c>
      <c r="C34" s="523">
        <v>77960.769381</v>
      </c>
      <c r="D34" s="106">
        <f t="shared" si="0"/>
        <v>766374.816772074</v>
      </c>
      <c r="E34" s="282"/>
      <c r="F34" s="522">
        <v>45505</v>
      </c>
      <c r="G34" s="106">
        <f>'毛利-收入组成'!AQ58</f>
        <v>19501.13466795</v>
      </c>
      <c r="H34" s="155">
        <v>17318462.73</v>
      </c>
      <c r="I34" s="106">
        <f t="shared" si="1"/>
        <v>1835.75704938</v>
      </c>
      <c r="J34" s="106">
        <v>6482.24998036</v>
      </c>
      <c r="K34" s="106">
        <f t="shared" si="2"/>
        <v>163.130704068596</v>
      </c>
      <c r="L34" s="106">
        <f t="shared" si="3"/>
        <v>23984.4968948614</v>
      </c>
      <c r="M34" s="524">
        <v>8433.58844264</v>
      </c>
      <c r="N34" s="106">
        <f t="shared" si="4"/>
        <v>32418.0853375014</v>
      </c>
      <c r="P34" s="522">
        <v>45505</v>
      </c>
      <c r="Q34" s="113">
        <f>31134501.7400001/10000</f>
        <v>3113.45017400001</v>
      </c>
      <c r="R34" s="113">
        <f>1538968.90630751/10000</f>
        <v>153.896890630751</v>
      </c>
      <c r="S34" s="113">
        <v>331.253709</v>
      </c>
      <c r="T34" s="113"/>
      <c r="U34" s="113"/>
      <c r="V34" s="113"/>
      <c r="W34" s="106">
        <f t="shared" si="5"/>
        <v>3290.80699236926</v>
      </c>
      <c r="X34" s="524">
        <v>-916.408709</v>
      </c>
      <c r="Y34" s="524"/>
      <c r="Z34" s="524"/>
      <c r="AA34" s="113">
        <f t="shared" si="6"/>
        <v>2374.39828336926</v>
      </c>
      <c r="AB34" s="106"/>
      <c r="AC34" s="522">
        <v>45505</v>
      </c>
      <c r="AD34" s="62">
        <f t="shared" si="7"/>
        <v>0.034840220047451</v>
      </c>
      <c r="AE34" s="65">
        <f t="shared" si="8"/>
        <v>0.108177337263367</v>
      </c>
      <c r="AF34" s="62">
        <f t="shared" si="9"/>
        <v>0.0423005618504592</v>
      </c>
      <c r="AH34" s="522">
        <v>45505</v>
      </c>
      <c r="AI34" s="506">
        <f t="shared" si="10"/>
        <v>0.145437922971766</v>
      </c>
      <c r="AJ34" s="506">
        <f t="shared" si="11"/>
        <v>-0.115181483913616</v>
      </c>
      <c r="AK34" s="506">
        <f t="shared" si="12"/>
        <v>0.0776375950081141</v>
      </c>
      <c r="AM34" s="522">
        <v>45505</v>
      </c>
      <c r="AN34" s="155">
        <f t="shared" si="19"/>
        <v>2887241.1900002</v>
      </c>
      <c r="AO34" s="155">
        <f t="shared" si="17"/>
        <v>-506579.88895383</v>
      </c>
      <c r="AP34" s="523">
        <f t="shared" si="18"/>
        <v>-14.455746</v>
      </c>
      <c r="AR34" s="22"/>
      <c r="AS34" s="22"/>
      <c r="AT34" s="22"/>
      <c r="AU34" s="22"/>
      <c r="AV34" s="22"/>
      <c r="AW34" s="22"/>
    </row>
    <row r="35" s="1" customFormat="1" spans="1:49">
      <c r="A35" s="522">
        <v>45536</v>
      </c>
      <c r="B35" s="106">
        <f>'GMV表-商品大类'!T38+B91</f>
        <v>748878.175024344</v>
      </c>
      <c r="C35" s="523">
        <v>88041.301361</v>
      </c>
      <c r="D35" s="106">
        <f t="shared" si="0"/>
        <v>836919.476385345</v>
      </c>
      <c r="E35" s="282"/>
      <c r="F35" s="522">
        <v>45536</v>
      </c>
      <c r="G35" s="106">
        <f>'毛利-收入组成'!AQ59</f>
        <v>21218.05837137</v>
      </c>
      <c r="H35" s="155">
        <v>18819047.05</v>
      </c>
      <c r="I35" s="106">
        <f t="shared" si="1"/>
        <v>1994.8189873</v>
      </c>
      <c r="J35" s="106">
        <v>7755.02659404</v>
      </c>
      <c r="K35" s="106">
        <f t="shared" si="2"/>
        <v>163.323791592721</v>
      </c>
      <c r="L35" s="106">
        <f t="shared" si="3"/>
        <v>26814.9421865173</v>
      </c>
      <c r="M35" s="113">
        <v>9463.46993196</v>
      </c>
      <c r="N35" s="106">
        <f t="shared" si="4"/>
        <v>36278.4121184773</v>
      </c>
      <c r="P35" s="522">
        <v>45536</v>
      </c>
      <c r="Q35" s="113">
        <f>36119147.9499995/10000</f>
        <v>3611.91479499995</v>
      </c>
      <c r="R35" s="113">
        <f>1540790.48672378/10000</f>
        <v>154.079048672378</v>
      </c>
      <c r="S35" s="113">
        <v>741.044324</v>
      </c>
      <c r="T35" s="113"/>
      <c r="U35" s="113"/>
      <c r="V35" s="113"/>
      <c r="W35" s="106">
        <f t="shared" si="5"/>
        <v>4198.88007032757</v>
      </c>
      <c r="X35" s="113">
        <v>-869.186324</v>
      </c>
      <c r="Y35" s="113"/>
      <c r="Z35" s="113"/>
      <c r="AA35" s="113">
        <f t="shared" si="6"/>
        <v>3329.69374632757</v>
      </c>
      <c r="AB35" s="106"/>
      <c r="AC35" s="522">
        <v>45536</v>
      </c>
      <c r="AD35" s="62">
        <f t="shared" si="7"/>
        <v>0.0358068148876759</v>
      </c>
      <c r="AE35" s="65">
        <f t="shared" si="8"/>
        <v>0.107488982848589</v>
      </c>
      <c r="AF35" s="62">
        <f t="shared" si="9"/>
        <v>0.0433475539070542</v>
      </c>
      <c r="AH35" s="522">
        <v>45536</v>
      </c>
      <c r="AI35" s="506">
        <f t="shared" si="10"/>
        <v>0.165982564630892</v>
      </c>
      <c r="AJ35" s="506">
        <f t="shared" si="11"/>
        <v>-0.0973572600815756</v>
      </c>
      <c r="AK35" s="506">
        <f t="shared" si="12"/>
        <v>0.0972885847258347</v>
      </c>
      <c r="AM35" s="522">
        <v>45536</v>
      </c>
      <c r="AN35" s="155">
        <f t="shared" si="19"/>
        <v>4984646.2099994</v>
      </c>
      <c r="AO35" s="155">
        <f t="shared" si="17"/>
        <v>1821.58041626963</v>
      </c>
      <c r="AP35" s="523">
        <f t="shared" si="18"/>
        <v>409.790615</v>
      </c>
      <c r="AR35" s="22"/>
      <c r="AS35" s="22"/>
      <c r="AT35" s="22"/>
      <c r="AU35" s="22"/>
      <c r="AV35" s="22"/>
      <c r="AW35" s="22"/>
    </row>
    <row r="36" s="1" customFormat="1" spans="1:49">
      <c r="A36" s="522">
        <v>45566</v>
      </c>
      <c r="B36" s="106">
        <f>'GMV表-商品大类'!T39+B92</f>
        <v>813677.801364618</v>
      </c>
      <c r="C36" s="523">
        <v>98052.554632</v>
      </c>
      <c r="D36" s="106">
        <f t="shared" si="0"/>
        <v>911730.355996618</v>
      </c>
      <c r="E36" s="282"/>
      <c r="F36" s="522">
        <v>45566</v>
      </c>
      <c r="G36" s="106">
        <f>'毛利-收入组成'!AQ60</f>
        <v>23238.67200903</v>
      </c>
      <c r="H36" s="155">
        <v>20057337.23</v>
      </c>
      <c r="I36" s="106">
        <f t="shared" si="1"/>
        <v>2126.07774638</v>
      </c>
      <c r="J36" s="106">
        <v>8747.2110037</v>
      </c>
      <c r="K36" s="106">
        <f t="shared" si="2"/>
        <v>259.795160029978</v>
      </c>
      <c r="L36" s="106">
        <f t="shared" si="3"/>
        <v>29600.01010632</v>
      </c>
      <c r="M36" s="113">
        <v>10528.9131503</v>
      </c>
      <c r="N36" s="106">
        <f t="shared" si="4"/>
        <v>40128.92325662</v>
      </c>
      <c r="P36" s="522">
        <v>45566</v>
      </c>
      <c r="Q36" s="113">
        <f>37390549.6399998/10000</f>
        <v>3739.05496399998</v>
      </c>
      <c r="R36" s="113">
        <f>2450897.73613187/10000</f>
        <v>245.089773613187</v>
      </c>
      <c r="S36" s="113">
        <v>862.006982</v>
      </c>
      <c r="T36" s="113"/>
      <c r="U36" s="113"/>
      <c r="V36" s="113"/>
      <c r="W36" s="106">
        <f t="shared" si="5"/>
        <v>4355.97217238679</v>
      </c>
      <c r="X36" s="113">
        <v>-708.530982</v>
      </c>
      <c r="Y36" s="113"/>
      <c r="Z36" s="113"/>
      <c r="AA36" s="113">
        <f t="shared" si="6"/>
        <v>3647.44119038679</v>
      </c>
      <c r="AB36" s="106"/>
      <c r="AC36" s="522">
        <v>45566</v>
      </c>
      <c r="AD36" s="62">
        <f t="shared" si="7"/>
        <v>0.0363780479898529</v>
      </c>
      <c r="AE36" s="65">
        <f t="shared" si="8"/>
        <v>0.107380304264544</v>
      </c>
      <c r="AF36" s="62">
        <f t="shared" si="9"/>
        <v>0.044014025630149</v>
      </c>
      <c r="AH36" s="522">
        <v>45566</v>
      </c>
      <c r="AI36" s="506">
        <f t="shared" si="10"/>
        <v>0.155990842102589</v>
      </c>
      <c r="AJ36" s="506">
        <f t="shared" si="11"/>
        <v>-0.0713314688989148</v>
      </c>
      <c r="AK36" s="506">
        <f t="shared" si="12"/>
        <v>0.0963466584210476</v>
      </c>
      <c r="AM36" s="522">
        <v>45566</v>
      </c>
      <c r="AN36" s="155">
        <f t="shared" si="19"/>
        <v>1271401.6900003</v>
      </c>
      <c r="AO36" s="155">
        <f t="shared" si="17"/>
        <v>910107.24940809</v>
      </c>
      <c r="AP36" s="523">
        <f t="shared" si="18"/>
        <v>120.962658</v>
      </c>
      <c r="AR36" s="22"/>
      <c r="AS36" s="22"/>
      <c r="AT36" s="22"/>
      <c r="AU36" s="22"/>
      <c r="AV36" s="22"/>
      <c r="AW36" s="22"/>
    </row>
    <row r="37" s="1" customFormat="1" spans="1:49">
      <c r="A37" s="522">
        <v>45597</v>
      </c>
      <c r="B37" s="106">
        <f>'GMV表-商品大类'!T40+B93</f>
        <v>882563.819387638</v>
      </c>
      <c r="C37" s="523">
        <v>108422.021597</v>
      </c>
      <c r="D37" s="106">
        <f t="shared" si="0"/>
        <v>990985.840984638</v>
      </c>
      <c r="E37" s="282"/>
      <c r="F37" s="522">
        <v>45597</v>
      </c>
      <c r="G37" s="106">
        <f>'毛利-收入组成'!AQ61</f>
        <v>25333.2584270667</v>
      </c>
      <c r="H37" s="155">
        <v>19330114.31</v>
      </c>
      <c r="I37" s="106">
        <f t="shared" si="1"/>
        <v>2048.99211686</v>
      </c>
      <c r="J37" s="106">
        <v>9819.68379916</v>
      </c>
      <c r="K37" s="106">
        <f t="shared" si="2"/>
        <v>46.7433279835537</v>
      </c>
      <c r="L37" s="106">
        <f t="shared" si="3"/>
        <v>33057.2067813831</v>
      </c>
      <c r="M37" s="113">
        <v>11601.37564184</v>
      </c>
      <c r="N37" s="106">
        <f t="shared" si="4"/>
        <v>44658.5824232231</v>
      </c>
      <c r="P37" s="522">
        <v>45597</v>
      </c>
      <c r="Q37" s="113">
        <f>39282359.86/10000</f>
        <v>3928.235986</v>
      </c>
      <c r="R37" s="113">
        <f>440974.792297676/10000</f>
        <v>44.0974792297676</v>
      </c>
      <c r="S37" s="113">
        <v>1143.845086</v>
      </c>
      <c r="T37" s="113"/>
      <c r="U37" s="113"/>
      <c r="V37" s="113"/>
      <c r="W37" s="106">
        <f t="shared" si="5"/>
        <v>5027.98359277023</v>
      </c>
      <c r="X37" s="113">
        <v>-559.211086</v>
      </c>
      <c r="Y37" s="113"/>
      <c r="Z37" s="113"/>
      <c r="AA37" s="113">
        <f t="shared" si="6"/>
        <v>4468.77250677023</v>
      </c>
      <c r="AB37" s="106"/>
      <c r="AC37" s="522">
        <v>45597</v>
      </c>
      <c r="AD37" s="62">
        <f t="shared" si="7"/>
        <v>0.0374558825721178</v>
      </c>
      <c r="AE37" s="65">
        <f t="shared" si="8"/>
        <v>0.107002022937386</v>
      </c>
      <c r="AF37" s="62">
        <f t="shared" si="9"/>
        <v>0.0450648037300418</v>
      </c>
      <c r="AH37" s="522">
        <v>45597</v>
      </c>
      <c r="AI37" s="506">
        <f t="shared" si="10"/>
        <v>0.161225436970009</v>
      </c>
      <c r="AJ37" s="506">
        <f t="shared" si="11"/>
        <v>-0.0510942641165946</v>
      </c>
      <c r="AK37" s="506">
        <f t="shared" si="12"/>
        <v>0.106069171929497</v>
      </c>
      <c r="AM37" s="522">
        <v>45597</v>
      </c>
      <c r="AN37" s="155">
        <f t="shared" si="19"/>
        <v>1891810.2200002</v>
      </c>
      <c r="AO37" s="155">
        <f t="shared" si="17"/>
        <v>-2009922.94383419</v>
      </c>
      <c r="AP37" s="523">
        <f t="shared" si="18"/>
        <v>281.838104</v>
      </c>
      <c r="AR37" s="22"/>
      <c r="AS37" s="22"/>
      <c r="AT37" s="22"/>
      <c r="AU37" s="22"/>
      <c r="AV37" s="22"/>
      <c r="AW37" s="22"/>
    </row>
    <row r="38" s="1" customFormat="1" spans="1:49">
      <c r="A38" s="522">
        <v>45627</v>
      </c>
      <c r="B38" s="106">
        <f>'GMV表-商品大类'!T41+B94</f>
        <v>950049.948389949</v>
      </c>
      <c r="C38" s="523">
        <v>120473.038071</v>
      </c>
      <c r="D38" s="106">
        <f t="shared" si="0"/>
        <v>1070522.98646095</v>
      </c>
      <c r="E38" s="282"/>
      <c r="F38" s="522">
        <v>45627</v>
      </c>
      <c r="G38" s="106">
        <f>'毛利-收入组成'!AQ62</f>
        <v>28076.73833426</v>
      </c>
      <c r="H38" s="155">
        <v>20867964.24</v>
      </c>
      <c r="I38" s="106">
        <f t="shared" si="1"/>
        <v>2212.00420944</v>
      </c>
      <c r="J38" s="106">
        <v>10371.36524702</v>
      </c>
      <c r="K38" s="106">
        <f t="shared" si="2"/>
        <v>-5.94470390310582</v>
      </c>
      <c r="L38" s="106">
        <f t="shared" si="3"/>
        <v>36242.0440757431</v>
      </c>
      <c r="M38" s="113">
        <v>13216.35189298</v>
      </c>
      <c r="N38" s="106">
        <f t="shared" si="4"/>
        <v>49458.3959687231</v>
      </c>
      <c r="P38" s="522">
        <v>45627</v>
      </c>
      <c r="Q38" s="113">
        <f>30259069.27/10000</f>
        <v>3025.906927</v>
      </c>
      <c r="R38" s="113">
        <f>-56082.1122934511/10000</f>
        <v>-5.60821122934511</v>
      </c>
      <c r="S38" s="113">
        <v>799.440237</v>
      </c>
      <c r="T38" s="113"/>
      <c r="U38" s="113"/>
      <c r="V38" s="113"/>
      <c r="W38" s="106">
        <f t="shared" si="5"/>
        <v>3830.95537522935</v>
      </c>
      <c r="X38" s="113">
        <v>-191.653237</v>
      </c>
      <c r="Y38" s="113"/>
      <c r="Z38" s="113"/>
      <c r="AA38" s="113">
        <f t="shared" si="6"/>
        <v>3639.30213822935</v>
      </c>
      <c r="AB38" s="106"/>
      <c r="AC38" s="522">
        <v>45627</v>
      </c>
      <c r="AD38" s="62">
        <f t="shared" si="7"/>
        <v>0.0381475143882304</v>
      </c>
      <c r="AE38" s="65">
        <f t="shared" si="8"/>
        <v>0.109703815099201</v>
      </c>
      <c r="AF38" s="62">
        <f t="shared" si="9"/>
        <v>0.0462002185793582</v>
      </c>
      <c r="AH38" s="522">
        <v>45627</v>
      </c>
      <c r="AI38" s="506">
        <f t="shared" si="10"/>
        <v>0.112047010628217</v>
      </c>
      <c r="AJ38" s="506">
        <f t="shared" si="11"/>
        <v>-0.0153712940503579</v>
      </c>
      <c r="AK38" s="506">
        <f t="shared" si="12"/>
        <v>0.0779980868963612</v>
      </c>
      <c r="AM38" s="522">
        <v>45627</v>
      </c>
      <c r="AN38" s="155">
        <f t="shared" si="19"/>
        <v>-9023290.59</v>
      </c>
      <c r="AO38" s="155">
        <f t="shared" si="17"/>
        <v>-497056.904591127</v>
      </c>
      <c r="AP38" s="523">
        <f t="shared" si="18"/>
        <v>-344.404849</v>
      </c>
      <c r="AR38" s="22"/>
      <c r="AS38" s="22"/>
      <c r="AT38" s="22"/>
      <c r="AU38" s="22"/>
      <c r="AV38" s="22"/>
      <c r="AW38" s="22"/>
    </row>
    <row r="39" s="1" customFormat="1" spans="1:49">
      <c r="A39" s="516">
        <v>45658</v>
      </c>
      <c r="B39" s="106">
        <f>'GMV表-商品大类'!T42+B95</f>
        <v>81145.3129834806</v>
      </c>
      <c r="C39" s="523">
        <v>12379.049359</v>
      </c>
      <c r="D39" s="106">
        <f t="shared" si="0"/>
        <v>93524.3623424806</v>
      </c>
      <c r="E39" s="282"/>
      <c r="F39" s="516">
        <v>45658</v>
      </c>
      <c r="G39" s="106">
        <f>'毛利-收入组成'!AQ63</f>
        <v>2087.8323323404</v>
      </c>
      <c r="H39" s="155">
        <v>1143231.88</v>
      </c>
      <c r="I39" s="106">
        <f t="shared" si="1"/>
        <v>121.18257928</v>
      </c>
      <c r="J39" s="106">
        <v>2206.16432262</v>
      </c>
      <c r="K39" s="106">
        <f t="shared" si="2"/>
        <v>-180.428511598015</v>
      </c>
      <c r="L39" s="106">
        <f t="shared" si="3"/>
        <v>4353.24258727842</v>
      </c>
      <c r="M39" s="524">
        <v>1241.35703182</v>
      </c>
      <c r="N39" s="106">
        <f t="shared" si="4"/>
        <v>5594.59961909842</v>
      </c>
      <c r="O39" s="207"/>
      <c r="P39" s="516">
        <v>45658</v>
      </c>
      <c r="Q39" s="113">
        <f>2904342.15/10000</f>
        <v>290.434215</v>
      </c>
      <c r="R39" s="113">
        <f>-1702155.76979259/10000</f>
        <v>-170.215576979259</v>
      </c>
      <c r="S39" s="113">
        <v>744.552284</v>
      </c>
      <c r="T39" s="113"/>
      <c r="U39" s="113"/>
      <c r="V39" s="113"/>
      <c r="W39" s="106">
        <f t="shared" si="5"/>
        <v>1205.20207597926</v>
      </c>
      <c r="X39" s="113">
        <v>36.057099</v>
      </c>
      <c r="Y39" s="113"/>
      <c r="Z39" s="113"/>
      <c r="AA39" s="113">
        <f t="shared" si="6"/>
        <v>1241.25917497926</v>
      </c>
      <c r="AB39" s="106"/>
      <c r="AC39" s="516">
        <v>45658</v>
      </c>
      <c r="AD39" s="62">
        <f t="shared" si="7"/>
        <v>0.0536474927167345</v>
      </c>
      <c r="AE39" s="65">
        <f t="shared" si="8"/>
        <v>0.10027886599527</v>
      </c>
      <c r="AF39" s="62">
        <f t="shared" si="9"/>
        <v>0.0598197034331154</v>
      </c>
      <c r="AH39" s="516">
        <v>45658</v>
      </c>
      <c r="AI39" s="506">
        <f t="shared" si="10"/>
        <v>0.293462671772835</v>
      </c>
      <c r="AJ39" s="506">
        <f t="shared" si="11"/>
        <v>0.0307893087647504</v>
      </c>
      <c r="AK39" s="506">
        <f t="shared" si="12"/>
        <v>0.235179425706615</v>
      </c>
      <c r="AM39" s="516">
        <v>45658</v>
      </c>
      <c r="AN39" s="155">
        <f>Q39*10000</f>
        <v>2904342.15</v>
      </c>
      <c r="AO39" s="155">
        <f>R39*10000</f>
        <v>-1702155.76979259</v>
      </c>
      <c r="AP39" s="523">
        <f>S39</f>
        <v>744.552284</v>
      </c>
      <c r="AR39" s="22"/>
      <c r="AS39" s="22"/>
      <c r="AT39" s="22"/>
      <c r="AU39" s="22"/>
      <c r="AV39" s="22"/>
      <c r="AW39" s="22"/>
    </row>
    <row r="40" s="1" customFormat="1" spans="1:49">
      <c r="A40" s="516">
        <v>45689</v>
      </c>
      <c r="B40" s="106">
        <f>'GMV表-商品大类'!T43+B96</f>
        <v>143043.589247461</v>
      </c>
      <c r="C40" s="523">
        <v>15190.545145</v>
      </c>
      <c r="D40" s="106">
        <f t="shared" si="0"/>
        <v>158234.134392461</v>
      </c>
      <c r="E40" s="282"/>
      <c r="F40" s="516">
        <v>45689</v>
      </c>
      <c r="G40" s="106">
        <f>'毛利-收入组成'!AQ64</f>
        <v>4874.49166820039</v>
      </c>
      <c r="H40" s="155">
        <v>2075803.18</v>
      </c>
      <c r="I40" s="106">
        <f t="shared" si="1"/>
        <v>220.03513708</v>
      </c>
      <c r="J40" s="106">
        <v>2816.31864208</v>
      </c>
      <c r="K40" s="106">
        <f t="shared" si="2"/>
        <v>-266.661272909805</v>
      </c>
      <c r="L40" s="106">
        <f t="shared" si="3"/>
        <v>7737.4364461102</v>
      </c>
      <c r="M40" s="524">
        <v>2372.36314016</v>
      </c>
      <c r="N40" s="106">
        <f t="shared" si="4"/>
        <v>10109.7995862702</v>
      </c>
      <c r="O40" s="207"/>
      <c r="P40" s="516">
        <v>45689</v>
      </c>
      <c r="Q40" s="113">
        <f>14521013.01/10000</f>
        <v>1452.101301</v>
      </c>
      <c r="R40" s="113">
        <f>-2515672.38594156/10000</f>
        <v>-251.567238594156</v>
      </c>
      <c r="S40" s="113">
        <v>771.907528</v>
      </c>
      <c r="T40" s="113"/>
      <c r="U40" s="113"/>
      <c r="V40" s="113"/>
      <c r="W40" s="106">
        <f t="shared" si="5"/>
        <v>2475.57606759416</v>
      </c>
      <c r="X40" s="113">
        <v>26.999682</v>
      </c>
      <c r="Y40" s="113"/>
      <c r="Z40" s="113"/>
      <c r="AA40" s="113">
        <f t="shared" si="6"/>
        <v>2502.57574959416</v>
      </c>
      <c r="AB40" s="106"/>
      <c r="AC40" s="516">
        <v>45689</v>
      </c>
      <c r="AD40" s="62">
        <f t="shared" si="7"/>
        <v>0.0540914590217996</v>
      </c>
      <c r="AE40" s="65">
        <f t="shared" si="8"/>
        <v>0.156173667074803</v>
      </c>
      <c r="AF40" s="62">
        <f t="shared" si="9"/>
        <v>0.0638913950209712</v>
      </c>
      <c r="AH40" s="516">
        <v>45689</v>
      </c>
      <c r="AI40" s="506">
        <f t="shared" si="10"/>
        <v>0.339144708964816</v>
      </c>
      <c r="AJ40" s="506">
        <f t="shared" si="11"/>
        <v>0.0120637782789315</v>
      </c>
      <c r="AK40" s="506">
        <f t="shared" si="12"/>
        <v>0.262391976411916</v>
      </c>
      <c r="AM40" s="516">
        <v>45689</v>
      </c>
      <c r="AN40" s="155">
        <f t="shared" ref="AN40:AN47" si="20">(Q40-Q39)*10000</f>
        <v>11616670.86</v>
      </c>
      <c r="AO40" s="155">
        <f t="shared" ref="AO40:AO47" si="21">(R40-R39)*10000</f>
        <v>-813516.61614897</v>
      </c>
      <c r="AP40" s="523">
        <f t="shared" ref="AP40:AP47" si="22">(S40-S39)</f>
        <v>27.3552440000002</v>
      </c>
      <c r="AR40" s="22"/>
      <c r="AS40" s="22"/>
      <c r="AT40" s="22"/>
      <c r="AU40" s="22"/>
      <c r="AV40" s="22"/>
      <c r="AW40" s="22"/>
    </row>
    <row r="41" s="1" customFormat="1" spans="1:49">
      <c r="A41" s="516">
        <v>45717</v>
      </c>
      <c r="B41" s="106">
        <f>'GMV表-商品大类'!T44+B97</f>
        <v>210392.878571142</v>
      </c>
      <c r="C41" s="523">
        <v>27875.80365</v>
      </c>
      <c r="D41" s="106">
        <f t="shared" si="0"/>
        <v>238268.682221142</v>
      </c>
      <c r="E41" s="282"/>
      <c r="F41" s="516">
        <v>45717</v>
      </c>
      <c r="G41" s="106">
        <f>'毛利-收入组成'!AQ65</f>
        <v>7179.02280680926</v>
      </c>
      <c r="H41" s="155">
        <v>3524084.47</v>
      </c>
      <c r="I41" s="106">
        <f t="shared" si="1"/>
        <v>373.55295382</v>
      </c>
      <c r="J41" s="106">
        <v>2586.560086836</v>
      </c>
      <c r="K41" s="106">
        <f t="shared" si="2"/>
        <v>-308.932953544234</v>
      </c>
      <c r="L41" s="106">
        <f t="shared" si="3"/>
        <v>9700.96289336949</v>
      </c>
      <c r="M41" s="524">
        <v>3928.112711164</v>
      </c>
      <c r="N41" s="106">
        <f t="shared" si="4"/>
        <v>13629.0756045335</v>
      </c>
      <c r="O41" s="207"/>
      <c r="P41" s="516">
        <v>45717</v>
      </c>
      <c r="Q41" s="113">
        <f>20008987.28/10000</f>
        <v>2000.898728</v>
      </c>
      <c r="R41" s="113">
        <f>-2914461.825889/10000</f>
        <v>-291.4461825889</v>
      </c>
      <c r="S41" s="113">
        <v>362.7309156</v>
      </c>
      <c r="T41" s="113"/>
      <c r="U41" s="113"/>
      <c r="V41" s="113"/>
      <c r="W41" s="106">
        <f t="shared" si="5"/>
        <v>2655.0758261889</v>
      </c>
      <c r="X41" s="113">
        <v>351.1867314</v>
      </c>
      <c r="Y41" s="113"/>
      <c r="Z41" s="113"/>
      <c r="AA41" s="113">
        <f t="shared" si="6"/>
        <v>3006.2625575889</v>
      </c>
      <c r="AB41" s="106"/>
      <c r="AC41" s="516">
        <v>45717</v>
      </c>
      <c r="AD41" s="62">
        <f t="shared" si="7"/>
        <v>0.0461087987352634</v>
      </c>
      <c r="AE41" s="65">
        <f t="shared" si="8"/>
        <v>0.140914779013519</v>
      </c>
      <c r="AF41" s="62">
        <f t="shared" si="9"/>
        <v>0.0572004489951561</v>
      </c>
      <c r="AH41" s="516">
        <v>45717</v>
      </c>
      <c r="AI41" s="506">
        <f t="shared" si="10"/>
        <v>0.290113507978041</v>
      </c>
      <c r="AJ41" s="506">
        <f t="shared" si="11"/>
        <v>0.0947676308335079</v>
      </c>
      <c r="AK41" s="506">
        <f t="shared" si="12"/>
        <v>0.233811771502995</v>
      </c>
      <c r="AM41" s="516">
        <v>45717</v>
      </c>
      <c r="AN41" s="155">
        <f t="shared" si="20"/>
        <v>5487974.27</v>
      </c>
      <c r="AO41" s="155">
        <f t="shared" si="21"/>
        <v>-398789.43994744</v>
      </c>
      <c r="AP41" s="523">
        <f t="shared" si="22"/>
        <v>-409.1766124</v>
      </c>
      <c r="AR41" s="22"/>
      <c r="AS41" s="22"/>
      <c r="AT41" s="22"/>
      <c r="AU41" s="22"/>
      <c r="AV41" s="22"/>
      <c r="AW41" s="22"/>
    </row>
    <row r="42" s="1" customFormat="1" spans="1:49">
      <c r="A42" s="516">
        <v>45748</v>
      </c>
      <c r="B42" s="106">
        <f>'GMV表-商品大类'!T45+B98</f>
        <v>278652.468456923</v>
      </c>
      <c r="C42" s="523">
        <v>42828.327235</v>
      </c>
      <c r="D42" s="106">
        <f t="shared" si="0"/>
        <v>321480.795691923</v>
      </c>
      <c r="E42" s="282"/>
      <c r="F42" s="516">
        <v>45748</v>
      </c>
      <c r="G42" s="106">
        <f>'毛利-收入组成'!AQ66</f>
        <v>8964.24118036926</v>
      </c>
      <c r="H42" s="155">
        <v>5009720.78</v>
      </c>
      <c r="I42" s="106">
        <f t="shared" si="1"/>
        <v>531.03040268</v>
      </c>
      <c r="J42" s="106">
        <v>2814.781614616</v>
      </c>
      <c r="K42" s="106">
        <f t="shared" si="2"/>
        <v>-345.530853297554</v>
      </c>
      <c r="L42" s="106">
        <f t="shared" si="3"/>
        <v>11593.5232456028</v>
      </c>
      <c r="M42" s="524">
        <v>4813.516523404</v>
      </c>
      <c r="N42" s="106">
        <f t="shared" si="4"/>
        <v>16407.0397690068</v>
      </c>
      <c r="O42" s="207"/>
      <c r="P42" s="516">
        <v>45748</v>
      </c>
      <c r="Q42" s="113">
        <f>19493947.13/10000</f>
        <v>1949.394713</v>
      </c>
      <c r="R42" s="113">
        <f>-3259725.031109/10000</f>
        <v>-325.9725031109</v>
      </c>
      <c r="S42" s="113">
        <v>387.8490746</v>
      </c>
      <c r="T42" s="113"/>
      <c r="U42" s="113"/>
      <c r="V42" s="113"/>
      <c r="W42" s="106">
        <f t="shared" si="5"/>
        <v>2663.2162907109</v>
      </c>
      <c r="X42" s="113">
        <v>377.8072024</v>
      </c>
      <c r="Y42" s="113"/>
      <c r="Z42" s="113"/>
      <c r="AA42" s="113">
        <f t="shared" si="6"/>
        <v>3041.0234931109</v>
      </c>
      <c r="AB42" s="106"/>
      <c r="AC42" s="516">
        <v>45748</v>
      </c>
      <c r="AD42" s="62">
        <f t="shared" si="7"/>
        <v>0.0416056721471142</v>
      </c>
      <c r="AE42" s="65">
        <f t="shared" si="8"/>
        <v>0.112390953235043</v>
      </c>
      <c r="AF42" s="62">
        <f t="shared" si="9"/>
        <v>0.0510358316542484</v>
      </c>
      <c r="AH42" s="516">
        <v>45748</v>
      </c>
      <c r="AI42" s="506">
        <f t="shared" si="10"/>
        <v>0.243498823295521</v>
      </c>
      <c r="AJ42" s="506">
        <f t="shared" si="11"/>
        <v>0.0831981426877483</v>
      </c>
      <c r="AK42" s="506">
        <f t="shared" si="12"/>
        <v>0.196469622069593</v>
      </c>
      <c r="AM42" s="516">
        <v>45748</v>
      </c>
      <c r="AN42" s="155">
        <f t="shared" si="20"/>
        <v>-515040.150000002</v>
      </c>
      <c r="AO42" s="155">
        <f t="shared" si="21"/>
        <v>-345263.20522</v>
      </c>
      <c r="AP42" s="523">
        <f t="shared" si="22"/>
        <v>25.118159</v>
      </c>
      <c r="AR42" s="22"/>
      <c r="AS42" s="22"/>
      <c r="AT42" s="22"/>
      <c r="AU42" s="22"/>
      <c r="AV42" s="22"/>
      <c r="AW42" s="22"/>
    </row>
    <row r="43" s="1" customFormat="1" spans="1:49">
      <c r="A43" s="516">
        <v>45778</v>
      </c>
      <c r="B43" s="106">
        <f>'GMV表-商品大类'!T46+B99</f>
        <v>356718.108641523</v>
      </c>
      <c r="C43" s="523">
        <v>54421.447414</v>
      </c>
      <c r="D43" s="106">
        <f t="shared" ref="D43:D50" si="23">B43+C43</f>
        <v>411139.556055523</v>
      </c>
      <c r="E43" s="282"/>
      <c r="F43" s="516">
        <v>45778</v>
      </c>
      <c r="G43" s="106">
        <f>'毛利-收入组成'!AQ67</f>
        <v>11216.9649311067</v>
      </c>
      <c r="H43" s="155">
        <v>6693457.85</v>
      </c>
      <c r="I43" s="106">
        <f t="shared" ref="I43:I50" si="24">H43*1.06/10000</f>
        <v>709.5065321</v>
      </c>
      <c r="J43" s="106">
        <v>3386.126798396</v>
      </c>
      <c r="K43" s="106">
        <f t="shared" si="2"/>
        <v>-376.57449036778</v>
      </c>
      <c r="L43" s="106">
        <f t="shared" ref="L43:L50" si="25">G43-I43+J43-K43</f>
        <v>14270.1596877704</v>
      </c>
      <c r="M43" s="524">
        <v>6008.306606164</v>
      </c>
      <c r="N43" s="106">
        <f t="shared" ref="N43:N50" si="26">L43+M43</f>
        <v>20278.4662939344</v>
      </c>
      <c r="O43" s="207"/>
      <c r="P43" s="516">
        <v>45778</v>
      </c>
      <c r="Q43" s="113">
        <f>25241507.62/10000</f>
        <v>2524.150762</v>
      </c>
      <c r="R43" s="113">
        <f>-3552589.53177151/10000</f>
        <v>-355.258953177151</v>
      </c>
      <c r="S43" s="113">
        <v>590.1692966</v>
      </c>
      <c r="T43" s="113"/>
      <c r="U43" s="113"/>
      <c r="V43" s="113"/>
      <c r="W43" s="106">
        <f t="shared" si="5"/>
        <v>3469.57901177715</v>
      </c>
      <c r="X43" s="113">
        <v>527.5676914</v>
      </c>
      <c r="Y43" s="113"/>
      <c r="Z43" s="113"/>
      <c r="AA43" s="113">
        <f>W43+X43</f>
        <v>3997.14670317715</v>
      </c>
      <c r="AB43" s="106"/>
      <c r="AC43" s="516">
        <v>45778</v>
      </c>
      <c r="AD43" s="62">
        <f t="shared" ref="AD43:AD50" si="27">L43/B43</f>
        <v>0.0400040237433276</v>
      </c>
      <c r="AE43" s="65">
        <f t="shared" ref="AE43:AE50" si="28">M43/C43</f>
        <v>0.110403285683621</v>
      </c>
      <c r="AF43" s="62">
        <f t="shared" ref="AF43:AF50" si="29">N43/D43</f>
        <v>0.0493225864436061</v>
      </c>
      <c r="AH43" s="516">
        <v>45778</v>
      </c>
      <c r="AI43" s="506">
        <f t="shared" ref="AI43:AI50" si="30">W43*1.06/L43</f>
        <v>0.257723377520129</v>
      </c>
      <c r="AJ43" s="506">
        <f>X43*1.06/M43</f>
        <v>0.0930747695715607</v>
      </c>
      <c r="AK43" s="506">
        <f t="shared" ref="AK43:AK50" si="31">AA43*1.06/N43</f>
        <v>0.208939642868116</v>
      </c>
      <c r="AM43" s="516">
        <v>45778</v>
      </c>
      <c r="AN43" s="155">
        <f t="shared" si="20"/>
        <v>5747560.49</v>
      </c>
      <c r="AO43" s="155">
        <f t="shared" si="21"/>
        <v>-292864.50066251</v>
      </c>
      <c r="AP43" s="523">
        <f t="shared" si="22"/>
        <v>202.320222</v>
      </c>
      <c r="AR43" s="22"/>
      <c r="AS43" s="22"/>
      <c r="AT43" s="22"/>
      <c r="AU43" s="22"/>
      <c r="AV43" s="22"/>
      <c r="AW43" s="22"/>
    </row>
    <row r="44" s="1" customFormat="1" spans="1:49">
      <c r="A44" s="516">
        <v>45809</v>
      </c>
      <c r="B44" s="106">
        <f>'GMV表-商品大类'!T47+B100</f>
        <v>424209.964447624</v>
      </c>
      <c r="C44" s="523">
        <v>65823.460968</v>
      </c>
      <c r="D44" s="106">
        <f t="shared" si="23"/>
        <v>490033.425415624</v>
      </c>
      <c r="E44" s="282"/>
      <c r="F44" s="516">
        <v>45809</v>
      </c>
      <c r="G44" s="106">
        <f>'毛利-收入组成'!AQ68</f>
        <v>14471.0338297866</v>
      </c>
      <c r="H44" s="155">
        <v>8861461.01</v>
      </c>
      <c r="I44" s="106">
        <f t="shared" si="24"/>
        <v>939.31486706</v>
      </c>
      <c r="J44" s="106">
        <v>3774.207349276</v>
      </c>
      <c r="K44" s="106">
        <f t="shared" si="2"/>
        <v>-389.71032266186</v>
      </c>
      <c r="L44" s="106">
        <f t="shared" si="25"/>
        <v>17695.6366346645</v>
      </c>
      <c r="M44" s="524">
        <v>7247.297932684</v>
      </c>
      <c r="N44" s="106">
        <f t="shared" si="26"/>
        <v>24942.9345673485</v>
      </c>
      <c r="O44" s="207"/>
      <c r="P44" s="516">
        <v>45809</v>
      </c>
      <c r="Q44" s="113">
        <f>39303761.41/10000</f>
        <v>3930.376141</v>
      </c>
      <c r="R44" s="113">
        <f>-3676512.47794208/10000</f>
        <v>-367.651247794208</v>
      </c>
      <c r="S44" s="113">
        <v>438.5871826</v>
      </c>
      <c r="T44" s="523">
        <v>889.03</v>
      </c>
      <c r="U44" s="523">
        <v>220.17</v>
      </c>
      <c r="V44" s="523"/>
      <c r="W44" s="106">
        <f t="shared" ref="W44:W49" si="32">Q44-R44+S44-T44-U44</f>
        <v>3627.41457139421</v>
      </c>
      <c r="X44" s="113">
        <v>652.6365984</v>
      </c>
      <c r="Y44" s="113">
        <v>137.23</v>
      </c>
      <c r="Z44" s="113">
        <v>34.31</v>
      </c>
      <c r="AA44" s="113">
        <f>W44+(X44-Y44-Z44)</f>
        <v>4108.51116979421</v>
      </c>
      <c r="AB44" s="106"/>
      <c r="AC44" s="516">
        <v>45809</v>
      </c>
      <c r="AD44" s="62">
        <f t="shared" si="27"/>
        <v>0.0417143351587851</v>
      </c>
      <c r="AE44" s="65">
        <f t="shared" si="28"/>
        <v>0.110102049119041</v>
      </c>
      <c r="AF44" s="62">
        <f t="shared" si="29"/>
        <v>0.0509004759138482</v>
      </c>
      <c r="AH44" s="516">
        <v>45809</v>
      </c>
      <c r="AI44" s="506">
        <f t="shared" si="30"/>
        <v>0.217288562432711</v>
      </c>
      <c r="AJ44" s="506">
        <f>(X44-Y44-Z44)*1.06/M44</f>
        <v>0.0703658658772895</v>
      </c>
      <c r="AK44" s="506">
        <f t="shared" si="31"/>
        <v>0.174599417250719</v>
      </c>
      <c r="AM44" s="516">
        <v>45809</v>
      </c>
      <c r="AN44" s="155">
        <f t="shared" si="20"/>
        <v>14062253.79</v>
      </c>
      <c r="AO44" s="155">
        <f t="shared" si="21"/>
        <v>-123922.94617057</v>
      </c>
      <c r="AP44" s="523">
        <f t="shared" si="22"/>
        <v>-151.582114</v>
      </c>
      <c r="AR44" s="22"/>
      <c r="AS44" s="22"/>
      <c r="AT44" s="22"/>
      <c r="AU44" s="22"/>
      <c r="AV44" s="22"/>
      <c r="AW44" s="22"/>
    </row>
    <row r="45" s="1" customFormat="1" spans="1:49">
      <c r="A45" s="516">
        <v>45839</v>
      </c>
      <c r="B45" s="106">
        <f>'GMV表-商品大类'!T48+B101</f>
        <v>493155.856687354</v>
      </c>
      <c r="C45" s="196">
        <v>77849.085332</v>
      </c>
      <c r="D45" s="106">
        <f t="shared" si="23"/>
        <v>571004.942019354</v>
      </c>
      <c r="E45" s="56"/>
      <c r="F45" s="516">
        <v>45839</v>
      </c>
      <c r="G45" s="106">
        <f>'毛利-收入组成'!AQ69</f>
        <v>16659.4275666782</v>
      </c>
      <c r="H45" s="155">
        <v>10138584.51</v>
      </c>
      <c r="I45" s="106">
        <f t="shared" si="24"/>
        <v>1074.68995806</v>
      </c>
      <c r="J45" s="106">
        <v>4049.475052276</v>
      </c>
      <c r="K45" s="106">
        <f t="shared" si="2"/>
        <v>-414.431032943144</v>
      </c>
      <c r="L45" s="106">
        <f t="shared" si="25"/>
        <v>20048.6436938374</v>
      </c>
      <c r="M45" s="524">
        <v>8403.014724284</v>
      </c>
      <c r="N45" s="106">
        <f t="shared" si="26"/>
        <v>28451.6584181214</v>
      </c>
      <c r="O45" s="207"/>
      <c r="P45" s="516">
        <v>45839</v>
      </c>
      <c r="Q45" s="113">
        <f>43474589.87/10000</f>
        <v>4347.458987</v>
      </c>
      <c r="R45" s="113">
        <f>-3909726.72587872/10000</f>
        <v>-390.972672587872</v>
      </c>
      <c r="S45" s="113">
        <v>289.7060976</v>
      </c>
      <c r="T45" s="113"/>
      <c r="U45" s="113"/>
      <c r="V45" s="113"/>
      <c r="W45" s="106">
        <f t="shared" si="32"/>
        <v>5028.13775718787</v>
      </c>
      <c r="X45" s="113">
        <v>881.7879484</v>
      </c>
      <c r="Y45" s="113"/>
      <c r="Z45" s="113"/>
      <c r="AA45" s="113">
        <f t="shared" ref="AA45:AA50" si="33">W45+X45</f>
        <v>5909.92570558787</v>
      </c>
      <c r="AB45" s="106"/>
      <c r="AC45" s="516">
        <v>45839</v>
      </c>
      <c r="AD45" s="62">
        <f t="shared" si="27"/>
        <v>0.0406537678139096</v>
      </c>
      <c r="AE45" s="65">
        <f t="shared" si="28"/>
        <v>0.107939800300132</v>
      </c>
      <c r="AF45" s="62">
        <f t="shared" si="29"/>
        <v>0.0498273418046127</v>
      </c>
      <c r="AH45" s="516">
        <v>45839</v>
      </c>
      <c r="AI45" s="506">
        <f t="shared" si="30"/>
        <v>0.265844717678206</v>
      </c>
      <c r="AJ45" s="151">
        <f t="shared" ref="AJ45:AJ50" si="34">X45*1.06/M45</f>
        <v>0.111233319942045</v>
      </c>
      <c r="AK45" s="151">
        <f t="shared" si="31"/>
        <v>0.220181233580857</v>
      </c>
      <c r="AM45" s="516">
        <v>45839</v>
      </c>
      <c r="AN45" s="155">
        <f t="shared" si="20"/>
        <v>4170828.46</v>
      </c>
      <c r="AO45" s="155">
        <f t="shared" si="21"/>
        <v>-233214.24793664</v>
      </c>
      <c r="AP45" s="523">
        <f t="shared" si="22"/>
        <v>-148.881085</v>
      </c>
      <c r="AR45" s="22"/>
      <c r="AS45" s="22"/>
      <c r="AT45" s="22"/>
      <c r="AU45" s="22"/>
      <c r="AV45" s="22"/>
      <c r="AW45" s="22"/>
    </row>
    <row r="46" s="1" customFormat="1" spans="1:49">
      <c r="A46" s="516">
        <v>45870</v>
      </c>
      <c r="B46" s="106">
        <f>'GMV表-商品大类'!T49+B102</f>
        <v>571045.822584064</v>
      </c>
      <c r="C46" s="196">
        <v>88826.48729234</v>
      </c>
      <c r="D46" s="106">
        <f t="shared" si="23"/>
        <v>659872.309876404</v>
      </c>
      <c r="E46" s="56"/>
      <c r="F46" s="516">
        <v>45870</v>
      </c>
      <c r="G46" s="106">
        <f>'毛利-收入组成'!AQ70</f>
        <v>18922.0142979148</v>
      </c>
      <c r="H46" s="155">
        <v>12514411.09</v>
      </c>
      <c r="I46" s="106">
        <f t="shared" si="24"/>
        <v>1326.52757554</v>
      </c>
      <c r="J46" s="113">
        <v>4472.722040216</v>
      </c>
      <c r="K46" s="106">
        <f t="shared" si="2"/>
        <v>-538.202531689947</v>
      </c>
      <c r="L46" s="106">
        <f t="shared" si="25"/>
        <v>22606.4112942808</v>
      </c>
      <c r="M46" s="524">
        <v>9484.774850544</v>
      </c>
      <c r="N46" s="106">
        <f t="shared" si="26"/>
        <v>32091.1861448248</v>
      </c>
      <c r="O46" s="207"/>
      <c r="P46" s="516">
        <v>45870</v>
      </c>
      <c r="Q46" s="113">
        <f>41156976.78/10000</f>
        <v>4115.697678</v>
      </c>
      <c r="R46" s="113">
        <f>-5077382.37443346/10000</f>
        <v>-507.738237443346</v>
      </c>
      <c r="S46" s="113">
        <v>395.0137756</v>
      </c>
      <c r="T46" s="113"/>
      <c r="U46" s="113"/>
      <c r="V46" s="113"/>
      <c r="W46" s="106">
        <f t="shared" si="32"/>
        <v>5018.44969104335</v>
      </c>
      <c r="X46" s="113">
        <v>880.0542774</v>
      </c>
      <c r="Y46" s="113"/>
      <c r="Z46" s="113"/>
      <c r="AA46" s="113">
        <f t="shared" si="33"/>
        <v>5898.50396844335</v>
      </c>
      <c r="AB46" s="106"/>
      <c r="AC46" s="516">
        <v>45870</v>
      </c>
      <c r="AD46" s="62">
        <f t="shared" si="27"/>
        <v>0.0395877360453905</v>
      </c>
      <c r="AE46" s="65">
        <f t="shared" si="28"/>
        <v>0.106778677618178</v>
      </c>
      <c r="AF46" s="62">
        <f t="shared" si="29"/>
        <v>0.0486324182186635</v>
      </c>
      <c r="AH46" s="516">
        <v>45870</v>
      </c>
      <c r="AI46" s="506">
        <f t="shared" si="30"/>
        <v>0.235311859244627</v>
      </c>
      <c r="AJ46" s="151">
        <f t="shared" si="34"/>
        <v>0.0983531553192848</v>
      </c>
      <c r="AK46" s="151">
        <f t="shared" si="31"/>
        <v>0.194832754960609</v>
      </c>
      <c r="AM46" s="516">
        <v>45870</v>
      </c>
      <c r="AN46" s="155">
        <f t="shared" si="20"/>
        <v>-2317613.09</v>
      </c>
      <c r="AO46" s="155">
        <f t="shared" si="21"/>
        <v>-1167655.64855474</v>
      </c>
      <c r="AP46" s="523">
        <f t="shared" si="22"/>
        <v>105.307678</v>
      </c>
      <c r="AR46" s="22"/>
      <c r="AS46" s="22"/>
      <c r="AT46" s="22"/>
      <c r="AU46" s="22"/>
      <c r="AV46" s="22"/>
      <c r="AW46" s="22"/>
    </row>
    <row r="47" s="1" customFormat="1" spans="1:49">
      <c r="A47" s="516">
        <v>45901</v>
      </c>
      <c r="B47" s="106">
        <f>'GMV表-商品大类'!T50+B103</f>
        <v>655764.115532563</v>
      </c>
      <c r="C47" s="196">
        <v>108961.50312212</v>
      </c>
      <c r="D47" s="106">
        <f t="shared" si="23"/>
        <v>764725.618654683</v>
      </c>
      <c r="E47" s="56"/>
      <c r="F47" s="516">
        <v>45901</v>
      </c>
      <c r="G47" s="106">
        <f>'毛利-收入组成'!AQ71</f>
        <v>22196.9535698553</v>
      </c>
      <c r="H47" s="155">
        <v>14113155.06</v>
      </c>
      <c r="I47" s="106">
        <f t="shared" si="24"/>
        <v>1495.99443636</v>
      </c>
      <c r="J47" s="113">
        <v>5120.970010636</v>
      </c>
      <c r="K47" s="106">
        <f t="shared" si="2"/>
        <v>-515.369572119431</v>
      </c>
      <c r="L47" s="106">
        <f t="shared" si="25"/>
        <v>26337.2987162507</v>
      </c>
      <c r="M47" s="524">
        <v>10421.544146684</v>
      </c>
      <c r="N47" s="106">
        <f t="shared" si="26"/>
        <v>36758.8428629347</v>
      </c>
      <c r="O47" s="207"/>
      <c r="P47" s="516">
        <v>45901</v>
      </c>
      <c r="Q47" s="113">
        <f>60046102.59/10000</f>
        <v>6004.610259</v>
      </c>
      <c r="R47" s="113">
        <f>-4861977.09546633/10000</f>
        <v>-486.197709546633</v>
      </c>
      <c r="S47" s="113">
        <v>408.0779516</v>
      </c>
      <c r="T47" s="113"/>
      <c r="U47" s="113"/>
      <c r="V47" s="113"/>
      <c r="W47" s="106">
        <f t="shared" si="32"/>
        <v>6898.88592014663</v>
      </c>
      <c r="X47" s="113">
        <v>892.6902794</v>
      </c>
      <c r="Y47" s="113"/>
      <c r="Z47" s="113"/>
      <c r="AA47" s="113">
        <f t="shared" si="33"/>
        <v>7791.57619954663</v>
      </c>
      <c r="AB47" s="106"/>
      <c r="AC47" s="516">
        <v>45901</v>
      </c>
      <c r="AD47" s="62">
        <f t="shared" si="27"/>
        <v>0.0401627629393254</v>
      </c>
      <c r="AE47" s="65">
        <f t="shared" si="28"/>
        <v>0.0956442766304712</v>
      </c>
      <c r="AF47" s="62">
        <f t="shared" si="29"/>
        <v>0.0480680154636396</v>
      </c>
      <c r="AH47" s="516">
        <v>45901</v>
      </c>
      <c r="AI47" s="506">
        <f t="shared" si="30"/>
        <v>0.27766017897816</v>
      </c>
      <c r="AJ47" s="151">
        <f t="shared" si="34"/>
        <v>0.0907976479152646</v>
      </c>
      <c r="AK47" s="151">
        <f t="shared" si="31"/>
        <v>0.224682556040069</v>
      </c>
      <c r="AM47" s="516">
        <v>45901</v>
      </c>
      <c r="AN47" s="155">
        <f t="shared" si="20"/>
        <v>18889125.81</v>
      </c>
      <c r="AO47" s="155">
        <f t="shared" si="21"/>
        <v>215405.278967131</v>
      </c>
      <c r="AP47" s="523">
        <f t="shared" si="22"/>
        <v>13.0641759999999</v>
      </c>
      <c r="AR47" s="22"/>
      <c r="AS47" s="22"/>
      <c r="AT47" s="22"/>
      <c r="AU47" s="22"/>
      <c r="AV47" s="22"/>
      <c r="AW47" s="22"/>
    </row>
    <row r="48" s="1" customFormat="1" spans="1:49">
      <c r="A48" s="516">
        <v>45931</v>
      </c>
      <c r="B48" s="106">
        <f>'GMV表-商品大类'!T51+B104</f>
        <v>725220.645271493</v>
      </c>
      <c r="C48" s="196">
        <v>120596.5653865</v>
      </c>
      <c r="D48" s="106">
        <f t="shared" si="23"/>
        <v>845817.210657993</v>
      </c>
      <c r="E48" s="56"/>
      <c r="F48" s="516">
        <v>45931</v>
      </c>
      <c r="G48" s="106">
        <f>'毛利-收入组成'!AQ72</f>
        <v>24609.1436850052</v>
      </c>
      <c r="H48" s="155">
        <v>16310003.08</v>
      </c>
      <c r="I48" s="106">
        <f t="shared" si="24"/>
        <v>1728.86032648</v>
      </c>
      <c r="J48" s="113">
        <v>5696.616452436</v>
      </c>
      <c r="K48" s="106">
        <f t="shared" si="2"/>
        <v>-567.026642777227</v>
      </c>
      <c r="L48" s="106">
        <f t="shared" si="25"/>
        <v>29143.9264537384</v>
      </c>
      <c r="M48" s="524">
        <v>11357.620531424</v>
      </c>
      <c r="N48" s="106">
        <f t="shared" si="26"/>
        <v>40501.5469851624</v>
      </c>
      <c r="O48" s="207"/>
      <c r="P48" s="516">
        <v>45931</v>
      </c>
      <c r="Q48" s="113">
        <f>63459874.51/10000</f>
        <v>6345.987451</v>
      </c>
      <c r="R48" s="113">
        <f>-5349307.95072856/10000</f>
        <v>-534.930795072856</v>
      </c>
      <c r="S48" s="113">
        <v>603.3122176</v>
      </c>
      <c r="T48" s="113"/>
      <c r="U48" s="113"/>
      <c r="V48" s="113"/>
      <c r="W48" s="106">
        <f t="shared" si="32"/>
        <v>7484.23046367286</v>
      </c>
      <c r="X48" s="113">
        <v>1026.2939144</v>
      </c>
      <c r="Y48" s="113"/>
      <c r="Z48" s="113"/>
      <c r="AA48" s="113">
        <f t="shared" si="33"/>
        <v>8510.52437807286</v>
      </c>
      <c r="AB48" s="106"/>
      <c r="AC48" s="516">
        <v>45931</v>
      </c>
      <c r="AD48" s="62">
        <f t="shared" si="27"/>
        <v>0.0401862890194309</v>
      </c>
      <c r="AE48" s="65">
        <f t="shared" si="28"/>
        <v>0.0941786401214989</v>
      </c>
      <c r="AF48" s="62">
        <f t="shared" si="29"/>
        <v>0.0478845150876686</v>
      </c>
      <c r="AH48" s="516">
        <v>45931</v>
      </c>
      <c r="AI48" s="506">
        <f t="shared" si="30"/>
        <v>0.272210551453529</v>
      </c>
      <c r="AJ48" s="151">
        <f t="shared" si="34"/>
        <v>0.0957834034209985</v>
      </c>
      <c r="AK48" s="151">
        <f t="shared" si="31"/>
        <v>0.222736080773954</v>
      </c>
      <c r="AM48" s="516">
        <v>45931</v>
      </c>
      <c r="AN48" s="155"/>
      <c r="AO48" s="155"/>
      <c r="AP48" s="523"/>
      <c r="AT48" s="22"/>
      <c r="AU48" s="22"/>
      <c r="AV48" s="22"/>
      <c r="AW48" s="22"/>
    </row>
    <row r="49" s="1" customFormat="1" spans="1:49">
      <c r="A49" s="516">
        <v>45962</v>
      </c>
      <c r="B49" s="106">
        <f>'GMV表-商品大类'!T52+B105</f>
        <v>798077.957949363</v>
      </c>
      <c r="C49" s="196">
        <v>136314.25880728</v>
      </c>
      <c r="D49" s="106">
        <f t="shared" si="23"/>
        <v>934392.216756643</v>
      </c>
      <c r="E49" s="56"/>
      <c r="F49" s="516">
        <v>45962</v>
      </c>
      <c r="G49" s="106">
        <f>'毛利-收入组成'!AQ73</f>
        <v>27613.8279779052</v>
      </c>
      <c r="H49" s="155">
        <v>18481225.02</v>
      </c>
      <c r="I49" s="106">
        <f t="shared" si="24"/>
        <v>1959.00985212</v>
      </c>
      <c r="J49" s="113">
        <v>5982.796583296</v>
      </c>
      <c r="K49" s="106">
        <f t="shared" si="2"/>
        <v>-640.590281918268</v>
      </c>
      <c r="L49" s="106">
        <f t="shared" si="25"/>
        <v>32278.2049909994</v>
      </c>
      <c r="M49" s="524">
        <v>12838.798587764</v>
      </c>
      <c r="N49" s="106">
        <f t="shared" si="26"/>
        <v>45117.0035787634</v>
      </c>
      <c r="P49" s="516">
        <v>45962</v>
      </c>
      <c r="Q49" s="113">
        <f>66195787.6573616/10000</f>
        <v>6619.57876573616</v>
      </c>
      <c r="R49" s="113">
        <f>-6043304.54639876/10000</f>
        <v>-604.330454639876</v>
      </c>
      <c r="S49" s="113">
        <f>447.8839836+249.274506</f>
        <v>697.1584896</v>
      </c>
      <c r="T49" s="113"/>
      <c r="U49" s="113"/>
      <c r="V49" s="113">
        <v>870</v>
      </c>
      <c r="W49" s="106">
        <f>Q49-R49+S49-T49-U49+V49</f>
        <v>8791.06770997604</v>
      </c>
      <c r="X49" s="113">
        <v>1091.8200364</v>
      </c>
      <c r="Y49" s="113"/>
      <c r="Z49" s="113"/>
      <c r="AA49" s="113">
        <f t="shared" si="33"/>
        <v>9882.88774637604</v>
      </c>
      <c r="AB49" s="106"/>
      <c r="AC49" s="516">
        <v>45962</v>
      </c>
      <c r="AD49" s="62">
        <f t="shared" si="27"/>
        <v>0.0404449273025122</v>
      </c>
      <c r="AE49" s="65">
        <f t="shared" si="28"/>
        <v>0.0941852943345816</v>
      </c>
      <c r="AF49" s="62">
        <f t="shared" si="29"/>
        <v>0.0482848666434407</v>
      </c>
      <c r="AH49" s="516">
        <v>45962</v>
      </c>
      <c r="AI49" s="506">
        <f t="shared" si="30"/>
        <v>0.288694237339809</v>
      </c>
      <c r="AJ49" s="151">
        <f t="shared" si="34"/>
        <v>0.0901431104065291</v>
      </c>
      <c r="AK49" s="151">
        <f t="shared" si="31"/>
        <v>0.232193190597648</v>
      </c>
      <c r="AM49" s="516">
        <v>45962</v>
      </c>
      <c r="AN49" s="155"/>
      <c r="AO49" s="155"/>
      <c r="AP49" s="523"/>
      <c r="AR49" s="22"/>
      <c r="AS49" s="22"/>
      <c r="AT49" s="22"/>
      <c r="AU49" s="22"/>
      <c r="AV49" s="22"/>
      <c r="AW49" s="22"/>
    </row>
    <row r="50" s="1" customFormat="1" spans="1:49">
      <c r="A50" s="516">
        <v>45992</v>
      </c>
      <c r="B50" s="106">
        <f>'GMV表-商品大类'!T53+B106</f>
        <v>890519.096745602</v>
      </c>
      <c r="C50" s="196">
        <v>154056.06135134</v>
      </c>
      <c r="D50" s="106">
        <f t="shared" si="23"/>
        <v>1044575.15809694</v>
      </c>
      <c r="E50" s="56"/>
      <c r="F50" s="516">
        <v>45992</v>
      </c>
      <c r="G50" s="106">
        <f>'毛利-收入组成'!AQ74</f>
        <v>31162.3224525452</v>
      </c>
      <c r="H50" s="155">
        <v>20453483.88</v>
      </c>
      <c r="I50" s="106">
        <f t="shared" si="24"/>
        <v>2168.06929128</v>
      </c>
      <c r="J50" s="113">
        <v>6846.923930796</v>
      </c>
      <c r="K50" s="106">
        <f t="shared" si="2"/>
        <v>-658.420673315124</v>
      </c>
      <c r="L50" s="106">
        <f t="shared" si="25"/>
        <v>36499.5977653763</v>
      </c>
      <c r="M50" s="524">
        <v>13235.421454724</v>
      </c>
      <c r="N50" s="106">
        <f t="shared" si="26"/>
        <v>49735.0192201003</v>
      </c>
      <c r="P50" s="516">
        <v>45992</v>
      </c>
      <c r="Q50" s="113">
        <f>57603018.93/10000</f>
        <v>5760.301893</v>
      </c>
      <c r="R50" s="113">
        <f>-6211515.78599174/10000</f>
        <v>-621.151578599174</v>
      </c>
      <c r="S50" s="113">
        <f>547.4222716+249.274506</f>
        <v>796.6967776</v>
      </c>
      <c r="T50" s="113"/>
      <c r="U50" s="113"/>
      <c r="V50" s="113">
        <v>870</v>
      </c>
      <c r="W50" s="106">
        <f>Q50-R50+S50-T50-U50+V50</f>
        <v>8048.15024919917</v>
      </c>
      <c r="X50" s="113">
        <v>156.3981234</v>
      </c>
      <c r="Y50" s="113"/>
      <c r="Z50" s="113"/>
      <c r="AA50" s="113">
        <f t="shared" si="33"/>
        <v>8204.54837259917</v>
      </c>
      <c r="AB50" s="106"/>
      <c r="AC50" s="516">
        <v>45992</v>
      </c>
      <c r="AD50" s="62">
        <f t="shared" si="27"/>
        <v>0.0409868782138013</v>
      </c>
      <c r="AE50" s="65">
        <f t="shared" si="28"/>
        <v>0.085913019835937</v>
      </c>
      <c r="AF50" s="62">
        <f t="shared" si="29"/>
        <v>0.0476126766318184</v>
      </c>
      <c r="AH50" s="516">
        <v>45992</v>
      </c>
      <c r="AI50" s="506">
        <f t="shared" si="30"/>
        <v>0.233729678858097</v>
      </c>
      <c r="AJ50" s="151">
        <f t="shared" si="34"/>
        <v>0.012525631418018</v>
      </c>
      <c r="AK50" s="151">
        <f t="shared" si="31"/>
        <v>0.174863132885657</v>
      </c>
      <c r="AM50" s="516">
        <v>45992</v>
      </c>
      <c r="AN50" s="155"/>
      <c r="AO50" s="155"/>
      <c r="AP50" s="523"/>
      <c r="AR50" s="22"/>
      <c r="AS50" s="22"/>
      <c r="AT50" s="22"/>
      <c r="AU50" s="22"/>
      <c r="AV50" s="22"/>
      <c r="AW50" s="22"/>
    </row>
    <row r="51" s="1" customFormat="1" spans="1:49">
      <c r="A51" s="526"/>
      <c r="B51" s="113"/>
      <c r="C51" s="113"/>
      <c r="D51" s="113"/>
      <c r="E51" s="527"/>
      <c r="F51" s="526"/>
      <c r="G51" s="524"/>
      <c r="H51" s="155"/>
      <c r="I51" s="113"/>
      <c r="J51" s="113"/>
      <c r="K51" s="113"/>
      <c r="L51" s="113"/>
      <c r="M51" s="524"/>
      <c r="N51" s="113"/>
      <c r="P51" s="526"/>
      <c r="Q51" s="113"/>
      <c r="R51" s="113"/>
      <c r="S51" s="113"/>
      <c r="T51" s="113"/>
      <c r="U51" s="113"/>
      <c r="V51" s="113"/>
      <c r="W51" s="113"/>
      <c r="X51" s="113"/>
      <c r="Y51" s="113"/>
      <c r="Z51" s="113"/>
      <c r="AA51" s="113"/>
      <c r="AB51" s="113"/>
      <c r="AC51" s="526"/>
      <c r="AD51" s="213"/>
      <c r="AE51" s="215"/>
      <c r="AF51" s="213"/>
      <c r="AH51" s="526"/>
      <c r="AI51" s="151"/>
      <c r="AJ51" s="528"/>
      <c r="AK51" s="151"/>
      <c r="AM51" s="526"/>
      <c r="AN51" s="155"/>
      <c r="AO51" s="155"/>
      <c r="AP51" s="523"/>
      <c r="AR51" s="22"/>
      <c r="AS51" s="22"/>
      <c r="AT51" s="22"/>
      <c r="AU51" s="22"/>
      <c r="AV51" s="22"/>
      <c r="AW51" s="22"/>
    </row>
    <row r="52" spans="1:49">
      <c r="A52" s="55" t="s">
        <v>64</v>
      </c>
      <c r="B52" s="298">
        <f>B50/D50</f>
        <v>0.852517973305045</v>
      </c>
      <c r="C52" s="298">
        <f>C50/D50</f>
        <v>0.147482026694955</v>
      </c>
      <c r="D52" s="65"/>
      <c r="F52" s="55"/>
      <c r="G52" s="57"/>
      <c r="H52" s="94">
        <f>G53-I53</f>
        <v>3129.51903644516</v>
      </c>
      <c r="I52" s="94">
        <f>G53-I53-K53+J53</f>
        <v>257.553689633179</v>
      </c>
      <c r="J52" s="298"/>
      <c r="K52" s="57"/>
      <c r="L52" s="298">
        <f>L50/N50</f>
        <v>0.733881243794213</v>
      </c>
      <c r="M52" s="298">
        <f>M50/N50</f>
        <v>0.266118756205787</v>
      </c>
      <c r="P52" s="55"/>
      <c r="W52" s="298">
        <f>W50/AA50</f>
        <v>0.980937631628534</v>
      </c>
      <c r="X52" s="298">
        <f>X50/AA50</f>
        <v>0.0190623683714663</v>
      </c>
      <c r="Y52" s="298"/>
      <c r="Z52" s="298"/>
      <c r="AC52" s="55"/>
      <c r="AF52" s="54"/>
      <c r="AH52" s="55"/>
      <c r="AK52" s="506"/>
      <c r="AN52" s="106">
        <f>SUM(AN39:AN50)</f>
        <v>60046102.59</v>
      </c>
      <c r="AO52" s="106">
        <f>SUM(AO39:AO50)</f>
        <v>-4861977.09546633</v>
      </c>
      <c r="AP52" s="106">
        <f>SUM(AP39:AP50)</f>
        <v>408.0779516</v>
      </c>
    </row>
    <row r="53" spans="1:49">
      <c r="A53" s="529" t="s">
        <v>65</v>
      </c>
      <c r="B53" s="106">
        <f>B50-B38</f>
        <v>-59530.8516443465</v>
      </c>
      <c r="C53" s="106">
        <f>C50-C38</f>
        <v>33583.02328034</v>
      </c>
      <c r="D53" s="106">
        <f>D50-D38</f>
        <v>-25947.8283640064</v>
      </c>
      <c r="E53" s="133"/>
      <c r="F53" s="106"/>
      <c r="G53" s="106">
        <f>G50-G38</f>
        <v>3085.58411828516</v>
      </c>
      <c r="H53" s="106">
        <f t="shared" ref="H53:N53" si="35">H50-H38</f>
        <v>-414480.359999999</v>
      </c>
      <c r="I53" s="106">
        <f t="shared" si="35"/>
        <v>-43.9349181600001</v>
      </c>
      <c r="J53" s="106">
        <f t="shared" si="35"/>
        <v>-3524.441316224</v>
      </c>
      <c r="K53" s="106">
        <f t="shared" si="35"/>
        <v>-652.475969412019</v>
      </c>
      <c r="L53" s="106">
        <f t="shared" si="35"/>
        <v>257.553689633191</v>
      </c>
      <c r="M53" s="106">
        <f t="shared" si="35"/>
        <v>19.0695617440015</v>
      </c>
      <c r="N53" s="106">
        <f t="shared" si="35"/>
        <v>276.623251377197</v>
      </c>
      <c r="O53" s="106"/>
      <c r="Q53" s="106">
        <f>Q50-Q38</f>
        <v>2734.394966</v>
      </c>
      <c r="R53" s="106">
        <f>R50-R38</f>
        <v>-615.543367369829</v>
      </c>
      <c r="S53" s="106">
        <f>S50-S38</f>
        <v>-2.74345940000001</v>
      </c>
      <c r="T53" s="106">
        <f t="shared" ref="R53:AA53" si="36">T50-T38</f>
        <v>0</v>
      </c>
      <c r="U53" s="106">
        <f t="shared" si="36"/>
        <v>0</v>
      </c>
      <c r="V53" s="106">
        <f t="shared" si="36"/>
        <v>870</v>
      </c>
      <c r="W53" s="106">
        <f t="shared" si="36"/>
        <v>4217.19487396982</v>
      </c>
      <c r="X53" s="106">
        <f t="shared" si="36"/>
        <v>348.0513604</v>
      </c>
      <c r="Y53" s="106">
        <f t="shared" si="36"/>
        <v>0</v>
      </c>
      <c r="Z53" s="106">
        <f t="shared" si="36"/>
        <v>0</v>
      </c>
      <c r="AA53" s="106">
        <f t="shared" si="36"/>
        <v>4565.24623436983</v>
      </c>
      <c r="AF53" s="65"/>
      <c r="AK53" s="506"/>
      <c r="AN53" s="106"/>
      <c r="AO53" s="106"/>
      <c r="AP53" s="106">
        <f>AP52-S47</f>
        <v>0</v>
      </c>
    </row>
    <row r="54" spans="1:49">
      <c r="A54" s="529" t="s">
        <v>66</v>
      </c>
      <c r="B54" s="65">
        <f>B53/B38</f>
        <v>-0.0626607598318736</v>
      </c>
      <c r="C54" s="65">
        <f>C53/C38</f>
        <v>0.278759661232649</v>
      </c>
      <c r="D54" s="65">
        <f>D53/D38</f>
        <v>-0.0242384597922437</v>
      </c>
      <c r="G54" s="65">
        <f>G53/G38</f>
        <v>0.109898239658417</v>
      </c>
      <c r="H54" s="65">
        <f t="shared" ref="H54:N54" si="37">H53/H38</f>
        <v>-0.0198620409366773</v>
      </c>
      <c r="I54" s="65">
        <f t="shared" si="37"/>
        <v>-0.0198620409366774</v>
      </c>
      <c r="J54" s="65">
        <f t="shared" si="37"/>
        <v>-0.339824240327152</v>
      </c>
      <c r="K54" s="65">
        <f t="shared" si="37"/>
        <v>109.757521997207</v>
      </c>
      <c r="L54" s="65">
        <f t="shared" si="37"/>
        <v>0.0071064890571548</v>
      </c>
      <c r="M54" s="65">
        <f t="shared" si="37"/>
        <v>0.00144287636243482</v>
      </c>
      <c r="N54" s="65">
        <f t="shared" si="37"/>
        <v>0.00559304938947334</v>
      </c>
      <c r="O54" s="298"/>
      <c r="R54" s="106">
        <f>Q53-R53</f>
        <v>3349.93833336983</v>
      </c>
      <c r="S54" s="106">
        <f>Q53-R53+S53</f>
        <v>3347.19487396983</v>
      </c>
      <c r="W54" s="298">
        <f>W53/W38</f>
        <v>1.10082067288955</v>
      </c>
      <c r="X54" s="298">
        <f>X53/X38</f>
        <v>-1.81604738770992</v>
      </c>
      <c r="Y54" s="298"/>
      <c r="Z54" s="298"/>
      <c r="AA54" s="298">
        <f>AA53/AA38</f>
        <v>1.25442902539304</v>
      </c>
      <c r="AB54" s="298"/>
      <c r="AF54" s="65"/>
      <c r="AK54" s="506"/>
    </row>
    <row r="55" spans="1:49">
      <c r="A55" s="529"/>
      <c r="K55" s="106">
        <f>G53-I53-K53</f>
        <v>3781.99500585718</v>
      </c>
      <c r="L55" s="106">
        <f>L53-J53</f>
        <v>3781.99500585719</v>
      </c>
      <c r="N55" s="94"/>
      <c r="W55" s="218"/>
      <c r="X55" s="62"/>
      <c r="Y55" s="62"/>
      <c r="Z55" s="62"/>
      <c r="AA55" s="62"/>
      <c r="AB55" s="62"/>
      <c r="AI55" s="530"/>
      <c r="AJ55" s="531"/>
      <c r="AK55" s="530"/>
      <c r="AL55" s="531"/>
      <c r="AM55" s="532"/>
      <c r="AN55" s="533"/>
      <c r="AO55" s="533"/>
      <c r="AP55" s="533"/>
    </row>
    <row r="56" spans="1:49">
      <c r="A56" s="534" t="s">
        <v>67</v>
      </c>
      <c r="B56" s="535" t="s">
        <v>29</v>
      </c>
      <c r="C56" s="536" t="s">
        <v>68</v>
      </c>
      <c r="D56" s="537" t="s">
        <v>69</v>
      </c>
      <c r="E56" s="538" t="s">
        <v>70</v>
      </c>
      <c r="G56" s="539"/>
      <c r="H56" s="540"/>
      <c r="I56" s="541"/>
      <c r="J56" s="542"/>
      <c r="K56" s="543"/>
      <c r="L56" s="544"/>
      <c r="M56" s="545"/>
      <c r="N56" s="72"/>
      <c r="AI56" s="530"/>
      <c r="AJ56" s="546"/>
      <c r="AK56" s="547"/>
      <c r="AL56" s="546"/>
      <c r="AM56" s="548"/>
      <c r="AN56" s="549"/>
      <c r="AO56" s="549"/>
      <c r="AP56" s="549"/>
    </row>
    <row r="57" hidden="1" spans="1:49">
      <c r="A57" s="550">
        <v>44530</v>
      </c>
      <c r="B57" s="551">
        <v>199.78865584</v>
      </c>
      <c r="C57" s="551">
        <v>51.8858817</v>
      </c>
      <c r="D57" s="552">
        <v>48.948945</v>
      </c>
      <c r="E57" s="552">
        <v>38.006484</v>
      </c>
      <c r="F57" s="10"/>
      <c r="G57" s="553"/>
      <c r="H57" s="554"/>
      <c r="I57" s="554"/>
      <c r="J57" s="555"/>
      <c r="K57" s="555"/>
      <c r="L57" s="556"/>
      <c r="M57" s="557"/>
      <c r="N57" s="72"/>
      <c r="AA57" s="58"/>
      <c r="AB57" s="58"/>
      <c r="AI57" s="530"/>
      <c r="AJ57" s="546"/>
      <c r="AK57" s="547"/>
      <c r="AL57" s="546"/>
      <c r="AM57" s="548"/>
      <c r="AN57" s="549"/>
      <c r="AO57" s="549"/>
      <c r="AP57" s="549"/>
    </row>
    <row r="58" hidden="1" spans="1:49">
      <c r="A58" s="550">
        <v>44561</v>
      </c>
      <c r="B58" s="551">
        <v>336.975351</v>
      </c>
      <c r="C58" s="551">
        <v>99.150341</v>
      </c>
      <c r="D58" s="552">
        <v>93.5380575471698</v>
      </c>
      <c r="E58" s="552">
        <v>70.25</v>
      </c>
      <c r="F58" s="10"/>
      <c r="G58" s="553"/>
      <c r="H58" s="554"/>
      <c r="I58" s="554"/>
      <c r="J58" s="555"/>
      <c r="K58" s="555"/>
      <c r="L58" s="544"/>
      <c r="M58" s="557"/>
      <c r="N58" s="72"/>
      <c r="AI58" s="530"/>
      <c r="AJ58" s="546"/>
      <c r="AK58" s="547"/>
      <c r="AL58" s="546"/>
      <c r="AM58" s="548"/>
      <c r="AN58" s="549"/>
      <c r="AO58" s="549"/>
      <c r="AP58" s="549"/>
    </row>
    <row r="59" hidden="1" spans="1:49">
      <c r="A59" s="550">
        <v>44562</v>
      </c>
      <c r="B59" s="551">
        <v>1374.1752824</v>
      </c>
      <c r="C59" s="551">
        <v>708.69540815</v>
      </c>
      <c r="D59" s="552">
        <v>668.580573726415</v>
      </c>
      <c r="E59" s="558">
        <v>187.757613</v>
      </c>
      <c r="F59" s="10"/>
      <c r="G59" s="553"/>
      <c r="H59" s="554"/>
      <c r="I59" s="554"/>
      <c r="J59" s="555"/>
      <c r="K59" s="559"/>
      <c r="L59" s="556"/>
      <c r="M59" s="560"/>
      <c r="N59" s="218"/>
      <c r="O59" s="90"/>
      <c r="P59" s="561"/>
      <c r="X59" s="562"/>
      <c r="Y59" s="562"/>
      <c r="Z59" s="562"/>
      <c r="AI59" s="530"/>
      <c r="AJ59" s="546"/>
      <c r="AK59" s="547"/>
      <c r="AL59" s="546"/>
      <c r="AM59" s="548"/>
      <c r="AN59" s="549"/>
      <c r="AO59" s="549"/>
      <c r="AP59" s="549"/>
    </row>
    <row r="60" hidden="1" spans="1:49">
      <c r="A60" s="550">
        <v>44593</v>
      </c>
      <c r="B60" s="551">
        <v>1994.7</v>
      </c>
      <c r="C60" s="551">
        <v>948.85</v>
      </c>
      <c r="D60" s="552">
        <v>895.141509433962</v>
      </c>
      <c r="E60" s="558">
        <v>102.11</v>
      </c>
      <c r="F60" s="10"/>
      <c r="G60" s="553"/>
      <c r="H60" s="554"/>
      <c r="I60" s="554"/>
      <c r="J60" s="555"/>
      <c r="K60" s="559"/>
      <c r="L60" s="556"/>
      <c r="M60" s="557"/>
      <c r="N60" s="218"/>
      <c r="O60" s="90"/>
      <c r="P60" s="561"/>
      <c r="AI60" s="530"/>
      <c r="AJ60" s="546"/>
      <c r="AK60" s="547"/>
      <c r="AL60" s="546"/>
      <c r="AM60" s="548"/>
      <c r="AN60" s="549"/>
      <c r="AO60" s="549"/>
      <c r="AP60" s="549"/>
    </row>
    <row r="61" hidden="1" spans="1:49">
      <c r="A61" s="550">
        <v>44621</v>
      </c>
      <c r="B61" s="563">
        <v>2843.8</v>
      </c>
      <c r="C61" s="563">
        <v>1330.59</v>
      </c>
      <c r="D61" s="564">
        <v>1255.27358490566</v>
      </c>
      <c r="E61" s="558">
        <v>44.96</v>
      </c>
      <c r="F61" s="10"/>
      <c r="G61" s="553"/>
      <c r="H61" s="565"/>
      <c r="I61" s="565"/>
      <c r="J61" s="566"/>
      <c r="K61" s="559"/>
      <c r="L61" s="545"/>
      <c r="M61" s="560"/>
      <c r="N61" s="218"/>
      <c r="O61" s="90"/>
      <c r="P61" s="561"/>
      <c r="X61" s="72"/>
      <c r="Y61" s="72"/>
      <c r="Z61" s="72"/>
      <c r="AA61" s="72"/>
      <c r="AB61" s="72"/>
      <c r="AI61" s="530"/>
      <c r="AJ61" s="546"/>
      <c r="AK61" s="547"/>
      <c r="AL61" s="546"/>
      <c r="AM61" s="548"/>
      <c r="AN61" s="549"/>
      <c r="AO61" s="549"/>
      <c r="AP61" s="549"/>
    </row>
    <row r="62" hidden="1" spans="1:49">
      <c r="A62" s="550">
        <v>44652</v>
      </c>
      <c r="B62" s="567">
        <v>4082.2350394</v>
      </c>
      <c r="C62" s="567">
        <v>1618.11638181</v>
      </c>
      <c r="D62" s="567">
        <v>1527.99</v>
      </c>
      <c r="E62" s="568">
        <v>-150.020259</v>
      </c>
      <c r="F62" s="10"/>
      <c r="G62" s="553"/>
      <c r="H62" s="569"/>
      <c r="I62" s="569"/>
      <c r="J62" s="569"/>
      <c r="K62" s="570"/>
      <c r="L62" s="556"/>
      <c r="M62" s="560"/>
      <c r="N62" s="218"/>
      <c r="O62" s="90"/>
      <c r="P62" s="561"/>
      <c r="AI62" s="530"/>
      <c r="AJ62" s="546"/>
      <c r="AK62" s="547"/>
      <c r="AL62" s="546"/>
      <c r="AM62" s="548"/>
      <c r="AN62" s="549"/>
      <c r="AO62" s="549"/>
      <c r="AP62" s="549"/>
    </row>
    <row r="63" hidden="1" spans="1:49">
      <c r="A63" s="550">
        <v>44682</v>
      </c>
      <c r="B63" s="567">
        <v>6922.95774569</v>
      </c>
      <c r="C63" s="567">
        <v>1960.55669422</v>
      </c>
      <c r="D63" s="567">
        <v>1849.581787</v>
      </c>
      <c r="E63" s="568">
        <v>-321.363500999999</v>
      </c>
      <c r="F63" s="10"/>
      <c r="G63" s="553"/>
      <c r="H63" s="569"/>
      <c r="I63" s="569"/>
      <c r="J63" s="569"/>
      <c r="K63" s="570"/>
      <c r="L63" s="545"/>
      <c r="M63" s="560"/>
      <c r="N63" s="218"/>
      <c r="O63" s="90"/>
      <c r="P63" s="561"/>
      <c r="AA63" s="58"/>
      <c r="AB63" s="58"/>
      <c r="AI63" s="530"/>
      <c r="AJ63" s="571"/>
      <c r="AK63" s="572"/>
      <c r="AL63" s="571"/>
      <c r="AM63" s="549"/>
      <c r="AN63" s="549"/>
      <c r="AO63" s="549"/>
      <c r="AP63" s="549"/>
    </row>
    <row r="64" hidden="1" spans="1:49">
      <c r="A64" s="550">
        <v>44713</v>
      </c>
      <c r="B64" s="567">
        <v>6843.5655184</v>
      </c>
      <c r="C64" s="567">
        <v>2399.58801998</v>
      </c>
      <c r="D64" s="567">
        <v>2263.762283</v>
      </c>
      <c r="E64" s="568">
        <v>-515.08559</v>
      </c>
      <c r="F64" s="10"/>
      <c r="G64" s="553"/>
      <c r="H64" s="569"/>
      <c r="I64" s="569"/>
      <c r="J64" s="569"/>
      <c r="K64" s="570"/>
      <c r="L64" s="545"/>
      <c r="M64" s="560"/>
      <c r="N64" s="218"/>
      <c r="O64" s="90"/>
      <c r="P64" s="561"/>
      <c r="AA64" s="58"/>
      <c r="AB64" s="58"/>
      <c r="AI64" s="530"/>
      <c r="AJ64" s="571"/>
      <c r="AK64" s="572"/>
      <c r="AL64" s="571"/>
      <c r="AM64" s="549"/>
      <c r="AN64" s="549"/>
      <c r="AO64" s="549"/>
      <c r="AP64" s="549"/>
    </row>
    <row r="65" hidden="1" spans="1:42">
      <c r="A65" s="550">
        <v>44743</v>
      </c>
      <c r="B65" s="567">
        <v>10499.7911474</v>
      </c>
      <c r="C65" s="567">
        <v>2807.8764</v>
      </c>
      <c r="D65" s="567">
        <v>2648.94</v>
      </c>
      <c r="E65" s="568">
        <v>-805.11</v>
      </c>
      <c r="F65" s="10"/>
      <c r="G65" s="553"/>
      <c r="H65" s="569"/>
      <c r="I65" s="569"/>
      <c r="J65" s="569"/>
      <c r="K65" s="570"/>
      <c r="L65" s="545"/>
      <c r="M65" s="560"/>
      <c r="N65" s="218"/>
      <c r="O65" s="90"/>
      <c r="P65" s="561"/>
      <c r="AI65" s="530"/>
      <c r="AJ65" s="571"/>
      <c r="AK65" s="572"/>
      <c r="AL65" s="549"/>
      <c r="AM65" s="549"/>
      <c r="AN65" s="549"/>
      <c r="AO65" s="549"/>
      <c r="AP65" s="549"/>
    </row>
    <row r="66" hidden="1" spans="1:42">
      <c r="A66" s="550">
        <v>44774</v>
      </c>
      <c r="B66" s="567">
        <v>12096.444339</v>
      </c>
      <c r="C66" s="567">
        <v>3477.86</v>
      </c>
      <c r="D66" s="567">
        <v>3281</v>
      </c>
      <c r="E66" s="568">
        <v>-869.63</v>
      </c>
      <c r="F66" s="10"/>
      <c r="G66" s="553"/>
      <c r="H66" s="569"/>
      <c r="I66" s="569"/>
      <c r="J66" s="569"/>
      <c r="K66" s="570"/>
      <c r="L66" s="545"/>
      <c r="M66" s="560"/>
      <c r="N66" s="218"/>
      <c r="O66" s="90"/>
      <c r="P66" s="561"/>
      <c r="AI66" s="530"/>
      <c r="AJ66" s="571"/>
      <c r="AK66" s="572"/>
      <c r="AL66" s="571"/>
      <c r="AM66" s="571"/>
      <c r="AN66" s="549"/>
      <c r="AO66" s="548"/>
      <c r="AP66" s="549"/>
    </row>
    <row r="67" hidden="1" spans="1:42">
      <c r="A67" s="550">
        <v>44805</v>
      </c>
      <c r="B67" s="573">
        <v>13434.8955924</v>
      </c>
      <c r="C67" s="567">
        <v>4614.0846</v>
      </c>
      <c r="D67" s="567">
        <v>4352.91</v>
      </c>
      <c r="E67" s="568">
        <v>-850.89</v>
      </c>
      <c r="F67" s="10"/>
      <c r="G67" s="553"/>
      <c r="H67" s="574"/>
      <c r="I67" s="569"/>
      <c r="J67" s="569"/>
      <c r="K67" s="570"/>
      <c r="L67" s="545"/>
      <c r="M67" s="560"/>
      <c r="N67" s="218"/>
      <c r="O67" s="90"/>
      <c r="P67" s="561"/>
      <c r="AI67" s="530"/>
      <c r="AJ67" s="571"/>
      <c r="AK67" s="572"/>
      <c r="AL67" s="571"/>
      <c r="AM67" s="571"/>
      <c r="AN67" s="571"/>
      <c r="AO67" s="549"/>
      <c r="AP67" s="549"/>
    </row>
    <row r="68" hidden="1" spans="1:42">
      <c r="A68" s="550">
        <v>44835</v>
      </c>
      <c r="B68" s="573">
        <v>18333.83482548</v>
      </c>
      <c r="C68" s="567">
        <v>5260.2818</v>
      </c>
      <c r="D68" s="567">
        <v>4962.53</v>
      </c>
      <c r="E68" s="568">
        <v>-799.27</v>
      </c>
      <c r="F68" s="10"/>
      <c r="G68" s="553"/>
      <c r="H68" s="574"/>
      <c r="I68" s="569"/>
      <c r="J68" s="569"/>
      <c r="K68" s="570"/>
      <c r="L68" s="545"/>
      <c r="M68" s="560"/>
      <c r="N68" s="218"/>
      <c r="O68" s="90"/>
      <c r="P68" s="561"/>
      <c r="AI68" s="530"/>
      <c r="AJ68" s="549"/>
      <c r="AK68" s="572"/>
      <c r="AL68" s="549"/>
      <c r="AM68" s="549"/>
      <c r="AN68" s="549"/>
      <c r="AO68" s="549"/>
      <c r="AP68" s="549"/>
    </row>
    <row r="69" hidden="1" spans="1:42">
      <c r="A69" s="550">
        <v>44866</v>
      </c>
      <c r="B69" s="567">
        <v>19300.48924921</v>
      </c>
      <c r="C69" s="567">
        <v>5829.152</v>
      </c>
      <c r="D69" s="567">
        <v>5499.2</v>
      </c>
      <c r="E69" s="568">
        <v>-888.83</v>
      </c>
      <c r="F69" s="10"/>
      <c r="G69" s="553"/>
      <c r="H69" s="569"/>
      <c r="I69" s="569"/>
      <c r="J69" s="569"/>
      <c r="K69" s="570"/>
      <c r="L69" s="545"/>
      <c r="M69" s="560"/>
      <c r="N69" s="218"/>
      <c r="O69" s="90"/>
      <c r="P69" s="561"/>
      <c r="AI69" s="530"/>
      <c r="AJ69" s="549"/>
      <c r="AK69" s="572"/>
      <c r="AL69" s="549"/>
      <c r="AM69" s="549"/>
      <c r="AN69" s="549"/>
      <c r="AO69" s="549"/>
      <c r="AP69" s="549"/>
    </row>
    <row r="70" hidden="1" spans="1:42">
      <c r="A70" s="550">
        <v>44896</v>
      </c>
      <c r="B70" s="567">
        <v>20765.91</v>
      </c>
      <c r="C70" s="567">
        <v>7004.9464</v>
      </c>
      <c r="D70" s="567">
        <v>6608.44</v>
      </c>
      <c r="E70" s="568">
        <v>-1160.91</v>
      </c>
      <c r="F70" s="10"/>
      <c r="G70" s="553"/>
      <c r="H70" s="569"/>
      <c r="I70" s="569"/>
      <c r="J70" s="569"/>
      <c r="K70" s="570"/>
      <c r="L70" s="545"/>
      <c r="M70" s="560"/>
      <c r="N70" s="218"/>
      <c r="O70" s="90"/>
      <c r="P70" s="561"/>
      <c r="AI70" s="530"/>
      <c r="AJ70" s="549"/>
      <c r="AK70" s="572"/>
      <c r="AL70" s="549"/>
      <c r="AM70" s="549"/>
      <c r="AN70" s="549"/>
      <c r="AO70" s="549"/>
      <c r="AP70" s="549"/>
    </row>
    <row r="71" spans="1:42">
      <c r="A71" s="575">
        <v>44927</v>
      </c>
      <c r="B71" s="576">
        <v>5317.53689102</v>
      </c>
      <c r="C71" s="576">
        <v>1931.32878064</v>
      </c>
      <c r="D71" s="576">
        <v>1819.238944</v>
      </c>
      <c r="E71" s="577">
        <v>785.577999</v>
      </c>
      <c r="F71" s="10"/>
      <c r="G71" s="553"/>
      <c r="H71" s="569"/>
      <c r="I71" s="569"/>
      <c r="J71" s="569"/>
      <c r="K71" s="570"/>
      <c r="L71" s="545"/>
      <c r="M71" s="560"/>
      <c r="N71" s="218"/>
      <c r="O71" s="90"/>
      <c r="P71" s="561"/>
      <c r="Q71" s="562"/>
      <c r="AI71" s="530"/>
      <c r="AJ71" s="532"/>
      <c r="AK71" s="578"/>
      <c r="AL71" s="532"/>
      <c r="AM71" s="532"/>
      <c r="AN71" s="533"/>
      <c r="AO71" s="533"/>
      <c r="AP71" s="533"/>
    </row>
    <row r="72" spans="1:42">
      <c r="A72" s="575">
        <v>44958</v>
      </c>
      <c r="B72" s="576">
        <v>7275.800615</v>
      </c>
      <c r="C72" s="576">
        <v>2249.6399443</v>
      </c>
      <c r="D72" s="576">
        <v>2118.836155</v>
      </c>
      <c r="E72" s="577">
        <v>597.929336</v>
      </c>
      <c r="F72" s="10"/>
      <c r="G72" s="553"/>
      <c r="H72" s="569"/>
      <c r="I72" s="569"/>
      <c r="J72" s="569"/>
      <c r="K72" s="570"/>
      <c r="L72" s="545"/>
      <c r="M72" s="579"/>
      <c r="N72" s="218"/>
      <c r="O72" s="90"/>
      <c r="P72" s="561"/>
      <c r="AI72" s="530"/>
      <c r="AJ72" s="532"/>
      <c r="AK72" s="578"/>
      <c r="AL72" s="532"/>
      <c r="AM72" s="532"/>
      <c r="AN72" s="533"/>
      <c r="AO72" s="533"/>
      <c r="AP72" s="533"/>
    </row>
    <row r="73" spans="1:42">
      <c r="A73" s="575">
        <v>44986</v>
      </c>
      <c r="B73" s="576">
        <v>10239.66063492</v>
      </c>
      <c r="C73" s="576">
        <v>2973.55565506</v>
      </c>
      <c r="D73" s="576">
        <v>2799.680951</v>
      </c>
      <c r="E73" s="577">
        <v>365.21191</v>
      </c>
      <c r="F73" s="10"/>
      <c r="G73" s="553"/>
      <c r="H73" s="569"/>
      <c r="I73" s="569"/>
      <c r="J73" s="569"/>
      <c r="K73" s="570"/>
      <c r="L73" s="545"/>
      <c r="M73" s="579"/>
      <c r="N73" s="218"/>
      <c r="O73" s="90"/>
      <c r="P73" s="561"/>
      <c r="AI73" s="530"/>
      <c r="AJ73" s="531"/>
      <c r="AK73" s="530"/>
      <c r="AL73" s="531"/>
      <c r="AM73" s="532"/>
      <c r="AN73" s="533"/>
      <c r="AO73" s="533"/>
      <c r="AP73" s="533"/>
    </row>
    <row r="74" spans="1:42">
      <c r="A74" s="575">
        <v>45017</v>
      </c>
      <c r="B74" s="576">
        <v>16965.20611792</v>
      </c>
      <c r="C74" s="576">
        <v>3381.6408503</v>
      </c>
      <c r="D74" s="576">
        <v>3180.215205</v>
      </c>
      <c r="E74" s="577">
        <v>-115.895065</v>
      </c>
      <c r="F74" s="10"/>
      <c r="G74" s="553"/>
      <c r="H74" s="569"/>
      <c r="I74" s="569"/>
      <c r="J74" s="569"/>
      <c r="K74" s="570"/>
      <c r="L74" s="545"/>
      <c r="M74" s="560"/>
      <c r="N74" s="218"/>
      <c r="O74" s="90"/>
      <c r="P74" s="561"/>
      <c r="AI74" s="530"/>
      <c r="AJ74" s="531"/>
      <c r="AK74" s="530"/>
      <c r="AL74" s="531"/>
      <c r="AM74" s="532"/>
      <c r="AN74" s="533"/>
      <c r="AO74" s="533"/>
      <c r="AP74" s="533"/>
    </row>
    <row r="75" spans="1:42">
      <c r="A75" s="575">
        <v>45047</v>
      </c>
      <c r="B75" s="576">
        <v>25609.19599092</v>
      </c>
      <c r="C75" s="576">
        <v>3943.98779104</v>
      </c>
      <c r="D75" s="576">
        <v>3699.790284</v>
      </c>
      <c r="E75" s="577">
        <v>-480.000064</v>
      </c>
      <c r="F75" s="10"/>
      <c r="G75" s="553"/>
      <c r="H75" s="569"/>
      <c r="I75" s="569"/>
      <c r="J75" s="569"/>
      <c r="K75" s="570"/>
      <c r="L75" s="545"/>
      <c r="M75" s="560"/>
      <c r="N75" s="218"/>
      <c r="O75" s="90"/>
      <c r="P75" s="561"/>
      <c r="AI75" s="530"/>
      <c r="AJ75" s="531"/>
      <c r="AK75" s="530"/>
      <c r="AL75" s="531"/>
      <c r="AM75" s="532"/>
      <c r="AN75" s="533"/>
      <c r="AO75" s="533"/>
      <c r="AP75" s="533"/>
    </row>
    <row r="76" spans="1:42">
      <c r="A76" s="575">
        <v>45078</v>
      </c>
      <c r="B76" s="576">
        <v>35436.72744292</v>
      </c>
      <c r="C76" s="576">
        <v>4738.25328498</v>
      </c>
      <c r="D76" s="576">
        <v>4416.829333</v>
      </c>
      <c r="E76" s="577">
        <v>-606.535579</v>
      </c>
      <c r="F76" s="10"/>
      <c r="G76" s="553"/>
      <c r="H76" s="569"/>
      <c r="I76" s="569"/>
      <c r="J76" s="569"/>
      <c r="K76" s="570"/>
      <c r="L76" s="545"/>
      <c r="M76" s="560"/>
      <c r="N76" s="218"/>
      <c r="O76" s="90"/>
      <c r="P76" s="561"/>
      <c r="AI76" s="530"/>
      <c r="AJ76" s="531"/>
      <c r="AK76" s="530"/>
      <c r="AL76" s="531"/>
      <c r="AM76" s="532"/>
      <c r="AN76" s="533"/>
      <c r="AO76" s="533"/>
      <c r="AP76" s="533"/>
    </row>
    <row r="77" spans="1:42">
      <c r="A77" s="575">
        <v>45108</v>
      </c>
      <c r="B77" s="576">
        <v>50131.62671392</v>
      </c>
      <c r="C77" s="576">
        <v>5300.66350086</v>
      </c>
      <c r="D77" s="576">
        <v>4925.312631</v>
      </c>
      <c r="E77" s="577">
        <v>-889.852811</v>
      </c>
      <c r="F77" s="10"/>
      <c r="G77" s="553"/>
      <c r="H77" s="569"/>
      <c r="I77" s="569"/>
      <c r="J77" s="569"/>
      <c r="K77" s="570"/>
      <c r="L77" s="545"/>
      <c r="M77" s="560"/>
      <c r="N77" s="218"/>
      <c r="O77" s="90"/>
      <c r="P77" s="561"/>
    </row>
    <row r="78" spans="1:42">
      <c r="A78" s="575">
        <v>45139</v>
      </c>
      <c r="B78" s="576">
        <v>65399.17122492</v>
      </c>
      <c r="C78" s="576">
        <v>6106.31846974</v>
      </c>
      <c r="D78" s="576">
        <v>5488.182179</v>
      </c>
      <c r="E78" s="577">
        <v>-990.768691</v>
      </c>
      <c r="F78" s="10"/>
      <c r="G78" s="553"/>
      <c r="H78" s="569"/>
      <c r="I78" s="569"/>
      <c r="J78" s="569"/>
      <c r="K78" s="570"/>
      <c r="L78" s="545"/>
      <c r="M78" s="560"/>
      <c r="N78" s="218"/>
      <c r="O78" s="90"/>
      <c r="P78" s="561"/>
    </row>
    <row r="79" spans="1:42">
      <c r="A79" s="575">
        <v>45170</v>
      </c>
      <c r="B79" s="576">
        <v>84234.51986292</v>
      </c>
      <c r="C79" s="576">
        <v>7413.07615702</v>
      </c>
      <c r="D79" s="576">
        <v>6929.504167</v>
      </c>
      <c r="E79" s="580">
        <v>-698.136753</v>
      </c>
      <c r="F79" s="581"/>
      <c r="G79" s="553"/>
      <c r="H79" s="569"/>
      <c r="I79" s="569"/>
      <c r="J79" s="569"/>
      <c r="K79" s="582"/>
      <c r="L79" s="545"/>
      <c r="M79" s="560"/>
      <c r="N79" s="218"/>
      <c r="O79" s="90"/>
      <c r="P79" s="561"/>
    </row>
    <row r="80" spans="1:42">
      <c r="A80" s="575">
        <v>45200</v>
      </c>
      <c r="B80" s="576">
        <v>95536.80421692</v>
      </c>
      <c r="C80" s="576">
        <v>8333.3067081</v>
      </c>
      <c r="D80" s="576">
        <v>7627.584535</v>
      </c>
      <c r="E80" s="580">
        <v>-747.087156</v>
      </c>
      <c r="F80" s="583"/>
      <c r="G80" s="553"/>
      <c r="H80" s="569"/>
      <c r="I80" s="569"/>
      <c r="J80" s="569"/>
      <c r="K80" s="582"/>
      <c r="L80" s="545"/>
      <c r="M80" s="584"/>
      <c r="N80" s="218"/>
      <c r="O80" s="90"/>
      <c r="P80" s="561"/>
    </row>
    <row r="81" spans="1:23">
      <c r="A81" s="575">
        <v>45231</v>
      </c>
      <c r="B81" s="291">
        <v>108204.80842692</v>
      </c>
      <c r="C81" s="291">
        <v>9122.31324458</v>
      </c>
      <c r="D81" s="291">
        <v>8435.674743</v>
      </c>
      <c r="E81" s="577">
        <v>-669.69008</v>
      </c>
      <c r="F81" s="585"/>
      <c r="G81" s="553"/>
      <c r="H81" s="569"/>
      <c r="I81" s="569"/>
      <c r="J81" s="569"/>
      <c r="K81" s="582"/>
      <c r="L81" s="545"/>
      <c r="M81" s="557"/>
      <c r="N81" s="218"/>
      <c r="O81" s="90"/>
      <c r="P81" s="561"/>
    </row>
    <row r="82" spans="1:23">
      <c r="A82" s="575">
        <v>45261</v>
      </c>
      <c r="B82" s="291">
        <v>123439.70756892</v>
      </c>
      <c r="C82" s="291">
        <v>10356.61089324</v>
      </c>
      <c r="D82" s="291">
        <v>9663.050654</v>
      </c>
      <c r="E82" s="577">
        <v>-1547.280056</v>
      </c>
      <c r="F82" s="585"/>
      <c r="G82" s="553"/>
      <c r="H82" s="569"/>
      <c r="I82" s="569"/>
      <c r="J82" s="569"/>
      <c r="K82" s="582"/>
      <c r="L82" s="586"/>
      <c r="M82" s="545"/>
    </row>
    <row r="83" spans="1:23">
      <c r="A83" s="587">
        <v>45292</v>
      </c>
      <c r="B83" s="588">
        <v>17591.725336576</v>
      </c>
      <c r="C83" s="588">
        <v>1992.77635938</v>
      </c>
      <c r="D83" s="588">
        <v>1790.250673</v>
      </c>
      <c r="E83" s="589">
        <v>701.999403</v>
      </c>
      <c r="G83" s="553"/>
      <c r="H83" s="590"/>
      <c r="I83" s="591"/>
      <c r="J83" s="591"/>
      <c r="K83" s="592"/>
      <c r="L83" s="593"/>
      <c r="M83" s="545"/>
    </row>
    <row r="84" spans="1:23">
      <c r="A84" s="587">
        <v>45323</v>
      </c>
      <c r="B84" s="588">
        <v>30029.766310576</v>
      </c>
      <c r="C84" s="588">
        <v>2470.02606528</v>
      </c>
      <c r="D84" s="588">
        <v>2222.526288</v>
      </c>
      <c r="E84" s="589">
        <v>664.828579</v>
      </c>
      <c r="G84" s="553"/>
      <c r="H84" s="590"/>
      <c r="I84" s="591"/>
      <c r="J84" s="591"/>
      <c r="K84" s="590"/>
      <c r="L84" s="593"/>
      <c r="M84" s="545"/>
    </row>
    <row r="85" spans="1:23">
      <c r="A85" s="587">
        <v>45352</v>
      </c>
      <c r="B85" s="588">
        <v>41722.235728576</v>
      </c>
      <c r="C85" s="588">
        <v>3319.78557576</v>
      </c>
      <c r="D85" s="588">
        <v>2822.024696</v>
      </c>
      <c r="E85" s="589">
        <v>484.122276</v>
      </c>
      <c r="G85" s="553"/>
      <c r="H85" s="590"/>
      <c r="I85" s="591"/>
      <c r="J85" s="591"/>
      <c r="K85" s="591"/>
      <c r="L85" s="593"/>
      <c r="M85" s="545"/>
    </row>
    <row r="86" spans="1:23">
      <c r="A86" s="587">
        <v>45383</v>
      </c>
      <c r="B86" s="588">
        <v>52425.823688576</v>
      </c>
      <c r="C86" s="588">
        <v>3986.50777644</v>
      </c>
      <c r="D86" s="588">
        <v>3659.445374</v>
      </c>
      <c r="E86" s="589">
        <v>527.017285</v>
      </c>
      <c r="G86" s="553"/>
      <c r="H86" s="590"/>
      <c r="I86" s="591"/>
      <c r="J86" s="591"/>
      <c r="K86" s="591"/>
      <c r="L86" s="593"/>
      <c r="M86" s="545"/>
    </row>
    <row r="87" spans="1:23">
      <c r="A87" s="587">
        <v>45413</v>
      </c>
      <c r="B87" s="588">
        <v>63921.082203576</v>
      </c>
      <c r="C87" s="588">
        <v>4828.78357006</v>
      </c>
      <c r="D87" s="588">
        <v>4446.378951</v>
      </c>
      <c r="E87" s="589">
        <v>469.472018</v>
      </c>
      <c r="G87" s="553"/>
      <c r="H87" s="590"/>
      <c r="I87" s="591"/>
      <c r="J87" s="591"/>
      <c r="K87" s="591"/>
      <c r="L87" s="593"/>
      <c r="M87" s="545"/>
    </row>
    <row r="88" spans="1:23">
      <c r="A88" s="587">
        <v>45444</v>
      </c>
      <c r="B88" s="588">
        <v>77791.748164576</v>
      </c>
      <c r="C88" s="588">
        <v>5206.97539086</v>
      </c>
      <c r="D88" s="588">
        <v>4822.248981</v>
      </c>
      <c r="E88" s="589">
        <v>407.138557</v>
      </c>
      <c r="G88" s="553"/>
      <c r="H88" s="590"/>
      <c r="I88" s="591"/>
      <c r="J88" s="591"/>
      <c r="K88" s="591"/>
      <c r="L88" s="593"/>
      <c r="M88" s="545"/>
      <c r="R88" s="594"/>
    </row>
    <row r="89" spans="1:23">
      <c r="A89" s="587">
        <v>45474</v>
      </c>
      <c r="B89" s="588">
        <v>94148.214113576</v>
      </c>
      <c r="C89" s="588">
        <v>4830.44363518</v>
      </c>
      <c r="D89" s="588">
        <v>4554.275553</v>
      </c>
      <c r="E89" s="589">
        <v>345.709455</v>
      </c>
      <c r="G89" s="553"/>
      <c r="H89" s="590"/>
      <c r="I89" s="591"/>
      <c r="J89" s="591"/>
      <c r="K89" s="591"/>
      <c r="L89" s="593"/>
      <c r="M89" s="545"/>
      <c r="W89" s="57"/>
    </row>
    <row r="90" spans="1:23">
      <c r="A90" s="587">
        <v>45505</v>
      </c>
      <c r="B90" s="588">
        <v>99649.687670576</v>
      </c>
      <c r="C90" s="588">
        <v>6482.24998036</v>
      </c>
      <c r="D90" s="588">
        <v>6106.848356</v>
      </c>
      <c r="E90" s="589">
        <v>331.253709</v>
      </c>
      <c r="G90" s="553"/>
      <c r="H90" s="590"/>
      <c r="I90" s="591"/>
      <c r="J90" s="591"/>
      <c r="K90" s="591"/>
      <c r="L90" s="593"/>
      <c r="M90" s="545"/>
    </row>
    <row r="91" spans="1:23">
      <c r="A91" s="587">
        <v>45536</v>
      </c>
      <c r="B91" s="588">
        <v>107495.710961576</v>
      </c>
      <c r="C91" s="588">
        <v>7755.02659404</v>
      </c>
      <c r="D91" s="588">
        <v>7264.522234</v>
      </c>
      <c r="E91" s="589">
        <v>741.044324</v>
      </c>
      <c r="G91" s="553"/>
      <c r="H91" s="590"/>
      <c r="I91" s="591"/>
      <c r="J91" s="591"/>
      <c r="K91" s="591"/>
      <c r="L91" s="593"/>
      <c r="M91" s="545"/>
    </row>
    <row r="92" spans="1:23">
      <c r="A92" s="587">
        <v>45566</v>
      </c>
      <c r="B92" s="588">
        <v>113283.966908648</v>
      </c>
      <c r="C92" s="588">
        <v>8747.2110037</v>
      </c>
      <c r="D92" s="588">
        <v>8191.601745</v>
      </c>
      <c r="E92" s="589">
        <v>862.006982</v>
      </c>
      <c r="G92" s="553"/>
      <c r="H92" s="590"/>
      <c r="I92" s="591"/>
      <c r="J92" s="591"/>
      <c r="K92" s="591"/>
      <c r="L92" s="593"/>
      <c r="M92" s="545"/>
    </row>
    <row r="93" spans="1:23">
      <c r="A93" s="587">
        <v>45597</v>
      </c>
      <c r="B93" s="588">
        <v>120357.022976648</v>
      </c>
      <c r="C93" s="588">
        <v>9819.68379916</v>
      </c>
      <c r="D93" s="588">
        <v>9221.872036</v>
      </c>
      <c r="E93" s="589">
        <v>1143.845086</v>
      </c>
      <c r="G93" s="553"/>
      <c r="H93" s="590"/>
      <c r="I93" s="591"/>
      <c r="J93" s="591"/>
      <c r="K93" s="591"/>
      <c r="L93" s="593"/>
      <c r="M93" s="545"/>
    </row>
    <row r="94" spans="1:23">
      <c r="A94" s="587">
        <v>45627</v>
      </c>
      <c r="B94" s="588">
        <v>127643.888299648</v>
      </c>
      <c r="C94" s="588">
        <v>10371.36524702</v>
      </c>
      <c r="D94" s="588">
        <v>9741.095667</v>
      </c>
      <c r="E94" s="589">
        <v>799.440237</v>
      </c>
      <c r="G94" s="553"/>
      <c r="H94" s="590"/>
      <c r="I94" s="591"/>
      <c r="J94" s="591"/>
      <c r="K94" s="591"/>
      <c r="L94" s="593"/>
      <c r="M94" s="545"/>
    </row>
    <row r="95" spans="1:23">
      <c r="A95" s="595">
        <v>45658</v>
      </c>
      <c r="B95" s="596">
        <v>11252.837229</v>
      </c>
      <c r="C95" s="596">
        <v>2206.16432262</v>
      </c>
      <c r="D95" s="596">
        <v>2011.925727</v>
      </c>
      <c r="E95" s="597">
        <v>744.552284</v>
      </c>
      <c r="F95" s="598"/>
      <c r="G95" s="553"/>
      <c r="H95" s="590"/>
      <c r="I95" s="591"/>
      <c r="J95" s="591"/>
      <c r="K95" s="591"/>
      <c r="L95" s="593"/>
      <c r="M95" s="545"/>
    </row>
    <row r="96" spans="1:23">
      <c r="A96" s="595">
        <v>45689</v>
      </c>
      <c r="B96" s="596">
        <v>17944.174114</v>
      </c>
      <c r="C96" s="596">
        <v>2816.31864208</v>
      </c>
      <c r="D96" s="596">
        <v>2587.677218</v>
      </c>
      <c r="E96" s="597">
        <v>771.907528</v>
      </c>
      <c r="F96" s="598"/>
      <c r="G96" s="553"/>
      <c r="H96" s="590"/>
      <c r="I96" s="591"/>
      <c r="J96" s="591"/>
      <c r="K96" s="591"/>
      <c r="L96" s="593"/>
      <c r="M96" s="545"/>
      <c r="O96" s="599"/>
    </row>
    <row r="97" spans="1:19">
      <c r="A97" s="595">
        <v>45717</v>
      </c>
      <c r="B97" s="596">
        <v>18695.075518</v>
      </c>
      <c r="C97" s="596">
        <v>2586.560086836</v>
      </c>
      <c r="D97" s="596">
        <v>2317.4051706</v>
      </c>
      <c r="E97" s="597">
        <v>362.7309156</v>
      </c>
      <c r="F97" s="598"/>
      <c r="G97" s="553"/>
      <c r="H97" s="590"/>
      <c r="I97" s="590"/>
      <c r="J97" s="590"/>
      <c r="K97" s="590"/>
      <c r="L97" s="593"/>
      <c r="M97" s="545"/>
      <c r="O97" s="157"/>
    </row>
    <row r="98" spans="1:19">
      <c r="A98" s="595">
        <v>45748</v>
      </c>
      <c r="B98" s="596">
        <v>26608.660401</v>
      </c>
      <c r="C98" s="596">
        <v>2814.781614616</v>
      </c>
      <c r="D98" s="596">
        <v>2588.7377336</v>
      </c>
      <c r="E98" s="597">
        <v>387.8490746</v>
      </c>
      <c r="F98" s="598"/>
      <c r="G98" s="553"/>
      <c r="H98" s="590"/>
      <c r="I98" s="591"/>
      <c r="J98" s="591"/>
      <c r="K98" s="591"/>
      <c r="L98" s="593"/>
      <c r="M98" s="545"/>
    </row>
    <row r="99" spans="1:19">
      <c r="A99" s="595">
        <v>45778</v>
      </c>
      <c r="B99" s="596">
        <v>44202.471872</v>
      </c>
      <c r="C99" s="596">
        <v>3386.126798396</v>
      </c>
      <c r="D99" s="596">
        <v>3134.3578966</v>
      </c>
      <c r="E99" s="597">
        <v>590.1692966</v>
      </c>
      <c r="F99" s="598"/>
      <c r="G99" s="553"/>
      <c r="H99" s="590"/>
      <c r="I99" s="590"/>
      <c r="J99" s="590"/>
      <c r="K99" s="590"/>
      <c r="L99" s="593"/>
      <c r="M99" s="545"/>
    </row>
    <row r="100" spans="1:19">
      <c r="A100" s="595">
        <v>45809</v>
      </c>
      <c r="B100" s="596">
        <v>54780.342926</v>
      </c>
      <c r="C100" s="596">
        <v>3774.207349276</v>
      </c>
      <c r="D100" s="596">
        <v>3496.8492946</v>
      </c>
      <c r="E100" s="597">
        <v>438.5871826</v>
      </c>
      <c r="F100" s="598"/>
      <c r="G100" s="553"/>
      <c r="H100" s="590"/>
      <c r="I100" s="590"/>
      <c r="J100" s="590"/>
      <c r="K100" s="590"/>
      <c r="L100" s="593"/>
      <c r="M100" s="545"/>
    </row>
    <row r="101" spans="1:19">
      <c r="A101" s="595">
        <v>45839</v>
      </c>
      <c r="B101" s="596">
        <v>60693.980647</v>
      </c>
      <c r="C101" s="596">
        <v>4049.475052276</v>
      </c>
      <c r="D101" s="596">
        <v>3755.7549446</v>
      </c>
      <c r="E101" s="597">
        <v>289.7060976</v>
      </c>
      <c r="F101" s="598"/>
      <c r="G101" s="553"/>
      <c r="H101" s="600"/>
      <c r="I101" s="591"/>
      <c r="J101" s="591"/>
      <c r="K101" s="591"/>
      <c r="L101" s="593"/>
      <c r="M101" s="545"/>
    </row>
    <row r="102" spans="1:19">
      <c r="A102" s="595">
        <v>45870</v>
      </c>
      <c r="B102" s="596">
        <v>67536.077399</v>
      </c>
      <c r="C102" s="596">
        <v>4472.722040216</v>
      </c>
      <c r="D102" s="596">
        <v>4178.9788436</v>
      </c>
      <c r="E102" s="597">
        <v>395.0137756</v>
      </c>
      <c r="F102" s="598"/>
      <c r="G102" s="553"/>
      <c r="H102" s="600"/>
      <c r="I102" s="591"/>
      <c r="J102" s="591"/>
      <c r="K102" s="591"/>
      <c r="L102" s="593"/>
      <c r="M102" s="545"/>
    </row>
    <row r="103" spans="1:19">
      <c r="A103" s="595">
        <v>45901</v>
      </c>
      <c r="B103" s="596">
        <v>79104.604784</v>
      </c>
      <c r="C103" s="596">
        <v>5120.970010636</v>
      </c>
      <c r="D103" s="596">
        <v>4807.1536506</v>
      </c>
      <c r="E103" s="597">
        <v>408.0779516</v>
      </c>
      <c r="F103" s="598"/>
      <c r="G103" s="553"/>
      <c r="H103" s="600"/>
      <c r="I103" s="591"/>
      <c r="J103" s="591"/>
      <c r="K103" s="591"/>
      <c r="L103" s="593"/>
      <c r="M103" s="545"/>
      <c r="O103" s="601"/>
      <c r="Q103" s="601"/>
      <c r="R103" s="601"/>
      <c r="S103" s="601"/>
    </row>
    <row r="104" spans="1:19">
      <c r="A104" s="595">
        <v>45931</v>
      </c>
      <c r="B104" s="596">
        <v>86394.603731</v>
      </c>
      <c r="C104" s="596">
        <v>5696.616452436</v>
      </c>
      <c r="D104" s="596">
        <v>5359.8019306</v>
      </c>
      <c r="E104" s="597">
        <v>603.3122176</v>
      </c>
      <c r="F104" s="598"/>
      <c r="G104" s="553"/>
      <c r="H104" s="600"/>
      <c r="I104" s="591"/>
      <c r="J104" s="591"/>
      <c r="K104" s="591"/>
      <c r="L104" s="593"/>
      <c r="M104" s="545"/>
    </row>
    <row r="105" spans="1:19">
      <c r="A105" s="595">
        <v>45962</v>
      </c>
      <c r="B105" s="596">
        <v>93604.667936</v>
      </c>
      <c r="C105" s="596">
        <v>5982.796583296</v>
      </c>
      <c r="D105" s="596">
        <v>5623.2235616</v>
      </c>
      <c r="E105" s="597">
        <v>447.8839836</v>
      </c>
      <c r="G105" s="553"/>
      <c r="H105" s="600"/>
      <c r="I105" s="591"/>
      <c r="J105" s="591"/>
      <c r="K105" s="591"/>
      <c r="L105" s="593"/>
      <c r="M105" s="545"/>
    </row>
    <row r="106" spans="1:19">
      <c r="A106" s="595">
        <v>45992</v>
      </c>
      <c r="B106" s="596">
        <v>98835.586454</v>
      </c>
      <c r="C106" s="596">
        <v>6846.923930796</v>
      </c>
      <c r="D106" s="596">
        <v>5841.4955366</v>
      </c>
      <c r="E106" s="597">
        <v>547.4222716</v>
      </c>
      <c r="G106" s="553"/>
      <c r="H106" s="600"/>
      <c r="I106" s="591"/>
      <c r="J106" s="591"/>
      <c r="K106" s="591"/>
      <c r="L106" s="593"/>
      <c r="M106" s="545"/>
    </row>
    <row r="107" spans="1:19">
      <c r="A107" s="602"/>
      <c r="B107" s="113"/>
      <c r="C107" s="113"/>
      <c r="D107" s="113"/>
      <c r="E107" s="527"/>
      <c r="G107" s="553"/>
      <c r="H107" s="590"/>
      <c r="I107" s="590"/>
      <c r="J107" s="590"/>
      <c r="K107" s="590"/>
      <c r="L107" s="593"/>
      <c r="M107" s="593"/>
    </row>
    <row r="108" spans="1:19">
      <c r="A108" s="595">
        <v>45962</v>
      </c>
      <c r="B108" s="294"/>
      <c r="C108" s="294"/>
      <c r="D108" s="294"/>
      <c r="E108" s="603">
        <v>249.274506</v>
      </c>
      <c r="F108" s="604" t="s">
        <v>71</v>
      </c>
      <c r="G108" s="553"/>
      <c r="H108" s="590"/>
      <c r="I108" s="590"/>
      <c r="J108" s="590"/>
      <c r="K108" s="590"/>
      <c r="L108" s="605"/>
      <c r="M108" s="605"/>
    </row>
    <row r="109" spans="1:19">
      <c r="G109" s="553"/>
      <c r="H109" s="590"/>
      <c r="I109" s="590"/>
      <c r="J109" s="590"/>
      <c r="K109" s="590"/>
      <c r="L109" s="545"/>
      <c r="M109" s="545"/>
    </row>
    <row r="110" spans="1:19">
      <c r="A110" s="602"/>
      <c r="B110" s="113"/>
      <c r="C110" s="113"/>
      <c r="D110" s="113"/>
      <c r="E110" s="527"/>
      <c r="G110" s="553"/>
      <c r="H110" s="590"/>
      <c r="I110" s="590"/>
      <c r="J110" s="590"/>
      <c r="K110" s="590"/>
      <c r="L110" s="545"/>
      <c r="M110" s="545"/>
    </row>
    <row r="111" spans="1:19">
      <c r="A111" s="602"/>
      <c r="B111" s="113"/>
      <c r="C111" s="113"/>
      <c r="D111" s="113"/>
      <c r="E111" s="527"/>
      <c r="G111" s="553"/>
      <c r="H111" s="590"/>
      <c r="I111" s="590"/>
      <c r="J111" s="590"/>
      <c r="K111" s="590"/>
      <c r="L111" s="545"/>
      <c r="M111" s="545"/>
    </row>
    <row r="112" spans="1:19">
      <c r="A112" s="602"/>
      <c r="B112" s="113"/>
      <c r="C112" s="113"/>
      <c r="D112" s="113"/>
      <c r="E112" s="527"/>
      <c r="G112" s="553"/>
      <c r="H112" s="590"/>
      <c r="I112" s="590"/>
      <c r="J112" s="590"/>
      <c r="K112" s="590"/>
      <c r="L112" s="545"/>
      <c r="M112" s="545"/>
    </row>
    <row r="113" spans="1:13">
      <c r="A113" s="602"/>
      <c r="B113" s="113"/>
      <c r="C113" s="113"/>
      <c r="D113" s="113"/>
      <c r="E113" s="527"/>
      <c r="G113" s="553"/>
      <c r="H113" s="590"/>
      <c r="I113" s="590"/>
      <c r="J113" s="590"/>
      <c r="K113" s="590"/>
      <c r="L113" s="545"/>
      <c r="M113" s="545"/>
    </row>
    <row r="114" spans="1:13">
      <c r="A114" s="602"/>
      <c r="B114" s="113"/>
      <c r="C114" s="113"/>
      <c r="D114" s="113"/>
      <c r="E114" s="527"/>
      <c r="G114" s="553"/>
      <c r="H114" s="590"/>
      <c r="I114" s="590"/>
      <c r="J114" s="590"/>
      <c r="K114" s="590"/>
      <c r="L114" s="545"/>
      <c r="M114" s="545"/>
    </row>
    <row r="115" spans="1:13">
      <c r="A115" s="602"/>
      <c r="B115" s="113"/>
      <c r="C115" s="113"/>
      <c r="D115" s="113"/>
      <c r="E115" s="527"/>
      <c r="G115" s="553"/>
      <c r="H115" s="590"/>
      <c r="I115" s="590"/>
      <c r="J115" s="590"/>
      <c r="K115" s="590"/>
      <c r="L115" s="545"/>
      <c r="M115" s="545"/>
    </row>
    <row r="116" spans="1:13">
      <c r="A116" s="602"/>
      <c r="B116" s="113"/>
      <c r="C116" s="113"/>
      <c r="D116" s="113"/>
      <c r="E116" s="527"/>
      <c r="G116" s="553"/>
      <c r="H116" s="590"/>
      <c r="I116" s="590"/>
      <c r="J116" s="590"/>
      <c r="K116" s="590"/>
      <c r="L116" s="545"/>
      <c r="M116" s="545"/>
    </row>
    <row r="117" spans="1:13">
      <c r="A117" s="602"/>
      <c r="B117" s="113"/>
      <c r="C117" s="113"/>
      <c r="D117" s="113"/>
      <c r="E117" s="527"/>
      <c r="G117" s="553"/>
      <c r="H117" s="590"/>
      <c r="I117" s="590"/>
      <c r="J117" s="590"/>
      <c r="K117" s="590"/>
      <c r="L117" s="545"/>
      <c r="M117" s="545"/>
    </row>
    <row r="118" spans="1:13">
      <c r="A118" s="602"/>
      <c r="B118" s="113"/>
      <c r="C118" s="113"/>
      <c r="D118" s="113"/>
      <c r="E118" s="527"/>
      <c r="G118" s="553"/>
      <c r="H118" s="590"/>
      <c r="I118" s="590"/>
      <c r="J118" s="590"/>
      <c r="K118" s="590"/>
      <c r="L118" s="545"/>
      <c r="M118" s="545"/>
    </row>
    <row r="119" spans="1:13">
      <c r="G119" s="545"/>
      <c r="H119" s="605"/>
      <c r="I119" s="545"/>
      <c r="J119" s="545"/>
      <c r="K119" s="545"/>
      <c r="L119" s="545"/>
      <c r="M119" s="545"/>
    </row>
    <row r="120" spans="1:13">
      <c r="G120" s="545"/>
      <c r="H120" s="605"/>
      <c r="I120" s="545"/>
      <c r="J120" s="545"/>
      <c r="K120" s="545"/>
      <c r="L120" s="545"/>
      <c r="M120" s="545"/>
    </row>
  </sheetData>
  <autoFilter xmlns:etc="http://www.wps.cn/officeDocument/2017/etCustomData" ref="A2:AK118" etc:filterBottomFollowUsedRange="0">
    <extLst/>
  </autoFilter>
  <pageMargins left="0.75" right="0.75" top="1" bottom="1" header="0.5" footer="0.5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U34"/>
  <sheetViews>
    <sheetView workbookViewId="0">
      <pane ySplit="12" topLeftCell="A13" activePane="bottomLeft" state="frozen"/>
      <selection/>
      <selection pane="bottomLeft" activeCell="E42" sqref="E42"/>
    </sheetView>
  </sheetViews>
  <sheetFormatPr defaultColWidth="9" defaultRowHeight="12"/>
  <cols>
    <col min="1" max="1" width="13.6333333333333" style="11" customWidth="1"/>
    <col min="2" max="2" width="23.625" style="11" customWidth="1"/>
    <col min="3" max="3" width="12.75" style="12" customWidth="1"/>
    <col min="4" max="13" width="11.25" style="12" customWidth="1"/>
    <col min="14" max="14" width="11.25" style="459" customWidth="1"/>
    <col min="15" max="15" width="11.25" style="12" customWidth="1"/>
    <col min="16" max="16" width="11.125" style="12" customWidth="1"/>
    <col min="17" max="17" width="12.125" style="18"/>
    <col min="18" max="18" width="10.125" style="18"/>
    <col min="19" max="19" width="12" style="11"/>
    <col min="20" max="20" width="9.25" style="11"/>
    <col min="21" max="16384" width="9" style="11"/>
  </cols>
  <sheetData>
    <row r="1" s="11" customFormat="1" spans="1:21">
      <c r="A1" s="107" t="s">
        <v>72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459"/>
      <c r="O1" s="12"/>
      <c r="P1" s="12"/>
      <c r="Q1" s="18"/>
      <c r="R1" s="18"/>
    </row>
    <row r="2" s="457" customFormat="1" ht="34" customHeight="1" spans="1:21">
      <c r="A2" s="460" t="s">
        <v>73</v>
      </c>
      <c r="B2" s="461" t="s">
        <v>74</v>
      </c>
      <c r="C2" s="462" t="s">
        <v>75</v>
      </c>
      <c r="D2" s="463" t="s">
        <v>76</v>
      </c>
      <c r="E2" s="463" t="s">
        <v>77</v>
      </c>
      <c r="F2" s="463" t="s">
        <v>78</v>
      </c>
      <c r="G2" s="463" t="s">
        <v>79</v>
      </c>
      <c r="H2" s="463" t="s">
        <v>80</v>
      </c>
      <c r="I2" s="463" t="s">
        <v>81</v>
      </c>
      <c r="J2" s="463" t="s">
        <v>82</v>
      </c>
      <c r="K2" s="463" t="s">
        <v>83</v>
      </c>
      <c r="L2" s="463" t="s">
        <v>84</v>
      </c>
      <c r="M2" s="463" t="s">
        <v>85</v>
      </c>
      <c r="N2" s="464" t="s">
        <v>86</v>
      </c>
      <c r="O2" s="463" t="s">
        <v>87</v>
      </c>
      <c r="P2" s="465"/>
      <c r="Q2" s="466"/>
      <c r="R2" s="466"/>
    </row>
    <row r="3" s="11" customFormat="1" ht="18" customHeight="1" spans="1:21">
      <c r="A3" s="467" t="s">
        <v>88</v>
      </c>
      <c r="B3" s="468" t="s">
        <v>89</v>
      </c>
      <c r="C3" s="469">
        <f>SUM(D3:O3)</f>
        <v>5.464</v>
      </c>
      <c r="D3" s="470"/>
      <c r="E3" s="470"/>
      <c r="F3" s="471"/>
      <c r="G3" s="471"/>
      <c r="H3" s="471"/>
      <c r="I3" s="471">
        <v>7.059</v>
      </c>
      <c r="J3" s="471">
        <f>-27.65-I3</f>
        <v>-34.709</v>
      </c>
      <c r="K3" s="471">
        <v>-0.037</v>
      </c>
      <c r="L3" s="471">
        <v>31.138</v>
      </c>
      <c r="M3" s="471">
        <v>2.012</v>
      </c>
      <c r="N3" s="472">
        <v>0</v>
      </c>
      <c r="O3" s="471">
        <v>0.00100000000000033</v>
      </c>
      <c r="P3" s="12"/>
      <c r="Q3" s="12"/>
      <c r="R3" s="12"/>
    </row>
    <row r="4" s="11" customFormat="1" ht="18" customHeight="1" spans="1:21">
      <c r="A4" s="467" t="s">
        <v>90</v>
      </c>
      <c r="B4" s="468"/>
      <c r="C4" s="469">
        <f>SUM(D4:O4)</f>
        <v>0</v>
      </c>
      <c r="D4" s="470"/>
      <c r="E4" s="470"/>
      <c r="F4" s="471"/>
      <c r="G4" s="471"/>
      <c r="H4" s="471"/>
      <c r="I4" s="471"/>
      <c r="J4" s="471"/>
      <c r="K4" s="471"/>
      <c r="L4" s="471"/>
      <c r="M4" s="471">
        <v>0</v>
      </c>
      <c r="N4" s="472"/>
      <c r="O4" s="471"/>
      <c r="P4" s="12"/>
      <c r="Q4" s="12"/>
      <c r="R4" s="12"/>
    </row>
    <row r="5" s="11" customFormat="1" ht="18" customHeight="1" spans="1:21">
      <c r="A5" s="473" t="s">
        <v>91</v>
      </c>
      <c r="B5" s="468"/>
      <c r="C5" s="469">
        <f>SUM(D5:O5)</f>
        <v>0</v>
      </c>
      <c r="D5" s="470"/>
      <c r="E5" s="470"/>
      <c r="F5" s="471"/>
      <c r="G5" s="471"/>
      <c r="H5" s="471"/>
      <c r="I5" s="471"/>
      <c r="J5" s="471"/>
      <c r="K5" s="471"/>
      <c r="L5" s="471"/>
      <c r="M5" s="471">
        <v>0</v>
      </c>
      <c r="N5" s="472"/>
      <c r="O5" s="471"/>
      <c r="P5" s="12"/>
      <c r="Q5" s="12"/>
      <c r="R5" s="12"/>
    </row>
    <row r="6" s="11" customFormat="1" ht="18" customHeight="1" spans="1:21">
      <c r="A6" s="474" t="s">
        <v>92</v>
      </c>
      <c r="B6" s="475" t="s">
        <v>93</v>
      </c>
      <c r="C6" s="469">
        <f>SUM(D6:O6)</f>
        <v>418.855660377359</v>
      </c>
      <c r="D6" s="471">
        <v>77.701</v>
      </c>
      <c r="E6" s="471">
        <v>6.228</v>
      </c>
      <c r="F6" s="471">
        <v>106.762</v>
      </c>
      <c r="G6" s="471">
        <v>78.746</v>
      </c>
      <c r="H6" s="471">
        <v>76.203</v>
      </c>
      <c r="I6" s="471">
        <f>281.088987-7.059-(38.674+377.647)</f>
        <v>-142.291013</v>
      </c>
      <c r="J6" s="471">
        <f>232.934-SUM(D6:I6)</f>
        <v>29.585013</v>
      </c>
      <c r="K6" s="12">
        <v>132.251</v>
      </c>
      <c r="L6" s="471">
        <v>76.318</v>
      </c>
      <c r="M6" s="471">
        <v>83.93</v>
      </c>
      <c r="N6" s="472">
        <v>-147.993</v>
      </c>
      <c r="O6" s="471">
        <f>(63.035-1217774/1.06/10000)+17.31+75.955</f>
        <v>41.4156603773585</v>
      </c>
      <c r="P6" s="12"/>
      <c r="Q6" s="476"/>
      <c r="R6" s="477"/>
    </row>
    <row r="7" s="11" customFormat="1" ht="27" customHeight="1" spans="1:21">
      <c r="A7" s="473" t="s">
        <v>94</v>
      </c>
      <c r="B7" s="468" t="s">
        <v>95</v>
      </c>
      <c r="C7" s="469">
        <f>SUM(D7:O7)</f>
        <v>671.7295196</v>
      </c>
      <c r="D7" s="471"/>
      <c r="E7" s="471"/>
      <c r="F7" s="471"/>
      <c r="G7" s="471"/>
      <c r="H7" s="471"/>
      <c r="I7" s="471">
        <f>38.674+377.647</f>
        <v>416.321</v>
      </c>
      <c r="J7" s="471">
        <f>461.05-I7</f>
        <v>44.729</v>
      </c>
      <c r="K7" s="471">
        <v>64.5441166</v>
      </c>
      <c r="L7" s="471">
        <v>29.013872</v>
      </c>
      <c r="M7" s="471">
        <v>84.9564800000001</v>
      </c>
      <c r="N7" s="472">
        <v>7.98297099999991</v>
      </c>
      <c r="O7" s="471">
        <f>11.968+12.21408</f>
        <v>24.18208</v>
      </c>
      <c r="P7" s="478"/>
      <c r="Q7" s="12"/>
      <c r="R7" s="477"/>
    </row>
    <row r="8" s="11" customFormat="1" ht="18" customHeight="1" spans="1:21">
      <c r="A8" s="479" t="s">
        <v>9</v>
      </c>
      <c r="B8" s="480">
        <f t="shared" ref="B8:Q8" si="0">SUM(B3:B7)</f>
        <v>0</v>
      </c>
      <c r="C8" s="481">
        <f t="shared" si="0"/>
        <v>1096.04917997736</v>
      </c>
      <c r="D8" s="482">
        <f t="shared" si="0"/>
        <v>77.701</v>
      </c>
      <c r="E8" s="482">
        <f t="shared" si="0"/>
        <v>6.228</v>
      </c>
      <c r="F8" s="482">
        <f t="shared" si="0"/>
        <v>106.762</v>
      </c>
      <c r="G8" s="482">
        <f t="shared" si="0"/>
        <v>78.746</v>
      </c>
      <c r="H8" s="482">
        <f t="shared" si="0"/>
        <v>76.203</v>
      </c>
      <c r="I8" s="482">
        <f t="shared" si="0"/>
        <v>281.088987</v>
      </c>
      <c r="J8" s="482">
        <f t="shared" si="0"/>
        <v>39.605013</v>
      </c>
      <c r="K8" s="482">
        <f t="shared" si="0"/>
        <v>196.7581166</v>
      </c>
      <c r="L8" s="482">
        <f t="shared" si="0"/>
        <v>136.469872</v>
      </c>
      <c r="M8" s="482">
        <f t="shared" si="0"/>
        <v>170.89848</v>
      </c>
      <c r="N8" s="483">
        <f t="shared" si="0"/>
        <v>-140.010029</v>
      </c>
      <c r="O8" s="482">
        <f t="shared" si="0"/>
        <v>65.5987403773585</v>
      </c>
      <c r="P8" s="21"/>
      <c r="Q8" s="484"/>
      <c r="R8" s="12"/>
      <c r="T8" s="31"/>
      <c r="U8" s="31"/>
    </row>
    <row r="9" s="458" customFormat="1" ht="19" customHeight="1" spans="1:21">
      <c r="A9" s="458" t="s">
        <v>96</v>
      </c>
      <c r="B9" s="485"/>
      <c r="C9" s="486">
        <f t="shared" ref="C9:O9" si="1">C8*1.06</f>
        <v>1161.812130776</v>
      </c>
      <c r="D9" s="486">
        <f t="shared" si="1"/>
        <v>82.36306</v>
      </c>
      <c r="E9" s="486">
        <f t="shared" si="1"/>
        <v>6.60168</v>
      </c>
      <c r="F9" s="486">
        <f t="shared" si="1"/>
        <v>113.16772</v>
      </c>
      <c r="G9" s="486">
        <f t="shared" si="1"/>
        <v>83.47076</v>
      </c>
      <c r="H9" s="486">
        <f t="shared" si="1"/>
        <v>80.77518</v>
      </c>
      <c r="I9" s="486">
        <f t="shared" si="1"/>
        <v>297.95432622</v>
      </c>
      <c r="J9" s="486">
        <f t="shared" si="1"/>
        <v>41.98131378</v>
      </c>
      <c r="K9" s="486">
        <f t="shared" si="1"/>
        <v>208.563603596</v>
      </c>
      <c r="L9" s="486">
        <f t="shared" si="1"/>
        <v>144.65806432</v>
      </c>
      <c r="M9" s="486">
        <f t="shared" si="1"/>
        <v>181.1523888</v>
      </c>
      <c r="N9" s="487">
        <f t="shared" si="1"/>
        <v>-148.41063074</v>
      </c>
      <c r="O9" s="486">
        <f t="shared" si="1"/>
        <v>69.5346648</v>
      </c>
      <c r="P9" s="486"/>
      <c r="Q9" s="485"/>
      <c r="R9" s="488"/>
      <c r="S9" s="489"/>
      <c r="T9" s="489"/>
      <c r="U9" s="489"/>
    </row>
    <row r="10" ht="15" customHeight="1" spans="1:21">
      <c r="S10" s="31"/>
      <c r="T10" s="31"/>
      <c r="U10" s="31"/>
    </row>
    <row r="11" ht="15" customHeight="1" spans="1:21">
      <c r="A11" s="107" t="s">
        <v>97</v>
      </c>
    </row>
    <row r="12" s="457" customFormat="1" ht="34" customHeight="1" spans="1:21">
      <c r="A12" s="460" t="s">
        <v>73</v>
      </c>
      <c r="B12" s="490" t="s">
        <v>98</v>
      </c>
      <c r="C12" s="462" t="s">
        <v>75</v>
      </c>
      <c r="D12" s="463" t="s">
        <v>76</v>
      </c>
      <c r="E12" s="463" t="s">
        <v>77</v>
      </c>
      <c r="F12" s="463" t="s">
        <v>78</v>
      </c>
      <c r="G12" s="463" t="s">
        <v>79</v>
      </c>
      <c r="H12" s="463" t="s">
        <v>80</v>
      </c>
      <c r="I12" s="463" t="s">
        <v>81</v>
      </c>
      <c r="J12" s="463" t="s">
        <v>82</v>
      </c>
      <c r="K12" s="463" t="s">
        <v>83</v>
      </c>
      <c r="L12" s="463" t="s">
        <v>84</v>
      </c>
      <c r="M12" s="463" t="s">
        <v>85</v>
      </c>
      <c r="N12" s="464" t="s">
        <v>86</v>
      </c>
      <c r="O12" s="463" t="s">
        <v>87</v>
      </c>
      <c r="P12" s="465"/>
      <c r="Q12" s="466"/>
    </row>
    <row r="13" ht="18" customHeight="1" spans="1:21">
      <c r="A13" s="467" t="s">
        <v>88</v>
      </c>
      <c r="B13" s="491"/>
      <c r="C13" s="470"/>
      <c r="D13" s="470"/>
      <c r="E13" s="470"/>
      <c r="F13" s="471"/>
      <c r="G13" s="471"/>
      <c r="H13" s="471"/>
      <c r="I13" s="471"/>
      <c r="J13" s="471"/>
      <c r="K13" s="471"/>
      <c r="L13" s="471"/>
      <c r="M13" s="471"/>
      <c r="N13" s="492"/>
      <c r="O13" s="471"/>
    </row>
    <row r="14" ht="18" customHeight="1" spans="1:21">
      <c r="A14" s="467" t="s">
        <v>90</v>
      </c>
      <c r="B14" s="491"/>
      <c r="C14" s="470"/>
      <c r="D14" s="470"/>
      <c r="E14" s="470"/>
      <c r="F14" s="471"/>
      <c r="G14" s="471"/>
      <c r="H14" s="471"/>
      <c r="I14" s="471"/>
      <c r="J14" s="471"/>
      <c r="K14" s="471"/>
      <c r="L14" s="471"/>
      <c r="M14" s="471"/>
      <c r="N14" s="492"/>
      <c r="O14" s="471"/>
    </row>
    <row r="15" ht="18" customHeight="1" spans="1:21">
      <c r="A15" s="473" t="s">
        <v>91</v>
      </c>
      <c r="B15" s="491"/>
      <c r="C15" s="470"/>
      <c r="D15" s="470"/>
      <c r="E15" s="470"/>
      <c r="F15" s="471"/>
      <c r="G15" s="471"/>
      <c r="H15" s="471"/>
      <c r="I15" s="471"/>
      <c r="J15" s="471"/>
      <c r="K15" s="471"/>
      <c r="L15" s="471"/>
      <c r="M15" s="471"/>
      <c r="N15" s="492"/>
      <c r="O15" s="471"/>
    </row>
    <row r="16" ht="18" customHeight="1" spans="1:21">
      <c r="A16" s="474" t="s">
        <v>92</v>
      </c>
      <c r="B16" s="493"/>
      <c r="C16" s="469">
        <f>SUM(D16:O16)</f>
        <v>366.107</v>
      </c>
      <c r="D16" s="471">
        <f>377.983-2659414.53/10000</f>
        <v>112.041547</v>
      </c>
      <c r="E16" s="471">
        <f>191.57-3869946.72/10000</f>
        <v>-195.424672</v>
      </c>
      <c r="F16" s="471">
        <f>-429.26--5370695.59/10000</f>
        <v>107.809559</v>
      </c>
      <c r="G16" s="471">
        <f>-29.559-2165911.16/10000</f>
        <v>-246.150116</v>
      </c>
      <c r="H16" s="471">
        <v>96.61</v>
      </c>
      <c r="I16" s="471">
        <v>-3.44</v>
      </c>
      <c r="J16" s="471">
        <v>191.09</v>
      </c>
      <c r="K16" s="12">
        <v>71.15</v>
      </c>
      <c r="L16" s="471">
        <v>20.14</v>
      </c>
      <c r="M16" s="471">
        <v>57.43</v>
      </c>
      <c r="N16" s="472">
        <v>209.288682</v>
      </c>
      <c r="O16" s="471">
        <v>-54.438</v>
      </c>
    </row>
    <row r="17" ht="18" customHeight="1" spans="1:17">
      <c r="A17" s="473" t="s">
        <v>94</v>
      </c>
      <c r="B17" s="491"/>
      <c r="C17" s="470"/>
      <c r="D17" s="471"/>
      <c r="E17" s="471"/>
      <c r="F17" s="471"/>
      <c r="G17" s="471"/>
      <c r="H17" s="471"/>
      <c r="I17" s="471"/>
      <c r="J17" s="471"/>
      <c r="K17" s="471"/>
      <c r="L17" s="471"/>
      <c r="M17" s="471"/>
      <c r="N17" s="492"/>
      <c r="O17" s="471"/>
    </row>
    <row r="18" ht="18" customHeight="1" spans="1:17">
      <c r="A18" s="479" t="s">
        <v>9</v>
      </c>
      <c r="B18" s="480">
        <f t="shared" ref="B18:O18" si="2">SUM(B13:B17)</f>
        <v>0</v>
      </c>
      <c r="C18" s="481">
        <f t="shared" si="2"/>
        <v>366.107</v>
      </c>
      <c r="D18" s="482">
        <f t="shared" si="2"/>
        <v>112.041547</v>
      </c>
      <c r="E18" s="482">
        <f t="shared" si="2"/>
        <v>-195.424672</v>
      </c>
      <c r="F18" s="482">
        <f t="shared" si="2"/>
        <v>107.809559</v>
      </c>
      <c r="G18" s="482">
        <f t="shared" si="2"/>
        <v>-246.150116</v>
      </c>
      <c r="H18" s="482">
        <f t="shared" si="2"/>
        <v>96.61</v>
      </c>
      <c r="I18" s="482">
        <f t="shared" si="2"/>
        <v>-3.44</v>
      </c>
      <c r="J18" s="482">
        <f t="shared" si="2"/>
        <v>191.09</v>
      </c>
      <c r="K18" s="482">
        <f t="shared" si="2"/>
        <v>71.15</v>
      </c>
      <c r="L18" s="482">
        <f t="shared" si="2"/>
        <v>20.14</v>
      </c>
      <c r="M18" s="482">
        <f t="shared" si="2"/>
        <v>57.43</v>
      </c>
      <c r="N18" s="483">
        <f t="shared" si="2"/>
        <v>209.288682</v>
      </c>
      <c r="O18" s="482">
        <f t="shared" si="2"/>
        <v>-54.438</v>
      </c>
      <c r="P18" s="21"/>
    </row>
    <row r="19" s="458" customFormat="1" ht="19" customHeight="1" spans="1:17">
      <c r="A19" s="458" t="s">
        <v>96</v>
      </c>
      <c r="B19" s="485"/>
      <c r="C19" s="486">
        <f>C18*1.06</f>
        <v>388.07342</v>
      </c>
      <c r="D19" s="486">
        <f t="shared" ref="C19:O19" si="3">D18*1.06</f>
        <v>118.76403982</v>
      </c>
      <c r="E19" s="486">
        <f t="shared" si="3"/>
        <v>-207.15015232</v>
      </c>
      <c r="F19" s="486">
        <f t="shared" si="3"/>
        <v>114.27813254</v>
      </c>
      <c r="G19" s="486">
        <f t="shared" si="3"/>
        <v>-260.91912296</v>
      </c>
      <c r="H19" s="486">
        <f t="shared" si="3"/>
        <v>102.4066</v>
      </c>
      <c r="I19" s="486">
        <f t="shared" si="3"/>
        <v>-3.6464</v>
      </c>
      <c r="J19" s="486">
        <f t="shared" si="3"/>
        <v>202.5554</v>
      </c>
      <c r="K19" s="486">
        <f t="shared" si="3"/>
        <v>75.419</v>
      </c>
      <c r="L19" s="486">
        <f t="shared" si="3"/>
        <v>21.3484</v>
      </c>
      <c r="M19" s="486">
        <f t="shared" si="3"/>
        <v>60.8758</v>
      </c>
      <c r="N19" s="487">
        <f t="shared" si="3"/>
        <v>221.84600292</v>
      </c>
      <c r="O19" s="486">
        <f t="shared" si="3"/>
        <v>-57.70428</v>
      </c>
      <c r="P19" s="486"/>
      <c r="Q19" s="485"/>
    </row>
    <row r="20" spans="1:17">
      <c r="B20" s="18"/>
    </row>
    <row r="21" spans="1:17">
      <c r="A21" s="494" t="s">
        <v>99</v>
      </c>
      <c r="N21" s="2"/>
      <c r="O21" s="11"/>
      <c r="P21" s="11"/>
    </row>
    <row r="22" s="457" customFormat="1" ht="34" customHeight="1" spans="1:17">
      <c r="A22" s="460" t="s">
        <v>73</v>
      </c>
      <c r="B22" s="490" t="s">
        <v>98</v>
      </c>
      <c r="C22" s="462" t="s">
        <v>75</v>
      </c>
      <c r="D22" s="463" t="s">
        <v>76</v>
      </c>
      <c r="E22" s="463" t="s">
        <v>77</v>
      </c>
      <c r="F22" s="463" t="s">
        <v>78</v>
      </c>
      <c r="G22" s="463" t="s">
        <v>79</v>
      </c>
      <c r="H22" s="463" t="s">
        <v>80</v>
      </c>
      <c r="I22" s="463" t="s">
        <v>81</v>
      </c>
      <c r="J22" s="463" t="s">
        <v>82</v>
      </c>
      <c r="K22" s="463" t="s">
        <v>83</v>
      </c>
      <c r="L22" s="463" t="s">
        <v>84</v>
      </c>
      <c r="M22" s="463" t="s">
        <v>85</v>
      </c>
      <c r="N22" s="464" t="s">
        <v>86</v>
      </c>
      <c r="O22" s="463" t="s">
        <v>87</v>
      </c>
      <c r="P22" s="465"/>
      <c r="Q22" s="466"/>
    </row>
    <row r="23" s="11" customFormat="1" ht="18" customHeight="1" spans="1:17">
      <c r="A23" s="467" t="s">
        <v>88</v>
      </c>
      <c r="B23" s="491"/>
      <c r="C23" s="470"/>
      <c r="D23" s="470"/>
      <c r="E23" s="470"/>
      <c r="F23" s="471"/>
      <c r="G23" s="471"/>
      <c r="H23" s="471"/>
      <c r="I23" s="471"/>
      <c r="J23" s="471"/>
      <c r="K23" s="471"/>
      <c r="L23" s="471"/>
      <c r="M23" s="471"/>
      <c r="N23" s="492"/>
      <c r="O23" s="471"/>
      <c r="P23" s="12"/>
      <c r="Q23" s="18"/>
    </row>
    <row r="24" s="11" customFormat="1" ht="18" customHeight="1" spans="1:17">
      <c r="A24" s="467" t="s">
        <v>90</v>
      </c>
      <c r="B24" s="491"/>
      <c r="C24" s="470"/>
      <c r="D24" s="470"/>
      <c r="E24" s="470"/>
      <c r="F24" s="471"/>
      <c r="G24" s="471"/>
      <c r="H24" s="471"/>
      <c r="I24" s="471"/>
      <c r="J24" s="471"/>
      <c r="K24" s="471"/>
      <c r="L24" s="471"/>
      <c r="M24" s="471"/>
      <c r="N24" s="492"/>
      <c r="O24" s="471"/>
      <c r="P24" s="12"/>
      <c r="Q24" s="18"/>
    </row>
    <row r="25" s="11" customFormat="1" ht="18" customHeight="1" spans="1:17">
      <c r="A25" s="473" t="s">
        <v>91</v>
      </c>
      <c r="B25" s="491"/>
      <c r="C25" s="470"/>
      <c r="D25" s="470"/>
      <c r="E25" s="470"/>
      <c r="F25" s="471"/>
      <c r="G25" s="471"/>
      <c r="H25" s="471"/>
      <c r="I25" s="471"/>
      <c r="J25" s="471"/>
      <c r="K25" s="471"/>
      <c r="L25" s="471"/>
      <c r="M25" s="471"/>
      <c r="N25" s="492"/>
      <c r="O25" s="471"/>
      <c r="P25" s="12"/>
      <c r="Q25" s="18"/>
    </row>
    <row r="26" s="11" customFormat="1" ht="18" customHeight="1" spans="1:17">
      <c r="A26" s="474" t="s">
        <v>92</v>
      </c>
      <c r="B26" s="493"/>
      <c r="C26" s="469">
        <f>SUM(D26:O26)</f>
        <v>219.71</v>
      </c>
      <c r="D26" s="471">
        <v>98.863</v>
      </c>
      <c r="E26" s="471">
        <v>88.266</v>
      </c>
      <c r="F26" s="471">
        <v>112.98</v>
      </c>
      <c r="G26" s="471">
        <v>-111.401</v>
      </c>
      <c r="H26" s="471">
        <v>-41.707</v>
      </c>
      <c r="I26" s="471">
        <v>-100.897</v>
      </c>
      <c r="J26" s="471">
        <v>160.729</v>
      </c>
      <c r="K26" s="12">
        <v>125.174</v>
      </c>
      <c r="L26" s="471">
        <v>-208.57</v>
      </c>
      <c r="M26" s="471">
        <v>179.757</v>
      </c>
      <c r="N26" s="492">
        <v>53.9819999999999</v>
      </c>
      <c r="O26" s="471">
        <v>-137.466</v>
      </c>
      <c r="P26" s="12"/>
      <c r="Q26" s="18"/>
    </row>
    <row r="27" s="11" customFormat="1" ht="18" customHeight="1" spans="1:17">
      <c r="A27" s="473" t="s">
        <v>94</v>
      </c>
      <c r="B27" s="491"/>
      <c r="C27" s="470"/>
      <c r="D27" s="471"/>
      <c r="E27" s="471"/>
      <c r="F27" s="471"/>
      <c r="G27" s="471"/>
      <c r="H27" s="471"/>
      <c r="I27" s="471"/>
      <c r="J27" s="471"/>
      <c r="K27" s="471"/>
      <c r="L27" s="471"/>
      <c r="M27" s="471"/>
      <c r="N27" s="492"/>
      <c r="O27" s="471"/>
      <c r="P27" s="12"/>
      <c r="Q27" s="18"/>
    </row>
    <row r="28" s="11" customFormat="1" ht="18" customHeight="1" spans="1:17">
      <c r="A28" s="479" t="s">
        <v>9</v>
      </c>
      <c r="B28" s="495">
        <f>SUM(B23:B27)</f>
        <v>0</v>
      </c>
      <c r="C28" s="496">
        <f>SUM(C23:C27)</f>
        <v>219.71</v>
      </c>
      <c r="D28" s="497"/>
      <c r="E28" s="497"/>
      <c r="F28" s="497">
        <f t="shared" ref="F28:O28" si="4">SUM(F23:F27)</f>
        <v>112.98</v>
      </c>
      <c r="G28" s="497">
        <f t="shared" si="4"/>
        <v>-111.401</v>
      </c>
      <c r="H28" s="497">
        <f t="shared" si="4"/>
        <v>-41.707</v>
      </c>
      <c r="I28" s="497">
        <f t="shared" si="4"/>
        <v>-100.897</v>
      </c>
      <c r="J28" s="497">
        <f t="shared" si="4"/>
        <v>160.729</v>
      </c>
      <c r="K28" s="497">
        <f t="shared" si="4"/>
        <v>125.174</v>
      </c>
      <c r="L28" s="497">
        <f t="shared" si="4"/>
        <v>-208.57</v>
      </c>
      <c r="M28" s="497">
        <f t="shared" si="4"/>
        <v>179.757</v>
      </c>
      <c r="N28" s="498">
        <f t="shared" si="4"/>
        <v>53.9819999999999</v>
      </c>
      <c r="O28" s="497">
        <f t="shared" si="4"/>
        <v>-137.466</v>
      </c>
      <c r="P28" s="21"/>
      <c r="Q28" s="18"/>
    </row>
    <row r="29" s="458" customFormat="1" ht="19" customHeight="1" spans="1:17">
      <c r="A29" s="458" t="s">
        <v>96</v>
      </c>
      <c r="B29" s="485"/>
      <c r="C29" s="486">
        <f t="shared" ref="C29:O29" si="5">C28*1.06</f>
        <v>232.8926</v>
      </c>
      <c r="D29" s="486">
        <f t="shared" si="5"/>
        <v>0</v>
      </c>
      <c r="E29" s="486">
        <f t="shared" si="5"/>
        <v>0</v>
      </c>
      <c r="F29" s="486">
        <f t="shared" si="5"/>
        <v>119.7588</v>
      </c>
      <c r="G29" s="486">
        <f t="shared" si="5"/>
        <v>-118.08506</v>
      </c>
      <c r="H29" s="486">
        <f t="shared" si="5"/>
        <v>-44.20942</v>
      </c>
      <c r="I29" s="486">
        <f t="shared" si="5"/>
        <v>-106.95082</v>
      </c>
      <c r="J29" s="486">
        <f t="shared" si="5"/>
        <v>170.37274</v>
      </c>
      <c r="K29" s="486">
        <f t="shared" si="5"/>
        <v>132.68444</v>
      </c>
      <c r="L29" s="486">
        <f t="shared" si="5"/>
        <v>-221.0842</v>
      </c>
      <c r="M29" s="486">
        <f t="shared" si="5"/>
        <v>190.54242</v>
      </c>
      <c r="N29" s="487">
        <f t="shared" si="5"/>
        <v>57.2209199999999</v>
      </c>
      <c r="O29" s="486">
        <f t="shared" si="5"/>
        <v>-145.71396</v>
      </c>
      <c r="P29" s="486"/>
      <c r="Q29" s="485"/>
    </row>
    <row r="34" spans="2:2">
      <c r="B34" s="499"/>
    </row>
  </sheetData>
  <pageMargins left="0.75" right="0.75" top="1" bottom="1" header="0.5" footer="0.5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X152"/>
  <sheetViews>
    <sheetView workbookViewId="0">
      <selection activeCell="K30" sqref="K30"/>
    </sheetView>
  </sheetViews>
  <sheetFormatPr defaultColWidth="9" defaultRowHeight="12.9" customHeight="1"/>
  <cols>
    <col min="1" max="1" width="8.88333333333333" style="366" customWidth="1"/>
    <col min="2" max="2" width="14.6666666666667" style="367" customWidth="1"/>
    <col min="3" max="3" width="15.275" style="367" customWidth="1"/>
    <col min="4" max="7" width="14.6666666666667" style="367" customWidth="1"/>
    <col min="8" max="8" width="15.8833333333333" style="367" customWidth="1"/>
    <col min="9" max="9" width="11.3833333333333" style="366" customWidth="1"/>
    <col min="10" max="10" width="13.625" style="366" customWidth="1"/>
    <col min="11" max="12" width="11.6333333333333" style="368" customWidth="1"/>
    <col min="13" max="13" width="10.8833333333333" style="369" customWidth="1"/>
    <col min="14" max="14" width="10.2583333333333" style="366" customWidth="1"/>
    <col min="15" max="15" width="10.7583333333333" style="366" customWidth="1"/>
    <col min="16" max="16" width="13.475" style="366" customWidth="1"/>
    <col min="17" max="17" width="13.7583333333333" style="366" customWidth="1"/>
    <col min="18" max="18" width="13.7416666666667" style="366" customWidth="1"/>
    <col min="19" max="19" width="12.6333333333333" style="366" customWidth="1"/>
    <col min="20" max="20" width="9.63333333333333" style="366"/>
    <col min="21" max="23" width="13.6083333333333" style="366" customWidth="1"/>
    <col min="24" max="24" width="11.2583333333333" style="370"/>
    <col min="25" max="16384" width="9" style="366"/>
  </cols>
  <sheetData>
    <row r="1" s="171" customFormat="1" ht="24" customHeight="1" spans="1:24">
      <c r="A1" s="371" t="s">
        <v>72</v>
      </c>
      <c r="B1" s="372" t="s">
        <v>100</v>
      </c>
      <c r="C1" s="372" t="s">
        <v>101</v>
      </c>
      <c r="D1" s="372" t="s">
        <v>102</v>
      </c>
      <c r="E1" s="372" t="s">
        <v>103</v>
      </c>
      <c r="F1" s="372" t="s">
        <v>104</v>
      </c>
      <c r="G1" s="372" t="s">
        <v>105</v>
      </c>
      <c r="H1" s="373" t="s">
        <v>106</v>
      </c>
      <c r="I1" s="171" t="s">
        <v>107</v>
      </c>
      <c r="J1" s="374" t="s">
        <v>53</v>
      </c>
      <c r="K1" s="375" t="s">
        <v>108</v>
      </c>
      <c r="L1" s="375" t="s">
        <v>109</v>
      </c>
      <c r="M1" s="376" t="s">
        <v>110</v>
      </c>
      <c r="P1" s="377"/>
    </row>
    <row r="2" ht="14.1" customHeight="1" spans="1:24">
      <c r="A2" s="378" t="s">
        <v>111</v>
      </c>
      <c r="B2" s="379">
        <v>45102810.4424002</v>
      </c>
      <c r="C2" s="379">
        <v>75000597.3729999</v>
      </c>
      <c r="D2" s="379">
        <v>9435812.474</v>
      </c>
      <c r="E2" s="379">
        <v>203561853.123806</v>
      </c>
      <c r="F2" s="379">
        <v>365546391.6406</v>
      </c>
      <c r="G2" s="379">
        <v>277292.491</v>
      </c>
      <c r="H2" s="380">
        <f t="shared" ref="H2:H13" si="0">SUM(B2:G2)</f>
        <v>698924757.544806</v>
      </c>
      <c r="I2" s="367">
        <f>H2/10000-GMV销售平台占比!B17</f>
        <v>6.98491930961609e-10</v>
      </c>
      <c r="J2" s="381" t="s">
        <v>111</v>
      </c>
      <c r="K2" s="382">
        <f t="shared" ref="K2:K13" si="1">H2/100000000</f>
        <v>6.98924757544806</v>
      </c>
      <c r="L2" s="382">
        <f t="shared" ref="L2:L13" si="2">H17/100000000</f>
        <v>8.38416624659997</v>
      </c>
      <c r="M2" s="383">
        <f t="shared" ref="M2:M14" si="3">(K2-L2)/L2</f>
        <v>-0.166375359233554</v>
      </c>
      <c r="N2" s="370">
        <f>K2-L2</f>
        <v>-1.39491867115191</v>
      </c>
      <c r="P2" s="370"/>
      <c r="X2" s="366"/>
    </row>
    <row r="3" ht="14.1" customHeight="1" spans="1:24">
      <c r="A3" s="378" t="s">
        <v>112</v>
      </c>
      <c r="B3" s="379">
        <v>29914546.6127999</v>
      </c>
      <c r="C3" s="379">
        <v>33284884.261</v>
      </c>
      <c r="D3" s="379">
        <v>12224512.6672</v>
      </c>
      <c r="E3" s="379">
        <v>186505315.145007</v>
      </c>
      <c r="F3" s="379">
        <v>289442671.358001</v>
      </c>
      <c r="G3" s="379">
        <v>697463.7458</v>
      </c>
      <c r="H3" s="380">
        <f t="shared" si="0"/>
        <v>552069393.789808</v>
      </c>
      <c r="I3" s="367"/>
      <c r="J3" s="384" t="s">
        <v>112</v>
      </c>
      <c r="K3" s="385">
        <f t="shared" si="1"/>
        <v>5.52069393789808</v>
      </c>
      <c r="L3" s="385">
        <f t="shared" si="2"/>
        <v>7.62180494879997</v>
      </c>
      <c r="M3" s="386">
        <f t="shared" si="3"/>
        <v>-0.275671054955651</v>
      </c>
      <c r="N3" s="370"/>
      <c r="P3" s="370"/>
      <c r="X3" s="366"/>
    </row>
    <row r="4" ht="14.1" customHeight="1" spans="1:24">
      <c r="A4" s="378" t="s">
        <v>113</v>
      </c>
      <c r="B4" s="379">
        <v>23250822.4742</v>
      </c>
      <c r="C4" s="379">
        <v>38931284.8745999</v>
      </c>
      <c r="D4" s="379">
        <v>4582458.63300003</v>
      </c>
      <c r="E4" s="379">
        <v>188916067.885406</v>
      </c>
      <c r="F4" s="379">
        <v>410252309.422399</v>
      </c>
      <c r="G4" s="379">
        <v>50935.9072</v>
      </c>
      <c r="H4" s="380">
        <f t="shared" si="0"/>
        <v>665983879.196805</v>
      </c>
      <c r="I4" s="367"/>
      <c r="J4" s="384" t="s">
        <v>113</v>
      </c>
      <c r="K4" s="385">
        <f t="shared" si="1"/>
        <v>6.65983879196805</v>
      </c>
      <c r="L4" s="385">
        <f t="shared" si="2"/>
        <v>6.68328891859694</v>
      </c>
      <c r="M4" s="386">
        <f t="shared" si="3"/>
        <v>-0.00350877044438981</v>
      </c>
      <c r="N4" s="370"/>
      <c r="P4" s="370"/>
      <c r="X4" s="366"/>
    </row>
    <row r="5" ht="14.1" customHeight="1" spans="1:24">
      <c r="A5" s="378" t="s">
        <v>114</v>
      </c>
      <c r="B5" s="379">
        <v>26883010.331</v>
      </c>
      <c r="C5" s="379">
        <v>46615667.9526001</v>
      </c>
      <c r="D5" s="379">
        <v>3360143.81540003</v>
      </c>
      <c r="E5" s="379">
        <v>173047891.303208</v>
      </c>
      <c r="F5" s="379">
        <v>353508245.423403</v>
      </c>
      <c r="G5" s="379">
        <v>45091.2022</v>
      </c>
      <c r="H5" s="380">
        <f t="shared" si="0"/>
        <v>603460050.027811</v>
      </c>
      <c r="I5" s="367"/>
      <c r="J5" s="384" t="s">
        <v>114</v>
      </c>
      <c r="K5" s="385">
        <f t="shared" si="1"/>
        <v>6.03460050027811</v>
      </c>
      <c r="L5" s="387">
        <f t="shared" si="2"/>
        <v>5.03452969116499</v>
      </c>
      <c r="M5" s="386">
        <f t="shared" si="3"/>
        <v>0.198642350022909</v>
      </c>
      <c r="N5" s="370"/>
      <c r="P5" s="370"/>
      <c r="X5" s="366"/>
    </row>
    <row r="6" ht="14.1" customHeight="1" spans="1:24">
      <c r="A6" s="378" t="s">
        <v>115</v>
      </c>
      <c r="B6" s="379">
        <v>37315216.083</v>
      </c>
      <c r="C6" s="379">
        <v>100256811.5264</v>
      </c>
      <c r="D6" s="379">
        <v>3366603.89220002</v>
      </c>
      <c r="E6" s="379">
        <v>172905663.946405</v>
      </c>
      <c r="F6" s="379">
        <v>290836995.069399</v>
      </c>
      <c r="G6" s="379">
        <v>36996.6186</v>
      </c>
      <c r="H6" s="380">
        <f t="shared" si="0"/>
        <v>604718287.136004</v>
      </c>
      <c r="I6" s="367"/>
      <c r="J6" s="384" t="s">
        <v>115</v>
      </c>
      <c r="K6" s="385">
        <f t="shared" si="1"/>
        <v>6.04718287136004</v>
      </c>
      <c r="L6" s="388">
        <f t="shared" si="2"/>
        <v>7.05529658468003</v>
      </c>
      <c r="M6" s="386">
        <f t="shared" si="3"/>
        <v>-0.142887503199939</v>
      </c>
      <c r="N6" s="370"/>
      <c r="P6" s="370"/>
      <c r="X6" s="366"/>
    </row>
    <row r="7" ht="14.1" customHeight="1" spans="1:24">
      <c r="A7" s="378" t="s">
        <v>116</v>
      </c>
      <c r="B7" s="379">
        <v>44748188.5690002</v>
      </c>
      <c r="C7" s="379">
        <v>41902247.0518</v>
      </c>
      <c r="D7" s="379">
        <v>2880591.76380002</v>
      </c>
      <c r="E7" s="379">
        <v>124745162.211398</v>
      </c>
      <c r="F7" s="379">
        <v>354770311.419007</v>
      </c>
      <c r="G7" s="379">
        <v>93346.506</v>
      </c>
      <c r="H7" s="380">
        <f t="shared" si="0"/>
        <v>569139847.521005</v>
      </c>
      <c r="I7" s="367"/>
      <c r="J7" s="384" t="s">
        <v>116</v>
      </c>
      <c r="K7" s="385">
        <f t="shared" si="1"/>
        <v>5.69139847521005</v>
      </c>
      <c r="L7" s="385">
        <f t="shared" si="2"/>
        <v>8.38027476513797</v>
      </c>
      <c r="M7" s="386">
        <f t="shared" si="3"/>
        <v>-0.320857772004526</v>
      </c>
      <c r="N7" s="370"/>
      <c r="P7" s="370"/>
      <c r="X7" s="366"/>
    </row>
    <row r="8" ht="14.1" customHeight="1" spans="1:24">
      <c r="A8" s="378" t="s">
        <v>117</v>
      </c>
      <c r="B8" s="379">
        <v>40140016.6619002</v>
      </c>
      <c r="C8" s="379">
        <v>47381046.3216</v>
      </c>
      <c r="D8" s="379">
        <v>2957178.36960001</v>
      </c>
      <c r="E8" s="379">
        <v>75125964.9877998</v>
      </c>
      <c r="F8" s="379">
        <v>462615231.112004</v>
      </c>
      <c r="G8" s="379">
        <v>2103107.7344</v>
      </c>
      <c r="H8" s="380">
        <f t="shared" si="0"/>
        <v>630322545.187304</v>
      </c>
      <c r="I8" s="367"/>
      <c r="J8" s="384" t="s">
        <v>117</v>
      </c>
      <c r="K8" s="385">
        <f t="shared" si="1"/>
        <v>6.30322545187304</v>
      </c>
      <c r="L8" s="385">
        <f t="shared" si="2"/>
        <v>8.20049775177397</v>
      </c>
      <c r="M8" s="386">
        <f t="shared" si="3"/>
        <v>-0.23136062679738</v>
      </c>
      <c r="N8" s="370"/>
      <c r="P8" s="370"/>
      <c r="X8" s="366"/>
    </row>
    <row r="9" ht="14.1" customHeight="1" spans="1:24">
      <c r="A9" s="389" t="s">
        <v>118</v>
      </c>
      <c r="B9" s="379">
        <v>38764100.5068001</v>
      </c>
      <c r="C9" s="379">
        <v>57682761.6045</v>
      </c>
      <c r="D9" s="379">
        <v>3647053.3578</v>
      </c>
      <c r="E9" s="379">
        <v>84315660.6159996</v>
      </c>
      <c r="F9" s="379">
        <v>524883022.893298</v>
      </c>
      <c r="G9" s="379">
        <v>1186092.4687</v>
      </c>
      <c r="H9" s="380">
        <f t="shared" si="0"/>
        <v>710478691.447098</v>
      </c>
      <c r="I9" s="367">
        <f>H9/10000-'GMV表-商品大类'!F49</f>
        <v>0</v>
      </c>
      <c r="J9" s="384" t="s">
        <v>118</v>
      </c>
      <c r="K9" s="385">
        <f t="shared" si="1"/>
        <v>7.10478691447098</v>
      </c>
      <c r="L9" s="385">
        <f t="shared" si="2"/>
        <v>7.51657706529592</v>
      </c>
      <c r="M9" s="386">
        <f t="shared" si="3"/>
        <v>-0.0547842651312896</v>
      </c>
      <c r="N9" s="370"/>
      <c r="P9" s="390"/>
      <c r="X9" s="366"/>
    </row>
    <row r="10" ht="14.1" customHeight="1" spans="1:24">
      <c r="A10" s="389" t="s">
        <v>119</v>
      </c>
      <c r="B10" s="379">
        <v>28150836.6844</v>
      </c>
      <c r="C10" s="379">
        <v>108351992.4562</v>
      </c>
      <c r="D10" s="379">
        <v>3315332.66940002</v>
      </c>
      <c r="E10" s="379">
        <v>87118570.7115989</v>
      </c>
      <c r="F10" s="379">
        <v>501212649.483893</v>
      </c>
      <c r="G10" s="379">
        <v>3348273.6295</v>
      </c>
      <c r="H10" s="380">
        <f t="shared" si="0"/>
        <v>731497655.634992</v>
      </c>
      <c r="I10" s="367"/>
      <c r="J10" s="384" t="s">
        <v>119</v>
      </c>
      <c r="K10" s="385">
        <f t="shared" si="1"/>
        <v>7.31497655634992</v>
      </c>
      <c r="L10" s="385">
        <f t="shared" si="2"/>
        <v>5.26181043422709</v>
      </c>
      <c r="M10" s="386">
        <f t="shared" si="3"/>
        <v>0.390201461604806</v>
      </c>
      <c r="N10" s="370"/>
      <c r="X10" s="366"/>
    </row>
    <row r="11" ht="14.1" customHeight="1" spans="1:24">
      <c r="A11" s="389" t="s">
        <v>120</v>
      </c>
      <c r="B11" s="379">
        <v>27253233.6146</v>
      </c>
      <c r="C11" s="379">
        <v>100988861.3498</v>
      </c>
      <c r="D11" s="379">
        <v>3440109.097</v>
      </c>
      <c r="E11" s="379">
        <v>92681237.6191995</v>
      </c>
      <c r="F11" s="379">
        <v>396771890.994594</v>
      </c>
      <c r="G11" s="379">
        <v>529975.2441</v>
      </c>
      <c r="H11" s="380">
        <f t="shared" si="0"/>
        <v>621665307.919294</v>
      </c>
      <c r="I11" s="367"/>
      <c r="J11" s="384" t="s">
        <v>120</v>
      </c>
      <c r="K11" s="385">
        <f t="shared" si="1"/>
        <v>6.21665307919293</v>
      </c>
      <c r="L11" s="385">
        <f t="shared" si="2"/>
        <v>5.90113703932011</v>
      </c>
      <c r="M11" s="386">
        <f t="shared" si="3"/>
        <v>0.0534669908138884</v>
      </c>
      <c r="N11" s="370"/>
      <c r="X11" s="366"/>
    </row>
    <row r="12" ht="14.1" customHeight="1" spans="1:24">
      <c r="A12" s="389" t="s">
        <v>121</v>
      </c>
      <c r="B12" s="379">
        <v>36611701.3876</v>
      </c>
      <c r="C12" s="379">
        <v>104027159.3232</v>
      </c>
      <c r="D12" s="379">
        <v>3413736.03660001</v>
      </c>
      <c r="E12" s="379">
        <v>105873714.121599</v>
      </c>
      <c r="F12" s="379">
        <v>406359989.032104</v>
      </c>
      <c r="G12" s="379">
        <v>186184.8276</v>
      </c>
      <c r="H12" s="380">
        <f t="shared" si="0"/>
        <v>656472484.728703</v>
      </c>
      <c r="I12" s="367"/>
      <c r="J12" s="384" t="s">
        <v>121</v>
      </c>
      <c r="K12" s="385">
        <f t="shared" si="1"/>
        <v>6.56472484728703</v>
      </c>
      <c r="L12" s="385">
        <f t="shared" si="2"/>
        <v>6.18129619550206</v>
      </c>
      <c r="M12" s="386">
        <f t="shared" si="3"/>
        <v>0.062030460870647</v>
      </c>
      <c r="N12" s="370"/>
      <c r="O12" s="391"/>
      <c r="Q12" s="370"/>
      <c r="X12" s="366"/>
    </row>
    <row r="13" ht="14.1" customHeight="1" spans="1:24">
      <c r="A13" s="389" t="s">
        <v>122</v>
      </c>
      <c r="B13" s="379">
        <v>35827984.2226</v>
      </c>
      <c r="C13" s="379">
        <f>101631883.7308+11608600.18-11608600.18</f>
        <v>101631883.7308</v>
      </c>
      <c r="D13" s="379">
        <v>3342888.61559999</v>
      </c>
      <c r="E13" s="379">
        <v>119752107.624199</v>
      </c>
      <c r="F13" s="379">
        <v>610521453.905795</v>
      </c>
      <c r="G13" s="379">
        <v>1025884.6834</v>
      </c>
      <c r="H13" s="380">
        <f t="shared" si="0"/>
        <v>872102202.782394</v>
      </c>
      <c r="I13" s="367"/>
      <c r="J13" s="384" t="s">
        <v>122</v>
      </c>
      <c r="K13" s="385">
        <f t="shared" si="1"/>
        <v>8.72102202782394</v>
      </c>
      <c r="L13" s="385">
        <f t="shared" si="2"/>
        <v>6.01992636793106</v>
      </c>
      <c r="M13" s="386">
        <f t="shared" si="3"/>
        <v>0.448692474758823</v>
      </c>
      <c r="N13" s="370"/>
      <c r="O13" s="391"/>
      <c r="X13" s="366"/>
    </row>
    <row r="14" ht="14.1" customHeight="1" spans="1:24">
      <c r="A14" s="366" t="s">
        <v>9</v>
      </c>
      <c r="B14" s="380">
        <f t="shared" ref="B14:H14" si="4">SUM(B2:B13)</f>
        <v>413962467.590301</v>
      </c>
      <c r="C14" s="380">
        <f t="shared" si="4"/>
        <v>856055197.8255</v>
      </c>
      <c r="D14" s="380">
        <f t="shared" si="4"/>
        <v>55966421.3916001</v>
      </c>
      <c r="E14" s="380">
        <f t="shared" si="4"/>
        <v>1614549209.29563</v>
      </c>
      <c r="F14" s="380">
        <f t="shared" si="4"/>
        <v>4966721161.7545</v>
      </c>
      <c r="G14" s="380">
        <f t="shared" si="4"/>
        <v>9580645.0585</v>
      </c>
      <c r="H14" s="380">
        <f t="shared" si="4"/>
        <v>7916835102.91602</v>
      </c>
      <c r="I14" s="367"/>
      <c r="J14" s="392" t="s">
        <v>123</v>
      </c>
      <c r="K14" s="393">
        <f>SUM(K2:K13)</f>
        <v>79.1683510291602</v>
      </c>
      <c r="L14" s="393">
        <f>SUM(L2:L13)</f>
        <v>82.2406060090301</v>
      </c>
      <c r="M14" s="394">
        <f t="shared" si="3"/>
        <v>-0.0373569107641611</v>
      </c>
      <c r="N14" s="367">
        <f>K14-L14</f>
        <v>-3.07225497986987</v>
      </c>
      <c r="O14" s="395">
        <f>N14/L14</f>
        <v>-0.0373569107641611</v>
      </c>
      <c r="P14" s="370"/>
      <c r="X14" s="366"/>
    </row>
    <row r="15" customHeight="1" spans="1:24">
      <c r="I15" s="370"/>
      <c r="J15" s="396" t="s">
        <v>124</v>
      </c>
      <c r="X15" s="366"/>
    </row>
    <row r="16" ht="16" customHeight="1" spans="1:24">
      <c r="A16" s="371" t="s">
        <v>97</v>
      </c>
      <c r="B16" s="372" t="s">
        <v>100</v>
      </c>
      <c r="C16" s="372" t="s">
        <v>101</v>
      </c>
      <c r="D16" s="372" t="s">
        <v>102</v>
      </c>
      <c r="E16" s="372" t="s">
        <v>103</v>
      </c>
      <c r="F16" s="372" t="s">
        <v>104</v>
      </c>
      <c r="G16" s="372" t="s">
        <v>105</v>
      </c>
      <c r="H16" s="373" t="s">
        <v>106</v>
      </c>
      <c r="J16" s="397" t="s">
        <v>125</v>
      </c>
      <c r="K16" s="607" t="s">
        <v>97</v>
      </c>
      <c r="L16" s="399" t="s">
        <v>99</v>
      </c>
      <c r="M16" s="400" t="s">
        <v>126</v>
      </c>
      <c r="N16" s="400" t="s">
        <v>127</v>
      </c>
      <c r="X16" s="366"/>
    </row>
    <row r="17" customHeight="1" spans="1:24">
      <c r="A17" s="366" t="s">
        <v>111</v>
      </c>
      <c r="B17" s="367">
        <v>163943517.49</v>
      </c>
      <c r="C17" s="367">
        <v>72069321.8000001</v>
      </c>
      <c r="D17" s="367">
        <v>57651168.6100001</v>
      </c>
      <c r="E17" s="367">
        <v>220381040.769999</v>
      </c>
      <c r="F17" s="367">
        <v>324368560.519998</v>
      </c>
      <c r="G17" s="367">
        <v>3015.47</v>
      </c>
      <c r="H17" s="367">
        <v>838416624.659997</v>
      </c>
      <c r="I17" s="370"/>
      <c r="J17" s="401" t="s">
        <v>128</v>
      </c>
      <c r="K17" s="402">
        <f>B14/10000</f>
        <v>41396.2467590301</v>
      </c>
      <c r="L17" s="402">
        <f>SUM(B32:B43)/10000</f>
        <v>204213.40442</v>
      </c>
      <c r="M17" s="402">
        <f>K17-L17</f>
        <v>-162817.15766097</v>
      </c>
      <c r="N17" s="403">
        <f t="shared" ref="N17:N22" si="5">M17/L17</f>
        <v>-0.797289277476166</v>
      </c>
      <c r="O17" s="404">
        <f>K17+K18</f>
        <v>127001.76654158</v>
      </c>
      <c r="P17" s="404">
        <f>L17+L18</f>
        <v>288229.303305</v>
      </c>
      <c r="X17" s="366"/>
    </row>
    <row r="18" customHeight="1" spans="1:24">
      <c r="A18" s="366" t="s">
        <v>112</v>
      </c>
      <c r="B18" s="367">
        <v>129020594.8</v>
      </c>
      <c r="C18" s="367">
        <v>78670925.9</v>
      </c>
      <c r="D18" s="367">
        <v>51869184.8900001</v>
      </c>
      <c r="E18" s="367">
        <v>206306234.639997</v>
      </c>
      <c r="F18" s="367">
        <v>296328539.12</v>
      </c>
      <c r="G18" s="367">
        <v>-14984.47</v>
      </c>
      <c r="H18" s="367">
        <v>762180494.879997</v>
      </c>
      <c r="I18" s="370"/>
      <c r="J18" s="401" t="s">
        <v>129</v>
      </c>
      <c r="K18" s="405">
        <f>C14/10000</f>
        <v>85605.51978255</v>
      </c>
      <c r="L18" s="402">
        <f>SUM(C32:C43)/10000</f>
        <v>84015.898885</v>
      </c>
      <c r="M18" s="402">
        <f>K18-L18</f>
        <v>1589.62089755</v>
      </c>
      <c r="N18" s="403">
        <f t="shared" si="5"/>
        <v>0.018920477179276</v>
      </c>
      <c r="P18" s="395">
        <f>(O17-P17)/P17</f>
        <v>-0.559372468082509</v>
      </c>
      <c r="X18" s="366"/>
    </row>
    <row r="19" customHeight="1" spans="1:24">
      <c r="A19" s="366" t="s">
        <v>113</v>
      </c>
      <c r="B19" s="367">
        <v>40868842.8299</v>
      </c>
      <c r="C19" s="367">
        <v>40313323.8942</v>
      </c>
      <c r="D19" s="367">
        <v>61579069.369</v>
      </c>
      <c r="E19" s="367">
        <v>240075751.557596</v>
      </c>
      <c r="F19" s="367">
        <v>283860469.120398</v>
      </c>
      <c r="G19" s="367">
        <v>1631435.0886</v>
      </c>
      <c r="H19" s="367">
        <v>668328891.859694</v>
      </c>
      <c r="I19" s="370"/>
      <c r="J19" s="401" t="s">
        <v>7</v>
      </c>
      <c r="K19" s="402">
        <f>D14/10000</f>
        <v>5596.64213916001</v>
      </c>
      <c r="L19" s="402">
        <f>SUM(D32:D43)/10000</f>
        <v>212342.834188</v>
      </c>
      <c r="M19" s="402">
        <f>K19-L19</f>
        <v>-206746.19204884</v>
      </c>
      <c r="N19" s="403">
        <f t="shared" si="5"/>
        <v>-0.973643367055161</v>
      </c>
      <c r="X19" s="366"/>
    </row>
    <row r="20" customHeight="1" spans="1:24">
      <c r="A20" s="366" t="s">
        <v>114</v>
      </c>
      <c r="B20" s="367">
        <v>36836159.79</v>
      </c>
      <c r="C20" s="367">
        <v>30957287.6518001</v>
      </c>
      <c r="D20" s="367">
        <v>31064078.7066</v>
      </c>
      <c r="E20" s="367">
        <v>238618023.681599</v>
      </c>
      <c r="F20" s="367">
        <v>165933396.8196</v>
      </c>
      <c r="G20" s="367">
        <v>44022.4669</v>
      </c>
      <c r="H20" s="367">
        <v>503452969.116499</v>
      </c>
      <c r="I20" s="370"/>
      <c r="J20" s="401" t="s">
        <v>8</v>
      </c>
      <c r="K20" s="405">
        <f>E14/10000</f>
        <v>161454.920929563</v>
      </c>
      <c r="L20" s="402">
        <f>SUM(E32:E43)/10000</f>
        <v>505603.593825101</v>
      </c>
      <c r="M20" s="402">
        <f>K20-L20</f>
        <v>-344148.672895538</v>
      </c>
      <c r="N20" s="403">
        <f t="shared" si="5"/>
        <v>-0.680668961017288</v>
      </c>
      <c r="O20" s="406"/>
      <c r="X20" s="366"/>
    </row>
    <row r="21" customHeight="1" spans="1:24">
      <c r="A21" s="366" t="s">
        <v>115</v>
      </c>
      <c r="B21" s="367">
        <v>36434632.2453999</v>
      </c>
      <c r="C21" s="367">
        <v>80871996.7598</v>
      </c>
      <c r="D21" s="367">
        <v>23162769.8383999</v>
      </c>
      <c r="E21" s="367">
        <v>299485098.251402</v>
      </c>
      <c r="F21" s="367">
        <v>265796868.242201</v>
      </c>
      <c r="G21" s="367">
        <v>-221706.8692</v>
      </c>
      <c r="H21" s="367">
        <v>705529658.468003</v>
      </c>
      <c r="I21" s="370"/>
      <c r="J21" s="401" t="s">
        <v>14</v>
      </c>
      <c r="K21" s="405">
        <f>(F14+G14)/10000</f>
        <v>497630.1806813</v>
      </c>
      <c r="L21" s="402">
        <f>SUM(F32:G43)/10000</f>
        <v>554277.846020388</v>
      </c>
      <c r="M21" s="402">
        <f>K21-L21</f>
        <v>-56647.6653390882</v>
      </c>
      <c r="N21" s="403">
        <f t="shared" si="5"/>
        <v>-0.102200847004454</v>
      </c>
      <c r="O21" s="406"/>
      <c r="X21" s="366"/>
    </row>
    <row r="22" customHeight="1" spans="1:24">
      <c r="A22" s="366" t="s">
        <v>116</v>
      </c>
      <c r="B22" s="367">
        <v>77715917.1343998</v>
      </c>
      <c r="C22" s="367">
        <v>92084688.1705998</v>
      </c>
      <c r="D22" s="367">
        <v>14168628.1216001</v>
      </c>
      <c r="E22" s="367">
        <v>348604984.537806</v>
      </c>
      <c r="F22" s="367">
        <v>305240801.876591</v>
      </c>
      <c r="G22" s="367">
        <v>212456.6728</v>
      </c>
      <c r="H22" s="367">
        <v>838027476.513797</v>
      </c>
      <c r="I22" s="370"/>
      <c r="J22" s="407" t="s">
        <v>130</v>
      </c>
      <c r="K22" s="408">
        <f>SUM(K17:K21)</f>
        <v>791683.510291602</v>
      </c>
      <c r="L22" s="408">
        <f>SUM(L17:L21)</f>
        <v>1560453.57733849</v>
      </c>
      <c r="M22" s="408">
        <f>SUM(M17:M21)</f>
        <v>-768770.067046886</v>
      </c>
      <c r="N22" s="409">
        <f t="shared" si="5"/>
        <v>-0.492658082375062</v>
      </c>
      <c r="O22" s="406"/>
      <c r="X22" s="366"/>
    </row>
    <row r="23" customHeight="1" spans="1:24">
      <c r="A23" s="366" t="s">
        <v>117</v>
      </c>
      <c r="B23" s="367">
        <v>83089796.9037</v>
      </c>
      <c r="C23" s="367">
        <v>132507136.8594</v>
      </c>
      <c r="D23" s="367">
        <v>14913498.4094</v>
      </c>
      <c r="E23" s="367">
        <v>245461081.938804</v>
      </c>
      <c r="F23" s="367">
        <v>336793777.227593</v>
      </c>
      <c r="G23" s="367">
        <v>7284483.8385</v>
      </c>
      <c r="H23" s="367">
        <v>820049775.177397</v>
      </c>
      <c r="I23" s="370"/>
      <c r="K23" s="366"/>
      <c r="M23" s="368"/>
      <c r="N23" s="369"/>
      <c r="O23" s="406"/>
      <c r="X23" s="366"/>
    </row>
    <row r="24" customHeight="1" spans="1:24">
      <c r="A24" s="366" t="s">
        <v>118</v>
      </c>
      <c r="B24" s="367">
        <v>49122371.1324</v>
      </c>
      <c r="C24" s="367">
        <v>66704878.3895999</v>
      </c>
      <c r="D24" s="367">
        <v>25481142.6434001</v>
      </c>
      <c r="E24" s="367">
        <v>300021154.476599</v>
      </c>
      <c r="F24" s="367">
        <v>309069868.520793</v>
      </c>
      <c r="G24" s="367">
        <v>1258291.3668</v>
      </c>
      <c r="H24" s="367">
        <v>751657706.529592</v>
      </c>
      <c r="I24" s="370"/>
      <c r="J24" s="410"/>
      <c r="K24" s="411"/>
      <c r="L24" s="411"/>
      <c r="M24" s="412"/>
      <c r="N24" s="410"/>
      <c r="O24" s="406"/>
      <c r="X24" s="366"/>
    </row>
    <row r="25" customHeight="1" spans="1:24">
      <c r="A25" s="366" t="s">
        <v>119</v>
      </c>
      <c r="B25" s="367">
        <v>29245114.5839</v>
      </c>
      <c r="C25" s="367">
        <v>48236433.2884</v>
      </c>
      <c r="D25" s="367">
        <v>12906205.333</v>
      </c>
      <c r="E25" s="367">
        <v>229287958.091106</v>
      </c>
      <c r="F25" s="367">
        <v>206528963.256403</v>
      </c>
      <c r="G25" s="367">
        <v>-23631.1301</v>
      </c>
      <c r="H25" s="367">
        <v>526181043.422709</v>
      </c>
      <c r="I25" s="370"/>
      <c r="J25" s="413"/>
      <c r="K25" s="414"/>
      <c r="L25" s="414"/>
      <c r="M25" s="415"/>
      <c r="N25" s="410"/>
      <c r="X25" s="366"/>
    </row>
    <row r="26" customHeight="1" spans="1:24">
      <c r="A26" s="366" t="s">
        <v>120</v>
      </c>
      <c r="B26" s="367">
        <v>30810564.6722999</v>
      </c>
      <c r="C26" s="367">
        <v>55595034.6816</v>
      </c>
      <c r="D26" s="367">
        <v>9471714.62860005</v>
      </c>
      <c r="E26" s="367">
        <v>232559810.001407</v>
      </c>
      <c r="F26" s="367">
        <v>261411872.354104</v>
      </c>
      <c r="G26" s="367">
        <v>264707.594</v>
      </c>
      <c r="H26" s="367">
        <v>590113703.932011</v>
      </c>
      <c r="I26" s="370"/>
      <c r="J26" s="416"/>
      <c r="K26" s="417"/>
      <c r="L26" s="418"/>
      <c r="M26" s="419"/>
      <c r="N26" s="410"/>
      <c r="X26" s="366"/>
    </row>
    <row r="27" customHeight="1" spans="1:24">
      <c r="A27" s="366" t="s">
        <v>121</v>
      </c>
      <c r="B27" s="367">
        <v>24768660.2502</v>
      </c>
      <c r="C27" s="367">
        <v>61722499.0854</v>
      </c>
      <c r="D27" s="367">
        <v>6958838.89560002</v>
      </c>
      <c r="E27" s="367">
        <v>258922648.392707</v>
      </c>
      <c r="F27" s="367">
        <v>265623802.746299</v>
      </c>
      <c r="G27" s="367">
        <v>133170.18</v>
      </c>
      <c r="H27" s="367">
        <v>618129619.550206</v>
      </c>
      <c r="I27" s="370"/>
      <c r="J27" s="416"/>
      <c r="K27" s="420"/>
      <c r="L27" s="418"/>
      <c r="M27" s="419"/>
      <c r="N27" s="410"/>
      <c r="X27" s="366"/>
    </row>
    <row r="28" customHeight="1" spans="1:24">
      <c r="A28" s="366" t="s">
        <v>122</v>
      </c>
      <c r="B28" s="367">
        <v>17633354.7082</v>
      </c>
      <c r="C28" s="367">
        <v>34982090.6208001</v>
      </c>
      <c r="D28" s="367">
        <v>6161395.86360005</v>
      </c>
      <c r="E28" s="367">
        <v>264129467.807204</v>
      </c>
      <c r="F28" s="367">
        <v>278777146.993302</v>
      </c>
      <c r="G28" s="367">
        <v>309180.8</v>
      </c>
      <c r="H28" s="367">
        <v>601992636.793106</v>
      </c>
      <c r="I28" s="370"/>
      <c r="J28" s="416"/>
      <c r="K28" s="420"/>
      <c r="L28" s="421"/>
      <c r="M28" s="419"/>
      <c r="N28" s="410"/>
      <c r="X28" s="366"/>
    </row>
    <row r="29" customHeight="1" spans="1:24">
      <c r="A29" s="366" t="s">
        <v>9</v>
      </c>
      <c r="B29" s="367">
        <f>SUM(B17:B28)</f>
        <v>719489526.5404</v>
      </c>
      <c r="C29" s="367">
        <f t="shared" ref="B29:H29" si="6">SUM(C17:C28)</f>
        <v>794715617.1016</v>
      </c>
      <c r="D29" s="367">
        <f t="shared" si="6"/>
        <v>315387695.3092</v>
      </c>
      <c r="E29" s="367">
        <f t="shared" si="6"/>
        <v>3083853254.14623</v>
      </c>
      <c r="F29" s="367">
        <f t="shared" si="6"/>
        <v>3299734066.79728</v>
      </c>
      <c r="G29" s="367">
        <f t="shared" si="6"/>
        <v>10880441.0083</v>
      </c>
      <c r="H29" s="367">
        <f t="shared" si="6"/>
        <v>8224060600.90301</v>
      </c>
      <c r="I29" s="422"/>
      <c r="J29" s="416"/>
      <c r="K29" s="420"/>
      <c r="L29" s="421"/>
      <c r="M29" s="419"/>
      <c r="N29" s="410"/>
      <c r="X29" s="366"/>
    </row>
    <row r="30" customHeight="1" spans="1:24">
      <c r="J30" s="414"/>
      <c r="K30" s="423"/>
      <c r="L30" s="423"/>
      <c r="M30" s="424"/>
      <c r="N30" s="410"/>
      <c r="P30" s="370"/>
      <c r="X30" s="366"/>
    </row>
    <row r="31" customHeight="1" spans="1:24">
      <c r="A31" s="371" t="s">
        <v>99</v>
      </c>
      <c r="B31" s="372" t="s">
        <v>100</v>
      </c>
      <c r="C31" s="372" t="s">
        <v>101</v>
      </c>
      <c r="D31" s="372" t="s">
        <v>102</v>
      </c>
      <c r="E31" s="372" t="s">
        <v>103</v>
      </c>
      <c r="F31" s="372" t="s">
        <v>104</v>
      </c>
      <c r="G31" s="372" t="s">
        <v>105</v>
      </c>
      <c r="H31" s="373" t="s">
        <v>106</v>
      </c>
      <c r="J31" s="414"/>
      <c r="K31" s="425"/>
      <c r="L31" s="423"/>
      <c r="M31" s="419"/>
      <c r="N31" s="410"/>
      <c r="P31" s="370"/>
      <c r="X31" s="366"/>
    </row>
    <row r="32" customHeight="1" spans="1:24">
      <c r="A32" s="378" t="s">
        <v>111</v>
      </c>
      <c r="B32" s="379">
        <v>107557492.73</v>
      </c>
      <c r="C32" s="379">
        <v>122302080.77</v>
      </c>
      <c r="D32" s="379">
        <v>292787498.74</v>
      </c>
      <c r="E32" s="379">
        <v>488369836.129999</v>
      </c>
      <c r="F32" s="379">
        <v>329169483.439999</v>
      </c>
      <c r="G32" s="379">
        <v>5629439.64</v>
      </c>
      <c r="H32" s="380">
        <f t="shared" ref="H32:H43" si="7">SUM(B32:G32)</f>
        <v>1345815831.45</v>
      </c>
      <c r="J32" s="414"/>
      <c r="K32" s="426"/>
      <c r="L32" s="423"/>
      <c r="M32" s="412"/>
      <c r="N32" s="410"/>
      <c r="R32" s="370"/>
    </row>
    <row r="33" customHeight="1" spans="1:24">
      <c r="A33" s="378" t="s">
        <v>112</v>
      </c>
      <c r="B33" s="379">
        <v>86491645.4599999</v>
      </c>
      <c r="C33" s="379">
        <v>48095782.1400001</v>
      </c>
      <c r="D33" s="379">
        <v>384173803.15</v>
      </c>
      <c r="E33" s="379">
        <v>450179641.69</v>
      </c>
      <c r="F33" s="379">
        <v>350043717.713897</v>
      </c>
      <c r="G33" s="379">
        <v>7076.29</v>
      </c>
      <c r="H33" s="380">
        <f t="shared" si="7"/>
        <v>1318991666.4439</v>
      </c>
      <c r="J33" s="414"/>
      <c r="K33" s="426"/>
      <c r="L33" s="425"/>
      <c r="M33" s="413"/>
      <c r="N33" s="413"/>
      <c r="R33" s="370"/>
    </row>
    <row r="34" customHeight="1" spans="1:24">
      <c r="A34" s="378" t="s">
        <v>113</v>
      </c>
      <c r="B34" s="379">
        <v>108809396.84</v>
      </c>
      <c r="C34" s="379">
        <v>67960160.9899999</v>
      </c>
      <c r="D34" s="379">
        <v>406960165.010002</v>
      </c>
      <c r="E34" s="379">
        <f>481032330.11-13500000</f>
        <v>467532330.11</v>
      </c>
      <c r="F34" s="379">
        <v>482391420.560001</v>
      </c>
      <c r="G34" s="379">
        <v>-551189.73</v>
      </c>
      <c r="H34" s="380">
        <f t="shared" si="7"/>
        <v>1533102283.78</v>
      </c>
      <c r="J34" s="414"/>
      <c r="K34" s="426"/>
      <c r="L34" s="423"/>
      <c r="M34" s="423"/>
      <c r="N34" s="412"/>
    </row>
    <row r="35" customHeight="1" spans="1:24">
      <c r="A35" s="378" t="s">
        <v>114</v>
      </c>
      <c r="B35" s="379">
        <v>205082796.169999</v>
      </c>
      <c r="C35" s="379">
        <v>45919677.8099999</v>
      </c>
      <c r="D35" s="379">
        <v>149089578.54</v>
      </c>
      <c r="E35" s="379">
        <f>398767570-12500000</f>
        <v>386267570</v>
      </c>
      <c r="F35" s="379">
        <v>466169050.759996</v>
      </c>
      <c r="G35" s="379">
        <v>4267.31</v>
      </c>
      <c r="H35" s="380">
        <f t="shared" si="7"/>
        <v>1252532940.58999</v>
      </c>
      <c r="J35" s="414"/>
      <c r="K35" s="426"/>
      <c r="L35" s="423"/>
      <c r="M35" s="423"/>
      <c r="N35" s="412"/>
    </row>
    <row r="36" customHeight="1" spans="1:24">
      <c r="A36" s="378" t="s">
        <v>115</v>
      </c>
      <c r="B36" s="379">
        <v>332630030.820001</v>
      </c>
      <c r="C36" s="379">
        <v>106723838.75</v>
      </c>
      <c r="D36" s="379">
        <v>145548242.669999</v>
      </c>
      <c r="E36" s="379">
        <v>348069152.049997</v>
      </c>
      <c r="F36" s="379">
        <v>545760499.349998</v>
      </c>
      <c r="G36" s="379">
        <v>-17436.15</v>
      </c>
      <c r="H36" s="380">
        <f t="shared" si="7"/>
        <v>1478714327.49</v>
      </c>
      <c r="J36" s="414"/>
      <c r="K36" s="426"/>
      <c r="L36" s="423"/>
      <c r="M36" s="423"/>
      <c r="N36" s="412"/>
    </row>
    <row r="37" customHeight="1" spans="1:24">
      <c r="A37" s="378" t="s">
        <v>116</v>
      </c>
      <c r="B37" s="379">
        <v>284603261.27</v>
      </c>
      <c r="C37" s="379">
        <v>38830643.2099999</v>
      </c>
      <c r="D37" s="379">
        <v>186964078.92</v>
      </c>
      <c r="E37" s="379">
        <v>405828570.860998</v>
      </c>
      <c r="F37" s="379">
        <v>657440358.870003</v>
      </c>
      <c r="G37" s="379">
        <v>2100.07</v>
      </c>
      <c r="H37" s="380">
        <f t="shared" si="7"/>
        <v>1573669013.201</v>
      </c>
      <c r="I37" s="367"/>
      <c r="J37" s="414"/>
      <c r="K37" s="426"/>
      <c r="L37" s="423"/>
      <c r="M37" s="423"/>
      <c r="N37" s="412"/>
      <c r="O37" s="410"/>
    </row>
    <row r="38" customHeight="1" spans="1:24">
      <c r="A38" s="378" t="s">
        <v>117</v>
      </c>
      <c r="B38" s="379">
        <v>212376294.59</v>
      </c>
      <c r="C38" s="379">
        <v>68821147.3400001</v>
      </c>
      <c r="D38" s="379">
        <v>125919623.99</v>
      </c>
      <c r="E38" s="379">
        <v>354181363.379996</v>
      </c>
      <c r="F38" s="379">
        <v>552826201.439998</v>
      </c>
      <c r="G38" s="379">
        <v>10513.11</v>
      </c>
      <c r="H38" s="380">
        <f t="shared" si="7"/>
        <v>1314135143.84999</v>
      </c>
      <c r="I38" s="367"/>
      <c r="J38" s="414"/>
      <c r="K38" s="423"/>
      <c r="L38" s="423"/>
      <c r="M38" s="423"/>
      <c r="N38" s="412"/>
      <c r="O38" s="410"/>
    </row>
    <row r="39" customHeight="1" spans="1:24">
      <c r="A39" s="389" t="s">
        <v>118</v>
      </c>
      <c r="B39" s="379">
        <v>205236245.05</v>
      </c>
      <c r="C39" s="379">
        <v>114206366.7</v>
      </c>
      <c r="D39" s="379">
        <v>123421804.05</v>
      </c>
      <c r="E39" s="379">
        <v>418234180.880004</v>
      </c>
      <c r="F39" s="379">
        <v>611020033.029997</v>
      </c>
      <c r="G39" s="379">
        <v>2183.91</v>
      </c>
      <c r="H39" s="380">
        <f t="shared" si="7"/>
        <v>1472120813.62</v>
      </c>
      <c r="J39" s="414"/>
      <c r="K39" s="423"/>
      <c r="L39" s="423"/>
      <c r="M39" s="423"/>
      <c r="N39" s="412"/>
      <c r="O39" s="410"/>
    </row>
    <row r="40" customHeight="1" spans="1:24">
      <c r="A40" s="389" t="s">
        <v>119</v>
      </c>
      <c r="B40" s="379">
        <v>213534864.600001</v>
      </c>
      <c r="C40" s="379">
        <v>51971549.0599999</v>
      </c>
      <c r="D40" s="379">
        <v>97829883.9299994</v>
      </c>
      <c r="E40" s="379">
        <v>397071659.690009</v>
      </c>
      <c r="F40" s="379">
        <v>499359279.549996</v>
      </c>
      <c r="G40" s="379">
        <v>6539.06</v>
      </c>
      <c r="H40" s="380">
        <f t="shared" si="7"/>
        <v>1259773775.89001</v>
      </c>
      <c r="J40" s="410"/>
      <c r="K40" s="423"/>
      <c r="L40" s="423"/>
      <c r="M40" s="412"/>
      <c r="N40" s="410"/>
      <c r="O40" s="410"/>
      <c r="W40" s="370"/>
      <c r="X40" s="366"/>
    </row>
    <row r="41" customHeight="1" spans="1:24">
      <c r="A41" s="389" t="s">
        <v>120</v>
      </c>
      <c r="B41" s="379">
        <v>89061954.93</v>
      </c>
      <c r="C41" s="379">
        <v>36377219.8600001</v>
      </c>
      <c r="D41" s="379">
        <v>72310872.9799998</v>
      </c>
      <c r="E41" s="379">
        <v>399563017.420002</v>
      </c>
      <c r="F41" s="379">
        <v>365983218.969997</v>
      </c>
      <c r="G41" s="379">
        <v>-70181.51</v>
      </c>
      <c r="H41" s="380">
        <f t="shared" si="7"/>
        <v>963226102.649999</v>
      </c>
      <c r="J41" s="410"/>
      <c r="K41" s="423"/>
      <c r="L41" s="423"/>
      <c r="M41" s="412"/>
      <c r="N41" s="410"/>
      <c r="O41" s="410"/>
      <c r="W41" s="370"/>
      <c r="X41" s="366"/>
    </row>
    <row r="42" customHeight="1" spans="1:24">
      <c r="A42" s="389" t="s">
        <v>121</v>
      </c>
      <c r="B42" s="379">
        <v>105026723.44</v>
      </c>
      <c r="C42" s="379">
        <v>94398013.12</v>
      </c>
      <c r="D42" s="379">
        <v>80242668.3599996</v>
      </c>
      <c r="E42" s="379">
        <f>538146990.5-16000000</f>
        <v>522146990.5</v>
      </c>
      <c r="F42" s="379">
        <v>343434776.169998</v>
      </c>
      <c r="G42" s="379">
        <v>-71757.87</v>
      </c>
      <c r="H42" s="380">
        <f t="shared" si="7"/>
        <v>1145177413.72</v>
      </c>
      <c r="J42" s="410"/>
      <c r="K42" s="423"/>
      <c r="L42" s="423"/>
      <c r="M42" s="412"/>
      <c r="N42" s="410"/>
      <c r="O42" s="410"/>
      <c r="W42" s="370"/>
      <c r="X42" s="366"/>
    </row>
    <row r="43" customHeight="1" spans="1:24">
      <c r="A43" s="389" t="s">
        <v>122</v>
      </c>
      <c r="B43" s="379">
        <v>91723338.2999997</v>
      </c>
      <c r="C43" s="379">
        <v>44552509.1</v>
      </c>
      <c r="D43" s="379">
        <v>58180121.54</v>
      </c>
      <c r="E43" s="379">
        <v>418591625.540005</v>
      </c>
      <c r="F43" s="379">
        <v>334238969.429998</v>
      </c>
      <c r="G43" s="379">
        <v>-10103.2099999999</v>
      </c>
      <c r="H43" s="380">
        <f t="shared" si="7"/>
        <v>947276460.700003</v>
      </c>
      <c r="J43" s="410"/>
      <c r="K43" s="423"/>
      <c r="L43" s="423"/>
      <c r="M43" s="412"/>
      <c r="N43" s="410"/>
      <c r="O43" s="410"/>
      <c r="W43" s="370"/>
      <c r="X43" s="366"/>
    </row>
    <row r="44" customHeight="1" spans="1:24">
      <c r="A44" s="366" t="s">
        <v>9</v>
      </c>
      <c r="B44" s="380">
        <f t="shared" ref="B44:H44" si="8">SUM(B32:B43)</f>
        <v>2042134044.2</v>
      </c>
      <c r="C44" s="380">
        <f t="shared" si="8"/>
        <v>840158988.85</v>
      </c>
      <c r="D44" s="380">
        <f t="shared" si="8"/>
        <v>2123428341.88</v>
      </c>
      <c r="E44" s="380">
        <f t="shared" si="8"/>
        <v>5056035938.25101</v>
      </c>
      <c r="F44" s="380">
        <f t="shared" si="8"/>
        <v>5537837009.28388</v>
      </c>
      <c r="G44" s="380">
        <f t="shared" si="8"/>
        <v>4941450.92</v>
      </c>
      <c r="H44" s="380">
        <f t="shared" si="8"/>
        <v>15604535773.3849</v>
      </c>
      <c r="J44" s="410"/>
      <c r="K44" s="410"/>
      <c r="L44" s="423"/>
      <c r="M44" s="410"/>
      <c r="N44" s="412"/>
      <c r="O44" s="410"/>
      <c r="W44" s="370"/>
      <c r="X44" s="366"/>
    </row>
    <row r="45" customHeight="1" spans="1:24">
      <c r="J45" s="421"/>
      <c r="K45" s="421"/>
      <c r="L45" s="423"/>
      <c r="M45" s="423"/>
      <c r="N45" s="412"/>
      <c r="O45" s="410"/>
      <c r="W45" s="370"/>
      <c r="X45" s="366"/>
    </row>
    <row r="46" customHeight="1" spans="1:24">
      <c r="A46" s="371" t="s">
        <v>131</v>
      </c>
      <c r="B46" s="372" t="s">
        <v>100</v>
      </c>
      <c r="C46" s="372" t="s">
        <v>101</v>
      </c>
      <c r="D46" s="372" t="s">
        <v>102</v>
      </c>
      <c r="E46" s="372" t="s">
        <v>103</v>
      </c>
      <c r="F46" s="372" t="s">
        <v>104</v>
      </c>
      <c r="G46" s="372" t="s">
        <v>105</v>
      </c>
      <c r="H46" s="373" t="s">
        <v>106</v>
      </c>
      <c r="J46" s="421"/>
      <c r="K46" s="421"/>
      <c r="L46" s="423"/>
      <c r="M46" s="423"/>
      <c r="N46" s="412"/>
      <c r="O46" s="410"/>
      <c r="W46" s="370"/>
      <c r="X46" s="366"/>
    </row>
    <row r="47" customHeight="1" spans="1:24">
      <c r="A47" s="378" t="s">
        <v>111</v>
      </c>
      <c r="B47" s="379">
        <v>106286558.57</v>
      </c>
      <c r="C47" s="379">
        <v>49334661.54</v>
      </c>
      <c r="D47" s="379">
        <v>411499683.24</v>
      </c>
      <c r="E47" s="379">
        <v>324320448.29</v>
      </c>
      <c r="F47" s="379">
        <v>176261422.86</v>
      </c>
      <c r="G47" s="379">
        <v>894328.11</v>
      </c>
      <c r="H47" s="380">
        <f t="shared" ref="H47:H58" si="9">SUM(B47:G47)</f>
        <v>1068597102.61</v>
      </c>
      <c r="J47" s="370"/>
      <c r="K47" s="370"/>
      <c r="M47" s="368"/>
      <c r="N47" s="369"/>
      <c r="O47" s="410"/>
      <c r="W47" s="370"/>
      <c r="X47" s="366"/>
    </row>
    <row r="48" customHeight="1" spans="1:24">
      <c r="A48" s="378" t="s">
        <v>112</v>
      </c>
      <c r="B48" s="427">
        <v>81731963.73</v>
      </c>
      <c r="C48" s="427">
        <v>59033084.29</v>
      </c>
      <c r="D48" s="427">
        <v>311522771.29</v>
      </c>
      <c r="E48" s="427">
        <v>252338031.33</v>
      </c>
      <c r="F48" s="427">
        <v>150052423.28</v>
      </c>
      <c r="G48" s="427">
        <v>856069.92</v>
      </c>
      <c r="H48" s="428">
        <f t="shared" si="9"/>
        <v>855534343.84</v>
      </c>
      <c r="J48" s="370"/>
      <c r="K48" s="370"/>
      <c r="M48" s="368"/>
      <c r="N48" s="369"/>
      <c r="O48" s="410"/>
      <c r="W48" s="370"/>
      <c r="X48" s="366"/>
    </row>
    <row r="49" customHeight="1" spans="1:24">
      <c r="A49" s="378" t="s">
        <v>113</v>
      </c>
      <c r="B49" s="427">
        <v>68949704.92</v>
      </c>
      <c r="C49" s="427">
        <v>52199438.62</v>
      </c>
      <c r="D49" s="427">
        <v>428174820</v>
      </c>
      <c r="E49" s="427">
        <v>443804590.11</v>
      </c>
      <c r="F49" s="427">
        <v>326110440.93</v>
      </c>
      <c r="G49" s="427">
        <v>578178.04</v>
      </c>
      <c r="H49" s="427">
        <f t="shared" si="9"/>
        <v>1319817172.62</v>
      </c>
      <c r="J49" s="370"/>
      <c r="K49" s="370"/>
      <c r="M49" s="368"/>
      <c r="N49" s="369"/>
      <c r="O49" s="410"/>
      <c r="W49" s="370"/>
      <c r="X49" s="366"/>
    </row>
    <row r="50" customHeight="1" spans="1:24">
      <c r="A50" s="378" t="s">
        <v>114</v>
      </c>
      <c r="B50" s="427">
        <v>82097861.6699998</v>
      </c>
      <c r="C50" s="427">
        <v>59964830.6100001</v>
      </c>
      <c r="D50" s="427">
        <v>452944424.830002</v>
      </c>
      <c r="E50" s="427">
        <f>361973606.9-12300000</f>
        <v>349673606.9</v>
      </c>
      <c r="F50" s="427">
        <v>261568297.180001</v>
      </c>
      <c r="G50" s="427">
        <v>44980.76</v>
      </c>
      <c r="H50" s="428">
        <f t="shared" si="9"/>
        <v>1206294001.95</v>
      </c>
      <c r="J50" s="370"/>
      <c r="K50" s="370"/>
      <c r="M50" s="368"/>
      <c r="N50" s="369"/>
      <c r="O50" s="410"/>
      <c r="W50" s="370"/>
      <c r="X50" s="366"/>
    </row>
    <row r="51" customHeight="1" spans="1:24">
      <c r="A51" s="378" t="s">
        <v>115</v>
      </c>
      <c r="B51" s="429">
        <v>55852182.77</v>
      </c>
      <c r="C51" s="429">
        <v>36339220.43</v>
      </c>
      <c r="D51" s="429">
        <v>531110004.25</v>
      </c>
      <c r="E51" s="429">
        <f>400628075.79-9810000</f>
        <v>390818075.79</v>
      </c>
      <c r="F51" s="429">
        <v>325277594.66</v>
      </c>
      <c r="G51" s="429">
        <v>-446223.78</v>
      </c>
      <c r="H51" s="430">
        <f t="shared" si="9"/>
        <v>1338950854.12</v>
      </c>
      <c r="J51" s="370"/>
      <c r="K51" s="370"/>
      <c r="M51" s="368"/>
      <c r="N51" s="369"/>
      <c r="O51" s="410"/>
      <c r="W51" s="370"/>
      <c r="X51" s="366"/>
    </row>
    <row r="52" customHeight="1" spans="1:24">
      <c r="A52" s="378" t="s">
        <v>116</v>
      </c>
      <c r="B52" s="427">
        <f>59490703.87-254581.5</f>
        <v>59236122.37</v>
      </c>
      <c r="C52" s="427">
        <v>47835530.6748</v>
      </c>
      <c r="D52" s="427">
        <v>483649744.806201</v>
      </c>
      <c r="E52" s="427">
        <f>503007520.016201+254581.5</f>
        <v>503262101.516201</v>
      </c>
      <c r="F52" s="427">
        <v>341073385.850001</v>
      </c>
      <c r="G52" s="427">
        <v>552492.09</v>
      </c>
      <c r="H52" s="428">
        <f t="shared" si="9"/>
        <v>1435609377.3072</v>
      </c>
      <c r="J52" s="370"/>
      <c r="K52" s="370"/>
      <c r="M52" s="368"/>
      <c r="N52" s="369"/>
      <c r="W52" s="370"/>
      <c r="X52" s="366"/>
    </row>
    <row r="53" customHeight="1" spans="1:24">
      <c r="A53" s="378" t="s">
        <v>117</v>
      </c>
      <c r="B53" s="427">
        <v>66359182.19</v>
      </c>
      <c r="C53" s="427">
        <v>60352823.18</v>
      </c>
      <c r="D53" s="427">
        <v>411794533.600002</v>
      </c>
      <c r="E53" s="427">
        <v>390999598.33</v>
      </c>
      <c r="F53" s="427">
        <v>273829785.97</v>
      </c>
      <c r="G53" s="427">
        <v>291083.16</v>
      </c>
      <c r="H53" s="428">
        <f t="shared" si="9"/>
        <v>1203627006.43</v>
      </c>
      <c r="J53" s="370"/>
      <c r="K53" s="370"/>
      <c r="M53" s="368"/>
      <c r="N53" s="369"/>
      <c r="W53" s="370"/>
      <c r="X53" s="366"/>
    </row>
    <row r="54" customHeight="1" spans="1:24">
      <c r="A54" s="389" t="s">
        <v>118</v>
      </c>
      <c r="B54" s="427">
        <v>55137036.99</v>
      </c>
      <c r="C54" s="427">
        <v>38587463.45</v>
      </c>
      <c r="D54" s="427">
        <v>386544791.49</v>
      </c>
      <c r="E54" s="427">
        <v>512194032.320002</v>
      </c>
      <c r="F54" s="427">
        <v>341532215.970001</v>
      </c>
      <c r="G54" s="427">
        <v>391988.85</v>
      </c>
      <c r="H54" s="428">
        <f t="shared" si="9"/>
        <v>1334387529.07</v>
      </c>
      <c r="J54" s="370"/>
      <c r="K54" s="370"/>
      <c r="M54" s="368"/>
      <c r="N54" s="369"/>
      <c r="W54" s="370"/>
      <c r="X54" s="366"/>
    </row>
    <row r="55" customHeight="1" spans="1:24">
      <c r="A55" s="389" t="s">
        <v>119</v>
      </c>
      <c r="B55" s="427">
        <v>59130088.86</v>
      </c>
      <c r="C55" s="427">
        <v>46932898.4300001</v>
      </c>
      <c r="D55" s="427">
        <v>493176495.290003</v>
      </c>
      <c r="E55" s="427">
        <v>604887920.939998</v>
      </c>
      <c r="F55" s="427">
        <v>283534678.800001</v>
      </c>
      <c r="G55" s="427">
        <v>15737.1</v>
      </c>
      <c r="H55" s="428">
        <f t="shared" si="9"/>
        <v>1487677819.42</v>
      </c>
      <c r="J55" s="370"/>
      <c r="K55" s="370"/>
      <c r="M55" s="368"/>
      <c r="N55" s="369"/>
      <c r="W55" s="370"/>
      <c r="X55" s="366"/>
    </row>
    <row r="56" customHeight="1" spans="1:24">
      <c r="A56" s="389" t="s">
        <v>120</v>
      </c>
      <c r="B56" s="427">
        <v>74161420.6300001</v>
      </c>
      <c r="C56" s="427">
        <v>56402488.25</v>
      </c>
      <c r="D56" s="427">
        <v>438868058.340002</v>
      </c>
      <c r="E56" s="427">
        <v>514166461.71</v>
      </c>
      <c r="F56" s="427">
        <v>346944644.509999</v>
      </c>
      <c r="G56" s="427">
        <v>46382.15</v>
      </c>
      <c r="H56" s="427">
        <f t="shared" si="9"/>
        <v>1430589455.59</v>
      </c>
      <c r="J56" s="370"/>
      <c r="K56" s="370"/>
      <c r="M56" s="368"/>
      <c r="N56" s="369"/>
      <c r="W56" s="370"/>
      <c r="X56" s="366"/>
    </row>
    <row r="57" customHeight="1" spans="1:24">
      <c r="A57" s="389" t="s">
        <v>121</v>
      </c>
      <c r="B57" s="427">
        <v>70812756.1427003</v>
      </c>
      <c r="C57" s="427">
        <v>103854440.126</v>
      </c>
      <c r="D57" s="427">
        <v>458921101.3562</v>
      </c>
      <c r="E57" s="427">
        <v>700398559.530894</v>
      </c>
      <c r="F57" s="427">
        <v>414654955.702898</v>
      </c>
      <c r="G57" s="427">
        <v>7416.82</v>
      </c>
      <c r="H57" s="428">
        <f t="shared" si="9"/>
        <v>1748649229.67869</v>
      </c>
      <c r="J57" s="370"/>
      <c r="K57" s="370"/>
      <c r="L57" s="370"/>
      <c r="M57" s="370"/>
      <c r="N57" s="369"/>
      <c r="W57" s="370"/>
      <c r="X57" s="366"/>
    </row>
    <row r="58" customHeight="1" spans="1:24">
      <c r="A58" s="389" t="s">
        <v>122</v>
      </c>
      <c r="B58" s="427">
        <v>81908478.4200001</v>
      </c>
      <c r="C58" s="427">
        <v>81317262.1100001</v>
      </c>
      <c r="D58" s="427">
        <v>360092748.630003</v>
      </c>
      <c r="E58" s="427">
        <v>777081579.299998</v>
      </c>
      <c r="F58" s="427">
        <v>410548124.819995</v>
      </c>
      <c r="G58" s="427">
        <v>1747578.08</v>
      </c>
      <c r="H58" s="428">
        <f t="shared" si="9"/>
        <v>1712695771.36</v>
      </c>
      <c r="K58" s="366"/>
      <c r="M58" s="368"/>
      <c r="N58" s="369"/>
      <c r="W58" s="370"/>
      <c r="X58" s="366"/>
    </row>
    <row r="59" customHeight="1" spans="1:24">
      <c r="A59" s="366" t="s">
        <v>9</v>
      </c>
      <c r="B59" s="380">
        <f t="shared" ref="B59:H59" si="10">SUM(B47:B58)</f>
        <v>861663357.2627</v>
      </c>
      <c r="C59" s="380">
        <f t="shared" si="10"/>
        <v>692154141.7108</v>
      </c>
      <c r="D59" s="380">
        <f t="shared" si="10"/>
        <v>5168299177.12241</v>
      </c>
      <c r="E59" s="380">
        <f t="shared" si="10"/>
        <v>5763945006.06709</v>
      </c>
      <c r="F59" s="380">
        <f t="shared" si="10"/>
        <v>3651387970.5329</v>
      </c>
      <c r="G59" s="380">
        <f t="shared" si="10"/>
        <v>4980011.3</v>
      </c>
      <c r="H59" s="380">
        <f t="shared" si="10"/>
        <v>16142429663.9959</v>
      </c>
      <c r="K59" s="366"/>
      <c r="M59" s="368"/>
      <c r="N59" s="369"/>
      <c r="W59" s="370"/>
      <c r="X59" s="366"/>
    </row>
    <row r="60" customHeight="1" spans="1:24">
      <c r="K60" s="366"/>
      <c r="M60" s="368"/>
      <c r="N60" s="369"/>
      <c r="W60" s="370"/>
      <c r="X60" s="366"/>
    </row>
    <row r="61" customHeight="1" spans="1:24">
      <c r="A61" s="431" t="s">
        <v>132</v>
      </c>
      <c r="B61" s="432" t="s">
        <v>100</v>
      </c>
      <c r="C61" s="432" t="s">
        <v>101</v>
      </c>
      <c r="D61" s="432" t="s">
        <v>102</v>
      </c>
      <c r="E61" s="432" t="s">
        <v>103</v>
      </c>
      <c r="F61" s="432" t="s">
        <v>104</v>
      </c>
      <c r="G61" s="432" t="s">
        <v>105</v>
      </c>
      <c r="H61" s="433" t="s">
        <v>106</v>
      </c>
      <c r="K61" s="366"/>
      <c r="M61" s="368"/>
      <c r="N61" s="369"/>
      <c r="W61" s="370"/>
      <c r="X61" s="366"/>
    </row>
    <row r="62" customHeight="1" spans="1:24">
      <c r="A62" s="378" t="s">
        <v>111</v>
      </c>
      <c r="B62" s="380">
        <v>98172535.05</v>
      </c>
      <c r="C62" s="380">
        <v>37487306.78</v>
      </c>
      <c r="D62" s="380">
        <v>736854452.95</v>
      </c>
      <c r="E62" s="380">
        <v>267719019.47</v>
      </c>
      <c r="F62" s="380">
        <v>125479896.29</v>
      </c>
      <c r="G62" s="380">
        <v>9730</v>
      </c>
      <c r="H62" s="380">
        <f t="shared" ref="H62:H73" si="11">SUM(B62:G62)</f>
        <v>1265722940.54</v>
      </c>
      <c r="K62" s="366"/>
      <c r="M62" s="368"/>
      <c r="N62" s="369"/>
      <c r="W62" s="370"/>
      <c r="X62" s="366"/>
    </row>
    <row r="63" customHeight="1" spans="1:24">
      <c r="A63" s="434" t="s">
        <v>112</v>
      </c>
      <c r="B63" s="428">
        <v>114387060.05</v>
      </c>
      <c r="C63" s="428">
        <v>56178179.21</v>
      </c>
      <c r="D63" s="428">
        <v>771067645.949999</v>
      </c>
      <c r="E63" s="428">
        <v>253851198.07</v>
      </c>
      <c r="F63" s="428">
        <v>69655650.32</v>
      </c>
      <c r="G63" s="428">
        <v>-174.89</v>
      </c>
      <c r="H63" s="428">
        <f t="shared" si="11"/>
        <v>1265139558.71</v>
      </c>
      <c r="W63" s="370"/>
      <c r="X63" s="366"/>
    </row>
    <row r="64" customHeight="1" spans="1:24">
      <c r="A64" s="434" t="s">
        <v>113</v>
      </c>
      <c r="B64" s="428">
        <v>70384911.25</v>
      </c>
      <c r="C64" s="428">
        <v>47302805.1</v>
      </c>
      <c r="D64" s="428">
        <v>1113773327.37</v>
      </c>
      <c r="E64" s="428">
        <v>284160004.76</v>
      </c>
      <c r="F64" s="428">
        <v>156071855.86</v>
      </c>
      <c r="G64" s="428">
        <v>5272.5</v>
      </c>
      <c r="H64" s="428">
        <f t="shared" si="11"/>
        <v>1671698176.84</v>
      </c>
      <c r="W64" s="370"/>
      <c r="X64" s="366"/>
    </row>
    <row r="65" customHeight="1" spans="1:24">
      <c r="A65" s="434" t="s">
        <v>114</v>
      </c>
      <c r="B65" s="427">
        <v>68783210.57</v>
      </c>
      <c r="C65" s="427">
        <v>52890399.92</v>
      </c>
      <c r="D65" s="427">
        <v>1009117475.34</v>
      </c>
      <c r="E65" s="427">
        <v>332600772.95</v>
      </c>
      <c r="F65" s="427">
        <v>101815672.89</v>
      </c>
      <c r="G65" s="427">
        <v>12505.89</v>
      </c>
      <c r="H65" s="427">
        <f t="shared" si="11"/>
        <v>1565220037.56</v>
      </c>
      <c r="W65" s="370"/>
      <c r="X65" s="366"/>
    </row>
    <row r="66" customHeight="1" spans="1:24">
      <c r="A66" s="434" t="s">
        <v>115</v>
      </c>
      <c r="B66" s="428">
        <v>71144737.87</v>
      </c>
      <c r="C66" s="428">
        <v>75569780.68</v>
      </c>
      <c r="D66" s="428">
        <v>1295513108.28</v>
      </c>
      <c r="E66" s="428">
        <v>404430492.35</v>
      </c>
      <c r="F66" s="428">
        <v>95654370.28</v>
      </c>
      <c r="G66" s="428">
        <v>1266214.11</v>
      </c>
      <c r="H66" s="428">
        <f t="shared" si="11"/>
        <v>1943578703.57</v>
      </c>
      <c r="W66" s="370"/>
      <c r="X66" s="366"/>
    </row>
    <row r="67" customHeight="1" spans="1:24">
      <c r="A67" s="434" t="s">
        <v>116</v>
      </c>
      <c r="B67" s="428">
        <v>57392748.9</v>
      </c>
      <c r="C67" s="428">
        <v>59049683.05</v>
      </c>
      <c r="D67" s="428">
        <v>1422023885.95</v>
      </c>
      <c r="E67" s="428">
        <v>604717417.69</v>
      </c>
      <c r="F67" s="428">
        <v>120706821.68</v>
      </c>
      <c r="G67" s="428">
        <v>4245818.01</v>
      </c>
      <c r="H67" s="428">
        <f t="shared" si="11"/>
        <v>2268136375.28</v>
      </c>
      <c r="W67" s="370"/>
      <c r="X67" s="366"/>
    </row>
    <row r="68" customHeight="1" spans="1:24">
      <c r="A68" s="434" t="s">
        <v>117</v>
      </c>
      <c r="B68" s="427">
        <v>76256395.6895</v>
      </c>
      <c r="C68" s="427">
        <v>79506145.7498</v>
      </c>
      <c r="D68" s="427">
        <v>1470917477.5084</v>
      </c>
      <c r="E68" s="427">
        <v>480601605.5</v>
      </c>
      <c r="F68" s="427">
        <v>92196914.4</v>
      </c>
      <c r="G68" s="427">
        <v>2850602.39</v>
      </c>
      <c r="H68" s="428">
        <f t="shared" si="11"/>
        <v>2202329141.2377</v>
      </c>
      <c r="W68" s="370"/>
      <c r="X68" s="366"/>
    </row>
    <row r="69" customHeight="1" spans="1:24">
      <c r="A69" s="434" t="s">
        <v>118</v>
      </c>
      <c r="B69" s="428">
        <v>64988387.58</v>
      </c>
      <c r="C69" s="428">
        <v>71531281.51</v>
      </c>
      <c r="D69" s="428">
        <v>1853729243.90001</v>
      </c>
      <c r="E69" s="428">
        <v>577447332.260002</v>
      </c>
      <c r="F69" s="428">
        <v>118042390.52</v>
      </c>
      <c r="G69" s="428">
        <v>2012128.48</v>
      </c>
      <c r="H69" s="428">
        <f t="shared" si="11"/>
        <v>2687750764.25001</v>
      </c>
      <c r="W69" s="370"/>
      <c r="X69" s="366"/>
    </row>
    <row r="70" customHeight="1" spans="1:24">
      <c r="A70" s="435" t="s">
        <v>119</v>
      </c>
      <c r="B70" s="428">
        <v>47999699.1</v>
      </c>
      <c r="C70" s="428">
        <v>37566406.49</v>
      </c>
      <c r="D70" s="428">
        <v>865686917.739997</v>
      </c>
      <c r="E70" s="428">
        <v>658615747.360004</v>
      </c>
      <c r="F70" s="428">
        <v>165338138.129999</v>
      </c>
      <c r="G70" s="428">
        <v>1919602.21</v>
      </c>
      <c r="H70" s="428">
        <f t="shared" si="11"/>
        <v>1777126511.03</v>
      </c>
      <c r="W70" s="370"/>
      <c r="X70" s="366"/>
    </row>
    <row r="71" customHeight="1" spans="1:24">
      <c r="A71" s="435" t="s">
        <v>120</v>
      </c>
      <c r="B71" s="427">
        <v>50055573.69</v>
      </c>
      <c r="C71" s="427">
        <v>36047800.88</v>
      </c>
      <c r="D71" s="427">
        <v>750216564.680005</v>
      </c>
      <c r="E71" s="427">
        <v>422256292.120003</v>
      </c>
      <c r="F71" s="427">
        <v>157525909.84</v>
      </c>
      <c r="G71" s="427">
        <v>20933.32</v>
      </c>
      <c r="H71" s="427">
        <f t="shared" si="11"/>
        <v>1416123074.53001</v>
      </c>
      <c r="I71" s="370"/>
      <c r="W71" s="370"/>
      <c r="X71" s="366"/>
    </row>
    <row r="72" customHeight="1" spans="1:24">
      <c r="A72" s="435" t="s">
        <v>121</v>
      </c>
      <c r="B72" s="427">
        <v>54761540.47</v>
      </c>
      <c r="C72" s="427">
        <v>19889222.46</v>
      </c>
      <c r="D72" s="427">
        <v>928173205.229999</v>
      </c>
      <c r="E72" s="427">
        <v>599752599.009998</v>
      </c>
      <c r="F72" s="427">
        <v>176725721.62</v>
      </c>
      <c r="G72" s="427">
        <v>4650008.31</v>
      </c>
      <c r="H72" s="427">
        <f t="shared" si="11"/>
        <v>1783952297.1</v>
      </c>
      <c r="I72" s="370"/>
      <c r="W72" s="370"/>
      <c r="X72" s="366"/>
    </row>
    <row r="73" customHeight="1" spans="1:24">
      <c r="A73" s="435" t="s">
        <v>122</v>
      </c>
      <c r="B73" s="428">
        <v>70567623.6766001</v>
      </c>
      <c r="C73" s="428">
        <v>79920456.1000002</v>
      </c>
      <c r="D73" s="428">
        <v>639881304.109999</v>
      </c>
      <c r="E73" s="428">
        <v>691894459.714402</v>
      </c>
      <c r="F73" s="428">
        <v>157224982.138802</v>
      </c>
      <c r="G73" s="428">
        <v>1049442.03</v>
      </c>
      <c r="H73" s="428">
        <f t="shared" si="11"/>
        <v>1640538267.7698</v>
      </c>
      <c r="I73" s="370" t="e">
        <f>H119-'[28]GMV+收入成本（改）'!$BA$7</f>
        <v>#REF!</v>
      </c>
      <c r="W73" s="370"/>
      <c r="X73" s="366"/>
    </row>
    <row r="74" customHeight="1" spans="1:24">
      <c r="A74" s="366" t="s">
        <v>9</v>
      </c>
      <c r="B74" s="380">
        <f t="shared" ref="B74:H74" si="12">SUM(B62:B73)</f>
        <v>844894423.8961</v>
      </c>
      <c r="C74" s="380">
        <f t="shared" si="12"/>
        <v>652939467.9298</v>
      </c>
      <c r="D74" s="380">
        <f t="shared" si="12"/>
        <v>12856954609.0084</v>
      </c>
      <c r="E74" s="380">
        <f t="shared" si="12"/>
        <v>5578046941.25441</v>
      </c>
      <c r="F74" s="380">
        <f t="shared" si="12"/>
        <v>1536438323.9688</v>
      </c>
      <c r="G74" s="380">
        <f t="shared" si="12"/>
        <v>18042082.36</v>
      </c>
      <c r="H74" s="380">
        <f t="shared" si="12"/>
        <v>21487315848.4175</v>
      </c>
      <c r="I74" s="370"/>
      <c r="W74" s="370"/>
      <c r="X74" s="366"/>
    </row>
    <row r="75" customHeight="1" spans="1:24">
      <c r="I75" s="370"/>
      <c r="W75" s="370"/>
      <c r="X75" s="366"/>
    </row>
    <row r="76" customHeight="1" spans="1:24">
      <c r="D76" s="367">
        <f>D69-D54</f>
        <v>1467184452.41001</v>
      </c>
      <c r="I76" s="370"/>
      <c r="W76" s="370"/>
      <c r="X76" s="366"/>
    </row>
    <row r="77" customHeight="1" spans="1:24">
      <c r="I77" s="370"/>
      <c r="W77" s="370"/>
      <c r="X77" s="366"/>
    </row>
    <row r="78" customHeight="1" spans="1:24">
      <c r="I78" s="370"/>
      <c r="W78" s="370"/>
      <c r="X78" s="366"/>
    </row>
    <row r="79" customHeight="1" spans="1:24">
      <c r="I79" s="370"/>
      <c r="W79" s="370"/>
      <c r="X79" s="366"/>
    </row>
    <row r="80" customHeight="1" spans="1:24">
      <c r="I80" s="370"/>
      <c r="W80" s="370"/>
      <c r="X80" s="366"/>
    </row>
    <row r="81" customHeight="1" spans="1:24">
      <c r="A81" s="436" t="s">
        <v>97</v>
      </c>
      <c r="B81" s="437" t="s">
        <v>100</v>
      </c>
      <c r="C81" s="437" t="s">
        <v>101</v>
      </c>
      <c r="D81" s="437" t="s">
        <v>102</v>
      </c>
      <c r="E81" s="437" t="s">
        <v>103</v>
      </c>
      <c r="F81" s="437" t="s">
        <v>104</v>
      </c>
      <c r="G81" s="437" t="s">
        <v>105</v>
      </c>
      <c r="H81" s="438" t="s">
        <v>9</v>
      </c>
      <c r="I81" s="370"/>
      <c r="W81" s="370"/>
      <c r="X81" s="366"/>
    </row>
    <row r="82" customHeight="1" spans="1:24">
      <c r="A82" s="439" t="s">
        <v>133</v>
      </c>
      <c r="B82" s="440">
        <f t="shared" ref="B82:G82" si="13">(B14)/10000</f>
        <v>41396.2467590301</v>
      </c>
      <c r="C82" s="440">
        <f t="shared" si="13"/>
        <v>85605.51978255</v>
      </c>
      <c r="D82" s="440">
        <f t="shared" si="13"/>
        <v>5596.64213916001</v>
      </c>
      <c r="E82" s="440">
        <f t="shared" si="13"/>
        <v>161454.920929563</v>
      </c>
      <c r="F82" s="440">
        <f t="shared" si="13"/>
        <v>496672.11617545</v>
      </c>
      <c r="G82" s="440">
        <f t="shared" si="13"/>
        <v>958.06450585</v>
      </c>
      <c r="H82" s="441">
        <f>SUM(B82:G82)</f>
        <v>791683.510291602</v>
      </c>
      <c r="I82" s="370"/>
      <c r="W82" s="370"/>
      <c r="X82" s="366"/>
    </row>
    <row r="83" customHeight="1" spans="1:24">
      <c r="A83" s="442" t="s">
        <v>134</v>
      </c>
      <c r="B83" s="443">
        <f t="shared" ref="B83:G83" si="14">B104/10000</f>
        <v>3515.933155</v>
      </c>
      <c r="C83" s="443">
        <f t="shared" si="14"/>
        <v>4560.927948</v>
      </c>
      <c r="D83" s="443">
        <f t="shared" si="14"/>
        <v>2936.017307</v>
      </c>
      <c r="E83" s="443">
        <f t="shared" si="14"/>
        <v>6034.58119999998</v>
      </c>
      <c r="F83" s="443">
        <f t="shared" si="14"/>
        <v>13113.039236</v>
      </c>
      <c r="G83" s="443">
        <f t="shared" si="14"/>
        <v>0.0027</v>
      </c>
      <c r="H83" s="444">
        <f>SUM(B83:G83)</f>
        <v>30160.501546</v>
      </c>
      <c r="I83" s="370"/>
      <c r="W83" s="370"/>
      <c r="X83" s="366"/>
    </row>
    <row r="84" customHeight="1" spans="1:24">
      <c r="A84" s="445" t="s">
        <v>135</v>
      </c>
      <c r="B84" s="446">
        <f t="shared" ref="B84:G84" si="15">B82+B83</f>
        <v>44912.1799140301</v>
      </c>
      <c r="C84" s="446">
        <f t="shared" si="15"/>
        <v>90166.44773055</v>
      </c>
      <c r="D84" s="446">
        <f t="shared" si="15"/>
        <v>8532.65944616001</v>
      </c>
      <c r="E84" s="446">
        <f t="shared" si="15"/>
        <v>167489.502129563</v>
      </c>
      <c r="F84" s="446">
        <f t="shared" si="15"/>
        <v>509785.15541145</v>
      </c>
      <c r="G84" s="446">
        <f t="shared" si="15"/>
        <v>958.06720585</v>
      </c>
      <c r="H84" s="447">
        <f>SUM(B84:G84)</f>
        <v>821844.011837602</v>
      </c>
      <c r="I84" s="370"/>
      <c r="W84" s="370"/>
      <c r="X84" s="366"/>
    </row>
    <row r="85" customHeight="1" spans="1:24">
      <c r="A85" s="448" t="s">
        <v>136</v>
      </c>
      <c r="B85" s="449">
        <f t="shared" ref="B85:H85" si="16">B83/B84</f>
        <v>0.0782846248329545</v>
      </c>
      <c r="C85" s="449">
        <f t="shared" si="16"/>
        <v>0.0505834272370328</v>
      </c>
      <c r="D85" s="449">
        <f t="shared" si="16"/>
        <v>0.344091701482509</v>
      </c>
      <c r="E85" s="449">
        <f t="shared" si="16"/>
        <v>0.0360296085621646</v>
      </c>
      <c r="F85" s="449">
        <f t="shared" si="16"/>
        <v>0.0257226776747087</v>
      </c>
      <c r="G85" s="449">
        <f t="shared" si="16"/>
        <v>2.81817390629142e-6</v>
      </c>
      <c r="H85" s="450">
        <f t="shared" si="16"/>
        <v>0.0366985718841738</v>
      </c>
      <c r="I85" s="370"/>
      <c r="W85" s="370"/>
      <c r="X85" s="366"/>
    </row>
    <row r="86" customHeight="1" spans="1:24">
      <c r="A86" s="451" t="s">
        <v>137</v>
      </c>
      <c r="B86" s="452">
        <f t="shared" ref="B86:H86" si="17">B82/B84</f>
        <v>0.921715375167045</v>
      </c>
      <c r="C86" s="452">
        <f t="shared" si="17"/>
        <v>0.949416572762967</v>
      </c>
      <c r="D86" s="452">
        <f t="shared" si="17"/>
        <v>0.655908298517491</v>
      </c>
      <c r="E86" s="452">
        <f t="shared" si="17"/>
        <v>0.963970391437835</v>
      </c>
      <c r="F86" s="452">
        <f t="shared" si="17"/>
        <v>0.974277322325291</v>
      </c>
      <c r="G86" s="452">
        <f t="shared" si="17"/>
        <v>0.999997181826094</v>
      </c>
      <c r="H86" s="453">
        <f t="shared" si="17"/>
        <v>0.963301428115826</v>
      </c>
      <c r="I86" s="370"/>
      <c r="W86" s="370"/>
      <c r="X86" s="366"/>
    </row>
    <row r="87" customHeight="1" spans="1:24">
      <c r="I87" s="370"/>
      <c r="W87" s="370"/>
      <c r="X87" s="366"/>
    </row>
    <row r="88" customHeight="1" spans="1:24">
      <c r="I88" s="370"/>
      <c r="W88" s="370"/>
      <c r="X88" s="366"/>
    </row>
    <row r="89" customHeight="1" spans="1:24">
      <c r="I89" s="370"/>
      <c r="W89" s="370"/>
      <c r="X89" s="366"/>
    </row>
    <row r="90" customHeight="1" spans="1:24">
      <c r="A90" s="366" t="s">
        <v>134</v>
      </c>
      <c r="I90" s="370"/>
      <c r="W90" s="370"/>
      <c r="X90" s="366"/>
    </row>
    <row r="91" customHeight="1" spans="1:24">
      <c r="A91" s="366" t="s">
        <v>97</v>
      </c>
      <c r="B91" s="367" t="s">
        <v>100</v>
      </c>
      <c r="C91" s="367" t="s">
        <v>101</v>
      </c>
      <c r="D91" s="367" t="s">
        <v>102</v>
      </c>
      <c r="E91" s="367" t="s">
        <v>103</v>
      </c>
      <c r="F91" s="367" t="s">
        <v>104</v>
      </c>
      <c r="G91" s="367" t="s">
        <v>105</v>
      </c>
      <c r="H91" s="367" t="s">
        <v>106</v>
      </c>
      <c r="I91" s="370"/>
      <c r="W91" s="370"/>
      <c r="X91" s="366"/>
    </row>
    <row r="92" customHeight="1" spans="1:24">
      <c r="A92" s="378" t="s">
        <v>111</v>
      </c>
      <c r="B92" s="367">
        <v>35159331.55</v>
      </c>
      <c r="C92" s="367">
        <v>45609279.48</v>
      </c>
      <c r="D92" s="367">
        <v>29360173.07</v>
      </c>
      <c r="E92" s="367">
        <v>60345811.9999998</v>
      </c>
      <c r="F92" s="367">
        <v>131130392.36</v>
      </c>
      <c r="G92" s="367">
        <v>27</v>
      </c>
      <c r="H92" s="367">
        <f t="shared" ref="H92:H103" si="18">SUM(B92:G92)</f>
        <v>301605015.46</v>
      </c>
      <c r="I92" s="370"/>
    </row>
    <row r="93" customHeight="1" spans="1:24">
      <c r="A93" s="434" t="s">
        <v>112</v>
      </c>
      <c r="H93" s="367">
        <f t="shared" si="18"/>
        <v>0</v>
      </c>
      <c r="I93" s="370"/>
    </row>
    <row r="94" customHeight="1" spans="1:24">
      <c r="A94" s="434" t="s">
        <v>113</v>
      </c>
      <c r="H94" s="367">
        <f t="shared" si="18"/>
        <v>0</v>
      </c>
      <c r="I94" s="370"/>
    </row>
    <row r="95" customHeight="1" spans="1:24">
      <c r="A95" s="434" t="s">
        <v>114</v>
      </c>
      <c r="H95" s="367">
        <f t="shared" si="18"/>
        <v>0</v>
      </c>
      <c r="I95" s="370"/>
    </row>
    <row r="96" customHeight="1" spans="1:24">
      <c r="A96" s="434" t="s">
        <v>115</v>
      </c>
      <c r="H96" s="367">
        <f t="shared" si="18"/>
        <v>0</v>
      </c>
      <c r="I96" s="370"/>
    </row>
    <row r="97" customHeight="1" spans="1:9">
      <c r="A97" s="434" t="s">
        <v>116</v>
      </c>
      <c r="H97" s="367">
        <f t="shared" si="18"/>
        <v>0</v>
      </c>
      <c r="I97" s="370"/>
    </row>
    <row r="98" customHeight="1" spans="1:9">
      <c r="A98" s="434" t="s">
        <v>117</v>
      </c>
      <c r="H98" s="367">
        <f t="shared" si="18"/>
        <v>0</v>
      </c>
      <c r="I98" s="370"/>
    </row>
    <row r="99" customHeight="1" spans="1:9">
      <c r="A99" s="434" t="s">
        <v>118</v>
      </c>
      <c r="H99" s="367">
        <f t="shared" si="18"/>
        <v>0</v>
      </c>
      <c r="I99" s="370"/>
    </row>
    <row r="100" customHeight="1" spans="1:9">
      <c r="A100" s="435" t="s">
        <v>119</v>
      </c>
      <c r="H100" s="367">
        <f t="shared" si="18"/>
        <v>0</v>
      </c>
    </row>
    <row r="101" customHeight="1" spans="1:9">
      <c r="A101" s="435" t="s">
        <v>120</v>
      </c>
      <c r="H101" s="367">
        <f t="shared" si="18"/>
        <v>0</v>
      </c>
    </row>
    <row r="102" customHeight="1" spans="1:9">
      <c r="A102" s="435" t="s">
        <v>121</v>
      </c>
      <c r="H102" s="367">
        <f t="shared" si="18"/>
        <v>0</v>
      </c>
    </row>
    <row r="103" customHeight="1" spans="1:9">
      <c r="A103" s="435" t="s">
        <v>122</v>
      </c>
      <c r="H103" s="367">
        <f t="shared" si="18"/>
        <v>0</v>
      </c>
    </row>
    <row r="104" customHeight="1" spans="1:9">
      <c r="A104" s="366" t="s">
        <v>9</v>
      </c>
      <c r="B104" s="367">
        <f t="shared" ref="B104:H104" si="19">SUM(B92:B103)</f>
        <v>35159331.55</v>
      </c>
      <c r="C104" s="367">
        <f t="shared" si="19"/>
        <v>45609279.48</v>
      </c>
      <c r="D104" s="367">
        <f t="shared" si="19"/>
        <v>29360173.07</v>
      </c>
      <c r="E104" s="367">
        <f t="shared" si="19"/>
        <v>60345811.9999998</v>
      </c>
      <c r="F104" s="367">
        <f t="shared" si="19"/>
        <v>131130392.36</v>
      </c>
      <c r="G104" s="367">
        <f t="shared" si="19"/>
        <v>27</v>
      </c>
      <c r="H104" s="367">
        <f t="shared" si="19"/>
        <v>301605015.46</v>
      </c>
    </row>
    <row r="107" customHeight="1" spans="1:9">
      <c r="A107" s="366" t="s">
        <v>99</v>
      </c>
      <c r="B107" s="367" t="s">
        <v>100</v>
      </c>
      <c r="C107" s="367" t="s">
        <v>101</v>
      </c>
      <c r="D107" s="367" t="s">
        <v>102</v>
      </c>
      <c r="E107" s="367" t="s">
        <v>103</v>
      </c>
      <c r="F107" s="367" t="s">
        <v>104</v>
      </c>
      <c r="G107" s="367" t="s">
        <v>105</v>
      </c>
      <c r="H107" s="367" t="s">
        <v>106</v>
      </c>
    </row>
    <row r="108" customHeight="1" spans="1:9">
      <c r="A108" s="378" t="s">
        <v>111</v>
      </c>
      <c r="B108" s="367">
        <v>61439315.78</v>
      </c>
      <c r="C108" s="367">
        <v>49841696.98</v>
      </c>
      <c r="D108" s="367">
        <v>21127312.49</v>
      </c>
      <c r="E108" s="367">
        <v>258457695.33</v>
      </c>
      <c r="F108" s="367">
        <v>86543610.4200003</v>
      </c>
      <c r="H108" s="367">
        <f t="shared" ref="H108:H119" si="20">SUM(B108:G108)</f>
        <v>477409631</v>
      </c>
    </row>
    <row r="109" customHeight="1" spans="1:9">
      <c r="A109" s="434" t="s">
        <v>112</v>
      </c>
      <c r="B109" s="367">
        <v>40014906.72</v>
      </c>
      <c r="C109" s="367">
        <v>27864077.78</v>
      </c>
      <c r="D109" s="367">
        <v>25373751.23</v>
      </c>
      <c r="E109" s="367">
        <v>258924924.49</v>
      </c>
      <c r="F109" s="367">
        <v>87178895.9099999</v>
      </c>
      <c r="H109" s="367">
        <f t="shared" si="20"/>
        <v>439356556.13</v>
      </c>
    </row>
    <row r="110" customHeight="1" spans="1:9">
      <c r="A110" s="434" t="s">
        <v>113</v>
      </c>
      <c r="B110" s="367">
        <v>56303318.26</v>
      </c>
      <c r="C110" s="367">
        <v>25086305.62</v>
      </c>
      <c r="D110" s="367">
        <v>21896134</v>
      </c>
      <c r="E110" s="367">
        <f>269560159.07+13500000</f>
        <v>283060159.07</v>
      </c>
      <c r="F110" s="367">
        <v>125014294.11</v>
      </c>
      <c r="H110" s="367">
        <f t="shared" si="20"/>
        <v>511360211.06</v>
      </c>
    </row>
    <row r="111" customHeight="1" spans="1:9">
      <c r="A111" s="434" t="s">
        <v>114</v>
      </c>
      <c r="B111" s="367">
        <v>71590762.8500002</v>
      </c>
      <c r="C111" s="367">
        <v>29189657.17</v>
      </c>
      <c r="D111" s="367">
        <v>19743272.51</v>
      </c>
      <c r="E111" s="367">
        <v>233006550.67</v>
      </c>
      <c r="F111" s="367">
        <v>177815575.7</v>
      </c>
      <c r="H111" s="367">
        <f t="shared" si="20"/>
        <v>531345818.9</v>
      </c>
    </row>
    <row r="112" customHeight="1" spans="1:9">
      <c r="A112" s="434" t="s">
        <v>115</v>
      </c>
      <c r="B112" s="367">
        <v>84680576.06</v>
      </c>
      <c r="C112" s="367">
        <v>37409990.21</v>
      </c>
      <c r="D112" s="367">
        <v>25699957.58</v>
      </c>
      <c r="E112" s="367">
        <v>181266104.93</v>
      </c>
      <c r="F112" s="367">
        <v>204593286.97</v>
      </c>
      <c r="H112" s="367">
        <f t="shared" si="20"/>
        <v>533649915.75</v>
      </c>
    </row>
    <row r="113" customHeight="1" spans="1:8">
      <c r="A113" s="434" t="s">
        <v>116</v>
      </c>
      <c r="B113" s="367">
        <v>65349871.0600001</v>
      </c>
      <c r="C113" s="367">
        <v>21288749.52</v>
      </c>
      <c r="D113" s="367">
        <v>72965665.1299999</v>
      </c>
      <c r="E113" s="367">
        <v>203803164.61</v>
      </c>
      <c r="F113" s="367">
        <v>270632606.25</v>
      </c>
      <c r="H113" s="367">
        <f t="shared" si="20"/>
        <v>634040056.57</v>
      </c>
    </row>
    <row r="114" customHeight="1" spans="1:8">
      <c r="A114" s="434" t="s">
        <v>117</v>
      </c>
      <c r="B114" s="367">
        <v>55989429.52</v>
      </c>
      <c r="C114" s="367">
        <v>56078364.39</v>
      </c>
      <c r="D114" s="367">
        <v>52438579.5799999</v>
      </c>
      <c r="E114" s="367">
        <v>198497206.529999</v>
      </c>
      <c r="F114" s="367">
        <v>222615567.24</v>
      </c>
      <c r="G114" s="367">
        <v>50.08</v>
      </c>
      <c r="H114" s="367">
        <f t="shared" si="20"/>
        <v>585619197.339999</v>
      </c>
    </row>
    <row r="115" customHeight="1" spans="1:8">
      <c r="A115" s="434" t="s">
        <v>118</v>
      </c>
      <c r="B115" s="367">
        <v>61300568.66</v>
      </c>
      <c r="C115" s="367">
        <v>57400767.7199999</v>
      </c>
      <c r="D115" s="367">
        <v>57447924</v>
      </c>
      <c r="E115" s="367">
        <v>222565054.07</v>
      </c>
      <c r="F115" s="367">
        <v>219913936.01</v>
      </c>
      <c r="G115" s="367">
        <v>430.13</v>
      </c>
      <c r="H115" s="367">
        <f t="shared" si="20"/>
        <v>618628680.59</v>
      </c>
    </row>
    <row r="116" customHeight="1" spans="1:8">
      <c r="A116" s="435" t="s">
        <v>119</v>
      </c>
      <c r="B116" s="367">
        <v>38556786.35</v>
      </c>
      <c r="C116" s="367">
        <v>35397648.26</v>
      </c>
      <c r="D116" s="367">
        <v>57018590.3</v>
      </c>
      <c r="E116" s="367">
        <v>215849501.99</v>
      </c>
      <c r="F116" s="367">
        <v>182070172.44</v>
      </c>
      <c r="G116" s="367">
        <v>-24.99</v>
      </c>
      <c r="H116" s="367">
        <f t="shared" si="20"/>
        <v>528892674.35</v>
      </c>
    </row>
    <row r="117" customHeight="1" spans="1:8">
      <c r="A117" s="435" t="s">
        <v>120</v>
      </c>
      <c r="B117" s="367">
        <v>27095029.52</v>
      </c>
      <c r="C117" s="367">
        <v>21393306.76</v>
      </c>
      <c r="D117" s="367">
        <v>32003734.7</v>
      </c>
      <c r="E117" s="367">
        <v>202700705.9</v>
      </c>
      <c r="F117" s="367">
        <v>148671289.92</v>
      </c>
      <c r="H117" s="367">
        <f t="shared" si="20"/>
        <v>431864066.8</v>
      </c>
    </row>
    <row r="118" customHeight="1" spans="1:8">
      <c r="A118" s="435" t="s">
        <v>121</v>
      </c>
      <c r="B118" s="367">
        <v>19629532.86</v>
      </c>
      <c r="C118" s="367">
        <v>42619394.82</v>
      </c>
      <c r="D118" s="367">
        <v>44272075.79</v>
      </c>
      <c r="E118" s="367">
        <v>276148239.429999</v>
      </c>
      <c r="F118" s="367">
        <v>136328623.07</v>
      </c>
      <c r="G118" s="367">
        <v>312.01</v>
      </c>
      <c r="H118" s="367">
        <f t="shared" si="20"/>
        <v>518998177.979999</v>
      </c>
    </row>
    <row r="119" customHeight="1" spans="1:8">
      <c r="A119" s="435" t="s">
        <v>122</v>
      </c>
      <c r="B119" s="367">
        <v>23029508.96</v>
      </c>
      <c r="C119" s="367">
        <v>31702147.22</v>
      </c>
      <c r="D119" s="367">
        <v>27138940.3200001</v>
      </c>
      <c r="E119" s="367">
        <v>201081191.98</v>
      </c>
      <c r="F119" s="367">
        <v>131781750.89</v>
      </c>
      <c r="G119" s="367">
        <v>237.090000000084</v>
      </c>
      <c r="H119" s="367">
        <f t="shared" si="20"/>
        <v>414733776.46</v>
      </c>
    </row>
    <row r="120" customHeight="1" spans="1:8">
      <c r="A120" s="366" t="s">
        <v>9</v>
      </c>
      <c r="B120" s="367">
        <f t="shared" ref="B120:H120" si="21">SUM(B108:B119)</f>
        <v>604979606.6</v>
      </c>
      <c r="C120" s="367">
        <f t="shared" si="21"/>
        <v>435272106.45</v>
      </c>
      <c r="D120" s="367">
        <f t="shared" si="21"/>
        <v>457125937.63</v>
      </c>
      <c r="E120" s="367">
        <f t="shared" si="21"/>
        <v>2735360499</v>
      </c>
      <c r="F120" s="367">
        <f t="shared" si="21"/>
        <v>1993159608.93</v>
      </c>
      <c r="G120" s="367">
        <f t="shared" si="21"/>
        <v>1004.32000000008</v>
      </c>
      <c r="H120" s="367">
        <f t="shared" si="21"/>
        <v>6225898762.93</v>
      </c>
    </row>
    <row r="123" customHeight="1" spans="1:8">
      <c r="A123" s="366" t="s">
        <v>131</v>
      </c>
      <c r="B123" s="367" t="s">
        <v>100</v>
      </c>
      <c r="C123" s="367" t="s">
        <v>101</v>
      </c>
      <c r="D123" s="367" t="s">
        <v>102</v>
      </c>
      <c r="E123" s="367" t="s">
        <v>103</v>
      </c>
      <c r="F123" s="367" t="s">
        <v>104</v>
      </c>
      <c r="G123" s="367" t="s">
        <v>105</v>
      </c>
      <c r="H123" s="367" t="s">
        <v>106</v>
      </c>
    </row>
    <row r="124" customHeight="1" spans="1:8">
      <c r="A124" s="378" t="s">
        <v>111</v>
      </c>
      <c r="B124" s="367">
        <v>50764299.1499999</v>
      </c>
      <c r="C124" s="367">
        <v>34193913.4500001</v>
      </c>
      <c r="D124" s="367">
        <v>7678254.39</v>
      </c>
      <c r="E124" s="367">
        <v>126308210.64</v>
      </c>
      <c r="F124" s="367">
        <v>23636486.7600001</v>
      </c>
      <c r="G124" s="367">
        <v>605826.86</v>
      </c>
      <c r="H124" s="367">
        <f t="shared" ref="H124:H135" si="22">SUM(B124:G124)</f>
        <v>243186991.25</v>
      </c>
    </row>
    <row r="125" customHeight="1" spans="1:8">
      <c r="A125" s="434" t="s">
        <v>112</v>
      </c>
      <c r="B125" s="367">
        <v>43645810.24</v>
      </c>
      <c r="C125" s="367">
        <v>42647553.76</v>
      </c>
      <c r="D125" s="367">
        <v>2139657.45</v>
      </c>
      <c r="E125" s="367">
        <v>118479755.95</v>
      </c>
      <c r="F125" s="367">
        <v>24748661.4700001</v>
      </c>
      <c r="G125" s="367">
        <v>614830.04</v>
      </c>
      <c r="H125" s="367">
        <f t="shared" si="22"/>
        <v>232276268.91</v>
      </c>
    </row>
    <row r="126" customHeight="1" spans="1:8">
      <c r="A126" s="434" t="s">
        <v>113</v>
      </c>
      <c r="B126" s="367">
        <v>31478044.88</v>
      </c>
      <c r="C126" s="367">
        <v>40736333.67</v>
      </c>
      <c r="D126" s="367">
        <v>3747296.95</v>
      </c>
      <c r="E126" s="367">
        <v>229913369.75</v>
      </c>
      <c r="F126" s="367">
        <v>47992130.59</v>
      </c>
      <c r="G126" s="367">
        <v>428244.55</v>
      </c>
      <c r="H126" s="367">
        <f t="shared" si="22"/>
        <v>354295420.39</v>
      </c>
    </row>
    <row r="127" customHeight="1" spans="1:8">
      <c r="A127" s="434" t="s">
        <v>114</v>
      </c>
      <c r="B127" s="367">
        <v>38569276.44</v>
      </c>
      <c r="C127" s="367">
        <v>49246959.68</v>
      </c>
      <c r="D127" s="367">
        <v>4691588.30000001</v>
      </c>
      <c r="E127" s="367">
        <v>180422985.99</v>
      </c>
      <c r="F127" s="367">
        <v>47207621.79</v>
      </c>
      <c r="G127" s="367">
        <v>13282.73</v>
      </c>
      <c r="H127" s="367">
        <f t="shared" si="22"/>
        <v>320151714.93</v>
      </c>
    </row>
    <row r="128" customHeight="1" spans="1:8">
      <c r="A128" s="434" t="s">
        <v>115</v>
      </c>
      <c r="B128" s="367">
        <v>26590596.39</v>
      </c>
      <c r="C128" s="367">
        <v>24005490.95</v>
      </c>
      <c r="D128" s="367">
        <v>5685925.05200002</v>
      </c>
      <c r="E128" s="367">
        <v>176917391.409999</v>
      </c>
      <c r="F128" s="367">
        <v>58886394.7100001</v>
      </c>
      <c r="H128" s="367">
        <f t="shared" si="22"/>
        <v>292085798.511999</v>
      </c>
    </row>
    <row r="129" customHeight="1" spans="1:8">
      <c r="A129" s="434" t="s">
        <v>116</v>
      </c>
      <c r="B129" s="367">
        <v>23038670.04</v>
      </c>
      <c r="C129" s="367">
        <v>33786055.67</v>
      </c>
      <c r="D129" s="367">
        <v>7222923.71000001</v>
      </c>
      <c r="E129" s="367">
        <v>197256778.1</v>
      </c>
      <c r="F129" s="367">
        <v>44191739.14</v>
      </c>
      <c r="H129" s="367">
        <f t="shared" si="22"/>
        <v>305496166.66</v>
      </c>
    </row>
    <row r="130" customHeight="1" spans="1:8">
      <c r="A130" s="434" t="s">
        <v>117</v>
      </c>
      <c r="B130" s="367">
        <v>39363166.7</v>
      </c>
      <c r="C130" s="367">
        <v>28873042.38</v>
      </c>
      <c r="D130" s="367">
        <v>4488545.72</v>
      </c>
      <c r="E130" s="367">
        <v>157689822.03</v>
      </c>
      <c r="F130" s="367">
        <v>70720558.64</v>
      </c>
      <c r="H130" s="367">
        <f t="shared" si="22"/>
        <v>301135135.47</v>
      </c>
    </row>
    <row r="131" customHeight="1" spans="1:8">
      <c r="A131" s="434" t="s">
        <v>118</v>
      </c>
      <c r="B131" s="367">
        <v>33965620.47</v>
      </c>
      <c r="C131" s="367">
        <v>23690886.91</v>
      </c>
      <c r="D131" s="367">
        <v>6913167.79</v>
      </c>
      <c r="E131" s="367">
        <v>205065088.93</v>
      </c>
      <c r="F131" s="367">
        <v>71780882.51</v>
      </c>
      <c r="H131" s="367">
        <f t="shared" si="22"/>
        <v>341415646.61</v>
      </c>
    </row>
    <row r="132" customHeight="1" spans="1:8">
      <c r="A132" s="435" t="s">
        <v>119</v>
      </c>
      <c r="B132" s="367">
        <v>22447150.12</v>
      </c>
      <c r="C132" s="367">
        <v>28918184.06</v>
      </c>
      <c r="D132" s="367">
        <v>5237626.54</v>
      </c>
      <c r="E132" s="367">
        <v>307124243.35</v>
      </c>
      <c r="F132" s="367">
        <v>43599570.49</v>
      </c>
      <c r="H132" s="367">
        <f t="shared" si="22"/>
        <v>407326774.56</v>
      </c>
    </row>
    <row r="133" customHeight="1" spans="1:8">
      <c r="A133" s="435" t="s">
        <v>120</v>
      </c>
      <c r="B133" s="367">
        <v>26961150.8</v>
      </c>
      <c r="C133" s="367">
        <v>9594873.99</v>
      </c>
      <c r="D133" s="367">
        <v>5190481.91000001</v>
      </c>
      <c r="E133" s="367">
        <v>233858029.54</v>
      </c>
      <c r="F133" s="367">
        <v>25954674.3900001</v>
      </c>
      <c r="H133" s="367">
        <f t="shared" si="22"/>
        <v>301559210.63</v>
      </c>
    </row>
    <row r="134" customHeight="1" spans="1:8">
      <c r="A134" s="435" t="s">
        <v>121</v>
      </c>
      <c r="B134" s="367">
        <v>23987569.38</v>
      </c>
      <c r="C134" s="367">
        <v>40930209</v>
      </c>
      <c r="D134" s="367">
        <v>6973471.75000001</v>
      </c>
      <c r="E134" s="367">
        <v>333828491.51</v>
      </c>
      <c r="F134" s="367">
        <v>60810496.95</v>
      </c>
      <c r="H134" s="367">
        <f t="shared" si="22"/>
        <v>466530238.59</v>
      </c>
    </row>
    <row r="135" customHeight="1" spans="1:8">
      <c r="A135" s="435" t="s">
        <v>122</v>
      </c>
      <c r="H135" s="367">
        <f t="shared" si="22"/>
        <v>0</v>
      </c>
    </row>
    <row r="136" customHeight="1" spans="1:8">
      <c r="A136" s="366" t="s">
        <v>9</v>
      </c>
      <c r="B136" s="367">
        <f t="shared" ref="B136:H136" si="23">SUM(B124:B135)</f>
        <v>360811354.61</v>
      </c>
      <c r="C136" s="367">
        <f t="shared" si="23"/>
        <v>356623503.52</v>
      </c>
      <c r="D136" s="367">
        <f t="shared" si="23"/>
        <v>59968939.5620001</v>
      </c>
      <c r="E136" s="367">
        <f t="shared" si="23"/>
        <v>2266864167.2</v>
      </c>
      <c r="F136" s="367">
        <f t="shared" si="23"/>
        <v>519529217.44</v>
      </c>
      <c r="G136" s="367">
        <f t="shared" si="23"/>
        <v>1662184.18</v>
      </c>
      <c r="H136" s="367">
        <f t="shared" si="23"/>
        <v>3565459366.512</v>
      </c>
    </row>
    <row r="139" customHeight="1" spans="1:8">
      <c r="A139" s="371" t="s">
        <v>132</v>
      </c>
      <c r="B139" s="454" t="s">
        <v>100</v>
      </c>
      <c r="C139" s="455" t="s">
        <v>102</v>
      </c>
      <c r="D139" s="454" t="s">
        <v>103</v>
      </c>
      <c r="E139" s="454" t="s">
        <v>104</v>
      </c>
      <c r="F139" s="454" t="s">
        <v>101</v>
      </c>
      <c r="G139" s="454" t="s">
        <v>105</v>
      </c>
      <c r="H139" s="456" t="s">
        <v>106</v>
      </c>
    </row>
    <row r="140" customHeight="1" spans="1:8">
      <c r="A140" s="378" t="s">
        <v>111</v>
      </c>
      <c r="B140" s="367">
        <f t="shared" ref="B140:B151" si="24">B47-B62</f>
        <v>8114023.52</v>
      </c>
      <c r="C140" s="367">
        <f t="shared" ref="C140:C151" si="25">D47-D62</f>
        <v>-325354769.71</v>
      </c>
      <c r="D140" s="367">
        <f t="shared" ref="D140:D151" si="26">E47-E62</f>
        <v>56601428.82</v>
      </c>
      <c r="E140" s="367">
        <f t="shared" ref="E140:E151" si="27">F47-F62</f>
        <v>50781526.57</v>
      </c>
      <c r="F140" s="367">
        <f t="shared" ref="F140:F151" si="28">C47-C62</f>
        <v>11847354.76</v>
      </c>
      <c r="G140" s="367">
        <f t="shared" ref="G140:G151" si="29">G47-G62</f>
        <v>884598.11</v>
      </c>
      <c r="H140" s="367">
        <f t="shared" ref="H140:H151" si="30">H47-H62</f>
        <v>-197125837.93</v>
      </c>
    </row>
    <row r="141" customHeight="1" spans="1:8">
      <c r="A141" s="378" t="s">
        <v>112</v>
      </c>
      <c r="B141" s="367">
        <f t="shared" si="24"/>
        <v>-32655096.32</v>
      </c>
      <c r="C141" s="367">
        <f t="shared" si="25"/>
        <v>-459544874.659999</v>
      </c>
      <c r="D141" s="367">
        <f t="shared" si="26"/>
        <v>-1513166.73999998</v>
      </c>
      <c r="E141" s="367">
        <f t="shared" si="27"/>
        <v>80396772.96</v>
      </c>
      <c r="F141" s="367">
        <f t="shared" si="28"/>
        <v>2854905.08</v>
      </c>
      <c r="G141" s="367">
        <f t="shared" si="29"/>
        <v>856244.81</v>
      </c>
      <c r="H141" s="367">
        <f t="shared" si="30"/>
        <v>-409605214.869999</v>
      </c>
    </row>
    <row r="142" customHeight="1" spans="1:8">
      <c r="A142" s="378" t="s">
        <v>113</v>
      </c>
      <c r="B142" s="367">
        <f t="shared" si="24"/>
        <v>-1435206.33</v>
      </c>
      <c r="C142" s="367">
        <f t="shared" si="25"/>
        <v>-685598507.37</v>
      </c>
      <c r="D142" s="367">
        <f t="shared" si="26"/>
        <v>159644585.35</v>
      </c>
      <c r="E142" s="367">
        <f t="shared" si="27"/>
        <v>170038585.07</v>
      </c>
      <c r="F142" s="367">
        <f t="shared" si="28"/>
        <v>4896633.52</v>
      </c>
      <c r="G142" s="367">
        <f t="shared" si="29"/>
        <v>572905.54</v>
      </c>
      <c r="H142" s="367">
        <f t="shared" si="30"/>
        <v>-351881004.22</v>
      </c>
    </row>
    <row r="143" customHeight="1" spans="1:8">
      <c r="A143" s="378" t="s">
        <v>114</v>
      </c>
      <c r="B143" s="367">
        <f t="shared" si="24"/>
        <v>13314651.0999998</v>
      </c>
      <c r="C143" s="367">
        <f t="shared" si="25"/>
        <v>-556173050.509998</v>
      </c>
      <c r="D143" s="367">
        <f t="shared" si="26"/>
        <v>17072833.95</v>
      </c>
      <c r="E143" s="367">
        <f t="shared" si="27"/>
        <v>159752624.290001</v>
      </c>
      <c r="F143" s="367">
        <f t="shared" si="28"/>
        <v>7074430.6900001</v>
      </c>
      <c r="G143" s="367">
        <f t="shared" si="29"/>
        <v>32474.87</v>
      </c>
      <c r="H143" s="367">
        <f t="shared" si="30"/>
        <v>-358926035.609997</v>
      </c>
    </row>
    <row r="144" customHeight="1" spans="1:8">
      <c r="A144" s="378" t="s">
        <v>115</v>
      </c>
      <c r="B144" s="367">
        <f t="shared" si="24"/>
        <v>-15292555.1</v>
      </c>
      <c r="C144" s="367">
        <f t="shared" si="25"/>
        <v>-764403104.03</v>
      </c>
      <c r="D144" s="367">
        <f t="shared" si="26"/>
        <v>-13612416.56</v>
      </c>
      <c r="E144" s="367">
        <f t="shared" si="27"/>
        <v>229623224.38</v>
      </c>
      <c r="F144" s="367">
        <f t="shared" si="28"/>
        <v>-39230560.25</v>
      </c>
      <c r="G144" s="367">
        <f t="shared" si="29"/>
        <v>-1712437.89</v>
      </c>
      <c r="H144" s="367">
        <f t="shared" si="30"/>
        <v>-604627849.45</v>
      </c>
    </row>
    <row r="145" customHeight="1" spans="1:8">
      <c r="A145" s="378" t="s">
        <v>116</v>
      </c>
      <c r="B145" s="367">
        <f t="shared" si="24"/>
        <v>1843373.47</v>
      </c>
      <c r="C145" s="367">
        <f t="shared" si="25"/>
        <v>-938374141.143799</v>
      </c>
      <c r="D145" s="367">
        <f t="shared" si="26"/>
        <v>-101455316.173799</v>
      </c>
      <c r="E145" s="367">
        <f t="shared" si="27"/>
        <v>220366564.170001</v>
      </c>
      <c r="F145" s="367">
        <f t="shared" si="28"/>
        <v>-11214152.3752</v>
      </c>
      <c r="G145" s="367">
        <f t="shared" si="29"/>
        <v>-3693325.92</v>
      </c>
      <c r="H145" s="367">
        <f t="shared" si="30"/>
        <v>-832526997.972797</v>
      </c>
    </row>
    <row r="146" customHeight="1" spans="1:8">
      <c r="A146" s="378" t="s">
        <v>117</v>
      </c>
      <c r="B146" s="367">
        <f t="shared" si="24"/>
        <v>-9897213.49950001</v>
      </c>
      <c r="C146" s="367">
        <f t="shared" si="25"/>
        <v>-1059122943.9084</v>
      </c>
      <c r="D146" s="367">
        <f t="shared" si="26"/>
        <v>-89602007.17</v>
      </c>
      <c r="E146" s="367">
        <f t="shared" si="27"/>
        <v>181632871.57</v>
      </c>
      <c r="F146" s="367">
        <f t="shared" si="28"/>
        <v>-19153322.5698</v>
      </c>
      <c r="G146" s="367">
        <f t="shared" si="29"/>
        <v>-2559519.23</v>
      </c>
      <c r="H146" s="367">
        <f t="shared" si="30"/>
        <v>-998702134.807698</v>
      </c>
    </row>
    <row r="147" customHeight="1" spans="1:8">
      <c r="A147" s="389" t="s">
        <v>118</v>
      </c>
      <c r="B147" s="367">
        <f t="shared" si="24"/>
        <v>-9851350.59</v>
      </c>
      <c r="C147" s="367">
        <f t="shared" si="25"/>
        <v>-1467184452.41001</v>
      </c>
      <c r="D147" s="367">
        <f t="shared" si="26"/>
        <v>-65253299.94</v>
      </c>
      <c r="E147" s="367">
        <f t="shared" si="27"/>
        <v>223489825.450001</v>
      </c>
      <c r="F147" s="367">
        <f t="shared" si="28"/>
        <v>-32943818.06</v>
      </c>
      <c r="G147" s="367">
        <f t="shared" si="29"/>
        <v>-1620139.63</v>
      </c>
      <c r="H147" s="367">
        <f t="shared" si="30"/>
        <v>-1353363235.18001</v>
      </c>
    </row>
    <row r="148" customHeight="1" spans="1:8">
      <c r="A148" s="389" t="s">
        <v>119</v>
      </c>
      <c r="B148" s="367">
        <f t="shared" si="24"/>
        <v>11130389.76</v>
      </c>
      <c r="C148" s="367">
        <f t="shared" si="25"/>
        <v>-372510422.449994</v>
      </c>
      <c r="D148" s="367">
        <f t="shared" si="26"/>
        <v>-53727826.4200059</v>
      </c>
      <c r="E148" s="367">
        <f t="shared" si="27"/>
        <v>118196540.670002</v>
      </c>
      <c r="F148" s="367">
        <f t="shared" si="28"/>
        <v>9366491.94000009</v>
      </c>
      <c r="G148" s="367">
        <f t="shared" si="29"/>
        <v>-1903865.11</v>
      </c>
      <c r="H148" s="367">
        <f t="shared" si="30"/>
        <v>-289448691.609998</v>
      </c>
    </row>
    <row r="149" customHeight="1" spans="1:8">
      <c r="A149" s="389" t="s">
        <v>120</v>
      </c>
      <c r="B149" s="367">
        <f t="shared" si="24"/>
        <v>24105846.9400001</v>
      </c>
      <c r="C149" s="367">
        <f t="shared" si="25"/>
        <v>-311348506.340003</v>
      </c>
      <c r="D149" s="367">
        <f t="shared" si="26"/>
        <v>91910169.589997</v>
      </c>
      <c r="E149" s="367">
        <f t="shared" si="27"/>
        <v>189418734.669999</v>
      </c>
      <c r="F149" s="367">
        <f t="shared" si="28"/>
        <v>20354687.37</v>
      </c>
      <c r="G149" s="367">
        <f t="shared" si="29"/>
        <v>25448.83</v>
      </c>
      <c r="H149" s="367">
        <f t="shared" si="30"/>
        <v>14466381.0599933</v>
      </c>
    </row>
    <row r="150" customHeight="1" spans="1:8">
      <c r="A150" s="389" t="s">
        <v>121</v>
      </c>
      <c r="B150" s="367">
        <f t="shared" si="24"/>
        <v>16051215.6727003</v>
      </c>
      <c r="C150" s="367">
        <f t="shared" si="25"/>
        <v>-469252103.873799</v>
      </c>
      <c r="D150" s="367">
        <f t="shared" si="26"/>
        <v>100645960.520896</v>
      </c>
      <c r="E150" s="367">
        <f t="shared" si="27"/>
        <v>237929234.082898</v>
      </c>
      <c r="F150" s="367">
        <f t="shared" si="28"/>
        <v>83965217.666</v>
      </c>
      <c r="G150" s="367">
        <f t="shared" si="29"/>
        <v>-4642591.49</v>
      </c>
      <c r="H150" s="367">
        <f t="shared" si="30"/>
        <v>-35303067.4213042</v>
      </c>
    </row>
    <row r="151" customHeight="1" spans="1:8">
      <c r="A151" s="389" t="s">
        <v>122</v>
      </c>
      <c r="B151" s="367">
        <f t="shared" si="24"/>
        <v>11340854.7434</v>
      </c>
      <c r="C151" s="367">
        <f t="shared" si="25"/>
        <v>-279788555.479996</v>
      </c>
      <c r="D151" s="367">
        <f t="shared" si="26"/>
        <v>85187119.5855961</v>
      </c>
      <c r="E151" s="367">
        <f t="shared" si="27"/>
        <v>253323142.681193</v>
      </c>
      <c r="F151" s="367">
        <f t="shared" si="28"/>
        <v>1396806.0099999</v>
      </c>
      <c r="G151" s="367">
        <f t="shared" si="29"/>
        <v>698136.05</v>
      </c>
      <c r="H151" s="367">
        <f t="shared" si="30"/>
        <v>72157503.5901928</v>
      </c>
    </row>
    <row r="152" customHeight="1" spans="1:8">
      <c r="A152" s="366" t="s">
        <v>9</v>
      </c>
      <c r="B152" s="367">
        <f t="shared" ref="B152:H152" si="31">SUM(B140:B151)</f>
        <v>16768933.3666002</v>
      </c>
      <c r="C152" s="367">
        <f t="shared" si="31"/>
        <v>-7688655431.886</v>
      </c>
      <c r="D152" s="367">
        <f t="shared" si="31"/>
        <v>185898064.812684</v>
      </c>
      <c r="E152" s="367">
        <f t="shared" si="31"/>
        <v>2114949646.56409</v>
      </c>
      <c r="F152" s="367">
        <f t="shared" si="31"/>
        <v>39214673.7810001</v>
      </c>
      <c r="G152" s="367">
        <f t="shared" si="31"/>
        <v>-13062071.06</v>
      </c>
      <c r="H152" s="367">
        <f t="shared" si="31"/>
        <v>-5344886184.42162</v>
      </c>
    </row>
  </sheetData>
  <pageMargins left="0.75" right="0.75" top="1" bottom="1" header="0.511805555555556" footer="0.511805555555556"/>
  <pageSetup paperSize="9" orientation="portrait"/>
  <headerFooter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XES107"/>
  <sheetViews>
    <sheetView workbookViewId="0">
      <pane xSplit="1" ySplit="2" topLeftCell="B3" activePane="bottomRight" state="frozen"/>
      <selection/>
      <selection pane="topRight"/>
      <selection pane="bottomLeft"/>
      <selection pane="bottomRight" activeCell="T31" sqref="T31"/>
    </sheetView>
  </sheetViews>
  <sheetFormatPr defaultColWidth="9" defaultRowHeight="13.5"/>
  <cols>
    <col min="1" max="1" width="10.2583333333333" style="299" customWidth="1"/>
    <col min="2" max="2" width="10.6333333333333" style="299" hidden="1" customWidth="1"/>
    <col min="3" max="4" width="7.18333333333333" style="299" hidden="1" customWidth="1"/>
    <col min="5" max="6" width="7.90833333333333" style="299" hidden="1" customWidth="1"/>
    <col min="7" max="7" width="8" style="299" hidden="1" customWidth="1"/>
    <col min="8" max="8" width="7.18333333333333" style="299" hidden="1" customWidth="1"/>
    <col min="9" max="9" width="7.90833333333333" style="299" customWidth="1"/>
    <col min="10" max="13" width="7.18333333333333" style="299" customWidth="1"/>
    <col min="14" max="14" width="8.63333333333333" style="299" customWidth="1"/>
    <col min="15" max="15" width="10.1083333333333" style="300" customWidth="1"/>
    <col min="16" max="16" width="13" style="299" customWidth="1"/>
    <col min="17" max="17" width="9.75" style="128" customWidth="1"/>
    <col min="18" max="18" width="12.25" style="301" customWidth="1"/>
    <col min="19" max="20" width="9.5" style="301" customWidth="1"/>
    <col min="21" max="21" width="11.5" style="299" customWidth="1"/>
    <col min="22" max="23" width="10.5" style="299" customWidth="1"/>
    <col min="24" max="24" width="11.5" style="299" customWidth="1"/>
    <col min="25" max="25" width="10.5583333333333" style="299" customWidth="1"/>
    <col min="26" max="26" width="11" style="299" customWidth="1"/>
    <col min="27" max="27" width="14" style="299"/>
    <col min="28" max="29" width="11.125" style="299"/>
    <col min="30" max="16370" width="9" style="299"/>
  </cols>
  <sheetData>
    <row r="1" ht="14.25" spans="1:29 16371:16373">
      <c r="A1" s="299" t="s">
        <v>72</v>
      </c>
    </row>
    <row r="2" ht="14.1" customHeight="1" spans="1:29 16371:16373">
      <c r="A2" s="302" t="s">
        <v>138</v>
      </c>
      <c r="B2" s="303" t="s">
        <v>111</v>
      </c>
      <c r="C2" s="303" t="s">
        <v>112</v>
      </c>
      <c r="D2" s="303" t="s">
        <v>113</v>
      </c>
      <c r="E2" s="303" t="s">
        <v>114</v>
      </c>
      <c r="F2" s="303" t="s">
        <v>115</v>
      </c>
      <c r="G2" s="303" t="s">
        <v>116</v>
      </c>
      <c r="H2" s="303" t="s">
        <v>117</v>
      </c>
      <c r="I2" s="303" t="s">
        <v>118</v>
      </c>
      <c r="J2" s="303" t="s">
        <v>119</v>
      </c>
      <c r="K2" s="303" t="s">
        <v>120</v>
      </c>
      <c r="L2" s="303" t="s">
        <v>121</v>
      </c>
      <c r="M2" s="303" t="s">
        <v>122</v>
      </c>
      <c r="N2" s="303" t="s">
        <v>9</v>
      </c>
      <c r="O2" s="304" t="s">
        <v>139</v>
      </c>
      <c r="Q2" s="305" t="s">
        <v>138</v>
      </c>
      <c r="R2" s="305" t="s">
        <v>72</v>
      </c>
      <c r="S2" s="301" t="s">
        <v>97</v>
      </c>
      <c r="T2" s="301" t="s">
        <v>99</v>
      </c>
      <c r="U2" s="306" t="s">
        <v>131</v>
      </c>
      <c r="V2" s="301"/>
      <c r="W2" s="307"/>
      <c r="XEQ2" s="299"/>
      <c r="XER2" s="299"/>
      <c r="XES2" s="299"/>
    </row>
    <row r="3" ht="14.1" customHeight="1" spans="1:29 16371:16373">
      <c r="A3" s="308" t="s">
        <v>140</v>
      </c>
      <c r="B3" s="309">
        <v>55063.0670483399</v>
      </c>
      <c r="C3" s="309">
        <v>45120.5118132198</v>
      </c>
      <c r="D3" s="309">
        <v>57418.920312729</v>
      </c>
      <c r="E3" s="309">
        <v>51803.5217394297</v>
      </c>
      <c r="F3" s="309">
        <v>45322.1331188591</v>
      </c>
      <c r="G3" s="309">
        <v>43295.3225616208</v>
      </c>
      <c r="H3" s="309">
        <v>48615.9304812207</v>
      </c>
      <c r="I3" s="309">
        <f>55589.0837440203+108.94/10000</f>
        <v>55589.0946380203</v>
      </c>
      <c r="J3" s="309">
        <v>55216.1890411805</v>
      </c>
      <c r="K3" s="309">
        <v>44896.9341998699</v>
      </c>
      <c r="L3" s="309">
        <v>49122.9478223012</v>
      </c>
      <c r="M3" s="309">
        <f>71166.6857643303+11608600.18/10000-11608600.18/10000</f>
        <v>71166.6857643303</v>
      </c>
      <c r="N3" s="309">
        <f>(SUM(B3:M3))</f>
        <v>622631.258541121</v>
      </c>
      <c r="O3" s="310">
        <f>ROUND(N3/$N$17,4)</f>
        <v>0.7864</v>
      </c>
      <c r="P3" s="311">
        <f>N3-N22</f>
        <v>22405.6801866773</v>
      </c>
      <c r="Q3" s="312" t="s">
        <v>141</v>
      </c>
      <c r="R3" s="313">
        <f>R13/Y13</f>
        <v>0.847179781305457</v>
      </c>
      <c r="S3" s="313">
        <f>R14/Y14</f>
        <v>0.72984089913995</v>
      </c>
      <c r="T3" s="313">
        <f>R15/Y15</f>
        <v>0.691944256767315</v>
      </c>
      <c r="U3" s="314">
        <f>R16/Y16</f>
        <v>0.678933975734218</v>
      </c>
      <c r="V3" s="315"/>
      <c r="W3" s="316"/>
      <c r="X3" s="317"/>
      <c r="AA3" s="312"/>
      <c r="AB3" s="311">
        <f>N3-N22</f>
        <v>22405.6801866773</v>
      </c>
      <c r="AC3" s="317">
        <f>AB3/N22</f>
        <v>0.0373287660417669</v>
      </c>
      <c r="XEQ3" s="299"/>
      <c r="XER3" s="299"/>
      <c r="XES3" s="299"/>
    </row>
    <row r="4" ht="14.1" customHeight="1" spans="1:29 16371:16373">
      <c r="A4" s="308" t="s">
        <v>142</v>
      </c>
      <c r="B4" s="309"/>
      <c r="C4" s="309"/>
      <c r="D4" s="309"/>
      <c r="E4" s="309">
        <v>31.579643</v>
      </c>
      <c r="F4" s="309">
        <v>705.670171960021</v>
      </c>
      <c r="G4" s="309">
        <v>2546.67270728</v>
      </c>
      <c r="H4" s="309">
        <v>2700.30697145999</v>
      </c>
      <c r="I4" s="309">
        <v>4142.58630041</v>
      </c>
      <c r="J4" s="309">
        <v>9701.145259</v>
      </c>
      <c r="K4" s="309">
        <v>8663.36447886</v>
      </c>
      <c r="L4" s="309">
        <v>9221.635633</v>
      </c>
      <c r="M4" s="309">
        <v>9515.0403117</v>
      </c>
      <c r="N4" s="309">
        <f>(SUM(B4:M4))</f>
        <v>47228.00147667</v>
      </c>
      <c r="O4" s="310">
        <f>ROUND(N4/$N$17,4)</f>
        <v>0.0597</v>
      </c>
      <c r="Q4" s="312" t="s">
        <v>143</v>
      </c>
      <c r="R4" s="313">
        <f>S13/Y13</f>
        <v>0.00315105338232231</v>
      </c>
      <c r="S4" s="313">
        <f>S14/Y14</f>
        <v>0.0605966876292575</v>
      </c>
      <c r="T4" s="313">
        <f>S15/Y15</f>
        <v>0.0954583525958654</v>
      </c>
      <c r="U4" s="314">
        <f>S16/Y16</f>
        <v>0.128323232375017</v>
      </c>
      <c r="V4" s="315"/>
      <c r="W4" s="316"/>
      <c r="AA4" s="318"/>
      <c r="XEQ4" s="299"/>
      <c r="XER4" s="299"/>
      <c r="XES4" s="299"/>
    </row>
    <row r="5" ht="14.1" customHeight="1" spans="1:29 16371:16373">
      <c r="A5" s="308" t="s">
        <v>144</v>
      </c>
      <c r="B5" s="309"/>
      <c r="C5" s="309"/>
      <c r="D5" s="309"/>
      <c r="E5" s="309"/>
      <c r="F5" s="309"/>
      <c r="G5" s="309"/>
      <c r="H5" s="309"/>
      <c r="I5" s="309"/>
      <c r="J5" s="309"/>
      <c r="K5" s="309"/>
      <c r="L5" s="309">
        <v>178.46939850997</v>
      </c>
      <c r="M5" s="309">
        <v>715.99160654</v>
      </c>
      <c r="N5" s="309">
        <f>(SUM(B5:M5))</f>
        <v>894.46100504997</v>
      </c>
      <c r="O5" s="310">
        <f>ROUND(N5/$N$17,4)</f>
        <v>0.0011</v>
      </c>
      <c r="Q5" s="312" t="s">
        <v>145</v>
      </c>
      <c r="R5" s="313">
        <f>T13/Y13</f>
        <v>0.0263821333263095</v>
      </c>
      <c r="S5" s="313">
        <f>T14/Y14</f>
        <v>0.049586303017323</v>
      </c>
      <c r="T5" s="313">
        <f>T15/Y15</f>
        <v>0.0623720057210187</v>
      </c>
      <c r="U5" s="314">
        <f>T16/Y16</f>
        <v>0.0636527073378993</v>
      </c>
      <c r="V5" s="315"/>
      <c r="W5" s="316"/>
      <c r="X5" s="317"/>
      <c r="AA5" s="318"/>
      <c r="XEQ5" s="299"/>
      <c r="XER5" s="299"/>
      <c r="XES5" s="299"/>
    </row>
    <row r="6" ht="14.1" customHeight="1" spans="1:29 16371:16373">
      <c r="A6" s="308" t="s">
        <v>143</v>
      </c>
      <c r="B6" s="309">
        <v>190.33021588</v>
      </c>
      <c r="C6" s="309">
        <v>199.69965262</v>
      </c>
      <c r="D6" s="309">
        <v>194.03104264</v>
      </c>
      <c r="E6" s="309">
        <v>183.95278654</v>
      </c>
      <c r="F6" s="309">
        <v>467.274441590001</v>
      </c>
      <c r="G6" s="309">
        <v>658.65460278</v>
      </c>
      <c r="H6" s="309">
        <v>1.09805272000001</v>
      </c>
      <c r="I6" s="309">
        <v>97.6129063600001</v>
      </c>
      <c r="J6" s="309">
        <v>70.94996434</v>
      </c>
      <c r="K6" s="309">
        <v>148.99086057</v>
      </c>
      <c r="L6" s="309">
        <v>158.97491077</v>
      </c>
      <c r="M6" s="309">
        <v>123.27383964</v>
      </c>
      <c r="N6" s="309">
        <f>(SUM(B6:M6))</f>
        <v>2494.84327645</v>
      </c>
      <c r="O6" s="310">
        <f t="shared" ref="O6:O16" si="0">ROUND(N6/$N$17,4)</f>
        <v>0.0032</v>
      </c>
      <c r="P6" s="319">
        <f>O6+O7+O8</f>
        <v>0.0331</v>
      </c>
      <c r="Q6" s="312" t="s">
        <v>146</v>
      </c>
      <c r="R6" s="313">
        <f>U13/Y13</f>
        <v>0.00349549528966145</v>
      </c>
      <c r="S6" s="313">
        <f>U14/Y14</f>
        <v>0.00373595172196647</v>
      </c>
      <c r="T6" s="313">
        <f>U15/Y15</f>
        <v>0.00349421531858635</v>
      </c>
      <c r="U6" s="314">
        <f>U16/Y16</f>
        <v>0.0139881645650695</v>
      </c>
      <c r="V6" s="315"/>
      <c r="W6" s="316"/>
      <c r="AA6" s="318"/>
      <c r="XEQ6" s="299"/>
      <c r="XER6" s="299"/>
      <c r="XES6" s="299"/>
    </row>
    <row r="7" ht="14.1" customHeight="1" spans="1:29 16371:16373">
      <c r="A7" s="308" t="s">
        <v>145</v>
      </c>
      <c r="B7" s="309">
        <v>2049.73248359</v>
      </c>
      <c r="C7" s="309">
        <v>1846.040324</v>
      </c>
      <c r="D7" s="309">
        <v>1706.00950537</v>
      </c>
      <c r="E7" s="309">
        <v>1664.0018495</v>
      </c>
      <c r="F7" s="309">
        <v>2202.84108679001</v>
      </c>
      <c r="G7" s="309">
        <v>1977.30838909</v>
      </c>
      <c r="H7" s="309">
        <v>1709.12161823</v>
      </c>
      <c r="I7" s="309">
        <v>1623.53819958</v>
      </c>
      <c r="J7" s="309">
        <v>841.09910235</v>
      </c>
      <c r="K7" s="309">
        <v>2493.32019274</v>
      </c>
      <c r="L7" s="309">
        <v>1296.43323558</v>
      </c>
      <c r="M7" s="309">
        <v>1478.58095579</v>
      </c>
      <c r="N7" s="309">
        <f>(SUM(B7:M7))</f>
        <v>20888.02694261</v>
      </c>
      <c r="O7" s="310">
        <f t="shared" si="0"/>
        <v>0.0264</v>
      </c>
      <c r="P7" s="320"/>
      <c r="Q7" s="312" t="s">
        <v>147</v>
      </c>
      <c r="R7" s="313">
        <f>V13/Y13</f>
        <v>0.0794875588473228</v>
      </c>
      <c r="S7" s="313">
        <f>V14/Y14</f>
        <v>0.0902878004445609</v>
      </c>
      <c r="T7" s="313">
        <f>V15/Y15</f>
        <v>0.0682401553747599</v>
      </c>
      <c r="U7" s="314">
        <f>V16/Y16</f>
        <v>0.030087931195597</v>
      </c>
      <c r="V7" s="315"/>
      <c r="W7" s="316"/>
      <c r="AA7" s="318"/>
      <c r="XEQ7" s="299"/>
      <c r="XER7" s="299"/>
      <c r="XES7" s="299"/>
    </row>
    <row r="8" ht="14.1" customHeight="1" spans="1:29 16371:16373">
      <c r="A8" s="308" t="s">
        <v>146</v>
      </c>
      <c r="B8" s="309">
        <v>230.92895841</v>
      </c>
      <c r="C8" s="309">
        <v>199.51259614</v>
      </c>
      <c r="D8" s="309">
        <v>226.9942324</v>
      </c>
      <c r="E8" s="309">
        <v>171.5955198</v>
      </c>
      <c r="F8" s="309">
        <v>210.09979202</v>
      </c>
      <c r="G8" s="309">
        <v>259.57187226</v>
      </c>
      <c r="H8" s="309">
        <v>285.84205864</v>
      </c>
      <c r="I8" s="309">
        <v>223.07519058</v>
      </c>
      <c r="J8" s="309">
        <v>186.76374172</v>
      </c>
      <c r="K8" s="309">
        <v>231.65393738</v>
      </c>
      <c r="L8" s="309">
        <v>304.51736816</v>
      </c>
      <c r="M8" s="309">
        <v>236.99953502</v>
      </c>
      <c r="N8" s="309">
        <f t="shared" ref="N6:N16" si="1">(SUM(B8:M8))</f>
        <v>2767.55480253</v>
      </c>
      <c r="O8" s="310">
        <f t="shared" si="0"/>
        <v>0.0035</v>
      </c>
      <c r="P8" s="321"/>
      <c r="Q8" s="312" t="s">
        <v>148</v>
      </c>
      <c r="R8" s="313">
        <f>W13/Y13</f>
        <v>0.0234266014065938</v>
      </c>
      <c r="S8" s="313">
        <f>W14/Y14</f>
        <v>0.0359609638418799</v>
      </c>
      <c r="T8" s="313">
        <f>W15/Y15</f>
        <v>0.0410351330517036</v>
      </c>
      <c r="U8" s="314">
        <f>W16/Y16</f>
        <v>0.0248331331995304</v>
      </c>
      <c r="V8" s="315"/>
      <c r="W8" s="316"/>
      <c r="AA8" s="312"/>
      <c r="XEQ8" s="299"/>
      <c r="XER8" s="299"/>
      <c r="XES8" s="299"/>
    </row>
    <row r="9" ht="14.1" customHeight="1" spans="1:29 16371:16373">
      <c r="A9" s="308" t="s">
        <v>147</v>
      </c>
      <c r="B9" s="309">
        <v>7907.54193577999</v>
      </c>
      <c r="C9" s="309">
        <v>5765.95615364</v>
      </c>
      <c r="D9" s="309">
        <v>5728.94146289998</v>
      </c>
      <c r="E9" s="309">
        <v>4580.54790763999</v>
      </c>
      <c r="F9" s="309">
        <v>4494.43520652</v>
      </c>
      <c r="G9" s="309">
        <v>6285.48655223999</v>
      </c>
      <c r="H9" s="309">
        <v>7367.23035486002</v>
      </c>
      <c r="I9" s="309">
        <v>7398.05214190001</v>
      </c>
      <c r="J9" s="309">
        <v>5078.52103926001</v>
      </c>
      <c r="K9" s="309">
        <v>3301.59198598</v>
      </c>
      <c r="L9" s="309">
        <v>2872.12341281</v>
      </c>
      <c r="M9" s="309">
        <v>2153.76485767</v>
      </c>
      <c r="N9" s="309">
        <f t="shared" si="1"/>
        <v>62934.1930112</v>
      </c>
      <c r="O9" s="310">
        <f t="shared" si="0"/>
        <v>0.0795</v>
      </c>
      <c r="P9" s="320"/>
      <c r="Q9" s="312" t="s">
        <v>149</v>
      </c>
      <c r="R9" s="313">
        <f>X13/Y13</f>
        <v>0.0168773764423336</v>
      </c>
      <c r="S9" s="313">
        <f>X14/Y14</f>
        <v>0.0299913942050622</v>
      </c>
      <c r="T9" s="313">
        <f>X15/Y15</f>
        <v>0.0374558811707513</v>
      </c>
      <c r="U9" s="314">
        <f>X16/Y16</f>
        <v>0.321066024265782</v>
      </c>
      <c r="V9" s="315"/>
      <c r="W9" s="316"/>
      <c r="AA9" s="312"/>
      <c r="XEQ9" s="299"/>
      <c r="XER9" s="299"/>
      <c r="XES9" s="299"/>
    </row>
    <row r="10" ht="14.1" customHeight="1" spans="1:29 16371:16373">
      <c r="A10" s="308" t="s">
        <v>150</v>
      </c>
      <c r="B10" s="309">
        <v>3623.41096538</v>
      </c>
      <c r="C10" s="309">
        <v>1339.3876653</v>
      </c>
      <c r="D10" s="309">
        <v>547.555144</v>
      </c>
      <c r="E10" s="309">
        <v>899.184851819999</v>
      </c>
      <c r="F10" s="309">
        <v>6022.96739618</v>
      </c>
      <c r="G10" s="309">
        <v>718.47917124</v>
      </c>
      <c r="H10" s="309">
        <v>1363.9832624</v>
      </c>
      <c r="I10" s="309">
        <v>867.9228492</v>
      </c>
      <c r="J10" s="309">
        <v>900.60897344</v>
      </c>
      <c r="K10" s="309">
        <v>920.27191714</v>
      </c>
      <c r="L10" s="309">
        <v>794.15798656</v>
      </c>
      <c r="M10" s="309">
        <v>292.80220418</v>
      </c>
      <c r="N10" s="309">
        <f t="shared" si="1"/>
        <v>18290.73238684</v>
      </c>
      <c r="O10" s="310">
        <f t="shared" si="0"/>
        <v>0.0231</v>
      </c>
      <c r="P10" s="322">
        <f>O10+O11</f>
        <v>0.0234</v>
      </c>
      <c r="Q10" s="323" t="s">
        <v>39</v>
      </c>
      <c r="R10" s="324">
        <f>SUM(R3:R9)</f>
        <v>1</v>
      </c>
      <c r="S10" s="324">
        <f>SUM(S3:S9)</f>
        <v>1</v>
      </c>
      <c r="T10" s="324">
        <f>SUM(T3:T9)</f>
        <v>1</v>
      </c>
      <c r="U10" s="325">
        <f>SUM(U3:U9)</f>
        <v>1.26088516867311</v>
      </c>
      <c r="V10" s="301"/>
      <c r="W10" s="301"/>
      <c r="XEQ10" s="299"/>
      <c r="XER10" s="299"/>
      <c r="XES10" s="299"/>
    </row>
    <row r="11" ht="14.1" customHeight="1" spans="1:29 16371:16373">
      <c r="A11" s="308" t="s">
        <v>151</v>
      </c>
      <c r="B11" s="309">
        <v>0</v>
      </c>
      <c r="C11" s="309">
        <v>0</v>
      </c>
      <c r="D11" s="309">
        <v>0</v>
      </c>
      <c r="E11" s="309">
        <v>35.226567</v>
      </c>
      <c r="F11" s="309">
        <v>27.489975</v>
      </c>
      <c r="G11" s="309">
        <v>23.48313584</v>
      </c>
      <c r="H11" s="309">
        <v>67.845025</v>
      </c>
      <c r="I11" s="309">
        <v>83.63696752</v>
      </c>
      <c r="J11" s="309">
        <v>12.8222156</v>
      </c>
      <c r="K11" s="309">
        <v>0.8307702</v>
      </c>
      <c r="L11" s="309">
        <v>5.5903112</v>
      </c>
      <c r="M11" s="309">
        <v>0.330229</v>
      </c>
      <c r="N11" s="309">
        <f t="shared" si="1"/>
        <v>257.25519636</v>
      </c>
      <c r="O11" s="310">
        <f t="shared" si="0"/>
        <v>0.0003</v>
      </c>
      <c r="P11" s="320"/>
    </row>
    <row r="12" ht="14.1" customHeight="1" spans="1:29 16371:16373">
      <c r="A12" s="308" t="s">
        <v>152</v>
      </c>
      <c r="B12" s="309">
        <v>0.00845142</v>
      </c>
      <c r="C12" s="309">
        <v>0.00939968</v>
      </c>
      <c r="D12" s="309">
        <v>1.92066777999999</v>
      </c>
      <c r="E12" s="309">
        <v>3.50071041999999</v>
      </c>
      <c r="F12" s="309">
        <v>7.29647728</v>
      </c>
      <c r="G12" s="309">
        <v>3.31498192</v>
      </c>
      <c r="H12" s="309">
        <v>32.52679644</v>
      </c>
      <c r="I12" s="309">
        <v>93.96882314</v>
      </c>
      <c r="J12" s="309">
        <v>4.82124698</v>
      </c>
      <c r="K12" s="309">
        <v>134.05460814</v>
      </c>
      <c r="L12" s="309">
        <v>3.2586008</v>
      </c>
      <c r="M12" s="309">
        <v>3.06195766</v>
      </c>
      <c r="N12" s="309">
        <f t="shared" si="1"/>
        <v>287.74272166</v>
      </c>
      <c r="O12" s="310">
        <f t="shared" si="0"/>
        <v>0.0004</v>
      </c>
      <c r="P12" s="320"/>
      <c r="Q12" s="128" t="s">
        <v>153</v>
      </c>
      <c r="R12" s="326" t="s">
        <v>141</v>
      </c>
      <c r="S12" s="228" t="s">
        <v>143</v>
      </c>
      <c r="T12" s="228" t="s">
        <v>145</v>
      </c>
      <c r="U12" s="228" t="s">
        <v>146</v>
      </c>
      <c r="V12" s="326" t="s">
        <v>147</v>
      </c>
      <c r="W12" s="326" t="s">
        <v>148</v>
      </c>
      <c r="X12" s="326" t="s">
        <v>154</v>
      </c>
      <c r="Y12" s="326" t="s">
        <v>155</v>
      </c>
      <c r="Z12" s="326" t="s">
        <v>156</v>
      </c>
      <c r="AA12" s="299" t="s">
        <v>157</v>
      </c>
    </row>
    <row r="13" ht="14.1" customHeight="1" spans="1:29 16371:16373">
      <c r="A13" s="308" t="s">
        <v>158</v>
      </c>
      <c r="B13" s="309">
        <v>790.755420820001</v>
      </c>
      <c r="C13" s="309">
        <v>704.81210874</v>
      </c>
      <c r="D13" s="309">
        <v>742.657972959998</v>
      </c>
      <c r="E13" s="309">
        <v>935.422587030001</v>
      </c>
      <c r="F13" s="309">
        <v>969.399609000001</v>
      </c>
      <c r="G13" s="309">
        <v>1099.46085045</v>
      </c>
      <c r="H13" s="309">
        <v>858.728585800004</v>
      </c>
      <c r="I13" s="309">
        <v>902.99936676</v>
      </c>
      <c r="J13" s="309">
        <v>1110.28702159</v>
      </c>
      <c r="K13" s="309">
        <v>1415.73385931</v>
      </c>
      <c r="L13" s="309">
        <v>1647.8698033</v>
      </c>
      <c r="M13" s="309">
        <v>1466.36475109</v>
      </c>
      <c r="N13" s="309">
        <f t="shared" si="1"/>
        <v>12644.49193685</v>
      </c>
      <c r="O13" s="310">
        <f t="shared" si="0"/>
        <v>0.016</v>
      </c>
      <c r="P13" s="320"/>
      <c r="Q13" s="128" t="s">
        <v>72</v>
      </c>
      <c r="R13" s="14">
        <f>N3+N4+N5</f>
        <v>670753.721022841</v>
      </c>
      <c r="S13" s="327">
        <f>N6</f>
        <v>2494.84327645</v>
      </c>
      <c r="T13" s="327">
        <f>N7</f>
        <v>20888.02694261</v>
      </c>
      <c r="U13" s="327">
        <f>N8</f>
        <v>2767.55480253</v>
      </c>
      <c r="V13" s="14">
        <f>N9</f>
        <v>62934.1930112</v>
      </c>
      <c r="W13" s="14">
        <f>N10+N11</f>
        <v>18547.9875832</v>
      </c>
      <c r="X13" s="328">
        <f>Y13-SUM(R13:W13)</f>
        <v>13362.64544977</v>
      </c>
      <c r="Y13" s="14">
        <f>N17</f>
        <v>791748.972088601</v>
      </c>
      <c r="Z13" s="328">
        <f>Y13-R13</f>
        <v>120995.25106576</v>
      </c>
      <c r="AA13" s="329">
        <f>Y13-'GMV表-商品大类'!F61</f>
        <v>65.4617969986284</v>
      </c>
    </row>
    <row r="14" ht="14.1" customHeight="1" spans="1:29 16371:16373">
      <c r="A14" s="308" t="s">
        <v>159</v>
      </c>
      <c r="B14" s="309">
        <v>22.78302586</v>
      </c>
      <c r="C14" s="309">
        <v>19.47548192</v>
      </c>
      <c r="D14" s="309">
        <v>20.44955898</v>
      </c>
      <c r="E14" s="309">
        <v>20.69113874</v>
      </c>
      <c r="F14" s="309">
        <v>16.10901606</v>
      </c>
      <c r="G14" s="309">
        <v>29.63617978</v>
      </c>
      <c r="H14" s="309">
        <v>18.8802632</v>
      </c>
      <c r="I14" s="309">
        <v>19.1779482</v>
      </c>
      <c r="J14" s="309">
        <v>21.06019584</v>
      </c>
      <c r="K14" s="309">
        <v>18.38980942</v>
      </c>
      <c r="L14" s="309">
        <v>34.35312122</v>
      </c>
      <c r="M14" s="309">
        <v>44.10658694</v>
      </c>
      <c r="N14" s="309">
        <f t="shared" si="1"/>
        <v>285.11232616</v>
      </c>
      <c r="O14" s="310">
        <f t="shared" si="0"/>
        <v>0.0004</v>
      </c>
      <c r="Q14" s="128" t="s">
        <v>97</v>
      </c>
      <c r="R14" s="330">
        <f>N22</f>
        <v>600225.578354444</v>
      </c>
      <c r="S14" s="331">
        <f>N23</f>
        <v>49835.0831277</v>
      </c>
      <c r="T14" s="331">
        <f>N24</f>
        <v>40780.0760989201</v>
      </c>
      <c r="U14" s="331">
        <f>N25</f>
        <v>3072.46933635</v>
      </c>
      <c r="V14" s="330">
        <f>N26</f>
        <v>74253.2342378301</v>
      </c>
      <c r="W14" s="330">
        <f>N27+N28</f>
        <v>29574.51459025</v>
      </c>
      <c r="X14" s="330">
        <f>Y14-SUM(R14:W14)</f>
        <v>24665.1043448001</v>
      </c>
      <c r="Y14" s="330">
        <f>N35</f>
        <v>822406.060090294</v>
      </c>
      <c r="Z14" s="330">
        <f>Y14-R14</f>
        <v>222180.48173585</v>
      </c>
      <c r="AA14" s="330">
        <f>Y14-'GMV表-商品大类'!F60</f>
        <v>-7.33416527509689e-9</v>
      </c>
    </row>
    <row r="15" ht="14.1" customHeight="1" spans="1:29 16371:16373">
      <c r="A15" s="308" t="s">
        <v>160</v>
      </c>
      <c r="B15" s="309">
        <v>0.00039</v>
      </c>
      <c r="C15" s="309">
        <v>0.00499048</v>
      </c>
      <c r="D15" s="309">
        <v>0.00124</v>
      </c>
      <c r="E15" s="309">
        <v>0.0007</v>
      </c>
      <c r="F15" s="309">
        <v>0.00499048</v>
      </c>
      <c r="G15" s="309">
        <v>0</v>
      </c>
      <c r="H15" s="309">
        <v>0</v>
      </c>
      <c r="I15" s="309">
        <v>0</v>
      </c>
      <c r="J15" s="309">
        <v>0</v>
      </c>
      <c r="K15" s="309">
        <v>0</v>
      </c>
      <c r="L15" s="309">
        <v>0</v>
      </c>
      <c r="M15" s="309">
        <v>0</v>
      </c>
      <c r="N15" s="309">
        <f t="shared" si="1"/>
        <v>0.01231096</v>
      </c>
      <c r="O15" s="310">
        <f t="shared" si="0"/>
        <v>0</v>
      </c>
      <c r="Q15" s="128" t="s">
        <v>99</v>
      </c>
      <c r="R15" s="330">
        <f>N40</f>
        <v>1079746.89121139</v>
      </c>
      <c r="S15" s="331">
        <f>N41</f>
        <v>148958.327853</v>
      </c>
      <c r="T15" s="331">
        <f>N42</f>
        <v>97328.619491</v>
      </c>
      <c r="U15" s="331">
        <f>N43</f>
        <v>5452.560796</v>
      </c>
      <c r="V15" s="330">
        <f>N44</f>
        <v>106485.5946141</v>
      </c>
      <c r="W15" s="330">
        <f>N45+N46</f>
        <v>64033.420192</v>
      </c>
      <c r="X15" s="332">
        <f>Y15-SUM(R15:W15)</f>
        <v>58448.1637879999</v>
      </c>
      <c r="Y15" s="330">
        <f>N54</f>
        <v>1560453.57794549</v>
      </c>
      <c r="Z15" s="332">
        <f>Y15-R15</f>
        <v>480706.6867341</v>
      </c>
      <c r="AA15" s="330">
        <f>Y15-'GMV表-商品大类'!F59</f>
        <v>0.000607001129537821</v>
      </c>
    </row>
    <row r="16" ht="14.1" customHeight="1" spans="1:29 16371:16373">
      <c r="A16" s="308" t="s">
        <v>161</v>
      </c>
      <c r="B16" s="309">
        <v>13.916859</v>
      </c>
      <c r="C16" s="309">
        <v>11.52919324</v>
      </c>
      <c r="D16" s="309">
        <v>10.90677992</v>
      </c>
      <c r="E16" s="309">
        <v>16.77900186</v>
      </c>
      <c r="F16" s="309">
        <v>26.10743186</v>
      </c>
      <c r="G16" s="309">
        <v>16.5937476</v>
      </c>
      <c r="H16" s="309">
        <v>10.76104876</v>
      </c>
      <c r="I16" s="309">
        <v>6.20381304</v>
      </c>
      <c r="J16" s="309">
        <v>5.4977622</v>
      </c>
      <c r="K16" s="309">
        <v>6.85596932</v>
      </c>
      <c r="L16" s="309">
        <v>6.91686866</v>
      </c>
      <c r="M16" s="309">
        <v>13.21767868</v>
      </c>
      <c r="N16" s="309">
        <f t="shared" si="1"/>
        <v>145.28615414</v>
      </c>
      <c r="O16" s="310">
        <f t="shared" si="0"/>
        <v>0.0002</v>
      </c>
      <c r="Q16" s="333" t="s">
        <v>131</v>
      </c>
      <c r="R16" s="334">
        <f>N58</f>
        <v>1095964.39497851</v>
      </c>
      <c r="S16" s="335">
        <f>N59</f>
        <v>207144.875287</v>
      </c>
      <c r="T16" s="335">
        <f>N60</f>
        <v>102750.93511248</v>
      </c>
      <c r="U16" s="335">
        <f>N61</f>
        <v>22580.296262</v>
      </c>
      <c r="V16" s="334">
        <f>N62</f>
        <v>48569.231306</v>
      </c>
      <c r="W16" s="334">
        <f>N63+N64</f>
        <v>40086.710601</v>
      </c>
      <c r="X16" s="334">
        <f>Y16-SUM(R16:R16)</f>
        <v>518278.57142084</v>
      </c>
      <c r="Y16" s="334">
        <f>N72</f>
        <v>1614242.96639935</v>
      </c>
      <c r="Z16" s="334">
        <f>Y16-R16</f>
        <v>518278.57142084</v>
      </c>
      <c r="AA16" s="336">
        <f>Y16-'GMV表-商品大类'!F58</f>
        <v>-2.40281224250793e-7</v>
      </c>
    </row>
    <row r="17" ht="14.1" customHeight="1" spans="1:27">
      <c r="A17" s="337" t="s">
        <v>162</v>
      </c>
      <c r="B17" s="338">
        <f t="shared" ref="B17:O17" si="2">SUM(B3:B16)</f>
        <v>69892.4757544799</v>
      </c>
      <c r="C17" s="338">
        <f t="shared" si="2"/>
        <v>55206.9393789798</v>
      </c>
      <c r="D17" s="338">
        <f t="shared" si="2"/>
        <v>66598.387919679</v>
      </c>
      <c r="E17" s="338">
        <f t="shared" si="2"/>
        <v>60346.0050027797</v>
      </c>
      <c r="F17" s="338">
        <f t="shared" si="2"/>
        <v>60471.8287135991</v>
      </c>
      <c r="G17" s="338">
        <f t="shared" si="2"/>
        <v>56913.9847521008</v>
      </c>
      <c r="H17" s="338">
        <f t="shared" si="2"/>
        <v>63032.2545187307</v>
      </c>
      <c r="I17" s="338">
        <f t="shared" si="2"/>
        <v>71047.8691447103</v>
      </c>
      <c r="J17" s="338">
        <f t="shared" si="2"/>
        <v>73149.7655635005</v>
      </c>
      <c r="K17" s="338">
        <f t="shared" si="2"/>
        <v>62231.9925889299</v>
      </c>
      <c r="L17" s="338">
        <f t="shared" si="2"/>
        <v>65647.2484728712</v>
      </c>
      <c r="M17" s="338">
        <f t="shared" si="2"/>
        <v>87210.2202782403</v>
      </c>
      <c r="N17" s="338">
        <f t="shared" si="2"/>
        <v>791748.972088601</v>
      </c>
      <c r="O17" s="339">
        <f t="shared" si="2"/>
        <v>1.0002</v>
      </c>
      <c r="P17" s="340"/>
      <c r="Q17" s="128" t="s">
        <v>163</v>
      </c>
      <c r="R17" s="341">
        <f>R13-R14</f>
        <v>70528.1426683973</v>
      </c>
      <c r="S17" s="341">
        <f>S13-S14</f>
        <v>-47340.23985125</v>
      </c>
      <c r="T17" s="341">
        <f>T13-T14</f>
        <v>-19892.0491563101</v>
      </c>
      <c r="U17" s="341">
        <f t="shared" ref="R17:Y17" si="3">U13-U14</f>
        <v>-304.914533819999</v>
      </c>
      <c r="V17" s="341">
        <f t="shared" si="3"/>
        <v>-11319.0412266301</v>
      </c>
      <c r="W17" s="341">
        <f t="shared" si="3"/>
        <v>-11026.52700705</v>
      </c>
      <c r="X17" s="341">
        <f t="shared" si="3"/>
        <v>-11302.4588950301</v>
      </c>
      <c r="Y17" s="341">
        <f t="shared" si="3"/>
        <v>-30657.0880016927</v>
      </c>
      <c r="Z17" s="332"/>
      <c r="AA17" s="342"/>
    </row>
    <row r="18" ht="14" customHeight="1" spans="1:27">
      <c r="R18" s="315">
        <f>R17/R14</f>
        <v>0.117502727660748</v>
      </c>
      <c r="S18" s="343">
        <f>S17/S14</f>
        <v>-0.949938013145135</v>
      </c>
      <c r="T18" s="343">
        <f>T17/T14</f>
        <v>-0.487788426585031</v>
      </c>
      <c r="U18" s="343">
        <f t="shared" ref="R18:Y18" si="4">U17/U14</f>
        <v>-0.0992408712473037</v>
      </c>
      <c r="V18" s="343">
        <f t="shared" si="4"/>
        <v>-0.152438359659536</v>
      </c>
      <c r="W18" s="343">
        <f t="shared" si="4"/>
        <v>-0.372838816116535</v>
      </c>
      <c r="X18" s="343">
        <f t="shared" si="4"/>
        <v>-0.458236816557918</v>
      </c>
      <c r="Y18" s="343">
        <f t="shared" si="4"/>
        <v>-0.037277312862124</v>
      </c>
      <c r="Z18" s="332"/>
      <c r="AA18" s="342"/>
    </row>
    <row r="19" spans="1:27">
      <c r="R19" s="299"/>
      <c r="U19" s="301"/>
      <c r="Z19" s="329"/>
      <c r="AA19" s="342"/>
    </row>
    <row r="20" ht="14.25" spans="1:27">
      <c r="A20" s="299" t="s">
        <v>97</v>
      </c>
      <c r="Q20" s="128" t="s">
        <v>138</v>
      </c>
      <c r="R20" s="344" t="s">
        <v>141</v>
      </c>
      <c r="S20" s="344" t="s">
        <v>143</v>
      </c>
      <c r="T20" s="344" t="s">
        <v>145</v>
      </c>
      <c r="U20" s="344" t="s">
        <v>146</v>
      </c>
      <c r="V20" s="344" t="s">
        <v>147</v>
      </c>
      <c r="W20" s="344" t="s">
        <v>148</v>
      </c>
      <c r="X20" s="344" t="s">
        <v>149</v>
      </c>
      <c r="Y20" s="326" t="s">
        <v>39</v>
      </c>
      <c r="Z20" s="329"/>
    </row>
    <row r="21" ht="14.25" spans="1:27">
      <c r="A21" s="302" t="s">
        <v>138</v>
      </c>
      <c r="B21" s="303" t="s">
        <v>111</v>
      </c>
      <c r="C21" s="303" t="s">
        <v>112</v>
      </c>
      <c r="D21" s="303" t="s">
        <v>113</v>
      </c>
      <c r="E21" s="303" t="s">
        <v>114</v>
      </c>
      <c r="F21" s="303" t="s">
        <v>115</v>
      </c>
      <c r="G21" s="303" t="s">
        <v>116</v>
      </c>
      <c r="H21" s="303" t="s">
        <v>117</v>
      </c>
      <c r="I21" s="303" t="s">
        <v>118</v>
      </c>
      <c r="J21" s="303" t="s">
        <v>119</v>
      </c>
      <c r="K21" s="303" t="s">
        <v>120</v>
      </c>
      <c r="L21" s="303" t="s">
        <v>121</v>
      </c>
      <c r="M21" s="303" t="s">
        <v>122</v>
      </c>
      <c r="N21" s="303" t="s">
        <v>9</v>
      </c>
      <c r="O21" s="304" t="s">
        <v>139</v>
      </c>
      <c r="Q21" s="128" t="s">
        <v>72</v>
      </c>
      <c r="R21" s="345">
        <f t="shared" ref="R21:X21" si="5">R13/$Y$13</f>
        <v>0.847179781305457</v>
      </c>
      <c r="S21" s="345">
        <f t="shared" si="5"/>
        <v>0.00315105338232231</v>
      </c>
      <c r="T21" s="345">
        <f t="shared" si="5"/>
        <v>0.0263821333263095</v>
      </c>
      <c r="U21" s="345">
        <f t="shared" si="5"/>
        <v>0.00349549528966145</v>
      </c>
      <c r="V21" s="345">
        <f t="shared" si="5"/>
        <v>0.0794875588473228</v>
      </c>
      <c r="W21" s="345">
        <f t="shared" si="5"/>
        <v>0.0234266014065938</v>
      </c>
      <c r="X21" s="345">
        <f t="shared" si="5"/>
        <v>0.0168773764423336</v>
      </c>
      <c r="Y21" s="346">
        <f>SUM(R21:X21)</f>
        <v>1</v>
      </c>
      <c r="Z21" s="329"/>
    </row>
    <row r="22" spans="1:27">
      <c r="A22" s="308" t="s">
        <v>140</v>
      </c>
      <c r="B22" s="309">
        <v>57380.3320299996</v>
      </c>
      <c r="C22" s="309">
        <v>49703.1678130011</v>
      </c>
      <c r="D22" s="309">
        <v>52869.6115398005</v>
      </c>
      <c r="E22" s="309">
        <v>39772.3221187307</v>
      </c>
      <c r="F22" s="309">
        <v>48186.4975888606</v>
      </c>
      <c r="G22" s="309">
        <v>55691.4195100989</v>
      </c>
      <c r="H22" s="309">
        <v>50930.2644105484</v>
      </c>
      <c r="I22" s="309">
        <v>57429.5881111383</v>
      </c>
      <c r="J22" s="309">
        <v>43578.6411271679</v>
      </c>
      <c r="K22" s="309">
        <v>46612.0112774093</v>
      </c>
      <c r="L22" s="309">
        <v>47834.9713651098</v>
      </c>
      <c r="M22" s="309">
        <v>50236.7514625791</v>
      </c>
      <c r="N22" s="309">
        <f t="shared" ref="N22:N34" si="6">SUM(B22:M22)</f>
        <v>600225.578354444</v>
      </c>
      <c r="O22" s="310">
        <f t="shared" ref="O22:O34" si="7">ROUND(N22/$N$35,4)</f>
        <v>0.7298</v>
      </c>
      <c r="Q22" s="128" t="s">
        <v>97</v>
      </c>
      <c r="R22" s="347">
        <f t="shared" ref="R22:X22" si="8">R14/$Y$14</f>
        <v>0.72984089913995</v>
      </c>
      <c r="S22" s="347">
        <f t="shared" si="8"/>
        <v>0.0605966876292575</v>
      </c>
      <c r="T22" s="347">
        <f t="shared" si="8"/>
        <v>0.049586303017323</v>
      </c>
      <c r="U22" s="347">
        <f t="shared" si="8"/>
        <v>0.00373595172196647</v>
      </c>
      <c r="V22" s="347">
        <f t="shared" si="8"/>
        <v>0.0902878004445609</v>
      </c>
      <c r="W22" s="347">
        <f t="shared" si="8"/>
        <v>0.0359609638418799</v>
      </c>
      <c r="X22" s="347">
        <f t="shared" si="8"/>
        <v>0.0299913942050622</v>
      </c>
      <c r="Y22" s="348">
        <f>SUM(R22:X22)</f>
        <v>1</v>
      </c>
    </row>
    <row r="23" spans="1:27">
      <c r="A23" s="308" t="s">
        <v>143</v>
      </c>
      <c r="B23" s="309">
        <v>7436.18193199998</v>
      </c>
      <c r="C23" s="309">
        <v>4795.270894</v>
      </c>
      <c r="D23" s="309">
        <v>1573.29764998</v>
      </c>
      <c r="E23" s="309">
        <v>1831.69884404</v>
      </c>
      <c r="F23" s="309">
        <v>5229.30724922</v>
      </c>
      <c r="G23" s="309">
        <v>11708.54313034</v>
      </c>
      <c r="H23" s="309">
        <v>12092.3395443</v>
      </c>
      <c r="I23" s="309">
        <v>2723.58181546</v>
      </c>
      <c r="J23" s="309">
        <v>621.17850065</v>
      </c>
      <c r="K23" s="309">
        <v>1282.82910952</v>
      </c>
      <c r="L23" s="309">
        <v>354.24055052</v>
      </c>
      <c r="M23" s="309">
        <v>186.61390767</v>
      </c>
      <c r="N23" s="309">
        <f t="shared" si="6"/>
        <v>49835.0831277</v>
      </c>
      <c r="O23" s="310">
        <f t="shared" si="7"/>
        <v>0.0606</v>
      </c>
      <c r="P23" s="319">
        <f>O23+O24+O25</f>
        <v>0.1139</v>
      </c>
      <c r="Q23" s="128" t="s">
        <v>99</v>
      </c>
      <c r="R23" s="347">
        <f t="shared" ref="R23:X23" si="9">R15/$Y$15</f>
        <v>0.691944256767315</v>
      </c>
      <c r="S23" s="347">
        <f t="shared" si="9"/>
        <v>0.0954583525958654</v>
      </c>
      <c r="T23" s="347">
        <f t="shared" si="9"/>
        <v>0.0623720057210187</v>
      </c>
      <c r="U23" s="347">
        <f t="shared" si="9"/>
        <v>0.00349421531858635</v>
      </c>
      <c r="V23" s="347">
        <f t="shared" si="9"/>
        <v>0.0682401553747599</v>
      </c>
      <c r="W23" s="347">
        <f t="shared" si="9"/>
        <v>0.0410351330517036</v>
      </c>
      <c r="X23" s="347">
        <f t="shared" si="9"/>
        <v>0.0374558811707513</v>
      </c>
      <c r="Y23" s="348">
        <f>SUM(R23:X23)</f>
        <v>1</v>
      </c>
    </row>
    <row r="24" spans="1:27">
      <c r="A24" s="308" t="s">
        <v>145</v>
      </c>
      <c r="B24" s="309">
        <v>7356.27450500001</v>
      </c>
      <c r="C24" s="309">
        <v>6826.94738300001</v>
      </c>
      <c r="D24" s="309">
        <v>3343.93490924</v>
      </c>
      <c r="E24" s="309">
        <v>2639.33863884001</v>
      </c>
      <c r="F24" s="309">
        <v>2808.55161668</v>
      </c>
      <c r="G24" s="309">
        <v>3292.18176684001</v>
      </c>
      <c r="H24" s="309">
        <v>2281.97783751</v>
      </c>
      <c r="I24" s="309">
        <v>2542.94902655001</v>
      </c>
      <c r="J24" s="309">
        <v>1620.51241693</v>
      </c>
      <c r="K24" s="309">
        <v>2614.45077951</v>
      </c>
      <c r="L24" s="309">
        <v>3180.46101413001</v>
      </c>
      <c r="M24" s="309">
        <v>2272.49620469001</v>
      </c>
      <c r="N24" s="309">
        <f t="shared" si="6"/>
        <v>40780.0760989201</v>
      </c>
      <c r="O24" s="310">
        <f t="shared" si="7"/>
        <v>0.0496</v>
      </c>
      <c r="P24" s="320"/>
      <c r="R24" s="347"/>
      <c r="S24" s="347"/>
      <c r="T24" s="228"/>
      <c r="U24" s="228"/>
      <c r="V24" s="347"/>
      <c r="W24" s="347"/>
      <c r="X24" s="347"/>
      <c r="Y24" s="347"/>
    </row>
    <row r="25" spans="1:27">
      <c r="A25" s="308" t="s">
        <v>146</v>
      </c>
      <c r="B25" s="309">
        <v>169.639494</v>
      </c>
      <c r="C25" s="309">
        <v>258.597861</v>
      </c>
      <c r="D25" s="309">
        <v>201.96861192</v>
      </c>
      <c r="E25" s="309">
        <v>209.8797863</v>
      </c>
      <c r="F25" s="309">
        <v>245.22430496</v>
      </c>
      <c r="G25" s="309">
        <v>301.852350979999</v>
      </c>
      <c r="H25" s="309">
        <v>306.39711684</v>
      </c>
      <c r="I25" s="309">
        <v>303.30276263</v>
      </c>
      <c r="J25" s="309">
        <v>270.23927256</v>
      </c>
      <c r="K25" s="309">
        <v>255.92196065</v>
      </c>
      <c r="L25" s="309">
        <v>287.69779494</v>
      </c>
      <c r="M25" s="309">
        <v>261.74801957</v>
      </c>
      <c r="N25" s="309">
        <f t="shared" si="6"/>
        <v>3072.46933635</v>
      </c>
      <c r="O25" s="310">
        <f t="shared" si="7"/>
        <v>0.0037</v>
      </c>
      <c r="P25" s="321"/>
      <c r="U25" s="301"/>
      <c r="V25" s="349"/>
    </row>
    <row r="26" spans="1:27">
      <c r="A26" s="308" t="s">
        <v>147</v>
      </c>
      <c r="B26" s="309">
        <v>4835.725</v>
      </c>
      <c r="C26" s="309">
        <v>6130.63061100001</v>
      </c>
      <c r="D26" s="309">
        <v>4249.56358442001</v>
      </c>
      <c r="E26" s="309">
        <v>3138.78581236</v>
      </c>
      <c r="F26" s="309">
        <v>8496.62260781999</v>
      </c>
      <c r="G26" s="309">
        <v>8256.95941515997</v>
      </c>
      <c r="H26" s="309">
        <v>8340.94312108001</v>
      </c>
      <c r="I26" s="309">
        <v>9739.38375453004</v>
      </c>
      <c r="J26" s="309">
        <v>5159.34396696001</v>
      </c>
      <c r="K26" s="309">
        <v>5454.66051088001</v>
      </c>
      <c r="L26" s="309">
        <v>5035.84394978</v>
      </c>
      <c r="M26" s="309">
        <v>5414.77190384001</v>
      </c>
      <c r="N26" s="309">
        <f t="shared" si="6"/>
        <v>74253.2342378301</v>
      </c>
      <c r="O26" s="310">
        <f t="shared" si="7"/>
        <v>0.0903</v>
      </c>
      <c r="P26" s="320"/>
      <c r="U26" s="350"/>
      <c r="V26" s="350"/>
      <c r="W26" s="350"/>
      <c r="X26" s="350"/>
      <c r="Y26" s="350"/>
    </row>
    <row r="27" spans="1:27">
      <c r="A27" s="308" t="s">
        <v>150</v>
      </c>
      <c r="B27" s="309">
        <v>978.852059</v>
      </c>
      <c r="C27" s="309">
        <v>5589.298746</v>
      </c>
      <c r="D27" s="309">
        <v>1310.58391299</v>
      </c>
      <c r="E27" s="309">
        <v>856.948852520001</v>
      </c>
      <c r="F27" s="309">
        <v>2235.5592702</v>
      </c>
      <c r="G27" s="309">
        <v>3481.12599305</v>
      </c>
      <c r="H27" s="309">
        <v>7230.58580073999</v>
      </c>
      <c r="I27" s="309">
        <v>1241.06698918</v>
      </c>
      <c r="J27" s="309">
        <v>611.616829</v>
      </c>
      <c r="K27" s="309">
        <v>789.61794163</v>
      </c>
      <c r="L27" s="309">
        <v>4306.1958213</v>
      </c>
      <c r="M27" s="309">
        <v>900.7884451</v>
      </c>
      <c r="N27" s="309">
        <f t="shared" si="6"/>
        <v>29532.24066071</v>
      </c>
      <c r="O27" s="310">
        <f t="shared" si="7"/>
        <v>0.0359</v>
      </c>
      <c r="P27" s="322">
        <f>O27+O28</f>
        <v>0.036</v>
      </c>
      <c r="Q27" s="301"/>
      <c r="U27" s="301"/>
      <c r="V27" s="349"/>
      <c r="W27" s="350"/>
      <c r="X27" s="350"/>
      <c r="Y27" s="350"/>
    </row>
    <row r="28" spans="1:27">
      <c r="A28" s="308" t="s">
        <v>151</v>
      </c>
      <c r="B28" s="309">
        <v>7.955893</v>
      </c>
      <c r="C28" s="309">
        <v>8.04633</v>
      </c>
      <c r="D28" s="309">
        <v>5.182013</v>
      </c>
      <c r="E28" s="309">
        <v>5.71417</v>
      </c>
      <c r="F28" s="309">
        <v>4.99868</v>
      </c>
      <c r="G28" s="309">
        <v>0.3792994</v>
      </c>
      <c r="H28" s="309">
        <v>0.86430006</v>
      </c>
      <c r="I28" s="309">
        <v>-2.48899708</v>
      </c>
      <c r="J28" s="309">
        <v>6.09444116</v>
      </c>
      <c r="K28" s="309">
        <v>0.782</v>
      </c>
      <c r="L28" s="309">
        <v>2.8899</v>
      </c>
      <c r="M28" s="309">
        <v>1.8559</v>
      </c>
      <c r="N28" s="309">
        <f t="shared" si="6"/>
        <v>42.27392954</v>
      </c>
      <c r="O28" s="310">
        <f t="shared" si="7"/>
        <v>0.0001</v>
      </c>
      <c r="P28" s="320"/>
      <c r="Q28" s="301"/>
      <c r="U28" s="301"/>
      <c r="V28" s="349"/>
      <c r="W28" s="350"/>
      <c r="X28" s="350"/>
      <c r="Y28" s="350"/>
    </row>
    <row r="29" spans="1:27">
      <c r="A29" s="308" t="s">
        <v>152</v>
      </c>
      <c r="B29" s="309">
        <v>0.137637</v>
      </c>
      <c r="C29" s="309">
        <v>0.088062</v>
      </c>
      <c r="D29" s="309">
        <v>0.16190964</v>
      </c>
      <c r="E29" s="309">
        <v>0</v>
      </c>
      <c r="F29" s="309">
        <v>-1.272e-5</v>
      </c>
      <c r="G29" s="309">
        <v>1.29551716</v>
      </c>
      <c r="H29" s="309"/>
      <c r="I29" s="309"/>
      <c r="J29" s="309"/>
      <c r="K29" s="309"/>
      <c r="L29" s="309">
        <v>0.02205672</v>
      </c>
      <c r="M29" s="309">
        <v>0.01564572</v>
      </c>
      <c r="N29" s="309">
        <f t="shared" si="6"/>
        <v>1.72081552</v>
      </c>
      <c r="O29" s="310">
        <f t="shared" si="7"/>
        <v>0</v>
      </c>
      <c r="P29" s="320"/>
      <c r="Q29" s="301"/>
      <c r="U29" s="301"/>
      <c r="V29" s="349"/>
      <c r="W29" s="350"/>
      <c r="X29" s="350"/>
      <c r="Y29" s="350"/>
    </row>
    <row r="30" spans="1:27">
      <c r="A30" s="308" t="s">
        <v>158</v>
      </c>
      <c r="B30" s="309">
        <v>2608.15623399999</v>
      </c>
      <c r="C30" s="309">
        <v>2087.647598</v>
      </c>
      <c r="D30" s="309">
        <v>2307.52114548</v>
      </c>
      <c r="E30" s="309">
        <v>1413.62052286</v>
      </c>
      <c r="F30" s="309">
        <v>2168.58678278</v>
      </c>
      <c r="G30" s="309">
        <v>876.273032109998</v>
      </c>
      <c r="H30" s="309">
        <v>683.92585002</v>
      </c>
      <c r="I30" s="309">
        <v>876.536937789998</v>
      </c>
      <c r="J30" s="309">
        <v>673.279367459992</v>
      </c>
      <c r="K30" s="309">
        <v>965.751315999991</v>
      </c>
      <c r="L30" s="309">
        <v>723.185870120001</v>
      </c>
      <c r="M30" s="309">
        <v>819.06601884</v>
      </c>
      <c r="N30" s="309">
        <f t="shared" si="6"/>
        <v>16203.55067546</v>
      </c>
      <c r="O30" s="310">
        <f t="shared" si="7"/>
        <v>0.0197</v>
      </c>
      <c r="P30" s="320"/>
      <c r="Q30" s="301"/>
      <c r="U30" s="350"/>
      <c r="V30" s="350"/>
      <c r="W30" s="350"/>
      <c r="X30" s="350"/>
      <c r="Y30" s="350"/>
    </row>
    <row r="31" spans="1:27">
      <c r="A31" s="308" t="s">
        <v>159</v>
      </c>
      <c r="B31" s="309">
        <v>1491.864496</v>
      </c>
      <c r="C31" s="309">
        <v>151.023403</v>
      </c>
      <c r="D31" s="309">
        <v>267.631066</v>
      </c>
      <c r="E31" s="309">
        <v>294.43465</v>
      </c>
      <c r="F31" s="309">
        <v>1160.921384</v>
      </c>
      <c r="G31" s="309">
        <v>180.26778826</v>
      </c>
      <c r="H31" s="309">
        <v>120.31668958</v>
      </c>
      <c r="I31" s="309">
        <v>289.598717</v>
      </c>
      <c r="J31" s="309">
        <v>73.4409494399999</v>
      </c>
      <c r="K31" s="309">
        <v>1029.4009453</v>
      </c>
      <c r="L31" s="309">
        <v>76.8619405799998</v>
      </c>
      <c r="M31" s="309">
        <v>81.4073001999998</v>
      </c>
      <c r="N31" s="309">
        <f t="shared" si="6"/>
        <v>5217.16932936</v>
      </c>
      <c r="O31" s="310">
        <f t="shared" si="7"/>
        <v>0.0063</v>
      </c>
      <c r="Q31" s="301"/>
      <c r="U31" s="350"/>
      <c r="V31" s="350"/>
      <c r="W31" s="350"/>
      <c r="X31" s="350"/>
      <c r="Y31" s="350"/>
    </row>
    <row r="32" spans="1:27">
      <c r="A32" s="308" t="s">
        <v>164</v>
      </c>
      <c r="B32" s="309">
        <v>2.656935</v>
      </c>
      <c r="C32" s="309">
        <v>1.945017</v>
      </c>
      <c r="D32" s="309">
        <v>1.73492</v>
      </c>
      <c r="E32" s="309">
        <v>1.742468</v>
      </c>
      <c r="F32" s="309">
        <v>1.632589</v>
      </c>
      <c r="G32" s="309">
        <v>3.857593</v>
      </c>
      <c r="H32" s="309">
        <v>1.6050478</v>
      </c>
      <c r="I32" s="309">
        <v>1.1173497</v>
      </c>
      <c r="J32" s="309">
        <v>0.012545</v>
      </c>
      <c r="K32" s="309">
        <v>0.11889592</v>
      </c>
      <c r="L32" s="309">
        <v>0.001748</v>
      </c>
      <c r="M32" s="309">
        <v>0.002504</v>
      </c>
      <c r="N32" s="309">
        <f t="shared" si="6"/>
        <v>16.42761242</v>
      </c>
      <c r="O32" s="310">
        <f t="shared" si="7"/>
        <v>0</v>
      </c>
      <c r="Q32" s="301"/>
      <c r="U32" s="350"/>
      <c r="V32" s="350"/>
      <c r="W32" s="350"/>
      <c r="X32" s="350"/>
      <c r="Y32" s="350"/>
    </row>
    <row r="33" spans="1:25">
      <c r="A33" s="308" t="s">
        <v>160</v>
      </c>
      <c r="B33" s="309">
        <v>1.11333</v>
      </c>
      <c r="C33" s="309">
        <v>0.404225</v>
      </c>
      <c r="D33" s="309">
        <v>12.16265204</v>
      </c>
      <c r="E33" s="309">
        <v>2.36439</v>
      </c>
      <c r="F33" s="309">
        <v>0.00255</v>
      </c>
      <c r="G33" s="309">
        <v>0.00751</v>
      </c>
      <c r="H33" s="309">
        <v>0.0134056</v>
      </c>
      <c r="I33" s="309">
        <v>0.000465</v>
      </c>
      <c r="J33" s="309">
        <v>0.00078204</v>
      </c>
      <c r="K33" s="309">
        <v>0.00155796</v>
      </c>
      <c r="L33" s="309">
        <v>0</v>
      </c>
      <c r="M33" s="309">
        <v>0.002955</v>
      </c>
      <c r="N33" s="309">
        <f t="shared" si="6"/>
        <v>16.07382264</v>
      </c>
      <c r="O33" s="310">
        <f t="shared" si="7"/>
        <v>0</v>
      </c>
      <c r="Q33" s="301"/>
      <c r="U33" s="350"/>
      <c r="V33" s="350"/>
      <c r="W33" s="350"/>
      <c r="X33" s="350"/>
      <c r="Y33" s="350"/>
    </row>
    <row r="34" ht="14.25" spans="1:25">
      <c r="A34" s="308" t="s">
        <v>161</v>
      </c>
      <c r="B34" s="309">
        <v>1572.772921</v>
      </c>
      <c r="C34" s="309">
        <v>664.981545</v>
      </c>
      <c r="D34" s="309">
        <v>689.535271460001</v>
      </c>
      <c r="E34" s="309">
        <v>178.446658</v>
      </c>
      <c r="F34" s="309">
        <v>15.061236</v>
      </c>
      <c r="G34" s="309">
        <v>8.58474498</v>
      </c>
      <c r="H34" s="309">
        <v>15.74439366</v>
      </c>
      <c r="I34" s="309">
        <v>21.13372106</v>
      </c>
      <c r="J34" s="309">
        <v>3.7441439</v>
      </c>
      <c r="K34" s="309">
        <v>5.82409842</v>
      </c>
      <c r="L34" s="309">
        <v>10.58994382</v>
      </c>
      <c r="M34" s="309">
        <v>23.7434121</v>
      </c>
      <c r="N34" s="309">
        <f t="shared" si="6"/>
        <v>3210.1620894</v>
      </c>
      <c r="O34" s="310">
        <f t="shared" si="7"/>
        <v>0.0039</v>
      </c>
      <c r="Q34" s="301"/>
      <c r="U34" s="350"/>
      <c r="V34" s="350"/>
      <c r="W34" s="350"/>
      <c r="X34" s="350"/>
      <c r="Y34" s="350"/>
    </row>
    <row r="35" ht="14.25" spans="1:25">
      <c r="A35" s="337" t="s">
        <v>162</v>
      </c>
      <c r="B35" s="338">
        <f t="shared" ref="B35:N35" si="10">SUM(B22:B34)</f>
        <v>83841.6624659996</v>
      </c>
      <c r="C35" s="338">
        <f t="shared" si="10"/>
        <v>76218.0494880011</v>
      </c>
      <c r="D35" s="338">
        <f t="shared" si="10"/>
        <v>66832.8891859705</v>
      </c>
      <c r="E35" s="338">
        <f t="shared" si="10"/>
        <v>50345.2969116507</v>
      </c>
      <c r="F35" s="338">
        <f t="shared" si="10"/>
        <v>70552.9658468006</v>
      </c>
      <c r="G35" s="338">
        <f t="shared" si="10"/>
        <v>83802.7476513789</v>
      </c>
      <c r="H35" s="338">
        <f t="shared" si="10"/>
        <v>82004.9775177384</v>
      </c>
      <c r="I35" s="338">
        <f t="shared" si="10"/>
        <v>75165.7706529584</v>
      </c>
      <c r="J35" s="338">
        <f t="shared" si="10"/>
        <v>52618.1043422679</v>
      </c>
      <c r="K35" s="338">
        <f t="shared" si="10"/>
        <v>59011.3703931993</v>
      </c>
      <c r="L35" s="338">
        <f t="shared" si="10"/>
        <v>61812.9619550198</v>
      </c>
      <c r="M35" s="338">
        <f t="shared" si="10"/>
        <v>60199.2636793091</v>
      </c>
      <c r="N35" s="338">
        <f t="shared" si="10"/>
        <v>822406.060090294</v>
      </c>
      <c r="O35" s="339">
        <f>N35/$N$35</f>
        <v>1</v>
      </c>
      <c r="P35" s="340"/>
      <c r="Q35" s="301"/>
      <c r="U35" s="350"/>
      <c r="V35" s="350"/>
      <c r="W35" s="350"/>
      <c r="X35" s="350"/>
      <c r="Y35" s="350"/>
    </row>
    <row r="36" spans="1:25">
      <c r="B36" s="351"/>
      <c r="C36" s="351"/>
      <c r="D36" s="351"/>
      <c r="E36" s="351"/>
      <c r="F36" s="351"/>
      <c r="G36" s="351"/>
      <c r="H36" s="351"/>
      <c r="I36" s="351"/>
      <c r="J36" s="351"/>
      <c r="K36" s="351"/>
      <c r="L36" s="351"/>
      <c r="M36" s="351"/>
      <c r="N36" s="351"/>
      <c r="O36" s="351"/>
      <c r="P36" s="352"/>
      <c r="Q36" s="301"/>
      <c r="U36" s="350"/>
      <c r="V36" s="350"/>
      <c r="W36" s="350"/>
      <c r="X36" s="350"/>
      <c r="Y36" s="350"/>
    </row>
    <row r="37" spans="1:25">
      <c r="Q37" s="301"/>
      <c r="U37" s="350"/>
      <c r="V37" s="350"/>
      <c r="W37" s="350"/>
      <c r="X37" s="350"/>
      <c r="Y37" s="350"/>
    </row>
    <row r="38" ht="14.25" spans="1:25">
      <c r="A38" s="299" t="s">
        <v>99</v>
      </c>
      <c r="Q38" s="301"/>
      <c r="U38" s="350"/>
      <c r="V38" s="350"/>
      <c r="W38" s="350"/>
      <c r="X38" s="350"/>
      <c r="Y38" s="350"/>
    </row>
    <row r="39" ht="14.25" spans="1:25">
      <c r="A39" s="302" t="s">
        <v>138</v>
      </c>
      <c r="B39" s="303" t="s">
        <v>111</v>
      </c>
      <c r="C39" s="303" t="s">
        <v>112</v>
      </c>
      <c r="D39" s="303" t="s">
        <v>113</v>
      </c>
      <c r="E39" s="303" t="s">
        <v>114</v>
      </c>
      <c r="F39" s="303" t="s">
        <v>115</v>
      </c>
      <c r="G39" s="303" t="s">
        <v>116</v>
      </c>
      <c r="H39" s="303" t="s">
        <v>117</v>
      </c>
      <c r="I39" s="303" t="s">
        <v>118</v>
      </c>
      <c r="J39" s="303" t="s">
        <v>119</v>
      </c>
      <c r="K39" s="303" t="s">
        <v>120</v>
      </c>
      <c r="L39" s="303" t="s">
        <v>121</v>
      </c>
      <c r="M39" s="303" t="s">
        <v>122</v>
      </c>
      <c r="N39" s="303" t="s">
        <v>9</v>
      </c>
      <c r="O39" s="304" t="s">
        <v>139</v>
      </c>
      <c r="P39" s="353"/>
      <c r="Q39" s="301"/>
      <c r="U39" s="350"/>
      <c r="V39" s="350"/>
      <c r="W39" s="350"/>
      <c r="X39" s="350"/>
      <c r="Y39" s="350"/>
    </row>
    <row r="40" spans="1:25">
      <c r="A40" s="308" t="s">
        <v>140</v>
      </c>
      <c r="B40" s="309">
        <v>91365.6729969997</v>
      </c>
      <c r="C40" s="309">
        <v>99354.6207543899</v>
      </c>
      <c r="D40" s="309">
        <v>115570.259925</v>
      </c>
      <c r="E40" s="309">
        <v>90538.1630290002</v>
      </c>
      <c r="F40" s="309">
        <v>94368.6710219999</v>
      </c>
      <c r="G40" s="309">
        <f>101515.297081+9043.9/10000</f>
        <v>101516.201471</v>
      </c>
      <c r="H40" s="309">
        <f>91428.439399+0.39521</f>
        <v>91428.834609</v>
      </c>
      <c r="I40" s="309">
        <v>98871.9241670004</v>
      </c>
      <c r="J40" s="309">
        <v>87871.1752329991</v>
      </c>
      <c r="K40" s="309">
        <v>67975.953934999</v>
      </c>
      <c r="L40" s="309">
        <v>70601.9280069995</v>
      </c>
      <c r="M40" s="309">
        <v>70283.4860619992</v>
      </c>
      <c r="N40" s="309">
        <f t="shared" ref="N40:N53" si="11">SUM(B40:M40)</f>
        <v>1079746.89121139</v>
      </c>
      <c r="O40" s="310">
        <f t="shared" ref="O40:O53" si="12">ROUND(N40/$N$54,4)</f>
        <v>0.6919</v>
      </c>
      <c r="Q40" s="301"/>
      <c r="U40" s="350"/>
      <c r="V40" s="350"/>
      <c r="W40" s="350"/>
      <c r="X40" s="350"/>
      <c r="Y40" s="350"/>
    </row>
    <row r="41" spans="1:25">
      <c r="A41" s="308" t="s">
        <v>143</v>
      </c>
      <c r="B41" s="309">
        <v>9976.234708</v>
      </c>
      <c r="C41" s="309">
        <v>7563.06082800002</v>
      </c>
      <c r="D41" s="309">
        <v>8790.94378400002</v>
      </c>
      <c r="E41" s="309">
        <v>13731.850526</v>
      </c>
      <c r="F41" s="309">
        <v>21460.735288</v>
      </c>
      <c r="G41" s="309">
        <v>25014.187066</v>
      </c>
      <c r="H41" s="309">
        <v>13412.144531</v>
      </c>
      <c r="I41" s="309">
        <v>11064.821578</v>
      </c>
      <c r="J41" s="309">
        <v>10148.356866</v>
      </c>
      <c r="K41" s="309">
        <v>8363.78593700001</v>
      </c>
      <c r="L41" s="309">
        <v>12780.063792</v>
      </c>
      <c r="M41" s="309">
        <v>6652.14294899998</v>
      </c>
      <c r="N41" s="309">
        <f t="shared" si="11"/>
        <v>148958.327853</v>
      </c>
      <c r="O41" s="310">
        <f t="shared" si="12"/>
        <v>0.0955</v>
      </c>
      <c r="P41" s="321">
        <f>O41+O42+O43</f>
        <v>0.1614</v>
      </c>
      <c r="Q41" s="301"/>
      <c r="U41" s="350"/>
      <c r="V41" s="350"/>
      <c r="W41" s="350"/>
      <c r="X41" s="350"/>
      <c r="Y41" s="350"/>
    </row>
    <row r="42" spans="1:25">
      <c r="A42" s="308" t="s">
        <v>145</v>
      </c>
      <c r="B42" s="309">
        <v>8600.392308</v>
      </c>
      <c r="C42" s="309">
        <v>6026.233548</v>
      </c>
      <c r="D42" s="309">
        <f>8710.422622-1350</f>
        <v>7360.422622</v>
      </c>
      <c r="E42" s="309">
        <f>8490.906362-1250</f>
        <v>7240.906362</v>
      </c>
      <c r="F42" s="309">
        <v>7482.99036400001</v>
      </c>
      <c r="G42" s="309">
        <v>7613.87309700002</v>
      </c>
      <c r="H42" s="309">
        <v>6348.366369</v>
      </c>
      <c r="I42" s="309">
        <v>8622.11702600002</v>
      </c>
      <c r="J42" s="309">
        <v>11432.224223</v>
      </c>
      <c r="K42" s="309">
        <v>7610.116221</v>
      </c>
      <c r="L42" s="309">
        <v>12712.985325</v>
      </c>
      <c r="M42" s="309">
        <v>6277.992026</v>
      </c>
      <c r="N42" s="309">
        <f t="shared" si="11"/>
        <v>97328.619491</v>
      </c>
      <c r="O42" s="310">
        <f t="shared" si="12"/>
        <v>0.0624</v>
      </c>
      <c r="P42" s="350"/>
    </row>
    <row r="43" spans="1:25">
      <c r="A43" s="308" t="s">
        <v>146</v>
      </c>
      <c r="B43" s="309">
        <v>491.150282</v>
      </c>
      <c r="C43" s="309">
        <v>405.342024</v>
      </c>
      <c r="D43" s="309">
        <v>531.369780999999</v>
      </c>
      <c r="E43" s="309">
        <v>595.404737</v>
      </c>
      <c r="F43" s="309">
        <v>656.215515000001</v>
      </c>
      <c r="G43" s="309">
        <v>444.788136</v>
      </c>
      <c r="H43" s="309">
        <v>498.472639</v>
      </c>
      <c r="I43" s="309">
        <v>564.607236</v>
      </c>
      <c r="J43" s="309">
        <v>413.996367</v>
      </c>
      <c r="K43" s="309">
        <v>340.679035</v>
      </c>
      <c r="L43" s="309">
        <v>295.473284</v>
      </c>
      <c r="M43" s="309">
        <v>215.06176</v>
      </c>
      <c r="N43" s="309">
        <f t="shared" si="11"/>
        <v>5452.560796</v>
      </c>
      <c r="O43" s="310">
        <f t="shared" si="12"/>
        <v>0.0035</v>
      </c>
      <c r="P43" s="351"/>
    </row>
    <row r="44" spans="1:25">
      <c r="A44" s="308" t="s">
        <v>147</v>
      </c>
      <c r="B44" s="309">
        <v>7749.378378</v>
      </c>
      <c r="C44" s="309">
        <v>7174.696548</v>
      </c>
      <c r="D44" s="309">
        <v>5950.33480299999</v>
      </c>
      <c r="E44" s="309">
        <v>6267.71905700001</v>
      </c>
      <c r="F44" s="309">
        <v>12374.000984</v>
      </c>
      <c r="G44" s="309">
        <v>12629.4819381</v>
      </c>
      <c r="H44" s="309">
        <v>13953.144638</v>
      </c>
      <c r="I44" s="309">
        <v>16053.310103</v>
      </c>
      <c r="J44" s="309">
        <v>8450.394322</v>
      </c>
      <c r="K44" s="309">
        <v>4684.693131</v>
      </c>
      <c r="L44" s="309">
        <v>4960.00157400001</v>
      </c>
      <c r="M44" s="309">
        <v>6238.43913800001</v>
      </c>
      <c r="N44" s="309">
        <f t="shared" si="11"/>
        <v>106485.5946141</v>
      </c>
      <c r="O44" s="310">
        <f t="shared" si="12"/>
        <v>0.0682</v>
      </c>
      <c r="P44" s="354"/>
    </row>
    <row r="45" spans="1:25">
      <c r="A45" s="308" t="s">
        <v>150</v>
      </c>
      <c r="B45" s="309">
        <v>8813.731487</v>
      </c>
      <c r="C45" s="309">
        <v>2053.420835</v>
      </c>
      <c r="D45" s="309">
        <v>2652.070825</v>
      </c>
      <c r="E45" s="309">
        <v>1378.920011</v>
      </c>
      <c r="F45" s="309">
        <v>5298.909291</v>
      </c>
      <c r="G45" s="309">
        <v>2842.131014</v>
      </c>
      <c r="H45" s="309">
        <v>1341.282908</v>
      </c>
      <c r="I45" s="309">
        <v>5110.88417100001</v>
      </c>
      <c r="J45" s="309">
        <v>1949.134247</v>
      </c>
      <c r="K45" s="309">
        <v>3241.793068</v>
      </c>
      <c r="L45" s="309">
        <v>7605.987161</v>
      </c>
      <c r="M45" s="309">
        <v>1717.066616</v>
      </c>
      <c r="N45" s="309">
        <f t="shared" si="11"/>
        <v>44005.331634</v>
      </c>
      <c r="O45" s="310">
        <f t="shared" si="12"/>
        <v>0.0282</v>
      </c>
      <c r="P45" s="321">
        <f>O45+O46</f>
        <v>0.041</v>
      </c>
    </row>
    <row r="46" spans="1:25">
      <c r="A46" s="308" t="s">
        <v>151</v>
      </c>
      <c r="B46" s="309">
        <v>1506.726637</v>
      </c>
      <c r="C46" s="309">
        <v>3922.802965</v>
      </c>
      <c r="D46" s="309">
        <v>6875.120741</v>
      </c>
      <c r="E46" s="309">
        <v>1804.347621</v>
      </c>
      <c r="F46" s="309">
        <v>1463.682773</v>
      </c>
      <c r="G46" s="309">
        <v>3357.047864</v>
      </c>
      <c r="H46" s="309">
        <v>469.7671</v>
      </c>
      <c r="I46" s="309">
        <v>134.313522</v>
      </c>
      <c r="J46" s="309">
        <v>425.918633</v>
      </c>
      <c r="K46" s="309">
        <v>16.981048</v>
      </c>
      <c r="L46" s="309">
        <v>43.520617</v>
      </c>
      <c r="M46" s="309">
        <v>7.859037</v>
      </c>
      <c r="N46" s="309">
        <f t="shared" si="11"/>
        <v>20028.088558</v>
      </c>
      <c r="O46" s="310">
        <f t="shared" si="12"/>
        <v>0.0128</v>
      </c>
    </row>
    <row r="47" spans="1:25">
      <c r="A47" s="308" t="s">
        <v>152</v>
      </c>
      <c r="B47" s="309">
        <v>12.71152</v>
      </c>
      <c r="C47" s="309">
        <v>83.8174000000001</v>
      </c>
      <c r="D47" s="309">
        <v>148.878185</v>
      </c>
      <c r="E47" s="309">
        <v>51.740939</v>
      </c>
      <c r="F47" s="309">
        <v>50.68203</v>
      </c>
      <c r="G47" s="309">
        <v>1.574439</v>
      </c>
      <c r="H47" s="309">
        <v>0.145652</v>
      </c>
      <c r="I47" s="309">
        <v>0.323576</v>
      </c>
      <c r="J47" s="309">
        <v>2.36767</v>
      </c>
      <c r="K47" s="309">
        <v>0.035244</v>
      </c>
      <c r="L47" s="309">
        <v>-8.499131</v>
      </c>
      <c r="M47" s="309">
        <v>0.025892</v>
      </c>
      <c r="N47" s="309">
        <f t="shared" si="11"/>
        <v>343.803416</v>
      </c>
      <c r="O47" s="310">
        <f t="shared" si="12"/>
        <v>0.0002</v>
      </c>
    </row>
    <row r="48" spans="1:25">
      <c r="A48" s="308" t="s">
        <v>165</v>
      </c>
      <c r="B48" s="309">
        <v>-0.0326</v>
      </c>
      <c r="C48" s="309">
        <v>0.0929</v>
      </c>
      <c r="D48" s="309">
        <v>0.01039</v>
      </c>
      <c r="E48" s="309">
        <v>0</v>
      </c>
      <c r="F48" s="309">
        <v>0</v>
      </c>
      <c r="G48" s="299">
        <v>0</v>
      </c>
      <c r="H48" s="309">
        <v>0</v>
      </c>
      <c r="I48" s="309">
        <v>0</v>
      </c>
      <c r="J48" s="309">
        <v>0</v>
      </c>
      <c r="K48" s="309">
        <v>0</v>
      </c>
      <c r="L48" s="309">
        <v>0</v>
      </c>
      <c r="M48" s="309">
        <v>0</v>
      </c>
      <c r="N48" s="309">
        <f t="shared" si="11"/>
        <v>0.07069</v>
      </c>
      <c r="O48" s="310">
        <f t="shared" si="12"/>
        <v>0</v>
      </c>
    </row>
    <row r="49" spans="1:16">
      <c r="A49" s="308" t="s">
        <v>158</v>
      </c>
      <c r="B49" s="309">
        <v>4837.37368</v>
      </c>
      <c r="C49" s="309">
        <v>3461.29498400001</v>
      </c>
      <c r="D49" s="309">
        <v>2134.656666</v>
      </c>
      <c r="E49" s="309">
        <v>1960.207275</v>
      </c>
      <c r="F49" s="309">
        <v>2142.248095</v>
      </c>
      <c r="G49" s="309">
        <v>2936.797509</v>
      </c>
      <c r="H49" s="309">
        <v>2748.642144</v>
      </c>
      <c r="I49" s="309">
        <v>5407.391189</v>
      </c>
      <c r="J49" s="309">
        <v>4117.67603600001</v>
      </c>
      <c r="K49" s="309">
        <v>2612.059231</v>
      </c>
      <c r="L49" s="309">
        <v>4213.34909399999</v>
      </c>
      <c r="M49" s="309">
        <v>2303.078791</v>
      </c>
      <c r="N49" s="309">
        <f t="shared" si="11"/>
        <v>38874.774694</v>
      </c>
      <c r="O49" s="310">
        <f t="shared" si="12"/>
        <v>0.0249</v>
      </c>
    </row>
    <row r="50" spans="1:16">
      <c r="A50" s="308" t="s">
        <v>159</v>
      </c>
      <c r="B50" s="309">
        <v>596.39153</v>
      </c>
      <c r="C50" s="309">
        <v>1019.331132</v>
      </c>
      <c r="D50" s="309">
        <v>2227.229471</v>
      </c>
      <c r="E50" s="309">
        <v>714.04104</v>
      </c>
      <c r="F50" s="309">
        <v>539.451366</v>
      </c>
      <c r="G50" s="309">
        <v>623.041333</v>
      </c>
      <c r="H50" s="309">
        <v>598.590615</v>
      </c>
      <c r="I50" s="309">
        <v>714.524214000001</v>
      </c>
      <c r="J50" s="309">
        <v>717.488399000002</v>
      </c>
      <c r="K50" s="309">
        <v>985.475882000002</v>
      </c>
      <c r="L50" s="309">
        <v>818.135651000001</v>
      </c>
      <c r="M50" s="309">
        <v>424.118144</v>
      </c>
      <c r="N50" s="309">
        <f t="shared" si="11"/>
        <v>9977.81877700001</v>
      </c>
      <c r="O50" s="310">
        <f t="shared" si="12"/>
        <v>0.0064</v>
      </c>
    </row>
    <row r="51" spans="1:16">
      <c r="A51" s="308" t="s">
        <v>164</v>
      </c>
      <c r="B51" s="309">
        <v>21.991233</v>
      </c>
      <c r="C51" s="309">
        <v>1.70992</v>
      </c>
      <c r="D51" s="309">
        <v>1.814556</v>
      </c>
      <c r="E51" s="309">
        <v>1.564706</v>
      </c>
      <c r="F51" s="309">
        <v>0.236379</v>
      </c>
      <c r="G51" s="309">
        <v>1.547379</v>
      </c>
      <c r="H51" s="309">
        <v>1.344699</v>
      </c>
      <c r="I51" s="309">
        <v>1.439396</v>
      </c>
      <c r="J51" s="309">
        <v>1.727021</v>
      </c>
      <c r="K51" s="309">
        <v>5.998978</v>
      </c>
      <c r="L51" s="309">
        <v>1.401985</v>
      </c>
      <c r="M51" s="309">
        <v>2.255709</v>
      </c>
      <c r="N51" s="309">
        <f t="shared" si="11"/>
        <v>43.031961</v>
      </c>
      <c r="O51" s="310">
        <f t="shared" si="12"/>
        <v>0</v>
      </c>
    </row>
    <row r="52" spans="1:16">
      <c r="A52" s="308" t="s">
        <v>160</v>
      </c>
      <c r="B52" s="309">
        <v>366.343253</v>
      </c>
      <c r="C52" s="309">
        <v>399.733445</v>
      </c>
      <c r="D52" s="309">
        <v>586.345716</v>
      </c>
      <c r="E52" s="309">
        <v>546.638171</v>
      </c>
      <c r="F52" s="309">
        <v>611.256322</v>
      </c>
      <c r="G52" s="309">
        <v>1.308647</v>
      </c>
      <c r="H52" s="309">
        <v>2.119582</v>
      </c>
      <c r="I52" s="309">
        <v>1.426591</v>
      </c>
      <c r="J52" s="309">
        <v>0.842911</v>
      </c>
      <c r="K52" s="309">
        <v>0.932406</v>
      </c>
      <c r="L52" s="309">
        <v>0.903982</v>
      </c>
      <c r="M52" s="309">
        <v>23.07937</v>
      </c>
      <c r="N52" s="309">
        <f t="shared" si="11"/>
        <v>2540.930396</v>
      </c>
      <c r="O52" s="310">
        <f t="shared" si="12"/>
        <v>0.0016</v>
      </c>
      <c r="P52" s="350"/>
    </row>
    <row r="53" ht="14.25" spans="1:16">
      <c r="A53" s="308" t="s">
        <v>161</v>
      </c>
      <c r="B53" s="309">
        <v>243.517732</v>
      </c>
      <c r="C53" s="309">
        <v>433.009968</v>
      </c>
      <c r="D53" s="309">
        <v>480.770913</v>
      </c>
      <c r="E53" s="309">
        <v>421.790585</v>
      </c>
      <c r="F53" s="309">
        <v>1422.35332</v>
      </c>
      <c r="G53" s="309">
        <v>384.921427</v>
      </c>
      <c r="H53" s="309">
        <v>610.658898999999</v>
      </c>
      <c r="I53" s="309">
        <v>664.998592999999</v>
      </c>
      <c r="J53" s="309">
        <v>446.075661</v>
      </c>
      <c r="K53" s="309">
        <v>484.106149</v>
      </c>
      <c r="L53" s="309">
        <v>492.490031</v>
      </c>
      <c r="M53" s="309">
        <v>583.040576</v>
      </c>
      <c r="N53" s="309">
        <f t="shared" si="11"/>
        <v>6667.733854</v>
      </c>
      <c r="O53" s="310">
        <f t="shared" si="12"/>
        <v>0.0043</v>
      </c>
    </row>
    <row r="54" ht="14.25" spans="1:16">
      <c r="A54" s="337" t="s">
        <v>162</v>
      </c>
      <c r="B54" s="338">
        <f t="shared" ref="B54:N54" si="13">SUM(B40:B53)</f>
        <v>134581.583145</v>
      </c>
      <c r="C54" s="338">
        <f t="shared" si="13"/>
        <v>131899.16725139</v>
      </c>
      <c r="D54" s="338">
        <f t="shared" si="13"/>
        <v>153310.228378</v>
      </c>
      <c r="E54" s="338">
        <f t="shared" si="13"/>
        <v>125253.294059</v>
      </c>
      <c r="F54" s="338">
        <f t="shared" si="13"/>
        <v>147871.432749</v>
      </c>
      <c r="G54" s="338">
        <f t="shared" si="13"/>
        <v>157366.9013201</v>
      </c>
      <c r="H54" s="338">
        <f t="shared" si="13"/>
        <v>131413.514385</v>
      </c>
      <c r="I54" s="338">
        <f t="shared" si="13"/>
        <v>147212.081362</v>
      </c>
      <c r="J54" s="338">
        <f t="shared" si="13"/>
        <v>125977.377588999</v>
      </c>
      <c r="K54" s="338">
        <f t="shared" si="13"/>
        <v>96322.610264999</v>
      </c>
      <c r="L54" s="338">
        <f t="shared" si="13"/>
        <v>114517.741372</v>
      </c>
      <c r="M54" s="338">
        <f t="shared" si="13"/>
        <v>94727.6460699992</v>
      </c>
      <c r="N54" s="338">
        <f t="shared" si="13"/>
        <v>1560453.57794549</v>
      </c>
      <c r="O54" s="339">
        <f>N54/$N$54</f>
        <v>1</v>
      </c>
    </row>
    <row r="55" spans="1:16">
      <c r="C55" s="351">
        <f>C54-'GMV销售额波动分析（分月、年）'!H33/10000</f>
        <v>0.000606999936280772</v>
      </c>
      <c r="D55" s="355">
        <f>D54-'GMV销售额波动分析（分月、年）'!H34/10000</f>
        <v>0</v>
      </c>
      <c r="E55" s="351"/>
      <c r="F55" s="351"/>
      <c r="H55" s="351"/>
      <c r="I55" s="351"/>
      <c r="J55" s="351"/>
      <c r="K55" s="351"/>
      <c r="N55" s="351"/>
    </row>
    <row r="56" ht="14.25" spans="1:16">
      <c r="A56" s="299" t="s">
        <v>131</v>
      </c>
    </row>
    <row r="57" ht="14.25" spans="1:16">
      <c r="A57" s="302" t="s">
        <v>138</v>
      </c>
      <c r="B57" s="303" t="s">
        <v>111</v>
      </c>
      <c r="C57" s="303" t="s">
        <v>112</v>
      </c>
      <c r="D57" s="303" t="s">
        <v>113</v>
      </c>
      <c r="E57" s="303" t="s">
        <v>114</v>
      </c>
      <c r="F57" s="303" t="s">
        <v>115</v>
      </c>
      <c r="G57" s="303" t="s">
        <v>116</v>
      </c>
      <c r="H57" s="303" t="s">
        <v>117</v>
      </c>
      <c r="I57" s="303" t="s">
        <v>118</v>
      </c>
      <c r="J57" s="303" t="s">
        <v>119</v>
      </c>
      <c r="K57" s="303" t="s">
        <v>120</v>
      </c>
      <c r="L57" s="303" t="s">
        <v>121</v>
      </c>
      <c r="M57" s="303" t="s">
        <v>122</v>
      </c>
      <c r="N57" s="303" t="s">
        <v>9</v>
      </c>
      <c r="O57" s="304" t="s">
        <v>139</v>
      </c>
    </row>
    <row r="58" spans="1:16">
      <c r="A58" s="308" t="s">
        <v>140</v>
      </c>
      <c r="B58" s="309">
        <v>57263.075532</v>
      </c>
      <c r="C58" s="309">
        <v>48717.5994500002</v>
      </c>
      <c r="D58" s="309">
        <v>91475.4110179998</v>
      </c>
      <c r="E58" s="309">
        <v>78598.8825899995</v>
      </c>
      <c r="F58" s="309">
        <v>92474.12578954</v>
      </c>
      <c r="G58" s="309">
        <v>101701.0688701</v>
      </c>
      <c r="H58" s="309">
        <v>85493.0754239999</v>
      </c>
      <c r="I58" s="309">
        <v>92410.8454319988</v>
      </c>
      <c r="J58" s="309">
        <v>111531.344223999</v>
      </c>
      <c r="K58" s="309">
        <v>95225.3393350005</v>
      </c>
      <c r="L58" s="309">
        <v>115027.848426869</v>
      </c>
      <c r="M58" s="309">
        <v>126045.778887</v>
      </c>
      <c r="N58" s="309">
        <f>(SUM(B58:M58))</f>
        <v>1095964.39497851</v>
      </c>
      <c r="O58" s="310">
        <f t="shared" ref="O58:O71" si="14">ROUND(N58/$N$72,4)</f>
        <v>0.6789</v>
      </c>
    </row>
    <row r="59" spans="1:16">
      <c r="A59" s="308" t="s">
        <v>143</v>
      </c>
      <c r="B59" s="309">
        <v>22124.244616</v>
      </c>
      <c r="C59" s="309">
        <v>15918.936089</v>
      </c>
      <c r="D59" s="309">
        <v>16249.324258</v>
      </c>
      <c r="E59" s="309">
        <v>18825.561151</v>
      </c>
      <c r="F59" s="309">
        <v>17618.259534</v>
      </c>
      <c r="G59" s="309">
        <v>17614.562245</v>
      </c>
      <c r="H59" s="309">
        <v>14434.315172</v>
      </c>
      <c r="I59" s="309">
        <v>13427.52047</v>
      </c>
      <c r="J59" s="309">
        <v>12965.870266</v>
      </c>
      <c r="K59" s="309">
        <v>17372.104124</v>
      </c>
      <c r="L59" s="309">
        <v>22491.503741</v>
      </c>
      <c r="M59" s="309">
        <v>18102.673621</v>
      </c>
      <c r="N59" s="309">
        <f t="shared" ref="N58:N71" si="15">(SUM(B59:M59))</f>
        <v>207144.875287</v>
      </c>
      <c r="O59" s="310">
        <f t="shared" si="14"/>
        <v>0.1283</v>
      </c>
    </row>
    <row r="60" spans="1:16">
      <c r="A60" s="308" t="s">
        <v>145</v>
      </c>
      <c r="B60" s="309">
        <v>8746.35597399999</v>
      </c>
      <c r="C60" s="309">
        <v>5855.76160999999</v>
      </c>
      <c r="D60" s="309">
        <v>6581.21682399999</v>
      </c>
      <c r="E60" s="309">
        <f>7204.459017-1230</f>
        <v>5974.459017</v>
      </c>
      <c r="F60" s="309">
        <v>6556.944492</v>
      </c>
      <c r="G60" s="309">
        <v>8538.97368947999</v>
      </c>
      <c r="H60" s="309">
        <v>6582.80386400001</v>
      </c>
      <c r="I60" s="309">
        <v>13196.389174</v>
      </c>
      <c r="J60" s="309">
        <v>9146.86973700001</v>
      </c>
      <c r="K60" s="309">
        <v>10329.912158</v>
      </c>
      <c r="L60" s="309">
        <v>13111.602604</v>
      </c>
      <c r="M60" s="309">
        <v>8129.64596900001</v>
      </c>
      <c r="N60" s="309">
        <f t="shared" si="15"/>
        <v>102750.93511248</v>
      </c>
      <c r="O60" s="310">
        <f t="shared" si="14"/>
        <v>0.0637</v>
      </c>
    </row>
    <row r="61" spans="1:16">
      <c r="A61" s="356" t="s">
        <v>146</v>
      </c>
      <c r="B61" s="357">
        <v>4235.200211</v>
      </c>
      <c r="C61" s="357">
        <v>2673.211967</v>
      </c>
      <c r="D61" s="357">
        <v>3599.143313</v>
      </c>
      <c r="E61" s="357">
        <v>2921.211667</v>
      </c>
      <c r="F61" s="357">
        <v>2648.338312</v>
      </c>
      <c r="G61" s="357">
        <v>2776.363581</v>
      </c>
      <c r="H61" s="357">
        <v>618.362436999999</v>
      </c>
      <c r="I61" s="357">
        <v>1007.456587</v>
      </c>
      <c r="J61" s="357">
        <v>765.441637</v>
      </c>
      <c r="K61" s="357">
        <v>396.260251</v>
      </c>
      <c r="L61" s="357">
        <v>548.887929000001</v>
      </c>
      <c r="M61" s="357">
        <v>390.41837</v>
      </c>
      <c r="N61" s="357">
        <f t="shared" si="15"/>
        <v>22580.296262</v>
      </c>
      <c r="O61" s="358">
        <f t="shared" si="14"/>
        <v>0.014</v>
      </c>
    </row>
    <row r="62" spans="1:16">
      <c r="A62" s="308" t="s">
        <v>147</v>
      </c>
      <c r="B62" s="309">
        <v>4932.994836</v>
      </c>
      <c r="C62" s="309">
        <v>4116.317506</v>
      </c>
      <c r="D62" s="309">
        <v>3888.439556</v>
      </c>
      <c r="E62" s="309">
        <v>4108.64525799999</v>
      </c>
      <c r="F62" s="309">
        <v>2829.755486</v>
      </c>
      <c r="G62" s="309">
        <v>2751.273767</v>
      </c>
      <c r="H62" s="309">
        <v>3017.338512</v>
      </c>
      <c r="I62" s="309">
        <v>3257.275699</v>
      </c>
      <c r="J62" s="309">
        <v>3254.256122</v>
      </c>
      <c r="K62" s="309">
        <v>5111.411756</v>
      </c>
      <c r="L62" s="309">
        <v>5544.341719</v>
      </c>
      <c r="M62" s="309">
        <v>5757.18108900001</v>
      </c>
      <c r="N62" s="309">
        <f t="shared" si="15"/>
        <v>48569.231306</v>
      </c>
      <c r="O62" s="310">
        <f t="shared" si="14"/>
        <v>0.0301</v>
      </c>
    </row>
    <row r="63" spans="1:16">
      <c r="A63" s="308" t="s">
        <v>150</v>
      </c>
      <c r="B63" s="309">
        <v>2004.808146</v>
      </c>
      <c r="C63" s="309">
        <v>1023.707553</v>
      </c>
      <c r="D63" s="309">
        <v>1344.138254</v>
      </c>
      <c r="E63" s="309">
        <v>1672.282655</v>
      </c>
      <c r="F63" s="309">
        <v>2011.360639</v>
      </c>
      <c r="G63" s="309">
        <v>2435.52206</v>
      </c>
      <c r="H63" s="309">
        <v>3601.984531</v>
      </c>
      <c r="I63" s="309">
        <v>2434.933913</v>
      </c>
      <c r="J63" s="309">
        <v>2175.476998</v>
      </c>
      <c r="K63" s="309">
        <v>6071.204874</v>
      </c>
      <c r="L63" s="309">
        <v>9962.73840300001</v>
      </c>
      <c r="M63" s="309">
        <v>4767.958312</v>
      </c>
      <c r="N63" s="309">
        <f t="shared" si="15"/>
        <v>39506.116338</v>
      </c>
      <c r="O63" s="310">
        <f t="shared" si="14"/>
        <v>0.0245</v>
      </c>
    </row>
    <row r="64" spans="1:16">
      <c r="A64" s="308" t="s">
        <v>151</v>
      </c>
      <c r="B64" s="309">
        <v>15.320737</v>
      </c>
      <c r="C64" s="309">
        <v>0.681875</v>
      </c>
      <c r="D64" s="309">
        <v>10.537209</v>
      </c>
      <c r="E64" s="309">
        <v>6.692</v>
      </c>
      <c r="F64" s="309">
        <v>47.113218</v>
      </c>
      <c r="G64" s="309">
        <v>32.665575</v>
      </c>
      <c r="H64" s="309">
        <v>21.139845</v>
      </c>
      <c r="I64" s="309">
        <v>37.186951</v>
      </c>
      <c r="J64" s="309">
        <v>19.218547</v>
      </c>
      <c r="K64" s="309">
        <v>23.587517</v>
      </c>
      <c r="L64" s="309">
        <v>61.0179790000001</v>
      </c>
      <c r="M64" s="309">
        <v>305.43281</v>
      </c>
      <c r="N64" s="309">
        <f t="shared" si="15"/>
        <v>580.594263</v>
      </c>
      <c r="O64" s="310">
        <f t="shared" si="14"/>
        <v>0.0004</v>
      </c>
    </row>
    <row r="65" spans="1:16">
      <c r="A65" s="308" t="s">
        <v>152</v>
      </c>
      <c r="B65" s="309">
        <v>13.984349</v>
      </c>
      <c r="C65" s="309">
        <v>23.39396</v>
      </c>
      <c r="D65" s="309">
        <v>15.520214</v>
      </c>
      <c r="E65" s="309">
        <v>27.460133</v>
      </c>
      <c r="F65" s="309">
        <v>18.239973</v>
      </c>
      <c r="G65" s="309">
        <v>9.805075</v>
      </c>
      <c r="H65" s="309">
        <v>4.419838</v>
      </c>
      <c r="I65" s="309">
        <v>3.884783</v>
      </c>
      <c r="J65" s="309">
        <v>2.431087</v>
      </c>
      <c r="K65" s="309">
        <v>6.385332</v>
      </c>
      <c r="L65" s="309">
        <v>4.667189</v>
      </c>
      <c r="M65" s="309">
        <v>6.160662</v>
      </c>
      <c r="N65" s="309">
        <f t="shared" si="15"/>
        <v>136.352595</v>
      </c>
      <c r="O65" s="310">
        <f t="shared" si="14"/>
        <v>0.0001</v>
      </c>
    </row>
    <row r="66" spans="1:16">
      <c r="A66" s="308" t="s">
        <v>165</v>
      </c>
      <c r="B66" s="309">
        <v>5.38078</v>
      </c>
      <c r="C66" s="309">
        <v>116.032782</v>
      </c>
      <c r="D66" s="309">
        <v>66.165154</v>
      </c>
      <c r="E66" s="309">
        <v>56.72909</v>
      </c>
      <c r="F66" s="309">
        <v>19.445032</v>
      </c>
      <c r="G66" s="309">
        <v>13.031364</v>
      </c>
      <c r="H66" s="309">
        <v>1.46989</v>
      </c>
      <c r="I66" s="309">
        <v>2.976927</v>
      </c>
      <c r="J66" s="309">
        <v>-0.0257</v>
      </c>
      <c r="K66" s="309">
        <v>0</v>
      </c>
      <c r="L66" s="309">
        <v>0.0001</v>
      </c>
      <c r="M66" s="309">
        <v>0</v>
      </c>
      <c r="N66" s="309">
        <f t="shared" si="15"/>
        <v>281.205419</v>
      </c>
      <c r="O66" s="310">
        <f t="shared" si="14"/>
        <v>0.0002</v>
      </c>
    </row>
    <row r="67" spans="1:16">
      <c r="A67" s="308" t="s">
        <v>158</v>
      </c>
      <c r="B67" s="309">
        <v>6843.248528</v>
      </c>
      <c r="C67" s="309">
        <v>6390.41073900001</v>
      </c>
      <c r="D67" s="309">
        <v>7490.31448100002</v>
      </c>
      <c r="E67" s="309">
        <v>6722.675556</v>
      </c>
      <c r="F67" s="309">
        <v>7874.75793800001</v>
      </c>
      <c r="G67" s="309">
        <v>6572.11311750002</v>
      </c>
      <c r="H67" s="309">
        <v>5765.77929000001</v>
      </c>
      <c r="I67" s="309">
        <v>6176.596975</v>
      </c>
      <c r="J67" s="309">
        <v>7665.488801</v>
      </c>
      <c r="K67" s="309">
        <v>7271.712676</v>
      </c>
      <c r="L67" s="309">
        <f>6261.54231499998+435.150349</f>
        <v>6696.69266399998</v>
      </c>
      <c r="M67" s="309">
        <f>6862.42295999999+369.545598</f>
        <v>7231.96855799999</v>
      </c>
      <c r="N67" s="309">
        <f t="shared" si="15"/>
        <v>82701.7593235</v>
      </c>
      <c r="O67" s="310">
        <f t="shared" si="14"/>
        <v>0.0512</v>
      </c>
    </row>
    <row r="68" spans="1:16">
      <c r="A68" s="308" t="s">
        <v>159</v>
      </c>
      <c r="B68" s="309">
        <v>641.175795999999</v>
      </c>
      <c r="C68" s="309">
        <v>685.873339</v>
      </c>
      <c r="D68" s="309">
        <v>1217.898951</v>
      </c>
      <c r="E68" s="309">
        <v>1686.175683</v>
      </c>
      <c r="F68" s="309">
        <v>1768.00321</v>
      </c>
      <c r="G68" s="309">
        <v>1086.622834</v>
      </c>
      <c r="H68" s="309">
        <v>784.629016999998</v>
      </c>
      <c r="I68" s="309">
        <v>1457.233397</v>
      </c>
      <c r="J68" s="309">
        <v>1217.286401</v>
      </c>
      <c r="K68" s="309">
        <v>1232.221083</v>
      </c>
      <c r="L68" s="309">
        <v>1401.254819</v>
      </c>
      <c r="M68" s="309">
        <v>519.025573000001</v>
      </c>
      <c r="N68" s="309">
        <f t="shared" si="15"/>
        <v>13697.400103</v>
      </c>
      <c r="O68" s="310">
        <f t="shared" si="14"/>
        <v>0.0085</v>
      </c>
    </row>
    <row r="69" spans="1:16">
      <c r="A69" s="308" t="s">
        <v>164</v>
      </c>
      <c r="B69" s="309">
        <v>31.954731</v>
      </c>
      <c r="C69" s="309">
        <v>30.162219</v>
      </c>
      <c r="D69" s="309">
        <v>43.5868650000001</v>
      </c>
      <c r="E69" s="309">
        <v>28.625395</v>
      </c>
      <c r="F69" s="309">
        <v>28.74178822</v>
      </c>
      <c r="G69" s="309">
        <v>28.93555264</v>
      </c>
      <c r="H69" s="309">
        <v>37.382823</v>
      </c>
      <c r="I69" s="309">
        <v>26.452599</v>
      </c>
      <c r="J69" s="309">
        <v>24.123822</v>
      </c>
      <c r="K69" s="309">
        <v>18.806453</v>
      </c>
      <c r="L69" s="309">
        <v>14.366787</v>
      </c>
      <c r="M69" s="309">
        <v>13.333285</v>
      </c>
      <c r="N69" s="309">
        <f t="shared" si="15"/>
        <v>326.47231986</v>
      </c>
      <c r="O69" s="310">
        <f t="shared" si="14"/>
        <v>0.0002</v>
      </c>
    </row>
    <row r="70" spans="1:16">
      <c r="A70" s="308" t="s">
        <v>166</v>
      </c>
      <c r="B70" s="309">
        <v>1.361804</v>
      </c>
      <c r="C70" s="309">
        <v>0.492491</v>
      </c>
      <c r="D70" s="309">
        <v>0</v>
      </c>
      <c r="E70" s="309"/>
      <c r="F70" s="309"/>
      <c r="G70" s="309"/>
      <c r="H70" s="309"/>
      <c r="I70" s="309"/>
      <c r="J70" s="309"/>
      <c r="K70" s="309"/>
      <c r="L70" s="309"/>
      <c r="M70" s="309"/>
      <c r="N70" s="309">
        <f t="shared" si="15"/>
        <v>1.854295</v>
      </c>
      <c r="O70" s="310">
        <f t="shared" si="14"/>
        <v>0</v>
      </c>
      <c r="P70" s="350"/>
    </row>
    <row r="71" ht="14.25" spans="1:16">
      <c r="A71" s="308" t="s">
        <v>167</v>
      </c>
      <c r="B71" s="309">
        <v>0.604221</v>
      </c>
      <c r="C71" s="309">
        <v>0.852804</v>
      </c>
      <c r="D71" s="309">
        <v>0.021165</v>
      </c>
      <c r="E71" s="309"/>
      <c r="F71" s="309"/>
      <c r="G71" s="309"/>
      <c r="H71" s="309"/>
      <c r="I71" s="309"/>
      <c r="J71" s="309"/>
      <c r="K71" s="309"/>
      <c r="L71" s="309">
        <v>0.000607</v>
      </c>
      <c r="M71" s="309"/>
      <c r="N71" s="309">
        <f t="shared" si="15"/>
        <v>1.478797</v>
      </c>
      <c r="O71" s="310">
        <f t="shared" si="14"/>
        <v>0</v>
      </c>
    </row>
    <row r="72" ht="14.25" spans="1:16">
      <c r="A72" s="337" t="s">
        <v>162</v>
      </c>
      <c r="B72" s="338">
        <f t="shared" ref="B72:N72" si="16">SUM(B58:B71)</f>
        <v>106859.710261</v>
      </c>
      <c r="C72" s="338">
        <f t="shared" si="16"/>
        <v>85553.4343840002</v>
      </c>
      <c r="D72" s="338">
        <f t="shared" si="16"/>
        <v>131981.717262</v>
      </c>
      <c r="E72" s="338">
        <f t="shared" si="16"/>
        <v>120629.400194999</v>
      </c>
      <c r="F72" s="338">
        <f t="shared" si="16"/>
        <v>133895.08541176</v>
      </c>
      <c r="G72" s="338">
        <f t="shared" si="16"/>
        <v>143560.93773072</v>
      </c>
      <c r="H72" s="338">
        <f t="shared" si="16"/>
        <v>120362.700643</v>
      </c>
      <c r="I72" s="338">
        <f t="shared" si="16"/>
        <v>133438.752906999</v>
      </c>
      <c r="J72" s="338">
        <f t="shared" si="16"/>
        <v>148767.781941999</v>
      </c>
      <c r="K72" s="338">
        <f t="shared" si="16"/>
        <v>143058.945559001</v>
      </c>
      <c r="L72" s="338">
        <f t="shared" si="16"/>
        <v>174864.922967869</v>
      </c>
      <c r="M72" s="338">
        <f t="shared" si="16"/>
        <v>171269.577136</v>
      </c>
      <c r="N72" s="338">
        <f t="shared" si="16"/>
        <v>1614242.96639935</v>
      </c>
      <c r="O72" s="339">
        <f>N72/$N$72</f>
        <v>1</v>
      </c>
    </row>
    <row r="73" spans="1:16">
      <c r="B73" s="350">
        <f>B72-'GMV销售额波动分析（分月、年）'!H47/10000</f>
        <v>0</v>
      </c>
      <c r="C73" s="350">
        <f>C72-'GMV销售额波动分析（分月、年）'!H48/10000</f>
        <v>1.89174897968769e-10</v>
      </c>
      <c r="D73" s="350">
        <f>D72-'GMV销售额波动分析（分月、年）'!H49/10000</f>
        <v>0</v>
      </c>
      <c r="E73" s="350">
        <f>E72-'GMV销售额波动分析（分月、年）'!H50/10000</f>
        <v>-5.38420863449574e-10</v>
      </c>
      <c r="F73" s="350">
        <f>F72-'GMV销售额波动分析（分月、年）'!H51/10000</f>
        <v>-2.39961082115769e-7</v>
      </c>
      <c r="G73" s="350">
        <f>G72-'GMV销售额波动分析（分月、年）'!H52/10000</f>
        <v>0</v>
      </c>
      <c r="H73" s="350">
        <f>H72-'GMV销售额波动分析（分月、年）'!H53/10000</f>
        <v>0</v>
      </c>
      <c r="I73" s="350">
        <f>I72-'GMV销售额波动分析（分月、年）'!H54/10000</f>
        <v>-1.19325704872608e-9</v>
      </c>
      <c r="J73" s="359">
        <f>J72-'GMV销售额波动分析（分月、年）'!H55/10000</f>
        <v>-1.01863406598568e-9</v>
      </c>
      <c r="K73" s="350">
        <f>K72-'GMV销售额波动分析（分月、年）'!H56/10000</f>
        <v>5.5297277867794e-10</v>
      </c>
      <c r="L73" s="350">
        <f>L72-'GMV销售额波动分析（分月、年）'!H57/10000</f>
        <v>0</v>
      </c>
      <c r="M73" s="350"/>
      <c r="N73" s="342"/>
    </row>
    <row r="74" ht="14.25" spans="1:16">
      <c r="A74" s="299" t="s">
        <v>132</v>
      </c>
    </row>
    <row r="75" ht="14.25" spans="1:16">
      <c r="A75" s="302" t="s">
        <v>138</v>
      </c>
      <c r="B75" s="303" t="s">
        <v>111</v>
      </c>
      <c r="C75" s="303" t="s">
        <v>112</v>
      </c>
      <c r="D75" s="303" t="s">
        <v>113</v>
      </c>
      <c r="E75" s="303" t="s">
        <v>114</v>
      </c>
      <c r="F75" s="303" t="s">
        <v>115</v>
      </c>
      <c r="G75" s="303" t="s">
        <v>116</v>
      </c>
      <c r="H75" s="303" t="s">
        <v>117</v>
      </c>
      <c r="I75" s="303" t="s">
        <v>118</v>
      </c>
      <c r="J75" s="303" t="s">
        <v>119</v>
      </c>
      <c r="K75" s="303" t="s">
        <v>120</v>
      </c>
      <c r="L75" s="303" t="s">
        <v>121</v>
      </c>
      <c r="M75" s="303" t="s">
        <v>122</v>
      </c>
      <c r="N75" s="303" t="s">
        <v>9</v>
      </c>
      <c r="O75" s="304" t="s">
        <v>139</v>
      </c>
    </row>
    <row r="76" spans="1:16">
      <c r="A76" s="308" t="s">
        <v>140</v>
      </c>
      <c r="B76" s="309">
        <f>39423.9753359997+1.8+11366675/10000</f>
        <v>40562.4428359997</v>
      </c>
      <c r="C76" s="309">
        <f>40951.919165+23497269/10000</f>
        <v>43301.646065</v>
      </c>
      <c r="D76" s="309">
        <f>58250.0285839998+19871254/10000</f>
        <v>60237.1539839998</v>
      </c>
      <c r="E76" s="309">
        <f>48818.376555+19827588/10000</f>
        <v>50801.135355</v>
      </c>
      <c r="F76" s="309">
        <f>68007.927959+21357735/10000</f>
        <v>70143.701459</v>
      </c>
      <c r="G76" s="309">
        <f>96605.077184+21327047/10000</f>
        <v>98737.781884</v>
      </c>
      <c r="H76" s="309">
        <f>99417.66+15565600/10000</f>
        <v>100974.22</v>
      </c>
      <c r="I76" s="309">
        <v>105358.420929001</v>
      </c>
      <c r="J76" s="309">
        <f>107367.065018+6695591/10000</f>
        <v>108036.624118</v>
      </c>
      <c r="K76" s="309">
        <v>85420.4747670005</v>
      </c>
      <c r="L76" s="309">
        <v>109719.606124</v>
      </c>
      <c r="M76" s="309">
        <f>107009.96952662-1098882/10000</f>
        <v>106900.08132662</v>
      </c>
      <c r="N76" s="309">
        <f t="shared" ref="N76:N88" si="17">(SUM(B76:M76))</f>
        <v>980193.288847621</v>
      </c>
      <c r="O76" s="360">
        <f t="shared" ref="O76:O89" si="18">ROUND(N76/$N$89,4)</f>
        <v>0.4562</v>
      </c>
    </row>
    <row r="77" spans="1:16">
      <c r="A77" s="308" t="s">
        <v>143</v>
      </c>
      <c r="B77" s="309">
        <v>61176.689828</v>
      </c>
      <c r="C77" s="309">
        <v>57422.6958300001</v>
      </c>
      <c r="D77" s="309">
        <v>81422.115599</v>
      </c>
      <c r="E77" s="309">
        <v>79200.967452</v>
      </c>
      <c r="F77" s="309">
        <v>102417.813369</v>
      </c>
      <c r="G77" s="309">
        <v>110457.437419</v>
      </c>
      <c r="H77" s="309">
        <v>101706.99620419</v>
      </c>
      <c r="I77" s="309">
        <v>145034.008256</v>
      </c>
      <c r="J77" s="309">
        <v>51975.0548100001</v>
      </c>
      <c r="K77" s="309">
        <v>39140.547767</v>
      </c>
      <c r="L77" s="309">
        <f>45786.486366-1490350.88/10000</f>
        <v>45637.451278</v>
      </c>
      <c r="M77" s="309">
        <v>29471.5936947</v>
      </c>
      <c r="N77" s="309">
        <f t="shared" si="17"/>
        <v>905063.37150689</v>
      </c>
      <c r="O77" s="360">
        <f t="shared" si="18"/>
        <v>0.4212</v>
      </c>
    </row>
    <row r="78" spans="1:16">
      <c r="A78" s="308" t="s">
        <v>145</v>
      </c>
      <c r="B78" s="309">
        <v>15572.999289</v>
      </c>
      <c r="C78" s="309">
        <v>16729.527382</v>
      </c>
      <c r="D78" s="309">
        <v>15594.689004</v>
      </c>
      <c r="E78" s="309">
        <v>16881.119455</v>
      </c>
      <c r="F78" s="309">
        <v>14957.635328</v>
      </c>
      <c r="G78" s="309">
        <v>9213.63688500001</v>
      </c>
      <c r="H78" s="309">
        <v>10097.42566378</v>
      </c>
      <c r="I78" s="309">
        <v>9429.074488</v>
      </c>
      <c r="J78" s="309">
        <v>8711.30033700001</v>
      </c>
      <c r="K78" s="309">
        <v>7934.583662</v>
      </c>
      <c r="L78" s="309">
        <v>11842.619873</v>
      </c>
      <c r="M78" s="309">
        <v>7885.96013166001</v>
      </c>
      <c r="N78" s="309">
        <f t="shared" si="17"/>
        <v>144850.57149844</v>
      </c>
      <c r="O78" s="360">
        <f t="shared" si="18"/>
        <v>0.0674</v>
      </c>
    </row>
    <row r="79" spans="1:16">
      <c r="A79" s="356" t="s">
        <v>146</v>
      </c>
      <c r="B79" s="357">
        <v>396.842547</v>
      </c>
      <c r="C79" s="357">
        <v>332.539453</v>
      </c>
      <c r="D79" s="357">
        <v>391.186904</v>
      </c>
      <c r="E79" s="357">
        <v>404.833635</v>
      </c>
      <c r="F79" s="357">
        <v>537.521824</v>
      </c>
      <c r="G79" s="357">
        <v>691.686641</v>
      </c>
      <c r="H79" s="357">
        <v>347.58918629</v>
      </c>
      <c r="I79" s="357">
        <v>351.366804</v>
      </c>
      <c r="J79" s="357">
        <v>270.783659</v>
      </c>
      <c r="K79" s="357">
        <v>293.539611</v>
      </c>
      <c r="L79" s="357">
        <v>1828.934876</v>
      </c>
      <c r="M79" s="357">
        <v>5697.90915380001</v>
      </c>
      <c r="N79" s="357">
        <f t="shared" si="17"/>
        <v>11544.73429409</v>
      </c>
      <c r="O79" s="361">
        <f t="shared" si="18"/>
        <v>0.0054</v>
      </c>
    </row>
    <row r="80" spans="1:16">
      <c r="A80" s="308" t="s">
        <v>150</v>
      </c>
      <c r="B80" s="309">
        <v>4.99998</v>
      </c>
      <c r="C80" s="309">
        <v>1.30409</v>
      </c>
      <c r="D80" s="309">
        <v>8.797984</v>
      </c>
      <c r="E80" s="309">
        <v>10.566873</v>
      </c>
      <c r="F80" s="309">
        <v>11.817944</v>
      </c>
      <c r="G80" s="309">
        <v>209.58694</v>
      </c>
      <c r="H80" s="309">
        <v>267.65737456</v>
      </c>
      <c r="I80" s="309">
        <v>748.74644</v>
      </c>
      <c r="J80" s="309">
        <v>251.181793</v>
      </c>
      <c r="K80" s="309">
        <v>1574.629874</v>
      </c>
      <c r="L80" s="309">
        <v>2197.256594</v>
      </c>
      <c r="M80" s="309">
        <v>1003.5322628</v>
      </c>
      <c r="N80" s="309">
        <f t="shared" si="17"/>
        <v>6290.07814936</v>
      </c>
      <c r="O80" s="360">
        <f t="shared" si="18"/>
        <v>0.0029</v>
      </c>
    </row>
    <row r="81" spans="1:15">
      <c r="A81" s="308" t="s">
        <v>151</v>
      </c>
      <c r="B81" s="309">
        <v>11.41402</v>
      </c>
      <c r="C81" s="309">
        <v>69.565727</v>
      </c>
      <c r="D81" s="309">
        <v>0.007144</v>
      </c>
      <c r="E81" s="309">
        <v>0.006292</v>
      </c>
      <c r="F81" s="309">
        <v>1.073629</v>
      </c>
      <c r="G81" s="309">
        <v>52.738715</v>
      </c>
      <c r="H81" s="309">
        <v>54.05723442</v>
      </c>
      <c r="I81" s="309">
        <v>1.377599</v>
      </c>
      <c r="J81" s="309">
        <v>-0.050824</v>
      </c>
      <c r="K81" s="309">
        <v>3.458081</v>
      </c>
      <c r="L81" s="309">
        <v>182.345536</v>
      </c>
      <c r="M81" s="309">
        <v>21.25146</v>
      </c>
      <c r="N81" s="309">
        <f t="shared" si="17"/>
        <v>397.24461342</v>
      </c>
      <c r="O81" s="360">
        <f t="shared" si="18"/>
        <v>0.0002</v>
      </c>
    </row>
    <row r="82" spans="1:15">
      <c r="A82" s="308" t="s">
        <v>158</v>
      </c>
      <c r="B82" s="309">
        <v>8093.482413</v>
      </c>
      <c r="C82" s="309">
        <v>7839.796938</v>
      </c>
      <c r="D82" s="309">
        <v>9038.038883</v>
      </c>
      <c r="E82" s="309">
        <v>8604.20891</v>
      </c>
      <c r="F82" s="309">
        <v>5654.22605</v>
      </c>
      <c r="G82" s="309">
        <v>6522.93744499999</v>
      </c>
      <c r="H82" s="309">
        <v>5880.65818178</v>
      </c>
      <c r="I82" s="309">
        <v>6786.14172900002</v>
      </c>
      <c r="J82" s="309">
        <v>8013.04335099996</v>
      </c>
      <c r="K82" s="309">
        <v>6656.72799600001</v>
      </c>
      <c r="L82" s="309">
        <v>6529.41880600001</v>
      </c>
      <c r="M82" s="309">
        <v>11977.97440534</v>
      </c>
      <c r="N82" s="309">
        <f t="shared" si="17"/>
        <v>91596.65510812</v>
      </c>
      <c r="O82" s="360">
        <f t="shared" si="18"/>
        <v>0.0426</v>
      </c>
    </row>
    <row r="83" spans="1:15">
      <c r="A83" s="308" t="s">
        <v>165</v>
      </c>
      <c r="B83" s="309">
        <v>179.04565</v>
      </c>
      <c r="C83" s="309">
        <v>110.750487</v>
      </c>
      <c r="D83" s="309">
        <v>27.409568</v>
      </c>
      <c r="E83" s="309">
        <v>160.572945</v>
      </c>
      <c r="F83" s="309">
        <v>67.4845080000001</v>
      </c>
      <c r="G83" s="309">
        <v>138.022322</v>
      </c>
      <c r="H83" s="309">
        <v>51.69140432</v>
      </c>
      <c r="I83" s="309">
        <v>240.159925</v>
      </c>
      <c r="J83" s="309">
        <v>104.456135</v>
      </c>
      <c r="K83" s="309">
        <v>42.425316</v>
      </c>
      <c r="L83" s="309">
        <v>23.733068</v>
      </c>
      <c r="M83" s="309">
        <v>65.64071266</v>
      </c>
      <c r="N83" s="309">
        <f t="shared" si="17"/>
        <v>1211.39204098</v>
      </c>
      <c r="O83" s="360">
        <f t="shared" si="18"/>
        <v>0.0006</v>
      </c>
    </row>
    <row r="84" spans="1:15">
      <c r="A84" s="308" t="s">
        <v>152</v>
      </c>
      <c r="B84" s="309">
        <v>176.456885</v>
      </c>
      <c r="C84" s="309">
        <v>365.177864</v>
      </c>
      <c r="D84" s="309">
        <v>143.585979</v>
      </c>
      <c r="E84" s="309">
        <v>76.936761</v>
      </c>
      <c r="F84" s="309">
        <v>31.692688</v>
      </c>
      <c r="G84" s="309">
        <v>25.153484</v>
      </c>
      <c r="H84" s="309">
        <v>17.94134648</v>
      </c>
      <c r="I84" s="309">
        <v>12.194873</v>
      </c>
      <c r="J84" s="309">
        <v>8.075669</v>
      </c>
      <c r="K84" s="309">
        <v>9.757343</v>
      </c>
      <c r="L84" s="309">
        <v>15.530333</v>
      </c>
      <c r="M84" s="309">
        <v>31.2558164</v>
      </c>
      <c r="N84" s="309">
        <f t="shared" si="17"/>
        <v>913.75904188</v>
      </c>
      <c r="O84" s="360">
        <f t="shared" si="18"/>
        <v>0.0004</v>
      </c>
    </row>
    <row r="85" spans="1:15">
      <c r="A85" s="308" t="s">
        <v>159</v>
      </c>
      <c r="B85" s="309">
        <v>356.474027</v>
      </c>
      <c r="C85" s="309">
        <v>316.987258</v>
      </c>
      <c r="D85" s="309">
        <v>276.193861</v>
      </c>
      <c r="E85" s="309">
        <v>329.629433</v>
      </c>
      <c r="F85" s="309">
        <v>505.641555999999</v>
      </c>
      <c r="G85" s="309">
        <v>634.277972999999</v>
      </c>
      <c r="H85" s="309">
        <v>765.0515118</v>
      </c>
      <c r="I85" s="309">
        <v>605.179016999998</v>
      </c>
      <c r="J85" s="309">
        <v>256.051565</v>
      </c>
      <c r="K85" s="309">
        <v>448.391746999999</v>
      </c>
      <c r="L85" s="309">
        <v>382.92694</v>
      </c>
      <c r="M85" s="309">
        <v>959.513459999999</v>
      </c>
      <c r="N85" s="309">
        <f t="shared" si="17"/>
        <v>5836.31834879999</v>
      </c>
      <c r="O85" s="360">
        <f t="shared" si="18"/>
        <v>0.0027</v>
      </c>
    </row>
    <row r="86" spans="1:15">
      <c r="A86" s="308" t="s">
        <v>164</v>
      </c>
      <c r="B86" s="309">
        <v>30.220819</v>
      </c>
      <c r="C86" s="309">
        <v>8.815927</v>
      </c>
      <c r="D86" s="309">
        <v>20.533129</v>
      </c>
      <c r="E86" s="309">
        <v>40.769859</v>
      </c>
      <c r="F86" s="309">
        <v>15.823194</v>
      </c>
      <c r="G86" s="309">
        <v>19.139784</v>
      </c>
      <c r="H86" s="309">
        <v>64.819123</v>
      </c>
      <c r="I86" s="309">
        <v>102.589424</v>
      </c>
      <c r="J86" s="309">
        <v>85.2227200000002</v>
      </c>
      <c r="K86" s="309">
        <v>87.7702890000001</v>
      </c>
      <c r="L86" s="309">
        <v>35.354799</v>
      </c>
      <c r="M86" s="309">
        <v>38.590306</v>
      </c>
      <c r="N86" s="309">
        <f t="shared" si="17"/>
        <v>549.649373</v>
      </c>
      <c r="O86" s="360">
        <f t="shared" si="18"/>
        <v>0.0003</v>
      </c>
    </row>
    <row r="87" spans="1:15">
      <c r="A87" s="308" t="s">
        <v>168</v>
      </c>
      <c r="B87" s="309">
        <v>11.19466</v>
      </c>
      <c r="C87" s="309">
        <v>15.14335</v>
      </c>
      <c r="D87" s="309">
        <v>10.103145</v>
      </c>
      <c r="E87" s="309">
        <v>11.250786</v>
      </c>
      <c r="F87" s="309">
        <v>10.332308</v>
      </c>
      <c r="G87" s="309">
        <v>111.236536</v>
      </c>
      <c r="H87" s="309">
        <v>4.803363</v>
      </c>
      <c r="I87" s="309">
        <v>105.815941</v>
      </c>
      <c r="J87" s="309">
        <v>0.90577</v>
      </c>
      <c r="K87" s="309">
        <v>0</v>
      </c>
      <c r="L87" s="309">
        <v>0.050483</v>
      </c>
      <c r="M87" s="309">
        <v>0.524047</v>
      </c>
      <c r="N87" s="309">
        <f t="shared" si="17"/>
        <v>281.360389</v>
      </c>
      <c r="O87" s="360">
        <f t="shared" si="18"/>
        <v>0.0001</v>
      </c>
    </row>
    <row r="88" ht="14.25" spans="1:15">
      <c r="A88" s="308" t="s">
        <v>169</v>
      </c>
      <c r="B88" s="309">
        <v>0.0311</v>
      </c>
      <c r="C88" s="309">
        <v>0.0055</v>
      </c>
      <c r="D88" s="309">
        <v>0.0025</v>
      </c>
      <c r="E88" s="309">
        <v>0.006</v>
      </c>
      <c r="F88" s="309">
        <v>3.1065</v>
      </c>
      <c r="G88" s="309">
        <v>0.0015</v>
      </c>
      <c r="H88" s="309">
        <v>0.0035</v>
      </c>
      <c r="I88" s="309">
        <v>0.001</v>
      </c>
      <c r="J88" s="309">
        <v>0.002</v>
      </c>
      <c r="K88" s="309">
        <v>0.001</v>
      </c>
      <c r="L88" s="309">
        <v>0.001</v>
      </c>
      <c r="M88" s="309">
        <v>0</v>
      </c>
      <c r="N88" s="309">
        <f t="shared" si="17"/>
        <v>3.1616</v>
      </c>
      <c r="O88" s="360">
        <f t="shared" si="18"/>
        <v>0</v>
      </c>
    </row>
    <row r="89" ht="14.25" spans="1:15">
      <c r="A89" s="337" t="s">
        <v>162</v>
      </c>
      <c r="B89" s="338">
        <f t="shared" ref="B89:N89" si="19">SUM(B76:B88)</f>
        <v>126572.294054</v>
      </c>
      <c r="C89" s="338">
        <f t="shared" si="19"/>
        <v>126513.955871</v>
      </c>
      <c r="D89" s="338">
        <f t="shared" si="19"/>
        <v>167169.817684</v>
      </c>
      <c r="E89" s="338">
        <f t="shared" si="19"/>
        <v>156522.003756</v>
      </c>
      <c r="F89" s="338">
        <f t="shared" si="19"/>
        <v>194357.870357</v>
      </c>
      <c r="G89" s="338">
        <f t="shared" si="19"/>
        <v>226813.637528</v>
      </c>
      <c r="H89" s="338">
        <f t="shared" si="19"/>
        <v>220232.91409362</v>
      </c>
      <c r="I89" s="338">
        <f t="shared" si="19"/>
        <v>268775.076425001</v>
      </c>
      <c r="J89" s="338">
        <f t="shared" si="19"/>
        <v>177712.651103</v>
      </c>
      <c r="K89" s="338">
        <f t="shared" si="19"/>
        <v>141612.307453</v>
      </c>
      <c r="L89" s="338">
        <f t="shared" si="19"/>
        <v>178395.22971</v>
      </c>
      <c r="M89" s="338">
        <f t="shared" si="19"/>
        <v>164053.82677698</v>
      </c>
      <c r="N89" s="338">
        <f t="shared" si="19"/>
        <v>2148731.5848116</v>
      </c>
      <c r="O89" s="362">
        <f t="shared" si="18"/>
        <v>1</v>
      </c>
    </row>
    <row r="90" spans="1:15">
      <c r="L90" s="351">
        <f>L89-'GMV销售额波动分析（分月、年）'!H72/10000</f>
        <v>0</v>
      </c>
      <c r="N90" s="351">
        <f>N89-SUM('GMV销售额波动分析（分月、年）'!H62:H73)/10000</f>
        <v>-3.01506370306015e-5</v>
      </c>
    </row>
    <row r="91" ht="14.25" spans="1:15">
      <c r="A91" s="299" t="s">
        <v>170</v>
      </c>
    </row>
    <row r="92" ht="14.25" spans="1:15">
      <c r="A92" s="302" t="s">
        <v>138</v>
      </c>
      <c r="B92" s="303" t="s">
        <v>111</v>
      </c>
      <c r="C92" s="303" t="s">
        <v>112</v>
      </c>
      <c r="D92" s="303" t="s">
        <v>113</v>
      </c>
      <c r="E92" s="303" t="s">
        <v>114</v>
      </c>
      <c r="F92" s="303" t="s">
        <v>115</v>
      </c>
      <c r="G92" s="303" t="s">
        <v>116</v>
      </c>
      <c r="H92" s="303" t="s">
        <v>117</v>
      </c>
      <c r="I92" s="303" t="s">
        <v>118</v>
      </c>
      <c r="J92" s="303" t="s">
        <v>119</v>
      </c>
      <c r="K92" s="303" t="s">
        <v>120</v>
      </c>
      <c r="L92" s="303" t="s">
        <v>121</v>
      </c>
      <c r="M92" s="303" t="s">
        <v>122</v>
      </c>
      <c r="N92" s="303" t="s">
        <v>9</v>
      </c>
      <c r="O92" s="304" t="s">
        <v>139</v>
      </c>
    </row>
    <row r="93" spans="1:15">
      <c r="A93" s="308" t="s">
        <v>171</v>
      </c>
      <c r="B93" s="309">
        <f>78680.400901+85.91-74719884.22/10000</f>
        <v>71294.322479</v>
      </c>
      <c r="C93" s="309">
        <f>92825.248135-25783045.72/10000</f>
        <v>90246.943563</v>
      </c>
      <c r="D93" s="309">
        <f>105162.588587+7.89-109693990.11/10000</f>
        <v>94201.079576</v>
      </c>
      <c r="E93" s="309">
        <f>97371.774742+0.6026-63605902.13/10000</f>
        <v>91011.787129</v>
      </c>
      <c r="F93" s="309">
        <f>68842.153984-0.52-50369337.9/10000</f>
        <v>63804.700194</v>
      </c>
      <c r="G93" s="309">
        <f>59099.8122899998+31484467.16/10000+8.29-34408693.89/10000</f>
        <v>58815.6796169998</v>
      </c>
      <c r="H93" s="309">
        <f>37665.855537-40538243.73/10000</f>
        <v>33612.031164</v>
      </c>
      <c r="I93" s="309">
        <f>42558.544539-44690221.03/10000</f>
        <v>38089.522436</v>
      </c>
      <c r="J93" s="309">
        <f>45183.57061+134070.57/10000-78063313.07/10000</f>
        <v>37390.64636</v>
      </c>
      <c r="K93" s="309">
        <f>41079.293538-10179102.11/10000</f>
        <v>40061.383327</v>
      </c>
      <c r="L93" s="309">
        <f>46761.208714+83997.87/10000-73096942.4/10000</f>
        <v>39459.914261</v>
      </c>
      <c r="M93" s="309">
        <f>55434.034117-99213147.59/10000</f>
        <v>45512.719358</v>
      </c>
      <c r="N93" s="309">
        <f t="shared" ref="N93:N106" si="20">(SUM(B93:J93))</f>
        <v>578466.712518</v>
      </c>
      <c r="O93" s="360">
        <f t="shared" ref="O93:O107" si="21">N93/$N$107</f>
        <v>0.539766246181484</v>
      </c>
    </row>
    <row r="94" spans="1:15">
      <c r="A94" s="308" t="s">
        <v>143</v>
      </c>
      <c r="B94" s="309">
        <v>17676.32764</v>
      </c>
      <c r="C94" s="309">
        <v>15046.748249</v>
      </c>
      <c r="D94" s="309">
        <v>22011.813144</v>
      </c>
      <c r="E94" s="309">
        <v>18856.75431</v>
      </c>
      <c r="F94" s="309">
        <v>36867.657973</v>
      </c>
      <c r="G94" s="309">
        <v>49393.267301</v>
      </c>
      <c r="H94" s="309">
        <v>50846.398667</v>
      </c>
      <c r="I94" s="309">
        <f>41494.864346+72.719472</f>
        <v>41567.583818</v>
      </c>
      <c r="J94" s="309">
        <v>51591.896018</v>
      </c>
      <c r="K94" s="309">
        <v>57234.206567</v>
      </c>
      <c r="L94" s="309">
        <v>62757.925718</v>
      </c>
      <c r="M94" s="309">
        <v>59950.40661</v>
      </c>
      <c r="N94" s="309">
        <f t="shared" si="20"/>
        <v>303858.44712</v>
      </c>
      <c r="O94" s="360">
        <f t="shared" si="21"/>
        <v>0.28352976899668</v>
      </c>
    </row>
    <row r="95" spans="1:15">
      <c r="A95" s="308" t="s">
        <v>145</v>
      </c>
      <c r="B95" s="309">
        <v>12208.547389</v>
      </c>
      <c r="C95" s="309">
        <f>12603.12774-91.11</f>
        <v>12512.01774</v>
      </c>
      <c r="D95" s="309">
        <v>13439.305915</v>
      </c>
      <c r="E95" s="309">
        <v>13470.142379</v>
      </c>
      <c r="F95" s="309">
        <v>14860.018481</v>
      </c>
      <c r="G95" s="309">
        <v>16925.179597</v>
      </c>
      <c r="H95" s="309">
        <v>16200.158007</v>
      </c>
      <c r="I95" s="309">
        <v>15361.31817504</v>
      </c>
      <c r="J95" s="309">
        <v>14191.907152</v>
      </c>
      <c r="K95" s="309">
        <v>16833.535986</v>
      </c>
      <c r="L95" s="309">
        <v>23264.896348</v>
      </c>
      <c r="M95" s="309">
        <v>19603.237424</v>
      </c>
      <c r="N95" s="309">
        <f t="shared" si="20"/>
        <v>129168.59483504</v>
      </c>
      <c r="O95" s="360">
        <f t="shared" si="21"/>
        <v>0.120526982884045</v>
      </c>
    </row>
    <row r="96" spans="1:15">
      <c r="A96" s="308" t="s">
        <v>146</v>
      </c>
      <c r="B96" s="309">
        <v>608.582261</v>
      </c>
      <c r="C96" s="309">
        <v>503.593948</v>
      </c>
      <c r="D96" s="309">
        <v>254.744999</v>
      </c>
      <c r="E96" s="309">
        <v>333.546205</v>
      </c>
      <c r="F96" s="309">
        <v>308.757633</v>
      </c>
      <c r="G96" s="309">
        <v>349.664227</v>
      </c>
      <c r="H96" s="309">
        <v>10.906277</v>
      </c>
      <c r="I96" s="309">
        <v>10.597887</v>
      </c>
      <c r="J96" s="309">
        <v>334.460233</v>
      </c>
      <c r="K96" s="309">
        <v>669.264094</v>
      </c>
      <c r="L96" s="309">
        <v>480.252365</v>
      </c>
      <c r="M96" s="309">
        <v>409.157721</v>
      </c>
      <c r="N96" s="309">
        <f t="shared" si="20"/>
        <v>2714.85367</v>
      </c>
      <c r="O96" s="360">
        <f t="shared" si="21"/>
        <v>0.00253322506321801</v>
      </c>
    </row>
    <row r="97" spans="1:15">
      <c r="A97" s="308" t="s">
        <v>147</v>
      </c>
      <c r="B97" s="309">
        <v>2351.696414</v>
      </c>
      <c r="C97" s="309">
        <v>2279.52215</v>
      </c>
      <c r="D97" s="309">
        <v>4459.047262</v>
      </c>
      <c r="E97" s="309">
        <v>4231.754246</v>
      </c>
      <c r="F97" s="309">
        <v>4074.668833</v>
      </c>
      <c r="G97" s="309">
        <v>6094.13915499999</v>
      </c>
      <c r="H97" s="309">
        <v>6568.246399</v>
      </c>
      <c r="I97" s="309">
        <v>6790.007964</v>
      </c>
      <c r="J97" s="309">
        <v>3917.434956</v>
      </c>
      <c r="K97" s="309">
        <v>4764.886368</v>
      </c>
      <c r="L97" s="309">
        <v>3378.436763</v>
      </c>
      <c r="M97" s="309">
        <v>-0.01655</v>
      </c>
      <c r="N97" s="309">
        <f t="shared" si="20"/>
        <v>40766.517379</v>
      </c>
      <c r="O97" s="360">
        <f t="shared" si="21"/>
        <v>0.0380391638436246</v>
      </c>
    </row>
    <row r="98" spans="1:15">
      <c r="A98" s="308" t="s">
        <v>172</v>
      </c>
      <c r="B98" s="309">
        <v>4001.105558</v>
      </c>
      <c r="C98" s="309">
        <v>4641.30334</v>
      </c>
      <c r="D98" s="309">
        <v>888.475235</v>
      </c>
      <c r="E98" s="309"/>
      <c r="F98" s="309"/>
      <c r="G98" s="309"/>
      <c r="H98" s="309"/>
      <c r="I98" s="309"/>
      <c r="J98" s="309"/>
      <c r="K98" s="309"/>
      <c r="L98" s="309"/>
      <c r="M98" s="309"/>
      <c r="N98" s="309">
        <f t="shared" si="20"/>
        <v>9530.884133</v>
      </c>
      <c r="O98" s="360">
        <f t="shared" si="21"/>
        <v>0.00889325079548117</v>
      </c>
    </row>
    <row r="99" spans="1:15">
      <c r="A99" s="308" t="s">
        <v>165</v>
      </c>
      <c r="B99" s="309">
        <v>176.965766</v>
      </c>
      <c r="C99" s="309">
        <v>264.600297</v>
      </c>
      <c r="D99" s="309">
        <v>111.696288</v>
      </c>
      <c r="E99" s="309">
        <v>122.031221</v>
      </c>
      <c r="F99" s="309">
        <v>271.526898</v>
      </c>
      <c r="G99" s="309">
        <v>636.00335</v>
      </c>
      <c r="H99" s="309">
        <v>0.027307</v>
      </c>
      <c r="I99" s="309">
        <v>0.407394</v>
      </c>
      <c r="J99" s="309">
        <v>112.806869</v>
      </c>
      <c r="K99" s="309">
        <v>434.716503</v>
      </c>
      <c r="L99" s="309">
        <v>185.123516</v>
      </c>
      <c r="M99" s="309">
        <v>689.010282</v>
      </c>
      <c r="N99" s="309">
        <f t="shared" si="20"/>
        <v>1696.06539</v>
      </c>
      <c r="O99" s="360">
        <f t="shared" si="21"/>
        <v>0.00158259555654233</v>
      </c>
    </row>
    <row r="100" spans="1:15">
      <c r="A100" s="308" t="s">
        <v>152</v>
      </c>
      <c r="B100" s="309">
        <v>88.226893</v>
      </c>
      <c r="C100" s="309">
        <v>144.049771</v>
      </c>
      <c r="D100" s="309">
        <v>194.451793</v>
      </c>
      <c r="E100" s="309">
        <v>148.454055</v>
      </c>
      <c r="F100" s="309">
        <v>32.871628</v>
      </c>
      <c r="G100" s="309">
        <v>55.179119</v>
      </c>
      <c r="H100" s="309">
        <v>76.697604</v>
      </c>
      <c r="I100" s="309">
        <v>142.834473</v>
      </c>
      <c r="J100" s="309">
        <v>117.741053</v>
      </c>
      <c r="K100" s="309">
        <v>149.261963</v>
      </c>
      <c r="L100" s="309">
        <v>222.245207</v>
      </c>
      <c r="M100" s="309">
        <v>244.634043</v>
      </c>
      <c r="N100" s="309">
        <f t="shared" si="20"/>
        <v>1000.506389</v>
      </c>
      <c r="O100" s="360">
        <f t="shared" si="21"/>
        <v>0.000933570707155112</v>
      </c>
    </row>
    <row r="101" spans="1:15">
      <c r="A101" s="308" t="s">
        <v>158</v>
      </c>
      <c r="B101" s="309">
        <v>218.590095</v>
      </c>
      <c r="C101" s="309">
        <v>75.498498</v>
      </c>
      <c r="D101" s="309">
        <v>119.343017</v>
      </c>
      <c r="E101" s="309">
        <v>82.905622</v>
      </c>
      <c r="F101" s="309">
        <v>230.031951</v>
      </c>
      <c r="G101" s="309">
        <v>476.282138</v>
      </c>
      <c r="H101" s="309">
        <v>102.148096</v>
      </c>
      <c r="I101" s="309">
        <v>393.482379</v>
      </c>
      <c r="J101" s="309">
        <v>168.016417</v>
      </c>
      <c r="K101" s="309">
        <v>354.048841</v>
      </c>
      <c r="L101" s="309">
        <v>1536.101755</v>
      </c>
      <c r="M101" s="309">
        <v>7470.357291</v>
      </c>
      <c r="N101" s="309">
        <f t="shared" si="20"/>
        <v>1866.298213</v>
      </c>
      <c r="O101" s="360">
        <f t="shared" si="21"/>
        <v>0.00174143949666745</v>
      </c>
    </row>
    <row r="102" spans="1:15">
      <c r="A102" s="308" t="s">
        <v>173</v>
      </c>
      <c r="B102" s="309">
        <v>49.645955</v>
      </c>
      <c r="C102" s="309">
        <v>50.866252</v>
      </c>
      <c r="D102" s="309">
        <v>210.11419</v>
      </c>
      <c r="E102" s="309">
        <v>119.915725</v>
      </c>
      <c r="F102" s="309">
        <v>32.158862</v>
      </c>
      <c r="G102" s="309">
        <v>22.375904</v>
      </c>
      <c r="H102" s="309">
        <f>170.154629+8.35/10000</f>
        <v>170.155464</v>
      </c>
      <c r="I102" s="309">
        <v>13.872562</v>
      </c>
      <c r="J102" s="309">
        <v>20.104893</v>
      </c>
      <c r="K102" s="309">
        <v>15.716167</v>
      </c>
      <c r="L102" s="309">
        <v>25.751411</v>
      </c>
      <c r="M102" s="309">
        <v>24.026338</v>
      </c>
      <c r="N102" s="309">
        <f t="shared" si="20"/>
        <v>689.209807</v>
      </c>
      <c r="O102" s="360">
        <f t="shared" si="21"/>
        <v>0.000643100427916636</v>
      </c>
    </row>
    <row r="103" spans="1:15">
      <c r="A103" s="308" t="s">
        <v>168</v>
      </c>
      <c r="B103" s="309">
        <v>64.371113</v>
      </c>
      <c r="C103" s="309">
        <v>144.494881</v>
      </c>
      <c r="D103" s="309">
        <v>51.030485</v>
      </c>
      <c r="E103" s="309">
        <v>75.733586</v>
      </c>
      <c r="F103" s="309">
        <v>74.506003</v>
      </c>
      <c r="G103" s="309">
        <v>211.594682</v>
      </c>
      <c r="H103" s="309">
        <v>58.798072</v>
      </c>
      <c r="I103" s="309">
        <v>21.061007</v>
      </c>
      <c r="J103" s="309">
        <v>26.467035</v>
      </c>
      <c r="K103" s="309">
        <v>9.645272</v>
      </c>
      <c r="L103" s="309">
        <v>3.994273</v>
      </c>
      <c r="M103" s="309">
        <v>3.359208</v>
      </c>
      <c r="N103" s="309">
        <f t="shared" si="20"/>
        <v>728.056864</v>
      </c>
      <c r="O103" s="360">
        <f t="shared" si="21"/>
        <v>0.000679348546742377</v>
      </c>
    </row>
    <row r="104" spans="1:15">
      <c r="A104" s="308" t="s">
        <v>174</v>
      </c>
      <c r="B104" s="309">
        <v>10.49314</v>
      </c>
      <c r="C104" s="309">
        <v>27.677465</v>
      </c>
      <c r="D104" s="309">
        <v>144.01537</v>
      </c>
      <c r="E104" s="309">
        <v>2.0875</v>
      </c>
      <c r="F104" s="309">
        <v>0.17729</v>
      </c>
      <c r="G104" s="309"/>
      <c r="H104" s="309"/>
      <c r="I104" s="309"/>
      <c r="J104" s="309"/>
      <c r="K104" s="309"/>
      <c r="L104" s="309"/>
      <c r="M104" s="309"/>
      <c r="N104" s="309">
        <f t="shared" si="20"/>
        <v>184.450765</v>
      </c>
      <c r="O104" s="360">
        <f t="shared" si="21"/>
        <v>0.00017211067616316</v>
      </c>
    </row>
    <row r="105" spans="1:15">
      <c r="A105" s="308" t="s">
        <v>159</v>
      </c>
      <c r="B105" s="309">
        <v>38.563642</v>
      </c>
      <c r="C105" s="309">
        <v>33.873994</v>
      </c>
      <c r="D105" s="309">
        <v>78.748283</v>
      </c>
      <c r="E105" s="309">
        <v>122.11397</v>
      </c>
      <c r="F105" s="309">
        <v>131.273892</v>
      </c>
      <c r="G105" s="309">
        <v>149.407141</v>
      </c>
      <c r="H105" s="309">
        <v>130.736675</v>
      </c>
      <c r="I105" s="309">
        <v>70.859398</v>
      </c>
      <c r="J105" s="309">
        <v>82.148039</v>
      </c>
      <c r="K105" s="309">
        <v>72.61943</v>
      </c>
      <c r="L105" s="309">
        <v>113.46603</v>
      </c>
      <c r="M105" s="309">
        <v>211.680456</v>
      </c>
      <c r="N105" s="309">
        <f t="shared" si="20"/>
        <v>837.725034</v>
      </c>
      <c r="O105" s="360">
        <f t="shared" si="21"/>
        <v>0.000781679718382008</v>
      </c>
    </row>
    <row r="106" ht="14.25" spans="1:15">
      <c r="A106" s="308" t="s">
        <v>169</v>
      </c>
      <c r="B106" s="309">
        <v>68.125834</v>
      </c>
      <c r="C106" s="309">
        <v>7.349344</v>
      </c>
      <c r="D106" s="309">
        <v>39.8535</v>
      </c>
      <c r="E106" s="309">
        <v>12.769822</v>
      </c>
      <c r="F106" s="309">
        <v>11.290725</v>
      </c>
      <c r="G106" s="309">
        <v>13.800103</v>
      </c>
      <c r="H106" s="309">
        <v>35.37</v>
      </c>
      <c r="I106" s="309">
        <v>0.9138</v>
      </c>
      <c r="J106" s="309">
        <v>0.7717</v>
      </c>
      <c r="K106" s="309">
        <v>0.4323</v>
      </c>
      <c r="L106" s="309">
        <v>38.96075</v>
      </c>
      <c r="M106" s="309">
        <v>0.0447</v>
      </c>
      <c r="N106" s="309">
        <f t="shared" si="20"/>
        <v>190.244828</v>
      </c>
      <c r="O106" s="360">
        <f t="shared" si="21"/>
        <v>0.000177517105898824</v>
      </c>
    </row>
    <row r="107" ht="14.25" spans="1:15">
      <c r="A107" s="363" t="s">
        <v>162</v>
      </c>
      <c r="B107" s="364">
        <f t="shared" ref="B107:N107" si="22">SUM(B93:B106)</f>
        <v>108855.564179</v>
      </c>
      <c r="C107" s="364">
        <f t="shared" si="22"/>
        <v>125978.539492</v>
      </c>
      <c r="D107" s="364">
        <f t="shared" si="22"/>
        <v>136203.719057</v>
      </c>
      <c r="E107" s="364">
        <f t="shared" si="22"/>
        <v>128589.99577</v>
      </c>
      <c r="F107" s="364">
        <f t="shared" si="22"/>
        <v>120699.640363</v>
      </c>
      <c r="G107" s="364">
        <f t="shared" si="22"/>
        <v>133142.572334</v>
      </c>
      <c r="H107" s="364">
        <f t="shared" si="22"/>
        <v>107811.673732</v>
      </c>
      <c r="I107" s="364">
        <f t="shared" si="22"/>
        <v>102462.46129304</v>
      </c>
      <c r="J107" s="364">
        <f t="shared" si="22"/>
        <v>107954.400725</v>
      </c>
      <c r="K107" s="364">
        <f t="shared" si="22"/>
        <v>120599.716818</v>
      </c>
      <c r="L107" s="364">
        <f t="shared" si="22"/>
        <v>131467.068397</v>
      </c>
      <c r="M107" s="364">
        <f t="shared" si="22"/>
        <v>134118.616881</v>
      </c>
      <c r="N107" s="364">
        <f t="shared" si="22"/>
        <v>1071698.56694504</v>
      </c>
      <c r="O107" s="365">
        <f t="shared" si="21"/>
        <v>1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BE75"/>
  <sheetViews>
    <sheetView workbookViewId="0">
      <pane ySplit="5" topLeftCell="A45" activePane="bottomLeft" state="frozen"/>
      <selection/>
      <selection pane="bottomLeft" activeCell="K73" sqref="K73"/>
    </sheetView>
  </sheetViews>
  <sheetFormatPr defaultColWidth="8.89166666666667" defaultRowHeight="13.5"/>
  <cols>
    <col min="1" max="1" width="9.875" style="54"/>
    <col min="2" max="2" width="10.3833333333333" style="54"/>
    <col min="3" max="3" width="11.2583333333333" style="54"/>
    <col min="4" max="5" width="10.3833333333333" style="54"/>
    <col min="6" max="6" width="16.6333333333333" style="57" customWidth="1"/>
    <col min="7" max="7" width="3" style="54" customWidth="1"/>
    <col min="8" max="8" width="10.3833333333333" style="54" customWidth="1"/>
    <col min="9" max="11" width="8.89166666666667" style="94" customWidth="1"/>
    <col min="12" max="12" width="10.3833333333333" style="94" customWidth="1"/>
    <col min="13" max="13" width="9.63333333333333" style="94" customWidth="1"/>
    <col min="14" max="14" width="8.125" style="54" customWidth="1"/>
    <col min="15" max="15" width="11.875" style="18" customWidth="1"/>
    <col min="16" max="16" width="12.6333333333333" style="133"/>
    <col min="17" max="20" width="13.2583333333333" style="133" customWidth="1"/>
    <col min="21" max="21" width="12.1333333333333" style="53"/>
    <col min="22" max="22" width="10.3833333333333" style="53"/>
    <col min="23" max="29" width="8.89166666666667" style="53"/>
    <col min="57" max="57" width="12.6333333333333"/>
  </cols>
  <sheetData>
    <row r="1" spans="1:57">
      <c r="A1" s="54" t="s">
        <v>175</v>
      </c>
    </row>
    <row r="2" spans="1:57">
      <c r="A2" s="54" t="s">
        <v>4</v>
      </c>
    </row>
    <row r="3" spans="1:57">
      <c r="A3" s="54" t="s">
        <v>10</v>
      </c>
    </row>
    <row r="4" spans="1:57">
      <c r="A4" s="54" t="s">
        <v>176</v>
      </c>
      <c r="H4" s="54" t="s">
        <v>177</v>
      </c>
    </row>
    <row r="5" spans="1:57">
      <c r="A5" s="54" t="s">
        <v>5</v>
      </c>
      <c r="B5" s="55" t="s">
        <v>6</v>
      </c>
      <c r="C5" s="55" t="s">
        <v>7</v>
      </c>
      <c r="D5" s="55" t="s">
        <v>8</v>
      </c>
      <c r="E5" s="55" t="s">
        <v>14</v>
      </c>
      <c r="F5" s="57" t="s">
        <v>178</v>
      </c>
      <c r="H5" s="54" t="s">
        <v>5</v>
      </c>
      <c r="I5" s="94" t="s">
        <v>6</v>
      </c>
      <c r="J5" s="94" t="s">
        <v>7</v>
      </c>
      <c r="K5" s="94" t="s">
        <v>8</v>
      </c>
      <c r="L5" s="94" t="s">
        <v>14</v>
      </c>
      <c r="M5" s="94" t="s">
        <v>178</v>
      </c>
      <c r="O5" s="290" t="s">
        <v>179</v>
      </c>
      <c r="P5" s="133" t="s">
        <v>6</v>
      </c>
      <c r="Q5" s="133" t="s">
        <v>7</v>
      </c>
      <c r="R5" s="133" t="s">
        <v>8</v>
      </c>
      <c r="S5" s="133" t="s">
        <v>14</v>
      </c>
      <c r="T5" s="133" t="s">
        <v>178</v>
      </c>
    </row>
    <row r="6" hidden="1" spans="1:57">
      <c r="A6" s="148">
        <v>44562</v>
      </c>
      <c r="B6" s="291">
        <v>15562.122011</v>
      </c>
      <c r="C6" s="291">
        <v>41149.968324</v>
      </c>
      <c r="D6" s="291">
        <v>32432.044829</v>
      </c>
      <c r="E6" s="291">
        <v>17715.575097</v>
      </c>
      <c r="F6" s="291">
        <f t="shared" ref="F6:F45" si="0">SUM(B6:E6)</f>
        <v>106859.710261</v>
      </c>
      <c r="H6" s="110">
        <v>44562</v>
      </c>
      <c r="I6" s="94">
        <v>4387.85456700013</v>
      </c>
      <c r="J6" s="94">
        <v>0</v>
      </c>
      <c r="K6" s="94">
        <f>4192.779187-10700876.86/10000</f>
        <v>3122.691501</v>
      </c>
      <c r="L6" s="94">
        <v>5.083477</v>
      </c>
      <c r="M6" s="94">
        <f t="shared" ref="M6:M45" si="1">SUM(I6:L6)</f>
        <v>7515.62954500013</v>
      </c>
      <c r="O6" s="137" t="s">
        <v>180</v>
      </c>
      <c r="P6" s="133">
        <f>B6</f>
        <v>15562.122011</v>
      </c>
      <c r="Q6" s="133">
        <f>C6</f>
        <v>41149.968324</v>
      </c>
      <c r="R6" s="133">
        <f>D6</f>
        <v>32432.044829</v>
      </c>
      <c r="S6" s="133">
        <f>E6</f>
        <v>17715.575097</v>
      </c>
      <c r="T6" s="133">
        <f>SUM(P6:S6)</f>
        <v>106859.710261</v>
      </c>
      <c r="U6" s="53">
        <f>F6-T6</f>
        <v>0</v>
      </c>
    </row>
    <row r="7" hidden="1" spans="1:57">
      <c r="A7" s="148">
        <v>44593</v>
      </c>
      <c r="B7" s="291">
        <v>14076.504802</v>
      </c>
      <c r="C7" s="291">
        <v>31152.277129</v>
      </c>
      <c r="D7" s="291">
        <v>25233.803133</v>
      </c>
      <c r="E7" s="291">
        <v>15090.84932</v>
      </c>
      <c r="F7" s="291">
        <f t="shared" si="0"/>
        <v>85553.434384</v>
      </c>
      <c r="H7" s="110">
        <v>44593</v>
      </c>
      <c r="I7" s="94">
        <v>5990.082113</v>
      </c>
      <c r="J7" s="94">
        <v>0</v>
      </c>
      <c r="K7" s="94">
        <v>4623.525203</v>
      </c>
      <c r="L7" s="94">
        <v>5.140155</v>
      </c>
      <c r="M7" s="94">
        <f t="shared" si="1"/>
        <v>10618.747471</v>
      </c>
      <c r="O7" s="137" t="s">
        <v>181</v>
      </c>
      <c r="P7" s="133">
        <f>SUM(B6:B7)</f>
        <v>29638.626813</v>
      </c>
      <c r="Q7" s="133">
        <f>SUM(C6:C7)</f>
        <v>72302.245453</v>
      </c>
      <c r="R7" s="133">
        <f>SUM(D6:D7)</f>
        <v>57665.847962</v>
      </c>
      <c r="S7" s="133">
        <f>SUM(E6:E7)</f>
        <v>32806.424417</v>
      </c>
      <c r="T7" s="133">
        <f>SUM(P7:S7)</f>
        <v>192413.144645</v>
      </c>
      <c r="U7" s="53">
        <f>F6+F7-T7</f>
        <v>0</v>
      </c>
    </row>
    <row r="8" hidden="1" spans="1:57">
      <c r="A8" s="148">
        <v>44621</v>
      </c>
      <c r="B8" s="291">
        <v>12114.914354</v>
      </c>
      <c r="C8" s="291">
        <v>42817.482</v>
      </c>
      <c r="D8" s="291">
        <v>44380.459011</v>
      </c>
      <c r="E8" s="291">
        <v>32668.861897</v>
      </c>
      <c r="F8" s="291">
        <f t="shared" si="0"/>
        <v>131981.717262</v>
      </c>
      <c r="H8" s="110">
        <v>44621</v>
      </c>
      <c r="I8" s="94">
        <v>2088.91519199987</v>
      </c>
      <c r="J8" s="94">
        <v>0</v>
      </c>
      <c r="K8" s="94">
        <v>4915.63103</v>
      </c>
      <c r="L8" s="94">
        <v>11.129806</v>
      </c>
      <c r="M8" s="94">
        <f t="shared" si="1"/>
        <v>7015.67602799987</v>
      </c>
      <c r="O8" s="137" t="s">
        <v>182</v>
      </c>
      <c r="P8" s="133">
        <f>SUM(B6:B8)</f>
        <v>41753.541167</v>
      </c>
      <c r="Q8" s="133">
        <f>SUM(C6:C8)</f>
        <v>115119.727453</v>
      </c>
      <c r="R8" s="133">
        <f>SUM(D6:D8)</f>
        <v>102046.306973</v>
      </c>
      <c r="S8" s="133">
        <f>SUM(E6:E8)</f>
        <v>65475.286314</v>
      </c>
      <c r="T8" s="133">
        <f>SUM(P8:S8)</f>
        <v>324394.861907</v>
      </c>
      <c r="U8" s="53">
        <f>F6+F7+F8-T8</f>
        <v>0</v>
      </c>
    </row>
    <row r="9" hidden="1" spans="1:57">
      <c r="A9" s="148">
        <v>44652</v>
      </c>
      <c r="B9" s="291">
        <v>14206.269228</v>
      </c>
      <c r="C9" s="291">
        <v>45294.4424830002</v>
      </c>
      <c r="D9" s="291">
        <v>34967.36069</v>
      </c>
      <c r="E9" s="291">
        <v>26161.3277940001</v>
      </c>
      <c r="F9" s="291">
        <f t="shared" si="0"/>
        <v>120629.400195</v>
      </c>
      <c r="H9" s="110">
        <v>44652</v>
      </c>
      <c r="I9" s="94">
        <v>2976.72080299973</v>
      </c>
      <c r="J9" s="94">
        <v>0</v>
      </c>
      <c r="K9" s="94">
        <v>3104.26195099995</v>
      </c>
      <c r="L9" s="94">
        <v>76.552124</v>
      </c>
      <c r="M9" s="94">
        <f t="shared" si="1"/>
        <v>6157.53487799968</v>
      </c>
      <c r="O9" s="137" t="s">
        <v>183</v>
      </c>
      <c r="P9" s="133">
        <f>SUM(B6:B9)</f>
        <v>55959.810395</v>
      </c>
      <c r="Q9" s="133">
        <f>SUM(C6:C9)</f>
        <v>160414.169936</v>
      </c>
      <c r="R9" s="133">
        <f>SUM(D6:D9)</f>
        <v>137013.667663</v>
      </c>
      <c r="S9" s="133">
        <f>SUM(E6:E9)</f>
        <v>91636.6141080001</v>
      </c>
      <c r="T9" s="133">
        <f>SUM(F6:F9)</f>
        <v>445024.262102</v>
      </c>
      <c r="U9" s="53">
        <f>F6+F7+F8+F9-T9</f>
        <v>0</v>
      </c>
    </row>
    <row r="10" hidden="1" spans="1:57">
      <c r="A10" s="148">
        <v>44682</v>
      </c>
      <c r="B10" s="291">
        <v>9219.14032</v>
      </c>
      <c r="C10" s="291">
        <v>53111.000425</v>
      </c>
      <c r="D10" s="291">
        <v>39081.807579</v>
      </c>
      <c r="E10" s="291">
        <v>32483.137088</v>
      </c>
      <c r="F10" s="291">
        <f t="shared" si="0"/>
        <v>133895.085412</v>
      </c>
      <c r="H10" s="110">
        <v>44682</v>
      </c>
      <c r="I10" s="94">
        <v>6742.32180799988</v>
      </c>
      <c r="J10" s="94">
        <v>0</v>
      </c>
      <c r="K10" s="94">
        <v>2621.473487</v>
      </c>
      <c r="L10" s="94">
        <v>146.843327</v>
      </c>
      <c r="M10" s="94">
        <f t="shared" si="1"/>
        <v>9510.63862199988</v>
      </c>
      <c r="O10" s="137" t="s">
        <v>184</v>
      </c>
      <c r="P10" s="133">
        <f>SUM(B$6:B10)</f>
        <v>65178.950715</v>
      </c>
      <c r="Q10" s="133">
        <f>SUM(C$6:C10)</f>
        <v>213525.170361</v>
      </c>
      <c r="R10" s="133">
        <f>SUM(D$6:D10)</f>
        <v>176095.475242</v>
      </c>
      <c r="S10" s="133">
        <f>SUM(E$6:E10)</f>
        <v>124119.751196</v>
      </c>
      <c r="T10" s="133">
        <f>SUM(F$6:F10)</f>
        <v>578919.347514</v>
      </c>
      <c r="U10" s="53">
        <f>SUM(F$6:F10)-T10</f>
        <v>0</v>
      </c>
      <c r="BE10">
        <f>利润组成!I10</f>
        <v>2273.8984373</v>
      </c>
    </row>
    <row r="11" hidden="1" spans="1:57">
      <c r="A11" s="148">
        <v>44713</v>
      </c>
      <c r="B11" s="291">
        <v>10707.16530448</v>
      </c>
      <c r="C11" s="291">
        <v>48364.9744806201</v>
      </c>
      <c r="D11" s="291">
        <v>50326.2101516201</v>
      </c>
      <c r="E11" s="291">
        <v>34162.5877940001</v>
      </c>
      <c r="F11" s="291">
        <f t="shared" si="0"/>
        <v>143560.93773072</v>
      </c>
      <c r="H11" s="110">
        <v>44713</v>
      </c>
      <c r="I11" s="94">
        <v>6466.83228099958</v>
      </c>
      <c r="J11" s="94">
        <v>0</v>
      </c>
      <c r="K11" s="94">
        <v>3633.94626599992</v>
      </c>
      <c r="L11" s="94">
        <v>67.908485</v>
      </c>
      <c r="M11" s="94">
        <f t="shared" si="1"/>
        <v>10168.6870319995</v>
      </c>
      <c r="O11" s="137" t="s">
        <v>185</v>
      </c>
      <c r="P11" s="133">
        <f>SUM(B$6:B11)</f>
        <v>75886.11601948</v>
      </c>
      <c r="Q11" s="133">
        <f>SUM(C$6:C11)</f>
        <v>261890.14484162</v>
      </c>
      <c r="R11" s="133">
        <f>SUM(D$6:D11)</f>
        <v>226421.68539362</v>
      </c>
      <c r="S11" s="133">
        <f>SUM(E$6:E11)</f>
        <v>158282.33899</v>
      </c>
      <c r="T11" s="133">
        <f>SUM(F$6:F11)</f>
        <v>722480.285244721</v>
      </c>
      <c r="U11" s="53">
        <f>SUM(F$6:F11)-T11</f>
        <v>0</v>
      </c>
    </row>
    <row r="12" hidden="1" spans="1:57">
      <c r="A12" s="148">
        <v>44743</v>
      </c>
      <c r="B12" s="291">
        <v>12671.200537</v>
      </c>
      <c r="C12" s="291">
        <v>41179.4533600002</v>
      </c>
      <c r="D12" s="291">
        <v>39099.959833</v>
      </c>
      <c r="E12" s="291">
        <v>27412.086913</v>
      </c>
      <c r="F12" s="291">
        <f t="shared" si="0"/>
        <v>120362.700643</v>
      </c>
      <c r="H12" s="110">
        <v>44743</v>
      </c>
      <c r="I12" s="94">
        <v>10035.940361</v>
      </c>
      <c r="J12" s="94">
        <v>0</v>
      </c>
      <c r="K12" s="94">
        <v>2294.125629</v>
      </c>
      <c r="L12" s="94">
        <v>136.803834</v>
      </c>
      <c r="M12" s="94">
        <f t="shared" si="1"/>
        <v>12466.869824</v>
      </c>
      <c r="O12" s="137" t="s">
        <v>186</v>
      </c>
      <c r="P12" s="133">
        <f>SUM(B$6:B12)</f>
        <v>88557.31655648</v>
      </c>
      <c r="Q12" s="133">
        <f>SUM(C$6:C12)</f>
        <v>303069.598201621</v>
      </c>
      <c r="R12" s="133">
        <f>SUM(D$6:D12)</f>
        <v>265521.64522662</v>
      </c>
      <c r="S12" s="133">
        <f>SUM(E$6:E12)</f>
        <v>185694.425903</v>
      </c>
      <c r="T12" s="133">
        <f>SUM(F$6:F12)</f>
        <v>842842.985887721</v>
      </c>
      <c r="U12" s="53">
        <f>SUM(F$6:F12)-T12</f>
        <v>0</v>
      </c>
    </row>
    <row r="13" hidden="1" spans="1:57">
      <c r="A13" s="148">
        <v>44774</v>
      </c>
      <c r="B13" s="185">
        <v>9372.450044</v>
      </c>
      <c r="C13" s="185">
        <v>38654.479149</v>
      </c>
      <c r="D13" s="185">
        <v>51219.4032320002</v>
      </c>
      <c r="E13" s="185">
        <v>34192.4204820001</v>
      </c>
      <c r="F13" s="291">
        <f t="shared" si="0"/>
        <v>133438.752907</v>
      </c>
      <c r="H13" s="110">
        <v>44774</v>
      </c>
      <c r="I13" s="94">
        <v>10958.182382</v>
      </c>
      <c r="J13" s="94">
        <v>11.8727</v>
      </c>
      <c r="K13" s="94">
        <v>2692.03076699999</v>
      </c>
      <c r="L13" s="94">
        <v>48.074971</v>
      </c>
      <c r="M13" s="94">
        <f t="shared" si="1"/>
        <v>13710.16082</v>
      </c>
      <c r="O13" s="137" t="s">
        <v>187</v>
      </c>
      <c r="P13" s="133">
        <f>SUM(B$6:B13)</f>
        <v>97929.76660048</v>
      </c>
      <c r="Q13" s="133">
        <f>SUM(C$6:C13)</f>
        <v>341724.077350621</v>
      </c>
      <c r="R13" s="133">
        <f>SUM(D$6:D13)</f>
        <v>316741.04845862</v>
      </c>
      <c r="S13" s="133">
        <f>SUM(E$6:E13)</f>
        <v>219886.846385</v>
      </c>
      <c r="T13" s="133">
        <f>SUM(F$6:F13)</f>
        <v>976281.738794721</v>
      </c>
      <c r="U13" s="53">
        <f>SUM(F$6:F13)-T13</f>
        <v>0</v>
      </c>
    </row>
    <row r="14" hidden="1" spans="1:57">
      <c r="A14" s="148">
        <v>44805</v>
      </c>
      <c r="B14" s="185">
        <v>10606.298729</v>
      </c>
      <c r="C14" s="185">
        <v>49317.6495290003</v>
      </c>
      <c r="D14" s="185">
        <v>60488.7920939998</v>
      </c>
      <c r="E14" s="185">
        <v>28355.0415900001</v>
      </c>
      <c r="F14" s="291">
        <f t="shared" si="0"/>
        <v>148767.781942</v>
      </c>
      <c r="H14" s="110">
        <v>44805</v>
      </c>
      <c r="I14" s="94">
        <v>4801.892947</v>
      </c>
      <c r="J14" s="94">
        <v>6.47468</v>
      </c>
      <c r="K14" s="94">
        <v>2407.45361000001</v>
      </c>
      <c r="L14" s="94">
        <v>48.727836</v>
      </c>
      <c r="M14" s="94">
        <f t="shared" si="1"/>
        <v>7264.54907300001</v>
      </c>
      <c r="O14" s="137" t="s">
        <v>188</v>
      </c>
      <c r="P14" s="133">
        <f>SUM(B$6:B14)</f>
        <v>108536.06532948</v>
      </c>
      <c r="Q14" s="133">
        <f>SUM(C$6:C14)</f>
        <v>391041.726879621</v>
      </c>
      <c r="R14" s="133">
        <f>SUM(D$6:D14)</f>
        <v>377229.84055262</v>
      </c>
      <c r="S14" s="133">
        <f>SUM(E$6:E14)</f>
        <v>248241.887975</v>
      </c>
      <c r="T14" s="133">
        <f>SUM(F$6:F14)</f>
        <v>1125049.52073672</v>
      </c>
      <c r="U14" s="53">
        <f>SUM(F$6:F14)-T14</f>
        <v>0</v>
      </c>
    </row>
    <row r="15" hidden="1" spans="1:57">
      <c r="A15" s="148">
        <v>44835</v>
      </c>
      <c r="B15" s="185">
        <v>13056.390888</v>
      </c>
      <c r="C15" s="185">
        <v>43886.8058340002</v>
      </c>
      <c r="D15" s="185">
        <v>51416.646171</v>
      </c>
      <c r="E15" s="185">
        <v>34699.1026659999</v>
      </c>
      <c r="F15" s="291">
        <f t="shared" si="0"/>
        <v>143058.945559</v>
      </c>
      <c r="H15" s="110">
        <v>44835</v>
      </c>
      <c r="I15" s="94">
        <v>3925.700556</v>
      </c>
      <c r="J15" s="94">
        <v>9.18</v>
      </c>
      <c r="K15" s="94">
        <v>5752.12427</v>
      </c>
      <c r="L15" s="94">
        <v>100.506071</v>
      </c>
      <c r="M15" s="94">
        <f t="shared" si="1"/>
        <v>9787.510897</v>
      </c>
      <c r="O15" s="137" t="s">
        <v>189</v>
      </c>
      <c r="P15" s="133">
        <f>SUM(B$6:B15)</f>
        <v>121592.45621748</v>
      </c>
      <c r="Q15" s="133">
        <f>SUM(C$6:C15)</f>
        <v>434928.532713621</v>
      </c>
      <c r="R15" s="133">
        <f>SUM(D$6:D15)</f>
        <v>428646.48672362</v>
      </c>
      <c r="S15" s="133">
        <f>SUM(E$6:E15)</f>
        <v>282940.990641</v>
      </c>
      <c r="T15" s="133">
        <f>SUM(F$6:F15)</f>
        <v>1268108.46629572</v>
      </c>
      <c r="U15" s="53">
        <f>SUM(F$6:F15)-T15</f>
        <v>0</v>
      </c>
    </row>
    <row r="16" hidden="1" spans="1:57">
      <c r="A16" s="148">
        <v>44866</v>
      </c>
      <c r="B16" s="185">
        <v>17466.71962687</v>
      </c>
      <c r="C16" s="185">
        <v>45892.11013562</v>
      </c>
      <c r="D16" s="185">
        <v>70039.8559530894</v>
      </c>
      <c r="E16" s="185">
        <v>41466.2372522898</v>
      </c>
      <c r="F16" s="291">
        <f t="shared" si="0"/>
        <v>174864.922967869</v>
      </c>
      <c r="H16" s="110">
        <v>44866</v>
      </c>
      <c r="I16" s="94">
        <v>2767.059218</v>
      </c>
      <c r="J16" s="94">
        <v>16.5</v>
      </c>
      <c r="K16" s="94">
        <v>14435.5977058</v>
      </c>
      <c r="L16" s="94">
        <v>102.24792</v>
      </c>
      <c r="M16" s="94">
        <f t="shared" si="1"/>
        <v>17321.4048438</v>
      </c>
      <c r="N16" s="66"/>
      <c r="O16" s="137" t="s">
        <v>190</v>
      </c>
      <c r="P16" s="133">
        <f>SUM(B$6:B16)</f>
        <v>139059.17584435</v>
      </c>
      <c r="Q16" s="133">
        <f>SUM(C$6:C16)</f>
        <v>480820.642849241</v>
      </c>
      <c r="R16" s="133">
        <f>SUM(D$6:D16)</f>
        <v>498686.34267671</v>
      </c>
      <c r="S16" s="133">
        <f>SUM(E$6:E16)</f>
        <v>324407.22789329</v>
      </c>
      <c r="T16" s="133">
        <f>SUM(F$6:F16)</f>
        <v>1442973.38926359</v>
      </c>
      <c r="U16" s="53">
        <f>SUM(F$6:F16)-T16</f>
        <v>0</v>
      </c>
    </row>
    <row r="17" hidden="1" spans="1:21">
      <c r="A17" s="148">
        <v>44896</v>
      </c>
      <c r="B17" s="185">
        <v>16322.574053</v>
      </c>
      <c r="C17" s="185">
        <v>36009.2748630003</v>
      </c>
      <c r="D17" s="185">
        <v>77708.1579299998</v>
      </c>
      <c r="E17" s="185">
        <v>41229.5702899995</v>
      </c>
      <c r="F17" s="291">
        <f t="shared" si="0"/>
        <v>171269.577136</v>
      </c>
      <c r="H17" s="110">
        <v>44896</v>
      </c>
      <c r="I17" s="94">
        <v>6465.601523</v>
      </c>
      <c r="J17" s="94">
        <v>12.68</v>
      </c>
      <c r="K17" s="94">
        <v>3854.763885</v>
      </c>
      <c r="L17" s="94">
        <v>48.219133</v>
      </c>
      <c r="M17" s="94">
        <f t="shared" si="1"/>
        <v>10381.264541</v>
      </c>
      <c r="N17" s="66"/>
      <c r="O17" s="137" t="s">
        <v>191</v>
      </c>
      <c r="P17" s="133">
        <f>SUM(B$6:B17)</f>
        <v>155381.74989735</v>
      </c>
      <c r="Q17" s="133">
        <f>SUM(C$6:C17)</f>
        <v>516829.917712241</v>
      </c>
      <c r="R17" s="133">
        <f>SUM(D$6:D17)</f>
        <v>576394.500606709</v>
      </c>
      <c r="S17" s="133">
        <f>SUM(E$6:E17)</f>
        <v>365636.79818329</v>
      </c>
      <c r="T17" s="133">
        <f>SUM(F$6:F17)</f>
        <v>1614242.96639959</v>
      </c>
      <c r="U17" s="53">
        <f>SUM(F$6:F17)-T17</f>
        <v>0</v>
      </c>
    </row>
    <row r="18" spans="1:21">
      <c r="A18" s="292">
        <v>44927</v>
      </c>
      <c r="B18" s="293">
        <v>22985.95735</v>
      </c>
      <c r="C18" s="293">
        <v>29278.749874</v>
      </c>
      <c r="D18" s="293">
        <v>48836.9836129999</v>
      </c>
      <c r="E18" s="293">
        <v>33479.8923079999</v>
      </c>
      <c r="F18" s="294">
        <f t="shared" si="0"/>
        <v>134581.583145</v>
      </c>
      <c r="H18" s="110">
        <v>44927</v>
      </c>
      <c r="I18" s="94">
        <v>8717.32649</v>
      </c>
      <c r="J18" s="94">
        <v>12.262499</v>
      </c>
      <c r="K18" s="94">
        <v>3675.834758</v>
      </c>
      <c r="L18" s="94">
        <v>181.946488</v>
      </c>
      <c r="M18" s="94">
        <f t="shared" si="1"/>
        <v>12587.370235</v>
      </c>
      <c r="N18" s="90"/>
      <c r="O18" s="137" t="s">
        <v>192</v>
      </c>
      <c r="P18" s="133">
        <f>SUM(B$18:B18)</f>
        <v>22985.95735</v>
      </c>
      <c r="Q18" s="133">
        <f>SUM(C$18:C18)</f>
        <v>29278.749874</v>
      </c>
      <c r="R18" s="133">
        <f>SUM(D$18:D18)</f>
        <v>48836.9836129999</v>
      </c>
      <c r="S18" s="133">
        <f>SUM(E$18:E18)</f>
        <v>33479.8923079999</v>
      </c>
      <c r="T18" s="133">
        <f>SUM(F$18:F18)</f>
        <v>134581.583145</v>
      </c>
      <c r="U18" s="53">
        <f>SUM(F$18:F18)-T18</f>
        <v>0</v>
      </c>
    </row>
    <row r="19" spans="1:21">
      <c r="A19" s="292">
        <v>44958</v>
      </c>
      <c r="B19" s="293">
        <v>13458.74276</v>
      </c>
      <c r="C19" s="293">
        <v>38417.380315</v>
      </c>
      <c r="D19" s="293">
        <v>45017.964169</v>
      </c>
      <c r="E19" s="293">
        <v>35005.0794003897</v>
      </c>
      <c r="F19" s="294">
        <f t="shared" si="0"/>
        <v>131899.16664439</v>
      </c>
      <c r="H19" s="110">
        <v>44958</v>
      </c>
      <c r="I19" s="94">
        <v>1957.217972</v>
      </c>
      <c r="J19" s="94">
        <v>8.12</v>
      </c>
      <c r="K19" s="94">
        <v>3062.026686</v>
      </c>
      <c r="L19" s="94">
        <v>183.719134</v>
      </c>
      <c r="M19" s="94">
        <f t="shared" si="1"/>
        <v>5211.083792</v>
      </c>
      <c r="N19" s="90"/>
      <c r="O19" s="137" t="s">
        <v>193</v>
      </c>
      <c r="P19" s="133">
        <f>SUM(B$18:B19)</f>
        <v>36444.70011</v>
      </c>
      <c r="Q19" s="133">
        <f>SUM(C$18:C19)</f>
        <v>67696.130189</v>
      </c>
      <c r="R19" s="133">
        <f>SUM(D$18:D19)</f>
        <v>93854.9477819999</v>
      </c>
      <c r="S19" s="133">
        <f>SUM(E$18:E19)</f>
        <v>68484.9717083896</v>
      </c>
      <c r="T19" s="133">
        <f>SUM(F$18:F19)</f>
        <v>266480.749789389</v>
      </c>
      <c r="U19" s="53">
        <f>SUM(F$18:F19)-T19</f>
        <v>0</v>
      </c>
    </row>
    <row r="20" spans="1:21">
      <c r="A20" s="292">
        <v>44986</v>
      </c>
      <c r="B20" s="293">
        <v>17676.955783</v>
      </c>
      <c r="C20" s="293">
        <v>40696.0165010002</v>
      </c>
      <c r="D20" s="293">
        <v>46753.233011</v>
      </c>
      <c r="E20" s="293">
        <v>48184.0230830001</v>
      </c>
      <c r="F20" s="294">
        <f t="shared" si="0"/>
        <v>153310.228378</v>
      </c>
      <c r="H20" s="110">
        <v>44986</v>
      </c>
      <c r="I20" s="94">
        <v>2461.808095</v>
      </c>
      <c r="J20" s="94">
        <v>9.03</v>
      </c>
      <c r="K20" s="94">
        <v>3598.419564</v>
      </c>
      <c r="L20" s="94">
        <v>346.838164</v>
      </c>
      <c r="M20" s="94">
        <f t="shared" si="1"/>
        <v>6416.095823</v>
      </c>
      <c r="N20" s="90"/>
      <c r="O20" s="137" t="s">
        <v>194</v>
      </c>
      <c r="P20" s="133">
        <f>SUM(B$18:B20)</f>
        <v>54121.655893</v>
      </c>
      <c r="Q20" s="133">
        <f>SUM(C$18:C20)</f>
        <v>108392.14669</v>
      </c>
      <c r="R20" s="133">
        <f>SUM(D$18:D20)</f>
        <v>140608.180793</v>
      </c>
      <c r="S20" s="133">
        <f>SUM(E$18:E20)</f>
        <v>116668.99479139</v>
      </c>
      <c r="T20" s="133">
        <f>SUM(F$18:F20)</f>
        <v>419790.97816739</v>
      </c>
      <c r="U20" s="53">
        <f>SUM(F$18:F20)-T20</f>
        <v>0</v>
      </c>
    </row>
    <row r="21" spans="1:21">
      <c r="A21" s="292">
        <v>45017</v>
      </c>
      <c r="B21" s="293">
        <v>25100.2473979999</v>
      </c>
      <c r="C21" s="293">
        <v>14908.957854</v>
      </c>
      <c r="D21" s="293">
        <v>38626.757</v>
      </c>
      <c r="E21" s="293">
        <v>46617.3318069996</v>
      </c>
      <c r="F21" s="294">
        <f t="shared" si="0"/>
        <v>125253.294058999</v>
      </c>
      <c r="H21" s="110">
        <v>45017</v>
      </c>
      <c r="I21" s="94">
        <v>5390.989582</v>
      </c>
      <c r="J21" s="94">
        <v>9.18</v>
      </c>
      <c r="K21" s="94">
        <v>2658.63272199</v>
      </c>
      <c r="L21" s="94">
        <v>234.831709</v>
      </c>
      <c r="M21" s="94">
        <f t="shared" si="1"/>
        <v>8293.63401299</v>
      </c>
      <c r="N21" s="90"/>
      <c r="O21" s="137" t="s">
        <v>195</v>
      </c>
      <c r="P21" s="133">
        <f>SUM(B$18:B21)</f>
        <v>79221.9032909999</v>
      </c>
      <c r="Q21" s="133">
        <f>SUM(C$18:C21)</f>
        <v>123301.104544</v>
      </c>
      <c r="R21" s="133">
        <f>SUM(D$18:D21)</f>
        <v>179234.937793</v>
      </c>
      <c r="S21" s="133">
        <f>SUM(E$18:E21)</f>
        <v>163286.326598389</v>
      </c>
      <c r="T21" s="133">
        <f>SUM(F$18:F21)</f>
        <v>545044.272226389</v>
      </c>
      <c r="U21" s="53">
        <f>SUM(F$18:F21)-T21</f>
        <v>0</v>
      </c>
    </row>
    <row r="22" spans="1:21">
      <c r="A22" s="292">
        <v>45047</v>
      </c>
      <c r="B22" s="293">
        <v>43935.3869570001</v>
      </c>
      <c r="C22" s="293">
        <v>14554.8242669999</v>
      </c>
      <c r="D22" s="293">
        <v>34806.9152049997</v>
      </c>
      <c r="E22" s="293">
        <v>54574.3063199998</v>
      </c>
      <c r="F22" s="294">
        <f t="shared" si="0"/>
        <v>147871.432749</v>
      </c>
      <c r="H22" s="110">
        <v>45047</v>
      </c>
      <c r="I22" s="94">
        <v>3448.460264</v>
      </c>
      <c r="J22" s="94">
        <v>13.992</v>
      </c>
      <c r="K22" s="94">
        <v>3232.342425</v>
      </c>
      <c r="L22" s="94">
        <v>217.858916</v>
      </c>
      <c r="M22" s="94">
        <f t="shared" si="1"/>
        <v>6912.653605</v>
      </c>
      <c r="N22" s="90"/>
      <c r="O22" s="137" t="s">
        <v>196</v>
      </c>
      <c r="P22" s="133">
        <f>SUM(B$18:B22)</f>
        <v>123157.290248</v>
      </c>
      <c r="Q22" s="133">
        <f>SUM(C$18:C22)</f>
        <v>137855.928811</v>
      </c>
      <c r="R22" s="133">
        <f>SUM(D$18:D22)</f>
        <v>214041.852998</v>
      </c>
      <c r="S22" s="133">
        <f>SUM(E$18:E22)</f>
        <v>217860.632918389</v>
      </c>
      <c r="T22" s="133">
        <f>SUM(F$18:F22)</f>
        <v>692915.704975389</v>
      </c>
      <c r="U22" s="53">
        <f>SUM(F$18:F22)-T22</f>
        <v>0</v>
      </c>
    </row>
    <row r="23" spans="1:21">
      <c r="A23" s="292">
        <v>45078</v>
      </c>
      <c r="B23" s="293">
        <v>32343.390448</v>
      </c>
      <c r="C23" s="293">
        <v>18696.407892</v>
      </c>
      <c r="D23" s="293">
        <v>40582.8570860998</v>
      </c>
      <c r="E23" s="293">
        <v>65744.2458940003</v>
      </c>
      <c r="F23" s="294">
        <f t="shared" si="0"/>
        <v>157366.9013201</v>
      </c>
      <c r="H23" s="110">
        <v>45078</v>
      </c>
      <c r="I23" s="94">
        <v>6201.15236399994</v>
      </c>
      <c r="J23" s="94">
        <v>14.215787</v>
      </c>
      <c r="K23" s="94">
        <v>7663.153656</v>
      </c>
      <c r="L23" s="94">
        <v>103.101226</v>
      </c>
      <c r="M23" s="94">
        <f t="shared" si="1"/>
        <v>13981.6230329999</v>
      </c>
      <c r="N23" s="90"/>
      <c r="O23" s="137" t="s">
        <v>197</v>
      </c>
      <c r="P23" s="133">
        <f>SUM(B$18:B23)</f>
        <v>155500.680696</v>
      </c>
      <c r="Q23" s="133">
        <f>SUM(C$18:C23)</f>
        <v>156552.336703</v>
      </c>
      <c r="R23" s="133">
        <f>SUM(D$18:D23)</f>
        <v>254624.710084099</v>
      </c>
      <c r="S23" s="133">
        <f>SUM(E$18:E23)</f>
        <v>283604.878812389</v>
      </c>
      <c r="T23" s="133">
        <f>SUM(F$18:F23)</f>
        <v>850282.606295489</v>
      </c>
      <c r="U23" s="53">
        <f>SUM(F$18:F23)-T23</f>
        <v>0</v>
      </c>
    </row>
    <row r="24" spans="1:21">
      <c r="A24" s="292">
        <v>45108</v>
      </c>
      <c r="B24" s="293">
        <v>28119.744193</v>
      </c>
      <c r="C24" s="293">
        <v>12591.962399</v>
      </c>
      <c r="D24" s="293">
        <v>35418.1363379996</v>
      </c>
      <c r="E24" s="293">
        <v>55283.6714549998</v>
      </c>
      <c r="F24" s="294">
        <f t="shared" si="0"/>
        <v>131413.514384999</v>
      </c>
      <c r="H24" s="110">
        <v>45108</v>
      </c>
      <c r="I24" s="94">
        <v>4318.770127</v>
      </c>
      <c r="J24" s="94">
        <v>4.58556</v>
      </c>
      <c r="K24" s="94">
        <v>1258.799267</v>
      </c>
      <c r="L24" s="94">
        <v>153.71552</v>
      </c>
      <c r="M24" s="94">
        <f t="shared" si="1"/>
        <v>5735.870474</v>
      </c>
      <c r="N24" s="90"/>
      <c r="O24" s="137" t="s">
        <v>198</v>
      </c>
      <c r="P24" s="133">
        <f>SUM(B$18:B24)</f>
        <v>183620.424889</v>
      </c>
      <c r="Q24" s="133">
        <f>SUM(C$18:C24)</f>
        <v>169144.299102</v>
      </c>
      <c r="R24" s="133">
        <f>SUM(D$18:D24)</f>
        <v>290042.846422099</v>
      </c>
      <c r="S24" s="133">
        <f>SUM(E$18:E24)</f>
        <v>338888.550267389</v>
      </c>
      <c r="T24" s="133">
        <f>SUM(F$18:F24)</f>
        <v>981696.120680488</v>
      </c>
      <c r="U24" s="53">
        <f>SUM(F$18:F24)-T24</f>
        <v>0</v>
      </c>
    </row>
    <row r="25" spans="1:21">
      <c r="A25" s="292">
        <v>45139</v>
      </c>
      <c r="B25" s="293">
        <v>31944.261175</v>
      </c>
      <c r="C25" s="293">
        <v>12342.180405</v>
      </c>
      <c r="D25" s="293">
        <v>41823.4180880004</v>
      </c>
      <c r="E25" s="293">
        <v>61102.2216939997</v>
      </c>
      <c r="F25" s="294">
        <f t="shared" si="0"/>
        <v>147212.081362</v>
      </c>
      <c r="H25" s="110">
        <v>45139</v>
      </c>
      <c r="I25" s="94">
        <v>3321.257446</v>
      </c>
      <c r="J25" s="94">
        <v>5.38556</v>
      </c>
      <c r="K25" s="94">
        <v>3013.432082</v>
      </c>
      <c r="L25" s="94">
        <v>163.526988</v>
      </c>
      <c r="M25" s="94">
        <f t="shared" si="1"/>
        <v>6503.602076</v>
      </c>
      <c r="N25" s="90"/>
      <c r="O25" s="137" t="s">
        <v>199</v>
      </c>
      <c r="P25" s="133">
        <f>SUM(B$18:B25)</f>
        <v>215564.686064</v>
      </c>
      <c r="Q25" s="133">
        <f>SUM(C$18:C25)</f>
        <v>181486.479507</v>
      </c>
      <c r="R25" s="133">
        <f>SUM(D$18:D25)</f>
        <v>331866.264510099</v>
      </c>
      <c r="S25" s="133">
        <f>SUM(E$18:E25)</f>
        <v>399990.771961389</v>
      </c>
      <c r="T25" s="133">
        <f>SUM(F$18:F25)</f>
        <v>1128908.20204249</v>
      </c>
      <c r="U25" s="53">
        <f>SUM(F$18:F25)-T25</f>
        <v>0</v>
      </c>
    </row>
    <row r="26" spans="1:21">
      <c r="A26" s="292">
        <v>45170</v>
      </c>
      <c r="B26" s="293">
        <v>26550.6413660001</v>
      </c>
      <c r="C26" s="293">
        <v>9782.98839299994</v>
      </c>
      <c r="D26" s="293">
        <v>39707.1659690009</v>
      </c>
      <c r="E26" s="293">
        <v>49936.5818609996</v>
      </c>
      <c r="F26" s="294">
        <f t="shared" si="0"/>
        <v>125977.377589001</v>
      </c>
      <c r="H26" s="110">
        <v>45170</v>
      </c>
      <c r="I26" s="94">
        <v>2234.356822</v>
      </c>
      <c r="J26" s="94">
        <v>4.58556</v>
      </c>
      <c r="K26" s="94">
        <v>2310.19337</v>
      </c>
      <c r="L26" s="94">
        <v>487.665862</v>
      </c>
      <c r="M26" s="94">
        <f t="shared" si="1"/>
        <v>5036.801614</v>
      </c>
      <c r="N26" s="90"/>
      <c r="O26" s="137" t="s">
        <v>200</v>
      </c>
      <c r="P26" s="133">
        <f>SUM(B$18:B26)</f>
        <v>242115.32743</v>
      </c>
      <c r="Q26" s="133">
        <f>SUM(C$18:C26)</f>
        <v>191269.4679</v>
      </c>
      <c r="R26" s="133">
        <f>SUM(D$18:D26)</f>
        <v>371573.4304791</v>
      </c>
      <c r="S26" s="133">
        <f>SUM(E$18:E26)</f>
        <v>449927.353822388</v>
      </c>
      <c r="T26" s="133">
        <f>SUM(F$18:F26)</f>
        <v>1254885.57963149</v>
      </c>
      <c r="U26" s="53">
        <f>SUM(F$18:F26)-T26</f>
        <v>0</v>
      </c>
    </row>
    <row r="27" spans="1:21">
      <c r="A27" s="292">
        <v>45200</v>
      </c>
      <c r="B27" s="293">
        <v>12543.917479</v>
      </c>
      <c r="C27" s="293">
        <v>7231.08729799998</v>
      </c>
      <c r="D27" s="293">
        <v>39956.3017420002</v>
      </c>
      <c r="E27" s="293">
        <v>36591.3037459997</v>
      </c>
      <c r="F27" s="294">
        <f t="shared" si="0"/>
        <v>96322.6102649999</v>
      </c>
      <c r="H27" s="110">
        <v>45200</v>
      </c>
      <c r="I27" s="94">
        <v>6299.047966</v>
      </c>
      <c r="J27" s="94">
        <v>4.58556</v>
      </c>
      <c r="K27" s="94">
        <v>5807.46464</v>
      </c>
      <c r="L27" s="94">
        <v>303.72356</v>
      </c>
      <c r="M27" s="94">
        <f t="shared" si="1"/>
        <v>12414.821726</v>
      </c>
      <c r="N27" s="90"/>
      <c r="O27" s="137" t="s">
        <v>201</v>
      </c>
      <c r="P27" s="133">
        <f>SUM(B$18:B27)</f>
        <v>254659.244909</v>
      </c>
      <c r="Q27" s="133">
        <f>SUM(C$18:C27)</f>
        <v>198500.555198</v>
      </c>
      <c r="R27" s="133">
        <f>SUM(D$18:D27)</f>
        <v>411529.7322211</v>
      </c>
      <c r="S27" s="133">
        <f>SUM(E$18:E27)</f>
        <v>486518.657568388</v>
      </c>
      <c r="T27" s="133">
        <f>SUM(F$18:F27)</f>
        <v>1351208.18989649</v>
      </c>
      <c r="U27" s="53">
        <f>SUM(F$18:F27)-T27</f>
        <v>0</v>
      </c>
    </row>
    <row r="28" spans="1:21">
      <c r="A28" s="292">
        <v>45231</v>
      </c>
      <c r="B28" s="293">
        <v>19942.473656</v>
      </c>
      <c r="C28" s="293">
        <v>8024.26683599996</v>
      </c>
      <c r="D28" s="293">
        <v>52214.69905</v>
      </c>
      <c r="E28" s="293">
        <v>34336.3018299998</v>
      </c>
      <c r="F28" s="294">
        <f t="shared" si="0"/>
        <v>114517.741372</v>
      </c>
      <c r="H28" s="110">
        <v>45231</v>
      </c>
      <c r="I28" s="94">
        <v>3365.359165</v>
      </c>
      <c r="J28" s="94">
        <v>4.58556</v>
      </c>
      <c r="K28" s="94">
        <v>17449.895401</v>
      </c>
      <c r="L28" s="94">
        <v>256.440793000004</v>
      </c>
      <c r="M28" s="94">
        <f t="shared" si="1"/>
        <v>21076.280919</v>
      </c>
      <c r="N28" s="90"/>
      <c r="O28" s="137" t="s">
        <v>202</v>
      </c>
      <c r="P28" s="133">
        <f>SUM(B$18:B28)</f>
        <v>274601.718565</v>
      </c>
      <c r="Q28" s="133">
        <f>SUM(C$18:C28)</f>
        <v>206524.822034</v>
      </c>
      <c r="R28" s="133">
        <f>SUM(D$18:D28)</f>
        <v>463744.4312711</v>
      </c>
      <c r="S28" s="133">
        <f>SUM(E$18:E28)</f>
        <v>520854.959398388</v>
      </c>
      <c r="T28" s="133">
        <f>SUM(F$18:F28)</f>
        <v>1465725.93126849</v>
      </c>
      <c r="U28" s="53">
        <f>SUM(F$18:F28)-T28</f>
        <v>0</v>
      </c>
    </row>
    <row r="29" spans="1:21">
      <c r="A29" s="292">
        <v>45261</v>
      </c>
      <c r="B29" s="293">
        <v>13627.58474</v>
      </c>
      <c r="C29" s="293">
        <v>5818.012154</v>
      </c>
      <c r="D29" s="293">
        <v>41859.1625540005</v>
      </c>
      <c r="E29" s="293">
        <v>33422.8866219998</v>
      </c>
      <c r="F29" s="294">
        <f t="shared" si="0"/>
        <v>94727.6460700003</v>
      </c>
      <c r="H29" s="110">
        <v>45261</v>
      </c>
      <c r="I29" s="94">
        <v>3043.306023</v>
      </c>
      <c r="J29" s="94">
        <v>1.40556</v>
      </c>
      <c r="K29" s="94">
        <v>6536.803863</v>
      </c>
      <c r="L29" s="94">
        <v>545.041051999799</v>
      </c>
      <c r="M29" s="94">
        <f t="shared" si="1"/>
        <v>10126.5564979998</v>
      </c>
      <c r="N29" s="90"/>
      <c r="O29" s="137" t="s">
        <v>203</v>
      </c>
      <c r="P29" s="133">
        <f>SUM(B$18:B29)</f>
        <v>288229.303305</v>
      </c>
      <c r="Q29" s="133">
        <f>SUM(C$18:C29)</f>
        <v>212342.834188</v>
      </c>
      <c r="R29" s="133">
        <f>SUM(D$18:D29)</f>
        <v>505603.593825101</v>
      </c>
      <c r="S29" s="133">
        <f>SUM(E$18:E29)</f>
        <v>554277.846020388</v>
      </c>
      <c r="T29" s="133">
        <f>SUM(F$18:F29)</f>
        <v>1560453.57733849</v>
      </c>
      <c r="U29" s="53">
        <f>SUM(F$18:F29)-T29</f>
        <v>0</v>
      </c>
    </row>
    <row r="30" spans="1:21">
      <c r="A30" s="146">
        <v>45292</v>
      </c>
      <c r="B30" s="295">
        <v>23601.283929</v>
      </c>
      <c r="C30" s="295">
        <v>5765.11686100001</v>
      </c>
      <c r="D30" s="295">
        <v>22038.1040769999</v>
      </c>
      <c r="E30" s="295">
        <v>32437.1575989998</v>
      </c>
      <c r="F30" s="179">
        <f t="shared" si="0"/>
        <v>83841.6624659997</v>
      </c>
      <c r="H30" s="110">
        <v>45292</v>
      </c>
      <c r="I30" s="94">
        <v>2606.74523800015</v>
      </c>
      <c r="J30" s="94">
        <v>1.40556</v>
      </c>
      <c r="K30" s="94">
        <v>4146.248135</v>
      </c>
      <c r="L30" s="94">
        <v>408.756209999967</v>
      </c>
      <c r="M30" s="94">
        <f t="shared" si="1"/>
        <v>7163.15514300012</v>
      </c>
      <c r="O30" s="137" t="s">
        <v>204</v>
      </c>
      <c r="P30" s="133">
        <f>B30</f>
        <v>23601.283929</v>
      </c>
      <c r="Q30" s="133">
        <f>C30</f>
        <v>5765.11686100001</v>
      </c>
      <c r="R30" s="133">
        <f>D30</f>
        <v>22038.1040769999</v>
      </c>
      <c r="S30" s="133">
        <f>E30</f>
        <v>32437.1575989998</v>
      </c>
      <c r="T30" s="133">
        <f>SUM(F$30:F30)</f>
        <v>83841.6624659997</v>
      </c>
      <c r="U30" s="53">
        <f>SUM(F$30:F30)-T30</f>
        <v>0</v>
      </c>
    </row>
    <row r="31" spans="1:21">
      <c r="A31" s="146">
        <v>45323</v>
      </c>
      <c r="B31" s="295">
        <v>20769.15207</v>
      </c>
      <c r="C31" s="295">
        <v>5186.91848900001</v>
      </c>
      <c r="D31" s="295">
        <v>20630.6234639997</v>
      </c>
      <c r="E31" s="295">
        <v>29631.355465</v>
      </c>
      <c r="F31" s="179">
        <f t="shared" si="0"/>
        <v>76218.0494879997</v>
      </c>
      <c r="H31" s="147">
        <v>45323</v>
      </c>
      <c r="I31" s="94">
        <v>10232.5186649997</v>
      </c>
      <c r="K31" s="94">
        <v>3119.201877</v>
      </c>
      <c r="L31" s="94">
        <v>2032.22190100032</v>
      </c>
      <c r="M31" s="94">
        <f t="shared" si="1"/>
        <v>15383.942443</v>
      </c>
      <c r="O31" s="137" t="s">
        <v>205</v>
      </c>
      <c r="P31" s="133">
        <f>SUM(B$30:B31)</f>
        <v>44370.435999</v>
      </c>
      <c r="Q31" s="133">
        <f>SUM(C$30:C31)</f>
        <v>10952.03535</v>
      </c>
      <c r="R31" s="133">
        <f>SUM(D$30:D31)</f>
        <v>42668.7275409996</v>
      </c>
      <c r="S31" s="133">
        <f>SUM(E$30:E31)</f>
        <v>62068.5130639998</v>
      </c>
      <c r="T31" s="133">
        <f>SUM(F$30:F31)</f>
        <v>160059.711953999</v>
      </c>
      <c r="U31" s="53">
        <f>SUM(F$30:F31)-T31</f>
        <v>0</v>
      </c>
    </row>
    <row r="32" spans="1:21">
      <c r="A32" s="146">
        <v>45352</v>
      </c>
      <c r="B32" s="295">
        <v>8118.21667241</v>
      </c>
      <c r="C32" s="295">
        <v>6157.9069369</v>
      </c>
      <c r="D32" s="295">
        <v>24007.5751557596</v>
      </c>
      <c r="E32" s="295">
        <v>28549.1904208998</v>
      </c>
      <c r="F32" s="179">
        <f t="shared" si="0"/>
        <v>66832.8891859694</v>
      </c>
      <c r="H32" s="147">
        <v>45352</v>
      </c>
      <c r="I32" s="94">
        <v>3172.751243</v>
      </c>
      <c r="K32" s="94">
        <v>3005.310561</v>
      </c>
      <c r="L32" s="94">
        <v>431.14546</v>
      </c>
      <c r="M32" s="94">
        <f t="shared" si="1"/>
        <v>6609.207264</v>
      </c>
      <c r="O32" s="137" t="s">
        <v>206</v>
      </c>
      <c r="P32" s="133">
        <f>SUM(B$30:B32)</f>
        <v>52488.65267141</v>
      </c>
      <c r="Q32" s="133">
        <f>SUM(C$30:C32)</f>
        <v>17109.9422869</v>
      </c>
      <c r="R32" s="133">
        <f>SUM(D$30:D32)</f>
        <v>66676.3026967592</v>
      </c>
      <c r="S32" s="133">
        <f>SUM(E$30:E32)</f>
        <v>90617.7034848996</v>
      </c>
      <c r="T32" s="133">
        <f>SUM(F$30:F32)</f>
        <v>226892.601139969</v>
      </c>
      <c r="U32" s="53">
        <f>SUM(F$30:F32)-T32</f>
        <v>0</v>
      </c>
    </row>
    <row r="33" spans="1:21">
      <c r="A33" s="146">
        <v>45383</v>
      </c>
      <c r="B33" s="295">
        <v>6779.34474418001</v>
      </c>
      <c r="C33" s="295">
        <v>3106.40787066</v>
      </c>
      <c r="D33" s="295">
        <v>23861.8023681599</v>
      </c>
      <c r="E33" s="295">
        <v>16597.74192865</v>
      </c>
      <c r="F33" s="179">
        <f t="shared" si="0"/>
        <v>50345.2969116499</v>
      </c>
      <c r="H33" s="147">
        <v>45383</v>
      </c>
      <c r="I33" s="94">
        <v>5056.836763</v>
      </c>
      <c r="K33" s="94">
        <v>3485.707579</v>
      </c>
      <c r="L33" s="94">
        <v>389.404992</v>
      </c>
      <c r="M33" s="94">
        <f t="shared" si="1"/>
        <v>8931.949334</v>
      </c>
      <c r="O33" s="137" t="s">
        <v>207</v>
      </c>
      <c r="P33" s="133">
        <f>SUM(B$30:B33)</f>
        <v>59267.99741559</v>
      </c>
      <c r="Q33" s="133">
        <f>SUM(C$30:C33)</f>
        <v>20216.35015756</v>
      </c>
      <c r="R33" s="133">
        <f>SUM(D$30:D33)</f>
        <v>90538.1050649191</v>
      </c>
      <c r="S33" s="133">
        <f>SUM(E$30:E33)</f>
        <v>107215.44541355</v>
      </c>
      <c r="T33" s="133">
        <f>SUM(F$30:F33)</f>
        <v>277237.898051619</v>
      </c>
      <c r="U33" s="53">
        <f>SUM(F$30:F33)-T33</f>
        <v>0</v>
      </c>
    </row>
    <row r="34" spans="1:21">
      <c r="A34" s="146">
        <v>45413</v>
      </c>
      <c r="B34" s="295">
        <v>11730.66290052</v>
      </c>
      <c r="C34" s="295">
        <v>2316.27698383999</v>
      </c>
      <c r="D34" s="295">
        <v>29948.5098251402</v>
      </c>
      <c r="E34" s="295">
        <v>26557.5161373001</v>
      </c>
      <c r="F34" s="179">
        <f t="shared" si="0"/>
        <v>70552.9658468003</v>
      </c>
      <c r="H34" s="147">
        <v>45413</v>
      </c>
      <c r="I34" s="94">
        <v>4967.365972</v>
      </c>
      <c r="K34" s="94">
        <v>6648.84479</v>
      </c>
      <c r="L34" s="94">
        <v>531.37</v>
      </c>
      <c r="M34" s="94">
        <f t="shared" si="1"/>
        <v>12147.580762</v>
      </c>
      <c r="O34" s="137" t="s">
        <v>208</v>
      </c>
      <c r="P34" s="133">
        <f>SUM(B$30:B34)</f>
        <v>70998.66031611</v>
      </c>
      <c r="Q34" s="133">
        <f>SUM(C$30:C34)</f>
        <v>22532.6271414</v>
      </c>
      <c r="R34" s="133">
        <f>SUM(D$30:D34)</f>
        <v>120486.614890059</v>
      </c>
      <c r="S34" s="133">
        <f>SUM(E$30:E34)</f>
        <v>133772.96155085</v>
      </c>
      <c r="T34" s="133">
        <f>SUM(F$30:F34)</f>
        <v>347790.863898419</v>
      </c>
      <c r="U34" s="53">
        <f>SUM(F$30:F34)-T34</f>
        <v>0</v>
      </c>
    </row>
    <row r="35" spans="1:21">
      <c r="A35" s="146">
        <v>45444</v>
      </c>
      <c r="B35" s="295">
        <v>16980.0605305</v>
      </c>
      <c r="C35" s="295">
        <v>1416.86281216001</v>
      </c>
      <c r="D35" s="295">
        <v>34860.4984537806</v>
      </c>
      <c r="E35" s="295">
        <v>30545.3258549391</v>
      </c>
      <c r="F35" s="179">
        <f t="shared" si="0"/>
        <v>83802.7476513797</v>
      </c>
      <c r="H35" s="147">
        <v>45444</v>
      </c>
      <c r="I35" s="94">
        <v>10999.470266</v>
      </c>
      <c r="K35" s="94">
        <v>7520.443318</v>
      </c>
      <c r="L35" s="94">
        <v>723.3</v>
      </c>
      <c r="M35" s="94">
        <f t="shared" si="1"/>
        <v>19243.213584</v>
      </c>
      <c r="O35" s="137" t="s">
        <v>209</v>
      </c>
      <c r="P35" s="133">
        <f>SUM(B$30:B35)</f>
        <v>87978.72084661</v>
      </c>
      <c r="Q35" s="133">
        <f>SUM(C$30:C35)</f>
        <v>23949.48995356</v>
      </c>
      <c r="R35" s="133">
        <f>SUM(D$30:D35)</f>
        <v>155347.11334384</v>
      </c>
      <c r="S35" s="133">
        <f>SUM(E$30:E35)</f>
        <v>164318.287405789</v>
      </c>
      <c r="T35" s="133">
        <f>SUM(F$30:F35)</f>
        <v>431593.611549799</v>
      </c>
      <c r="U35" s="53">
        <f>SUM(F$30:F35)-T35</f>
        <v>0</v>
      </c>
    </row>
    <row r="36" spans="1:21">
      <c r="A36" s="146">
        <v>45474</v>
      </c>
      <c r="B36" s="295">
        <v>21559.69337631</v>
      </c>
      <c r="C36" s="295">
        <v>1491.34984094</v>
      </c>
      <c r="D36" s="295">
        <v>24546.1081938804</v>
      </c>
      <c r="E36" s="295">
        <v>34407.8261066093</v>
      </c>
      <c r="F36" s="179">
        <f t="shared" si="0"/>
        <v>82004.9775177397</v>
      </c>
      <c r="H36" s="147">
        <v>45474</v>
      </c>
      <c r="I36" s="94">
        <v>4406.686861</v>
      </c>
      <c r="K36" s="94">
        <v>1998.94658100001</v>
      </c>
      <c r="L36" s="94">
        <v>1224.30595</v>
      </c>
      <c r="M36" s="94">
        <f t="shared" si="1"/>
        <v>7629.93939200001</v>
      </c>
      <c r="O36" s="137" t="s">
        <v>210</v>
      </c>
      <c r="P36" s="133">
        <f>SUM(B$30:B36)</f>
        <v>109538.41422292</v>
      </c>
      <c r="Q36" s="133">
        <f>SUM(C$30:C36)</f>
        <v>25440.8397945</v>
      </c>
      <c r="R36" s="133">
        <f>SUM(D$30:D36)</f>
        <v>179893.22153772</v>
      </c>
      <c r="S36" s="133">
        <f>SUM(E$30:E36)</f>
        <v>198726.113512398</v>
      </c>
      <c r="T36" s="133">
        <f>SUM(F$30:F36)</f>
        <v>513598.589067538</v>
      </c>
      <c r="U36" s="53">
        <f>SUM(F$30:F36)-T36</f>
        <v>0</v>
      </c>
    </row>
    <row r="37" spans="1:21">
      <c r="A37" s="146">
        <v>45505</v>
      </c>
      <c r="B37" s="295">
        <v>11582.7249522</v>
      </c>
      <c r="C37" s="295">
        <v>2548.11426434001</v>
      </c>
      <c r="D37" s="295">
        <v>30002.1154476599</v>
      </c>
      <c r="E37" s="295">
        <v>31032.8159887593</v>
      </c>
      <c r="F37" s="179">
        <f t="shared" si="0"/>
        <v>75165.7706529592</v>
      </c>
      <c r="H37" s="147">
        <v>45505</v>
      </c>
      <c r="I37" s="94">
        <v>8877.5906</v>
      </c>
      <c r="K37" s="94">
        <v>3003.732055</v>
      </c>
      <c r="L37" s="94">
        <v>799.63586</v>
      </c>
      <c r="M37" s="94">
        <f t="shared" si="1"/>
        <v>12680.958515</v>
      </c>
      <c r="O37" s="137" t="s">
        <v>211</v>
      </c>
      <c r="P37" s="133">
        <f>SUM(B$30:B37)</f>
        <v>121121.13917512</v>
      </c>
      <c r="Q37" s="133">
        <f>SUM(C$30:C37)</f>
        <v>27988.95405884</v>
      </c>
      <c r="R37" s="133">
        <f>SUM(D$30:D37)</f>
        <v>209895.33698538</v>
      </c>
      <c r="S37" s="133">
        <f>SUM(E$30:E37)</f>
        <v>229758.929501157</v>
      </c>
      <c r="T37" s="133">
        <f>SUM(F$30:F37)</f>
        <v>588764.359720498</v>
      </c>
      <c r="U37" s="53">
        <f>SUM(F$30:F37)-T37</f>
        <v>0</v>
      </c>
    </row>
    <row r="38" spans="1:21">
      <c r="A38" s="146">
        <v>45536</v>
      </c>
      <c r="B38" s="295">
        <v>7748.15478723</v>
      </c>
      <c r="C38" s="295">
        <v>1290.6205333</v>
      </c>
      <c r="D38" s="295">
        <v>22928.7958091106</v>
      </c>
      <c r="E38" s="295">
        <v>20650.5332126303</v>
      </c>
      <c r="F38" s="179">
        <f t="shared" si="0"/>
        <v>52618.1043422709</v>
      </c>
      <c r="H38" s="147">
        <v>45536</v>
      </c>
      <c r="I38" s="94">
        <v>2401.159651</v>
      </c>
      <c r="K38" s="94">
        <v>2945.144965</v>
      </c>
      <c r="L38" s="94">
        <v>3606.847419</v>
      </c>
      <c r="M38" s="94">
        <f t="shared" si="1"/>
        <v>8953.152035</v>
      </c>
      <c r="O38" s="137" t="s">
        <v>212</v>
      </c>
      <c r="P38" s="133">
        <f>SUM(B$30:B38)</f>
        <v>128869.29396235</v>
      </c>
      <c r="Q38" s="133">
        <f>SUM(C$30:C38)</f>
        <v>29279.57459214</v>
      </c>
      <c r="R38" s="133">
        <f>SUM(D$30:D38)</f>
        <v>232824.132794491</v>
      </c>
      <c r="S38" s="133">
        <f>SUM(E$30:E38)</f>
        <v>250409.462713788</v>
      </c>
      <c r="T38" s="133">
        <f>SUM(F$30:F38)</f>
        <v>641382.464062768</v>
      </c>
      <c r="U38" s="53">
        <f>SUM(F$30:F38)-T38</f>
        <v>0</v>
      </c>
    </row>
    <row r="39" spans="1:21">
      <c r="A39" s="146">
        <v>45566</v>
      </c>
      <c r="B39" s="295">
        <v>8640.55993538999</v>
      </c>
      <c r="C39" s="295">
        <v>947.171462860005</v>
      </c>
      <c r="D39" s="295">
        <v>23255.9810001407</v>
      </c>
      <c r="E39" s="295">
        <v>26167.6579948104</v>
      </c>
      <c r="F39" s="179">
        <f t="shared" si="0"/>
        <v>59011.3703932011</v>
      </c>
      <c r="H39" s="147">
        <v>45566</v>
      </c>
      <c r="I39" s="94">
        <v>2063.71073</v>
      </c>
      <c r="K39" s="94">
        <v>11952.290063</v>
      </c>
      <c r="L39" s="94">
        <v>438.800863</v>
      </c>
      <c r="M39" s="94">
        <f t="shared" si="1"/>
        <v>14454.801656</v>
      </c>
      <c r="O39" s="137" t="s">
        <v>213</v>
      </c>
      <c r="P39" s="133">
        <f>SUM(B$30:B39)</f>
        <v>137509.85389774</v>
      </c>
      <c r="Q39" s="133">
        <f>SUM(C$30:C39)</f>
        <v>30226.746055</v>
      </c>
      <c r="R39" s="133">
        <f>SUM(D$30:D39)</f>
        <v>256080.113794631</v>
      </c>
      <c r="S39" s="133">
        <f>SUM(E$30:E39)</f>
        <v>276577.120708598</v>
      </c>
      <c r="T39" s="133">
        <f>SUM(F$30:F39)</f>
        <v>700393.83445597</v>
      </c>
      <c r="U39" s="53">
        <f>SUM(F$30:F39)-T39</f>
        <v>0</v>
      </c>
    </row>
    <row r="40" spans="1:21">
      <c r="A40" s="146">
        <v>45597</v>
      </c>
      <c r="B40" s="295">
        <v>8649.11593356</v>
      </c>
      <c r="C40" s="295">
        <v>695.883889560002</v>
      </c>
      <c r="D40" s="295">
        <v>25892.2648392707</v>
      </c>
      <c r="E40" s="295">
        <v>26575.6972926299</v>
      </c>
      <c r="F40" s="179">
        <f t="shared" si="0"/>
        <v>61812.9619550206</v>
      </c>
      <c r="H40" s="147">
        <v>45597</v>
      </c>
      <c r="I40" s="94">
        <v>5278.17322799985</v>
      </c>
      <c r="J40" s="94">
        <v>0</v>
      </c>
      <c r="K40" s="94">
        <v>14752.0491850001</v>
      </c>
      <c r="L40" s="94">
        <v>396.886791</v>
      </c>
      <c r="M40" s="94">
        <f t="shared" si="1"/>
        <v>20427.1092039999</v>
      </c>
      <c r="O40" s="137" t="s">
        <v>214</v>
      </c>
      <c r="P40" s="133">
        <f>SUM(B$30:B40)</f>
        <v>146158.9698313</v>
      </c>
      <c r="Q40" s="133">
        <f>SUM(C$30:C40)</f>
        <v>30922.62994456</v>
      </c>
      <c r="R40" s="133">
        <f>SUM(D$30:D40)</f>
        <v>281972.378633902</v>
      </c>
      <c r="S40" s="133">
        <f>SUM(E$30:E40)</f>
        <v>303152.818001228</v>
      </c>
      <c r="T40" s="133">
        <f>SUM(F$30:F40)</f>
        <v>762206.79641099</v>
      </c>
      <c r="U40" s="53">
        <f>SUM(F$30:F40)-T40</f>
        <v>0</v>
      </c>
    </row>
    <row r="41" spans="1:21">
      <c r="A41" s="146">
        <v>45627</v>
      </c>
      <c r="B41" s="295">
        <v>5261.54453290001</v>
      </c>
      <c r="C41" s="295">
        <v>616.139586360005</v>
      </c>
      <c r="D41" s="295">
        <v>26412.9467807204</v>
      </c>
      <c r="E41" s="295">
        <v>27908.6327793302</v>
      </c>
      <c r="F41" s="179">
        <f t="shared" si="0"/>
        <v>60199.2636793106</v>
      </c>
      <c r="H41" s="147">
        <v>45627</v>
      </c>
      <c r="I41" s="94">
        <v>3527.577147</v>
      </c>
      <c r="J41" s="94">
        <v>0</v>
      </c>
      <c r="K41" s="94">
        <v>2807.24096199991</v>
      </c>
      <c r="L41" s="94">
        <v>376.755443</v>
      </c>
      <c r="M41" s="94">
        <f t="shared" si="1"/>
        <v>6711.57355199991</v>
      </c>
      <c r="O41" s="137" t="s">
        <v>215</v>
      </c>
      <c r="P41" s="133">
        <f>SUM(B$30:B41)</f>
        <v>151420.5143642</v>
      </c>
      <c r="Q41" s="133">
        <f>SUM(C$30:C41)</f>
        <v>31538.76953092</v>
      </c>
      <c r="R41" s="133">
        <f>SUM(D$30:D41)</f>
        <v>308385.325414623</v>
      </c>
      <c r="S41" s="133">
        <f>SUM(E$30:E41)</f>
        <v>331061.450780558</v>
      </c>
      <c r="T41" s="133">
        <f>SUM(F$30:F41)</f>
        <v>822406.060090301</v>
      </c>
      <c r="U41" s="53">
        <f>SUM(F$30:F41)-T41</f>
        <v>0</v>
      </c>
    </row>
    <row r="42" spans="1:21">
      <c r="A42" s="148">
        <v>45658</v>
      </c>
      <c r="B42" s="185">
        <f>('GMV销售额波动分析（分月、年）'!B2+'GMV销售额波动分析（分月、年）'!C2)/10000</f>
        <v>12010.34078154</v>
      </c>
      <c r="C42" s="185">
        <f>'GMV销售额波动分析（分月、年）'!D2/10000</f>
        <v>943.5812474</v>
      </c>
      <c r="D42" s="185">
        <f>'GMV销售额波动分析（分月、年）'!E2/10000</f>
        <v>20356.1853123806</v>
      </c>
      <c r="E42" s="185">
        <f>('GMV销售额波动分析（分月、年）'!F2+'GMV销售额波动分析（分月、年）'!G2)/10000</f>
        <v>36582.36841316</v>
      </c>
      <c r="F42" s="185">
        <f t="shared" si="0"/>
        <v>69892.4757544806</v>
      </c>
      <c r="H42" s="147">
        <v>45658</v>
      </c>
      <c r="I42" s="94">
        <v>3873.48319599995</v>
      </c>
      <c r="J42" s="94">
        <v>0</v>
      </c>
      <c r="K42" s="94">
        <v>7302.50909900036</v>
      </c>
      <c r="L42" s="94">
        <v>7741.794649</v>
      </c>
      <c r="M42" s="94">
        <f t="shared" si="1"/>
        <v>18917.7869440003</v>
      </c>
      <c r="N42" s="296"/>
      <c r="O42" s="137" t="s">
        <v>216</v>
      </c>
      <c r="P42" s="133">
        <f>B42</f>
        <v>12010.34078154</v>
      </c>
      <c r="Q42" s="133">
        <f>C42</f>
        <v>943.5812474</v>
      </c>
      <c r="R42" s="133">
        <f>D42</f>
        <v>20356.1853123806</v>
      </c>
      <c r="S42" s="133">
        <f>E42</f>
        <v>36582.36841316</v>
      </c>
      <c r="T42" s="133">
        <f>F42</f>
        <v>69892.4757544806</v>
      </c>
      <c r="U42" s="53">
        <f t="shared" ref="U42:U53" si="2">SUM(P42:S42)-T42</f>
        <v>0</v>
      </c>
    </row>
    <row r="43" spans="1:21">
      <c r="A43" s="148">
        <v>45689</v>
      </c>
      <c r="B43" s="185">
        <f>('GMV销售额波动分析（分月、年）'!B3+'GMV销售额波动分析（分月、年）'!C3)/10000</f>
        <v>6319.94308737999</v>
      </c>
      <c r="C43" s="185">
        <f>'GMV销售额波动分析（分月、年）'!D3/10000</f>
        <v>1222.45126672</v>
      </c>
      <c r="D43" s="185">
        <f>'GMV销售额波动分析（分月、年）'!E3/10000</f>
        <v>18650.5315145007</v>
      </c>
      <c r="E43" s="185">
        <f>('GMV销售额波动分析（分月、年）'!F3+'GMV销售额波动分析（分月、年）'!G3)/10000</f>
        <v>29014.0135103801</v>
      </c>
      <c r="F43" s="185">
        <f t="shared" si="0"/>
        <v>55206.9393789808</v>
      </c>
      <c r="H43" s="147">
        <v>45689</v>
      </c>
      <c r="I43" s="94">
        <v>7770.247861</v>
      </c>
      <c r="J43" s="94">
        <v>0</v>
      </c>
      <c r="K43" s="94">
        <v>5671.2698539999</v>
      </c>
      <c r="L43" s="94">
        <v>8903.848601</v>
      </c>
      <c r="M43" s="94">
        <f t="shared" ref="M43:M53" si="3">SUM(I43:L43)</f>
        <v>22345.3663159999</v>
      </c>
      <c r="N43" s="296"/>
      <c r="O43" s="137" t="s">
        <v>217</v>
      </c>
      <c r="P43" s="133">
        <f>SUM(B$42:B43)</f>
        <v>18330.28386892</v>
      </c>
      <c r="Q43" s="133">
        <f>SUM(C$42:C43)</f>
        <v>2166.03251412</v>
      </c>
      <c r="R43" s="133">
        <f>SUM(D$42:D43)</f>
        <v>39006.7168268813</v>
      </c>
      <c r="S43" s="133">
        <f>SUM(E$42:E43)</f>
        <v>65596.3819235401</v>
      </c>
      <c r="T43" s="133">
        <f>SUM($F$42:F43)</f>
        <v>125099.415133461</v>
      </c>
      <c r="U43" s="53">
        <f t="shared" si="2"/>
        <v>0</v>
      </c>
    </row>
    <row r="44" spans="1:21">
      <c r="A44" s="148">
        <v>45717</v>
      </c>
      <c r="B44" s="185">
        <f>('GMV销售额波动分析（分月、年）'!B4+'GMV销售额波动分析（分月、年）'!C4)/10000</f>
        <v>6218.21073487999</v>
      </c>
      <c r="C44" s="185">
        <f>'GMV销售额波动分析（分月、年）'!D4/10000</f>
        <v>458.245863300003</v>
      </c>
      <c r="D44" s="185">
        <f>'GMV销售额波动分析（分月、年）'!E4/10000</f>
        <v>18891.6067885406</v>
      </c>
      <c r="E44" s="185">
        <f>('GMV销售额波动分析（分月、年）'!F4+'GMV销售额波动分析（分月、年）'!G4)/10000</f>
        <v>41030.3245329599</v>
      </c>
      <c r="F44" s="185">
        <f t="shared" si="0"/>
        <v>66598.3879196805</v>
      </c>
      <c r="H44" s="147">
        <v>45717</v>
      </c>
      <c r="I44" s="94">
        <v>2919.87514100006</v>
      </c>
      <c r="J44" s="94">
        <v>0</v>
      </c>
      <c r="K44" s="94">
        <v>4180.55417799996</v>
      </c>
      <c r="L44" s="94">
        <v>9969.97986367</v>
      </c>
      <c r="M44" s="94">
        <f t="shared" si="3"/>
        <v>17070.40918267</v>
      </c>
      <c r="N44" s="296"/>
      <c r="O44" s="137" t="s">
        <v>218</v>
      </c>
      <c r="P44" s="133">
        <f>SUM(B$42:B44)</f>
        <v>24548.4946038</v>
      </c>
      <c r="Q44" s="133">
        <f>SUM(C$42:C44)</f>
        <v>2624.27837742</v>
      </c>
      <c r="R44" s="133">
        <f>SUM(D$42:D44)</f>
        <v>57898.3236154219</v>
      </c>
      <c r="S44" s="133">
        <f>SUM(E$42:E44)</f>
        <v>106626.7064565</v>
      </c>
      <c r="T44" s="133">
        <f>SUM($F$42:F44)</f>
        <v>191697.803053142</v>
      </c>
      <c r="U44" s="53">
        <f t="shared" si="2"/>
        <v>0</v>
      </c>
    </row>
    <row r="45" spans="1:21">
      <c r="A45" s="148">
        <v>45748</v>
      </c>
      <c r="B45" s="185">
        <f>('GMV销售额波动分析（分月、年）'!B5+'GMV销售额波动分析（分月、年）'!C5)/10000</f>
        <v>7349.86782836001</v>
      </c>
      <c r="C45" s="185">
        <f>'GMV销售额波动分析（分月、年）'!D5/10000</f>
        <v>336.014381540003</v>
      </c>
      <c r="D45" s="185">
        <f>'GMV销售额波动分析（分月、年）'!E5/10000</f>
        <v>17304.7891303208</v>
      </c>
      <c r="E45" s="185">
        <f>('GMV销售额波动分析（分月、年）'!F5+'GMV销售额波动分析（分月、年）'!G5)/10000</f>
        <v>35355.3336625603</v>
      </c>
      <c r="F45" s="185">
        <f t="shared" si="0"/>
        <v>60346.0050027811</v>
      </c>
      <c r="H45" s="147">
        <v>45748</v>
      </c>
      <c r="I45" s="94">
        <v>2883.88938200015</v>
      </c>
      <c r="J45" s="94">
        <v>0</v>
      </c>
      <c r="K45" s="94">
        <v>3460.248107</v>
      </c>
      <c r="L45" s="94">
        <v>11398.455672</v>
      </c>
      <c r="M45" s="94">
        <f t="shared" si="3"/>
        <v>17742.5931610001</v>
      </c>
      <c r="N45" s="296"/>
      <c r="O45" s="137" t="s">
        <v>219</v>
      </c>
      <c r="P45" s="133">
        <f>SUM(B$42:B45)</f>
        <v>31898.36243216</v>
      </c>
      <c r="Q45" s="133">
        <f>SUM(C$42:C45)</f>
        <v>2960.29275896001</v>
      </c>
      <c r="R45" s="133">
        <f>SUM(D$42:D45)</f>
        <v>75203.1127457427</v>
      </c>
      <c r="S45" s="133">
        <f>SUM(E$42:E45)</f>
        <v>141982.04011906</v>
      </c>
      <c r="T45" s="133">
        <f>SUM($F$42:F45)</f>
        <v>252043.808055923</v>
      </c>
      <c r="U45" s="53">
        <f t="shared" si="2"/>
        <v>-2.91038304567337e-10</v>
      </c>
    </row>
    <row r="46" spans="1:21">
      <c r="A46" s="148">
        <v>45778</v>
      </c>
      <c r="B46" s="185">
        <f>('GMV销售额波动分析（分月、年）'!B6+'GMV销售额波动分析（分月、年）'!C6)/10000</f>
        <v>13757.20276094</v>
      </c>
      <c r="C46" s="185">
        <f>'GMV销售额波动分析（分月、年）'!D6/10000</f>
        <v>336.660389220002</v>
      </c>
      <c r="D46" s="185">
        <f>'GMV销售额波动分析（分月、年）'!E6/10000</f>
        <v>17290.5663946405</v>
      </c>
      <c r="E46" s="185">
        <f>('GMV销售额波动分析（分月、年）'!F6+'GMV销售额波动分析（分月、年）'!G6)/10000</f>
        <v>29087.3991687999</v>
      </c>
      <c r="F46" s="185">
        <f t="shared" ref="F46:F53" si="4">SUM(B46:E46)</f>
        <v>60471.8287136004</v>
      </c>
      <c r="H46" s="147">
        <v>45778</v>
      </c>
      <c r="I46" s="94">
        <v>6031.19829</v>
      </c>
      <c r="J46" s="94">
        <v>0</v>
      </c>
      <c r="K46" s="94">
        <v>13278.392129</v>
      </c>
      <c r="L46" s="94">
        <v>17001.142853</v>
      </c>
      <c r="M46" s="94">
        <f t="shared" si="3"/>
        <v>36310.733272</v>
      </c>
      <c r="N46" s="296"/>
      <c r="O46" s="137" t="s">
        <v>220</v>
      </c>
      <c r="P46" s="133">
        <f>SUM(B$42:B46)</f>
        <v>45655.5651931</v>
      </c>
      <c r="Q46" s="133">
        <f>SUM(C$42:C46)</f>
        <v>3296.95314818001</v>
      </c>
      <c r="R46" s="133">
        <f>SUM(D$42:D46)</f>
        <v>92493.6791403832</v>
      </c>
      <c r="S46" s="133">
        <f>SUM(E$42:E46)</f>
        <v>171069.43928786</v>
      </c>
      <c r="T46" s="133">
        <f>SUM($F$42:F46)</f>
        <v>312515.636769523</v>
      </c>
      <c r="U46" s="53">
        <f t="shared" si="2"/>
        <v>0</v>
      </c>
    </row>
    <row r="47" spans="1:21">
      <c r="A47" s="148">
        <v>45809</v>
      </c>
      <c r="B47" s="185">
        <f>('GMV销售额波动分析（分月、年）'!B7+'GMV销售额波动分析（分月、年）'!C7)/10000</f>
        <v>8665.04356208002</v>
      </c>
      <c r="C47" s="185">
        <f>'GMV销售额波动分析（分月、年）'!D7/10000</f>
        <v>288.059176380002</v>
      </c>
      <c r="D47" s="185">
        <f>'GMV销售额波动分析（分月、年）'!E7/10000</f>
        <v>12474.5162211398</v>
      </c>
      <c r="E47" s="185">
        <f>('GMV销售额波动分析（分月、年）'!F7+'GMV销售额波动分析（分月、年）'!G7)/10000</f>
        <v>35486.3657925007</v>
      </c>
      <c r="F47" s="185">
        <f t="shared" si="4"/>
        <v>56913.9847521005</v>
      </c>
      <c r="H47" s="147">
        <v>45809</v>
      </c>
      <c r="I47" s="94">
        <v>3554.397823</v>
      </c>
      <c r="J47" s="94">
        <v>0</v>
      </c>
      <c r="K47" s="94">
        <v>10943.310298</v>
      </c>
      <c r="L47" s="94">
        <v>15068.377652</v>
      </c>
      <c r="M47" s="94">
        <f t="shared" si="3"/>
        <v>29566.085773</v>
      </c>
      <c r="N47" s="296"/>
      <c r="O47" s="137" t="s">
        <v>221</v>
      </c>
      <c r="P47" s="133">
        <f>SUM(B$42:B47)</f>
        <v>54320.60875518</v>
      </c>
      <c r="Q47" s="133">
        <f>SUM(C$42:C47)</f>
        <v>3585.01232456001</v>
      </c>
      <c r="R47" s="133">
        <f>SUM(D$42:D47)</f>
        <v>104968.195361523</v>
      </c>
      <c r="S47" s="133">
        <f>SUM(E$42:E47)</f>
        <v>206555.805080361</v>
      </c>
      <c r="T47" s="133">
        <f>SUM($F$42:F47)</f>
        <v>369429.621521624</v>
      </c>
      <c r="U47" s="53">
        <f t="shared" si="2"/>
        <v>0</v>
      </c>
    </row>
    <row r="48" spans="1:21">
      <c r="A48" s="148">
        <v>45839</v>
      </c>
      <c r="B48" s="185">
        <f>('GMV销售额波动分析（分月、年）'!B8+'GMV销售额波动分析（分月、年）'!C8)/10000</f>
        <v>8752.10629835002</v>
      </c>
      <c r="C48" s="185">
        <f>'GMV销售额波动分析（分月、年）'!D8/10000</f>
        <v>295.717836960001</v>
      </c>
      <c r="D48" s="185">
        <f>'GMV销售额波动分析（分月、年）'!E8/10000</f>
        <v>7512.59649877998</v>
      </c>
      <c r="E48" s="185">
        <f>('GMV销售额波动分析（分月、年）'!F8+'GMV销售额波动分析（分月、年）'!G8)/10000</f>
        <v>46471.8338846404</v>
      </c>
      <c r="F48" s="185">
        <f t="shared" si="4"/>
        <v>63032.2545187304</v>
      </c>
      <c r="H48" s="147">
        <v>45839</v>
      </c>
      <c r="I48" s="94">
        <v>4544.12177799996</v>
      </c>
      <c r="J48" s="94">
        <v>0</v>
      </c>
      <c r="K48" s="94">
        <v>4437.397584</v>
      </c>
      <c r="L48" s="94">
        <v>3975.465824</v>
      </c>
      <c r="M48" s="94">
        <f t="shared" si="3"/>
        <v>12956.985186</v>
      </c>
      <c r="N48" s="296"/>
      <c r="O48" s="137" t="s">
        <v>222</v>
      </c>
      <c r="P48" s="133">
        <f>SUM(B$42:B48)</f>
        <v>63072.71505353</v>
      </c>
      <c r="Q48" s="133">
        <f>SUM(C$42:C48)</f>
        <v>3880.73016152001</v>
      </c>
      <c r="R48" s="133">
        <f>SUM(D$42:D48)</f>
        <v>112480.791860303</v>
      </c>
      <c r="S48" s="133">
        <f>SUM(E$42:E48)</f>
        <v>253027.638965001</v>
      </c>
      <c r="T48" s="133">
        <f>SUM($F$42:F48)</f>
        <v>432461.876040354</v>
      </c>
      <c r="U48" s="53">
        <f t="shared" si="2"/>
        <v>0</v>
      </c>
    </row>
    <row r="49" spans="1:21">
      <c r="A49" s="148">
        <v>45870</v>
      </c>
      <c r="B49" s="185">
        <f>('GMV销售额波动分析（分月、年）'!B9+'GMV销售额波动分析（分月、年）'!C9)/10000</f>
        <v>9644.68621113001</v>
      </c>
      <c r="C49" s="185">
        <f>'GMV销售额波动分析（分月、年）'!D9/10000</f>
        <v>364.70533578</v>
      </c>
      <c r="D49" s="185">
        <f>'GMV销售额波动分析（分月、年）'!E9/10000</f>
        <v>8431.56606159996</v>
      </c>
      <c r="E49" s="185">
        <f>('GMV销售额波动分析（分月、年）'!F9+'GMV销售额波动分析（分月、年）'!G9)/10000</f>
        <v>52606.9115361998</v>
      </c>
      <c r="F49" s="185">
        <f t="shared" si="4"/>
        <v>71047.8691447098</v>
      </c>
      <c r="H49" s="147">
        <v>45870</v>
      </c>
      <c r="I49" s="94">
        <v>6020.93331499996</v>
      </c>
      <c r="J49" s="94">
        <v>0</v>
      </c>
      <c r="K49" s="94">
        <v>7980.48754500015</v>
      </c>
      <c r="L49" s="94">
        <v>2609.991117</v>
      </c>
      <c r="M49" s="94">
        <f t="shared" si="3"/>
        <v>16611.4119770001</v>
      </c>
      <c r="N49" s="296"/>
      <c r="O49" s="137" t="s">
        <v>223</v>
      </c>
      <c r="P49" s="133">
        <f>SUM(B$42:B49)</f>
        <v>72717.4012646601</v>
      </c>
      <c r="Q49" s="133">
        <f>SUM(C$42:C49)</f>
        <v>4245.43549730001</v>
      </c>
      <c r="R49" s="133">
        <f>SUM(D$42:D49)</f>
        <v>120912.357921903</v>
      </c>
      <c r="S49" s="133">
        <f>SUM(E$42:E49)</f>
        <v>305634.550501201</v>
      </c>
      <c r="T49" s="133">
        <f>SUM($F$42:F49)</f>
        <v>503509.745185064</v>
      </c>
      <c r="U49" s="53">
        <f t="shared" si="2"/>
        <v>0</v>
      </c>
    </row>
    <row r="50" spans="1:21">
      <c r="A50" s="148">
        <v>45901</v>
      </c>
      <c r="B50" s="185">
        <f>('GMV销售额波动分析（分月、年）'!B10+'GMV销售额波动分析（分月、年）'!C10)/10000</f>
        <v>13650.28291406</v>
      </c>
      <c r="C50" s="185">
        <f>'GMV销售额波动分析（分月、年）'!D10/10000</f>
        <v>331.533266940002</v>
      </c>
      <c r="D50" s="185">
        <f>'GMV销售额波动分析（分月、年）'!E10/10000</f>
        <v>8711.85707115989</v>
      </c>
      <c r="E50" s="185">
        <f>('GMV销售额波动分析（分月、年）'!F10+'GMV销售额波动分析（分月、年）'!G10)/10000</f>
        <v>50456.0923113393</v>
      </c>
      <c r="F50" s="185">
        <f t="shared" si="4"/>
        <v>73149.7655634992</v>
      </c>
      <c r="H50" s="147">
        <v>45901</v>
      </c>
      <c r="I50" s="94">
        <v>6432.06902489995</v>
      </c>
      <c r="J50" s="94">
        <v>0</v>
      </c>
      <c r="K50" s="94">
        <v>8794.775438</v>
      </c>
      <c r="L50" s="94">
        <v>2349.217228</v>
      </c>
      <c r="M50" s="94">
        <f t="shared" si="3"/>
        <v>17576.0616909</v>
      </c>
      <c r="N50" s="296"/>
      <c r="O50" s="137" t="s">
        <v>224</v>
      </c>
      <c r="P50" s="133">
        <f>SUM(B$42:B50)</f>
        <v>86367.6841787201</v>
      </c>
      <c r="Q50" s="133">
        <f>SUM(C$42:C50)</f>
        <v>4576.96876424001</v>
      </c>
      <c r="R50" s="133">
        <f>SUM(D$42:D50)</f>
        <v>129624.214993063</v>
      </c>
      <c r="S50" s="133">
        <f>SUM(E$42:E50)</f>
        <v>356090.64281254</v>
      </c>
      <c r="T50" s="133">
        <f>SUM($F$42:F50)</f>
        <v>576659.510748563</v>
      </c>
      <c r="U50" s="53">
        <f t="shared" si="2"/>
        <v>0</v>
      </c>
    </row>
    <row r="51" spans="1:21">
      <c r="A51" s="148">
        <v>45931</v>
      </c>
      <c r="B51" s="185">
        <f>('GMV销售额波动分析（分月、年）'!B11+'GMV销售额波动分析（分月、年）'!C11)/10000</f>
        <v>12824.20949644</v>
      </c>
      <c r="C51" s="185">
        <f>'GMV销售额波动分析（分月、年）'!D11/10000</f>
        <v>344.0109097</v>
      </c>
      <c r="D51" s="185">
        <f>'GMV销售额波动分析（分月、年）'!E11/10000</f>
        <v>9268.12376191995</v>
      </c>
      <c r="E51" s="185">
        <f>('GMV销售额波动分析（分月、年）'!F11+'GMV销售额波动分析（分月、年）'!G11)/10000</f>
        <v>39730.1866238694</v>
      </c>
      <c r="F51" s="185">
        <f t="shared" si="4"/>
        <v>62166.5307919293</v>
      </c>
      <c r="H51" s="147">
        <v>45931</v>
      </c>
      <c r="I51" s="94">
        <v>2692.24848999995</v>
      </c>
      <c r="J51" s="94">
        <v>0</v>
      </c>
      <c r="K51" s="94">
        <v>23020.46895</v>
      </c>
      <c r="L51" s="94">
        <v>2409.835649</v>
      </c>
      <c r="M51" s="94">
        <f t="shared" si="3"/>
        <v>28122.5530889999</v>
      </c>
      <c r="O51" s="137" t="s">
        <v>225</v>
      </c>
      <c r="P51" s="133">
        <f>SUM(B$42:B51)</f>
        <v>99191.8936751601</v>
      </c>
      <c r="Q51" s="133">
        <f>SUM(C$42:C51)</f>
        <v>4920.97967394001</v>
      </c>
      <c r="R51" s="133">
        <f>SUM(D$42:D51)</f>
        <v>138892.338754983</v>
      </c>
      <c r="S51" s="133">
        <f>SUM(E$42:E51)</f>
        <v>395820.82943641</v>
      </c>
      <c r="T51" s="133">
        <f>SUM($F$42:F51)</f>
        <v>638826.041540493</v>
      </c>
      <c r="U51" s="53">
        <f t="shared" si="2"/>
        <v>0</v>
      </c>
    </row>
    <row r="52" spans="1:21">
      <c r="A52" s="148">
        <v>45962</v>
      </c>
      <c r="B52" s="185">
        <f>('GMV销售额波动分析（分月、年）'!B12+'GMV销售额波动分析（分月、年）'!C12)/10000</f>
        <v>14063.88607108</v>
      </c>
      <c r="C52" s="185">
        <f>'GMV销售额波动分析（分月、年）'!D12/10000</f>
        <v>341.373603660001</v>
      </c>
      <c r="D52" s="185">
        <f>'GMV销售额波动分析（分月、年）'!E12/10000</f>
        <v>10587.3714121599</v>
      </c>
      <c r="E52" s="185">
        <f>('GMV销售额波动分析（分月、年）'!F12+'GMV销售额波动分析（分月、年）'!G12)/10000</f>
        <v>40654.6173859704</v>
      </c>
      <c r="F52" s="185">
        <f t="shared" si="4"/>
        <v>65647.2484728703</v>
      </c>
      <c r="H52" s="147">
        <v>45962</v>
      </c>
      <c r="I52" s="94">
        <v>5098.382082</v>
      </c>
      <c r="J52" s="94">
        <v>0</v>
      </c>
      <c r="K52" s="94">
        <v>21679.7872059993</v>
      </c>
      <c r="L52" s="94">
        <v>3654.842762</v>
      </c>
      <c r="M52" s="94">
        <f t="shared" si="3"/>
        <v>30433.0120499993</v>
      </c>
      <c r="O52" s="137" t="s">
        <v>226</v>
      </c>
      <c r="P52" s="133">
        <f>SUM(B$42:B52)</f>
        <v>113255.77974624</v>
      </c>
      <c r="Q52" s="133">
        <f>SUM(C$42:C52)</f>
        <v>5262.35327760001</v>
      </c>
      <c r="R52" s="133">
        <f>SUM(D$42:D52)</f>
        <v>149479.710167143</v>
      </c>
      <c r="S52" s="133">
        <f>SUM(E$42:E52)</f>
        <v>436475.44682238</v>
      </c>
      <c r="T52" s="133">
        <f>SUM($F$42:F52)</f>
        <v>704473.290013363</v>
      </c>
      <c r="U52" s="53">
        <f t="shared" si="2"/>
        <v>0</v>
      </c>
    </row>
    <row r="53" spans="1:21">
      <c r="A53" s="148">
        <v>45992</v>
      </c>
      <c r="B53" s="185">
        <f>('GMV销售额波动分析（分月、年）'!B13+'GMV销售额波动分析（分月、年）'!C13)/10000</f>
        <v>13745.98679534</v>
      </c>
      <c r="C53" s="185">
        <f>'GMV销售额波动分析（分月、年）'!D13/10000</f>
        <v>334.288861559999</v>
      </c>
      <c r="D53" s="185">
        <f>'GMV销售额波动分析（分月、年）'!E13/10000</f>
        <v>11975.2107624199</v>
      </c>
      <c r="E53" s="185">
        <f>('GMV销售额波动分析（分月、年）'!F13+'GMV销售额波动分析（分月、年）'!G13)/10000</f>
        <v>61154.7338589195</v>
      </c>
      <c r="F53" s="185">
        <f t="shared" si="4"/>
        <v>87210.2202782394</v>
      </c>
      <c r="H53" s="147">
        <v>45992</v>
      </c>
      <c r="I53" s="94">
        <v>5492.05039</v>
      </c>
      <c r="J53" s="94">
        <v>0</v>
      </c>
      <c r="K53" s="94">
        <v>14873.47936</v>
      </c>
      <c r="L53" s="94">
        <v>3923.060873</v>
      </c>
      <c r="M53" s="94">
        <f t="shared" si="3"/>
        <v>24288.590623</v>
      </c>
      <c r="O53" s="137" t="s">
        <v>227</v>
      </c>
      <c r="P53" s="133">
        <f>SUM(B$42:B53)</f>
        <v>127001.76654158</v>
      </c>
      <c r="Q53" s="133">
        <f>SUM(C$42:C53)</f>
        <v>5596.64213916001</v>
      </c>
      <c r="R53" s="133">
        <f>SUM(D$42:D53)</f>
        <v>161454.920929563</v>
      </c>
      <c r="S53" s="133">
        <f>SUM(E$42:E53)</f>
        <v>497630.1806813</v>
      </c>
      <c r="T53" s="133">
        <f>SUM($F$42:F53)</f>
        <v>791683.510291602</v>
      </c>
      <c r="U53" s="53">
        <f t="shared" si="2"/>
        <v>0</v>
      </c>
    </row>
    <row r="54" spans="1:21">
      <c r="A54" s="110"/>
      <c r="H54" s="110"/>
      <c r="O54" s="137"/>
    </row>
    <row r="55" spans="1:21">
      <c r="A55" s="110"/>
    </row>
    <row r="56" hidden="1" spans="1:21">
      <c r="A56" s="54" t="s">
        <v>228</v>
      </c>
      <c r="B56" s="106" t="e">
        <f>SUM(#REF!)</f>
        <v>#REF!</v>
      </c>
      <c r="C56" s="106" t="e">
        <f>SUM(#REF!)</f>
        <v>#REF!</v>
      </c>
      <c r="D56" s="106" t="e">
        <f>SUM(#REF!)</f>
        <v>#REF!</v>
      </c>
      <c r="E56" s="106" t="e">
        <f>SUM(#REF!)</f>
        <v>#REF!</v>
      </c>
      <c r="F56" s="106" t="e">
        <f t="shared" ref="F56:F61" si="5">SUM(B56:E56)</f>
        <v>#REF!</v>
      </c>
    </row>
    <row r="57" hidden="1" spans="1:21">
      <c r="A57" s="54" t="s">
        <v>229</v>
      </c>
      <c r="B57" s="106" t="e">
        <f>SUM(#REF!)</f>
        <v>#REF!</v>
      </c>
      <c r="C57" s="106" t="e">
        <f>SUM(#REF!)</f>
        <v>#REF!</v>
      </c>
      <c r="D57" s="106" t="e">
        <f>SUM(#REF!)</f>
        <v>#REF!</v>
      </c>
      <c r="E57" s="106" t="e">
        <f>SUM(#REF!)</f>
        <v>#REF!</v>
      </c>
      <c r="F57" s="106" t="e">
        <f t="shared" si="5"/>
        <v>#REF!</v>
      </c>
      <c r="H57" s="57"/>
      <c r="M57" s="94">
        <f>SUM(M18:M29)</f>
        <v>114296.39380799</v>
      </c>
    </row>
    <row r="58" hidden="1" spans="1:21">
      <c r="A58" s="54" t="s">
        <v>230</v>
      </c>
      <c r="B58" s="106">
        <f>SUM(B6:B17)</f>
        <v>155381.74989735</v>
      </c>
      <c r="C58" s="106">
        <f>SUM(C6:C17)</f>
        <v>516829.917712241</v>
      </c>
      <c r="D58" s="106">
        <f>SUM(D6:D17)</f>
        <v>576394.500606709</v>
      </c>
      <c r="E58" s="106">
        <f>SUM(E6:E17)</f>
        <v>365636.79818329</v>
      </c>
      <c r="F58" s="106">
        <f t="shared" si="5"/>
        <v>1614242.96639959</v>
      </c>
      <c r="M58" s="94" t="e">
        <f>M57-'[29]代运营店铺GMV统计2023年1-12月'!$AS$15</f>
        <v>#REF!</v>
      </c>
    </row>
    <row r="59" spans="1:21">
      <c r="A59" s="54" t="s">
        <v>231</v>
      </c>
      <c r="B59" s="106">
        <f>SUM(B18:B29)</f>
        <v>288229.303305</v>
      </c>
      <c r="C59" s="106">
        <f>SUM(C18:C29)</f>
        <v>212342.834188</v>
      </c>
      <c r="D59" s="106">
        <f>SUM(D18:D29)</f>
        <v>505603.593825101</v>
      </c>
      <c r="E59" s="106">
        <f>SUM(E18:E29)</f>
        <v>554277.846020388</v>
      </c>
      <c r="F59" s="106">
        <f t="shared" si="5"/>
        <v>1560453.57733849</v>
      </c>
      <c r="M59" s="94">
        <f>SUM(M42:M53)</f>
        <v>271941.58926457</v>
      </c>
    </row>
    <row r="60" spans="1:21">
      <c r="A60" s="54" t="s">
        <v>232</v>
      </c>
      <c r="B60" s="106">
        <f>SUM(B30:B41)</f>
        <v>151420.5143642</v>
      </c>
      <c r="C60" s="106">
        <f>SUM(C30:C41)</f>
        <v>31538.76953092</v>
      </c>
      <c r="D60" s="106">
        <f>SUM(D30:D41)</f>
        <v>308385.325414623</v>
      </c>
      <c r="E60" s="106">
        <f>SUM(E30:E41)</f>
        <v>331061.450780558</v>
      </c>
      <c r="F60" s="106">
        <f t="shared" si="5"/>
        <v>822406.060090301</v>
      </c>
      <c r="H60" s="94"/>
      <c r="M60" s="94">
        <f>M59-'[32]代运营店铺GMV统计2025年1-12月'!$AY$15</f>
        <v>0</v>
      </c>
      <c r="P60" s="297"/>
      <c r="Q60" s="297"/>
      <c r="R60" s="297"/>
      <c r="S60" s="297"/>
      <c r="T60" s="297"/>
    </row>
    <row r="61" spans="1:21">
      <c r="A61" s="54" t="s">
        <v>233</v>
      </c>
      <c r="B61" s="106">
        <f>SUM(B42:B53)</f>
        <v>127001.76654158</v>
      </c>
      <c r="C61" s="106">
        <f>SUM(C42:C53)</f>
        <v>5596.64213916001</v>
      </c>
      <c r="D61" s="106">
        <f>SUM(D42:D53)</f>
        <v>161454.920929563</v>
      </c>
      <c r="E61" s="106">
        <f>SUM(E42:E53)</f>
        <v>497630.1806813</v>
      </c>
      <c r="F61" s="106">
        <f t="shared" si="5"/>
        <v>791683.510291602</v>
      </c>
    </row>
    <row r="63" hidden="1" spans="1:21">
      <c r="A63" s="54" t="s">
        <v>234</v>
      </c>
      <c r="B63" s="62" t="e">
        <f>B56/$F$56</f>
        <v>#REF!</v>
      </c>
      <c r="C63" s="62" t="e">
        <f>C56/$F$56</f>
        <v>#REF!</v>
      </c>
      <c r="D63" s="62" t="e">
        <f>D56/$F$56</f>
        <v>#REF!</v>
      </c>
      <c r="E63" s="62" t="e">
        <f>E56/$F$56</f>
        <v>#REF!</v>
      </c>
      <c r="F63" s="57" t="e">
        <f t="shared" ref="F63:F68" si="6">SUM(B63:E63)</f>
        <v>#REF!</v>
      </c>
    </row>
    <row r="64" hidden="1" spans="1:21">
      <c r="A64" s="54" t="s">
        <v>235</v>
      </c>
      <c r="B64" s="62" t="e">
        <f>B57/$F$57</f>
        <v>#REF!</v>
      </c>
      <c r="C64" s="62" t="e">
        <f>C57/$F$57</f>
        <v>#REF!</v>
      </c>
      <c r="D64" s="62" t="e">
        <f>D57/$F$57</f>
        <v>#REF!</v>
      </c>
      <c r="E64" s="62" t="e">
        <f>E57/$F$57</f>
        <v>#REF!</v>
      </c>
      <c r="F64" s="57" t="e">
        <f t="shared" si="6"/>
        <v>#REF!</v>
      </c>
    </row>
    <row r="65" hidden="1" spans="1:15">
      <c r="A65" s="54" t="s">
        <v>236</v>
      </c>
      <c r="B65" s="65">
        <f>B58/$F$58</f>
        <v>0.0962567303259891</v>
      </c>
      <c r="C65" s="65">
        <f>C58/$F$58</f>
        <v>0.320168604398493</v>
      </c>
      <c r="D65" s="65">
        <f>D58/$F$58</f>
        <v>0.357067995713372</v>
      </c>
      <c r="E65" s="65">
        <f>E58/$F$58</f>
        <v>0.226506669562146</v>
      </c>
      <c r="F65" s="94">
        <f t="shared" si="6"/>
        <v>1</v>
      </c>
    </row>
    <row r="66" spans="1:15">
      <c r="A66" s="54" t="s">
        <v>237</v>
      </c>
      <c r="B66" s="65">
        <f>B59/$F$59</f>
        <v>0.184708668999051</v>
      </c>
      <c r="C66" s="65">
        <f>C59/$F$59</f>
        <v>0.136077636189711</v>
      </c>
      <c r="D66" s="65">
        <f>D59/$F$59</f>
        <v>0.324010660212948</v>
      </c>
      <c r="E66" s="65">
        <f>E59/$F$59</f>
        <v>0.355203034598289</v>
      </c>
      <c r="F66" s="94">
        <f t="shared" si="6"/>
        <v>1</v>
      </c>
    </row>
    <row r="67" spans="1:15">
      <c r="A67" s="54" t="s">
        <v>238</v>
      </c>
      <c r="B67" s="65">
        <f>B60/$F$60</f>
        <v>0.184118918515233</v>
      </c>
      <c r="C67" s="65">
        <f>C60/$F$60</f>
        <v>0.0383493885337579</v>
      </c>
      <c r="D67" s="65">
        <f>D60/$F$60</f>
        <v>0.374979393246156</v>
      </c>
      <c r="E67" s="65">
        <f>E60/$F$60</f>
        <v>0.402552299704853</v>
      </c>
      <c r="F67" s="94">
        <f t="shared" si="6"/>
        <v>1</v>
      </c>
    </row>
    <row r="68" spans="1:15">
      <c r="A68" s="54" t="s">
        <v>239</v>
      </c>
      <c r="B68" s="65">
        <f>B61/$F$61</f>
        <v>0.160419870934032</v>
      </c>
      <c r="C68" s="65">
        <f>C61/$F$61</f>
        <v>0.00706929229471837</v>
      </c>
      <c r="D68" s="65">
        <f>D61/$F$61</f>
        <v>0.20393871898392</v>
      </c>
      <c r="E68" s="65">
        <f>E61/$F$61</f>
        <v>0.62857211778733</v>
      </c>
      <c r="F68" s="94">
        <f t="shared" si="6"/>
        <v>1</v>
      </c>
      <c r="J68" s="54"/>
    </row>
    <row r="69" spans="1:15">
      <c r="A69" s="54" t="s">
        <v>240</v>
      </c>
      <c r="B69" s="94">
        <f>B61-B60</f>
        <v>-24418.7478226199</v>
      </c>
      <c r="C69" s="94">
        <f>C61-C60</f>
        <v>-25942.12739176</v>
      </c>
      <c r="D69" s="94">
        <f>D61-D60</f>
        <v>-146930.40448506</v>
      </c>
      <c r="E69" s="94">
        <f>E61-E60</f>
        <v>166568.729900742</v>
      </c>
      <c r="F69" s="94">
        <f>F61-F60</f>
        <v>-30722.5497986986</v>
      </c>
      <c r="O69" s="54"/>
    </row>
    <row r="70" spans="1:15">
      <c r="A70" s="54" t="s">
        <v>241</v>
      </c>
      <c r="B70" s="298">
        <f>B69/B60</f>
        <v>-0.161264462250389</v>
      </c>
      <c r="C70" s="298">
        <f>C69/C60</f>
        <v>-0.822547226083973</v>
      </c>
      <c r="D70" s="298">
        <f>D69/D60</f>
        <v>-0.476450701042642</v>
      </c>
      <c r="E70" s="298">
        <f>E69/E60</f>
        <v>0.503135383198543</v>
      </c>
      <c r="F70" s="65">
        <f>F69/F60</f>
        <v>-0.037356910764161</v>
      </c>
    </row>
    <row r="71" spans="1:15">
      <c r="D71" s="65"/>
    </row>
    <row r="73" spans="1:15">
      <c r="A73" s="123">
        <v>45261</v>
      </c>
    </row>
    <row r="74" spans="1:15">
      <c r="A74" s="123">
        <v>45627</v>
      </c>
    </row>
    <row r="75" spans="1:15">
      <c r="A75" s="123">
        <v>45992</v>
      </c>
    </row>
  </sheetData>
  <pageMargins left="0.75" right="0.75" top="1" bottom="1" header="0.5" footer="0.5"/>
  <headerFooter/>
  <ignoredErrors>
    <ignoredError sqref="F6:F8" formulaRange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AR212"/>
  <sheetViews>
    <sheetView workbookViewId="0">
      <pane ySplit="3" topLeftCell="A4" activePane="bottomLeft" state="frozen"/>
      <selection/>
      <selection pane="bottomLeft" activeCell="S39" sqref="S39"/>
    </sheetView>
  </sheetViews>
  <sheetFormatPr defaultColWidth="8.89166666666667" defaultRowHeight="13.5"/>
  <cols>
    <col min="1" max="1" width="9.875" style="54"/>
    <col min="2" max="3" width="9.5" style="57" customWidth="1"/>
    <col min="4" max="4" width="10.25" style="57" customWidth="1"/>
    <col min="5" max="7" width="9.5" style="57" customWidth="1"/>
    <col min="8" max="8" width="9.5" style="54" customWidth="1"/>
    <col min="9" max="9" width="9.5" style="66" customWidth="1"/>
    <col min="10" max="10" width="8.875" style="66" customWidth="1"/>
    <col min="11" max="11" width="3.875" style="54" customWidth="1"/>
    <col min="12" max="12" width="13.625" style="54" customWidth="1"/>
    <col min="13" max="13" width="13.375" style="106" customWidth="1"/>
    <col min="14" max="14" width="9.375" style="106" customWidth="1"/>
    <col min="15" max="15" width="5.75" style="57" customWidth="1"/>
    <col min="16" max="16" width="7.875" style="54" customWidth="1"/>
    <col min="17" max="17" width="9.75" style="57" customWidth="1"/>
    <col min="18" max="23" width="9.75" style="42" customWidth="1"/>
    <col min="24" max="24" width="6.75" style="42" customWidth="1"/>
    <col min="25" max="25" width="5.5" style="42" customWidth="1"/>
    <col min="26" max="34" width="9.25" style="42" customWidth="1"/>
    <col min="35" max="35" width="5.625" customWidth="1"/>
    <col min="36" max="36" width="7.25" style="277" hidden="1" customWidth="1"/>
    <col min="37" max="39" width="8.875" hidden="1" customWidth="1"/>
    <col min="40" max="40" width="7.25" hidden="1" customWidth="1"/>
    <col min="41" max="43" width="8.875" hidden="1" customWidth="1"/>
    <col min="44" max="44" width="7.25" hidden="1" customWidth="1"/>
  </cols>
  <sheetData>
    <row r="1" spans="1:44">
      <c r="A1" s="54" t="s">
        <v>242</v>
      </c>
      <c r="K1" s="54" t="s">
        <v>111</v>
      </c>
      <c r="L1" s="54" t="s">
        <v>243</v>
      </c>
      <c r="M1" s="106" t="s">
        <v>244</v>
      </c>
      <c r="N1" s="106" t="s">
        <v>245</v>
      </c>
      <c r="P1" s="53"/>
      <c r="Q1" s="112"/>
    </row>
    <row r="2" spans="1:44">
      <c r="A2" s="54" t="s">
        <v>246</v>
      </c>
      <c r="L2" s="54" t="s">
        <v>247</v>
      </c>
      <c r="M2" s="106">
        <v>21763660.3581436</v>
      </c>
      <c r="N2" s="106">
        <f t="shared" ref="N2:N14" si="0">M2/10000</f>
        <v>2176.36603581436</v>
      </c>
      <c r="P2" s="278" t="s">
        <v>97</v>
      </c>
      <c r="Q2" s="112"/>
      <c r="R2" s="53"/>
      <c r="S2" s="53"/>
      <c r="T2" s="53"/>
      <c r="U2" s="53"/>
      <c r="V2" s="53"/>
      <c r="W2" s="53"/>
      <c r="X2" s="53"/>
      <c r="Y2" s="53"/>
      <c r="Z2" s="278" t="s">
        <v>99</v>
      </c>
      <c r="AA2" s="53"/>
      <c r="AB2" s="53"/>
      <c r="AC2" s="53"/>
      <c r="AD2" s="53"/>
      <c r="AE2" s="53"/>
      <c r="AF2" s="53"/>
      <c r="AG2" s="53"/>
      <c r="AH2" s="53"/>
      <c r="AJ2" s="279" t="s">
        <v>131</v>
      </c>
    </row>
    <row r="3" spans="1:44">
      <c r="A3" s="54" t="s">
        <v>53</v>
      </c>
      <c r="B3" s="222" t="s">
        <v>248</v>
      </c>
      <c r="C3" s="222" t="s">
        <v>249</v>
      </c>
      <c r="D3" s="222" t="s">
        <v>250</v>
      </c>
      <c r="E3" s="222" t="s">
        <v>251</v>
      </c>
      <c r="F3" s="222" t="s">
        <v>252</v>
      </c>
      <c r="G3" s="222" t="s">
        <v>253</v>
      </c>
      <c r="H3" s="55" t="s">
        <v>9</v>
      </c>
      <c r="I3" s="66" t="s">
        <v>254</v>
      </c>
      <c r="L3" s="54" t="s">
        <v>255</v>
      </c>
      <c r="M3" s="106">
        <v>7176144.82837475</v>
      </c>
      <c r="N3" s="106">
        <f t="shared" si="0"/>
        <v>717.614482837475</v>
      </c>
      <c r="P3" s="53" t="s">
        <v>53</v>
      </c>
      <c r="Q3" s="280" t="s">
        <v>248</v>
      </c>
      <c r="R3" s="280" t="s">
        <v>249</v>
      </c>
      <c r="S3" s="280" t="s">
        <v>250</v>
      </c>
      <c r="T3" s="280" t="s">
        <v>251</v>
      </c>
      <c r="U3" s="280" t="s">
        <v>252</v>
      </c>
      <c r="V3" s="280" t="s">
        <v>253</v>
      </c>
      <c r="W3" s="280" t="s">
        <v>9</v>
      </c>
      <c r="X3" s="280" t="s">
        <v>254</v>
      </c>
      <c r="Y3" s="280"/>
      <c r="Z3" s="280" t="s">
        <v>53</v>
      </c>
      <c r="AA3" s="280" t="s">
        <v>248</v>
      </c>
      <c r="AB3" s="280" t="s">
        <v>249</v>
      </c>
      <c r="AC3" s="280" t="s">
        <v>250</v>
      </c>
      <c r="AD3" s="280" t="s">
        <v>251</v>
      </c>
      <c r="AE3" s="280" t="s">
        <v>252</v>
      </c>
      <c r="AF3" s="280" t="s">
        <v>253</v>
      </c>
      <c r="AG3" s="280" t="s">
        <v>9</v>
      </c>
      <c r="AH3" s="280" t="s">
        <v>254</v>
      </c>
      <c r="AJ3" s="126" t="s">
        <v>53</v>
      </c>
      <c r="AK3" s="57" t="s">
        <v>248</v>
      </c>
      <c r="AL3" s="57" t="s">
        <v>249</v>
      </c>
      <c r="AM3" s="57" t="s">
        <v>250</v>
      </c>
      <c r="AN3" s="57" t="s">
        <v>251</v>
      </c>
      <c r="AO3" s="57" t="s">
        <v>252</v>
      </c>
      <c r="AP3" s="57" t="s">
        <v>253</v>
      </c>
      <c r="AQ3" s="54" t="s">
        <v>9</v>
      </c>
      <c r="AR3" s="66" t="s">
        <v>254</v>
      </c>
    </row>
    <row r="4" spans="1:44">
      <c r="A4" s="110">
        <v>45658</v>
      </c>
      <c r="B4" s="106">
        <f>VLOOKUP(B$3,$L$1:$N$15,3,0)</f>
        <v>6136.91160612671</v>
      </c>
      <c r="C4" s="106">
        <f>VLOOKUP(C$3,$L$1:$N$15,3,0)</f>
        <v>1001.62340298899</v>
      </c>
      <c r="D4" s="106">
        <f>VLOOKUP(D$3,$L$1:$N$15,3,0)</f>
        <v>12126.94363261</v>
      </c>
      <c r="E4" s="106">
        <f>VLOOKUP(E$3,$L$1:$N$15,3,0)</f>
        <v>118.95726827</v>
      </c>
      <c r="F4" s="106">
        <f>VLOOKUP(F$3,$L$1:$N$15,3,0)</f>
        <v>990.527200999997</v>
      </c>
      <c r="G4" s="106">
        <f>'GMV表-商品大类'!D42-SUM(B4:F4)</f>
        <v>-18.7777986150977</v>
      </c>
      <c r="H4" s="90">
        <f t="shared" ref="H4:H15" si="1">SUM(B4:G4)</f>
        <v>20356.1853123806</v>
      </c>
      <c r="I4" s="66">
        <f>H4-'GMV表-商品大类'!D42</f>
        <v>0</v>
      </c>
      <c r="L4" s="54" t="s">
        <v>256</v>
      </c>
      <c r="M4" s="106">
        <v>329600841.863133</v>
      </c>
      <c r="N4" s="106">
        <f t="shared" si="0"/>
        <v>32960.0841863133</v>
      </c>
      <c r="P4" s="281">
        <v>45292</v>
      </c>
      <c r="Q4" s="282">
        <v>8007.145035</v>
      </c>
      <c r="R4" s="157">
        <v>1178.901659</v>
      </c>
      <c r="S4" s="157">
        <v>11963.610301</v>
      </c>
      <c r="T4" s="157">
        <v>161.486814</v>
      </c>
      <c r="U4" s="157">
        <v>728.835798</v>
      </c>
      <c r="V4" s="157">
        <f t="shared" ref="V4:V15" si="2">W4-SUM(Q4:U4)</f>
        <v>-1.87553000009575</v>
      </c>
      <c r="W4" s="157">
        <v>22038.1040769999</v>
      </c>
      <c r="X4" s="157">
        <v>0</v>
      </c>
      <c r="Y4" s="157"/>
      <c r="Z4" s="281">
        <v>44927</v>
      </c>
      <c r="AA4" s="157">
        <v>13288.648332</v>
      </c>
      <c r="AB4" s="157">
        <v>2371.851396</v>
      </c>
      <c r="AC4" s="157">
        <v>32898.797496</v>
      </c>
      <c r="AD4" s="157">
        <v>82.789323</v>
      </c>
      <c r="AE4" s="157">
        <v>231.639074</v>
      </c>
      <c r="AF4" s="157">
        <v>-36.7420080000957</v>
      </c>
      <c r="AG4" s="157">
        <v>48836.9836129999</v>
      </c>
      <c r="AH4" s="157">
        <v>0</v>
      </c>
      <c r="AJ4" s="283">
        <v>44562</v>
      </c>
      <c r="AK4" s="106">
        <v>9884.643773</v>
      </c>
      <c r="AL4" s="106">
        <v>2395.768087</v>
      </c>
      <c r="AM4" s="106">
        <v>19925.160243</v>
      </c>
      <c r="AN4" s="106">
        <v>97.152787</v>
      </c>
      <c r="AO4" s="106">
        <v>97.262358</v>
      </c>
      <c r="AP4" s="106">
        <v>32.0575810000046</v>
      </c>
      <c r="AQ4" s="90">
        <v>32432.044829</v>
      </c>
      <c r="AR4" s="66">
        <v>0</v>
      </c>
    </row>
    <row r="5" spans="1:44">
      <c r="A5" s="110">
        <v>45689</v>
      </c>
      <c r="B5" s="106">
        <f>VLOOKUP(B$3,$L$18:$N$32,3,0)</f>
        <v>5256.2006174537</v>
      </c>
      <c r="C5" s="106">
        <f>VLOOKUP(C$3,$L$18:$N$32,3,0)</f>
        <v>1095.87629618921</v>
      </c>
      <c r="D5" s="106">
        <f>VLOOKUP(D$3,$L$18:$N$32,3,0)</f>
        <v>11005.4741035066</v>
      </c>
      <c r="E5" s="106">
        <f>VLOOKUP(E$3,$L$18:$N$32,3,0)</f>
        <v>246.71840856</v>
      </c>
      <c r="F5" s="106">
        <f>VLOOKUP(F$3,$L$18:$N$32,3,0)</f>
        <v>1046.8678385</v>
      </c>
      <c r="G5" s="106">
        <f>'GMV表-商品大类'!D43-SUM(B5:F5)</f>
        <v>-0.605749708807707</v>
      </c>
      <c r="H5" s="90">
        <f t="shared" si="1"/>
        <v>18650.5315145007</v>
      </c>
      <c r="I5" s="66">
        <f>H5-'GMV表-商品大类'!D43</f>
        <v>0</v>
      </c>
      <c r="L5" s="54" t="s">
        <v>257</v>
      </c>
      <c r="M5" s="106">
        <v>162409.08690788</v>
      </c>
      <c r="N5" s="106">
        <f t="shared" si="0"/>
        <v>16.240908690788</v>
      </c>
      <c r="P5" s="281">
        <v>45323</v>
      </c>
      <c r="Q5" s="282">
        <v>8107.772535</v>
      </c>
      <c r="R5" s="157">
        <v>976.136992</v>
      </c>
      <c r="S5" s="157">
        <v>10649.628445</v>
      </c>
      <c r="T5" s="157">
        <v>163.129055</v>
      </c>
      <c r="U5" s="157">
        <v>738.267158</v>
      </c>
      <c r="V5" s="157">
        <f t="shared" si="2"/>
        <v>-4.31072100029996</v>
      </c>
      <c r="W5" s="157">
        <v>20630.6234639997</v>
      </c>
      <c r="X5" s="157">
        <v>0</v>
      </c>
      <c r="Y5" s="157"/>
      <c r="Z5" s="281">
        <v>44958</v>
      </c>
      <c r="AA5" s="157">
        <v>11012.897566</v>
      </c>
      <c r="AB5" s="157">
        <v>2054.445485</v>
      </c>
      <c r="AC5" s="157">
        <v>31469.652516</v>
      </c>
      <c r="AD5" s="157">
        <v>41.977595</v>
      </c>
      <c r="AE5" s="157">
        <v>354.575482</v>
      </c>
      <c r="AF5" s="157">
        <v>84.4155249999967</v>
      </c>
      <c r="AG5" s="157">
        <v>45017.964169</v>
      </c>
      <c r="AH5" s="157">
        <v>0</v>
      </c>
      <c r="AJ5" s="283">
        <v>44593</v>
      </c>
      <c r="AK5" s="106">
        <v>6650.341342</v>
      </c>
      <c r="AL5" s="106">
        <v>2147.220716</v>
      </c>
      <c r="AM5" s="106">
        <v>16050.732448</v>
      </c>
      <c r="AN5" s="106">
        <v>59.040987</v>
      </c>
      <c r="AO5" s="106">
        <v>107.802769</v>
      </c>
      <c r="AP5" s="106">
        <v>218.664871000001</v>
      </c>
      <c r="AQ5" s="90">
        <v>25233.803133</v>
      </c>
      <c r="AR5" s="66">
        <v>0</v>
      </c>
    </row>
    <row r="6" spans="1:44">
      <c r="A6" s="110">
        <v>45717</v>
      </c>
      <c r="B6" s="106">
        <f>VLOOKUP(B$3,$L$35:$N$49,3,0)</f>
        <v>4185.86484455748</v>
      </c>
      <c r="C6" s="106">
        <f>VLOOKUP(C$3,$L$35:$N$49,3,0)</f>
        <v>886.275181580856</v>
      </c>
      <c r="D6" s="106">
        <f>VLOOKUP(D$3,$L$35:$N$49,3,0)</f>
        <v>12420.59851888</v>
      </c>
      <c r="E6" s="106">
        <f>VLOOKUP(E$3,$L$35:$N$49,3,0)</f>
        <v>243.343701340716</v>
      </c>
      <c r="F6" s="106">
        <f>VLOOKUP(F$3,$L$35:$N$49,3,0)</f>
        <v>1133.7676685</v>
      </c>
      <c r="G6" s="106">
        <f>'GMV表-商品大类'!D44-SUM(B6:F6)</f>
        <v>21.7568736815447</v>
      </c>
      <c r="H6" s="90">
        <f t="shared" si="1"/>
        <v>18891.6067885406</v>
      </c>
      <c r="I6" s="66">
        <f>H6-'GMV表-商品大类'!D44</f>
        <v>0</v>
      </c>
      <c r="L6" s="54" t="s">
        <v>258</v>
      </c>
      <c r="M6" s="106">
        <v>4195.5</v>
      </c>
      <c r="N6" s="106">
        <f t="shared" si="0"/>
        <v>0.41955</v>
      </c>
      <c r="P6" s="281">
        <v>45352</v>
      </c>
      <c r="Q6" s="282">
        <v>7833.407757</v>
      </c>
      <c r="R6" s="157">
        <v>1425.437198</v>
      </c>
      <c r="S6" s="157">
        <v>13347.026226</v>
      </c>
      <c r="T6" s="157">
        <v>152.420284</v>
      </c>
      <c r="U6" s="157">
        <v>1166.44722</v>
      </c>
      <c r="V6" s="157">
        <f t="shared" si="2"/>
        <v>82.8364707596047</v>
      </c>
      <c r="W6" s="157">
        <v>24007.5751557596</v>
      </c>
      <c r="X6" s="157">
        <v>0</v>
      </c>
      <c r="Y6" s="157"/>
      <c r="Z6" s="281">
        <v>44986</v>
      </c>
      <c r="AA6" s="157">
        <v>8861.178793</v>
      </c>
      <c r="AB6" s="157">
        <v>2290.569128</v>
      </c>
      <c r="AC6" s="157">
        <v>34891.965938</v>
      </c>
      <c r="AD6" s="157">
        <v>58.436207</v>
      </c>
      <c r="AE6" s="157">
        <v>659.284236</v>
      </c>
      <c r="AF6" s="157">
        <v>-8.20129099999758</v>
      </c>
      <c r="AG6" s="157">
        <v>46753.233011</v>
      </c>
      <c r="AH6" s="157">
        <v>0</v>
      </c>
      <c r="AJ6" s="283">
        <v>44621</v>
      </c>
      <c r="AK6" s="106">
        <v>6114.31281</v>
      </c>
      <c r="AL6" s="106">
        <v>3405.946431</v>
      </c>
      <c r="AM6" s="106">
        <v>33595.872679</v>
      </c>
      <c r="AN6" s="106">
        <v>71.032405</v>
      </c>
      <c r="AO6" s="106">
        <v>717.494836</v>
      </c>
      <c r="AP6" s="106">
        <v>475.799850000003</v>
      </c>
      <c r="AQ6" s="90">
        <v>44380.459011</v>
      </c>
      <c r="AR6" s="66">
        <v>0</v>
      </c>
    </row>
    <row r="7" spans="1:44">
      <c r="A7" s="110">
        <v>45748</v>
      </c>
      <c r="B7" s="106">
        <f>VLOOKUP(B$3,$L$52:$N$66,3,0)</f>
        <v>3633.77437919043</v>
      </c>
      <c r="C7" s="106">
        <f>VLOOKUP(C$3,$L$52:$N$66,3,0)</f>
        <v>913.841602</v>
      </c>
      <c r="D7" s="106">
        <f>VLOOKUP(D$3,$L$52:$N$66,3,0)</f>
        <v>11286.29713653</v>
      </c>
      <c r="E7" s="106">
        <f>VLOOKUP(E$3,$L$52:$N$66,3,0)</f>
        <v>418.136216</v>
      </c>
      <c r="F7" s="106">
        <f>VLOOKUP(F$3,$L$52:$N$66,3,0)</f>
        <v>1069.433215</v>
      </c>
      <c r="G7" s="106">
        <f>'GMV表-商品大类'!D45-SUM(B7:F7)</f>
        <v>-16.6934183996309</v>
      </c>
      <c r="H7" s="90">
        <f t="shared" si="1"/>
        <v>17304.7891303208</v>
      </c>
      <c r="I7" s="66">
        <f>H7-'GMV表-商品大类'!D45</f>
        <v>0</v>
      </c>
      <c r="L7" s="54" t="s">
        <v>259</v>
      </c>
      <c r="M7" s="106">
        <v>6856425.33</v>
      </c>
      <c r="N7" s="106">
        <f t="shared" si="0"/>
        <v>685.642533</v>
      </c>
      <c r="P7" s="281">
        <v>45383</v>
      </c>
      <c r="Q7" s="282">
        <v>8414.798639</v>
      </c>
      <c r="R7" s="157">
        <v>1072.043102</v>
      </c>
      <c r="S7" s="157">
        <v>13361.422427</v>
      </c>
      <c r="T7" s="157">
        <v>181.155425</v>
      </c>
      <c r="U7" s="157">
        <v>718.462542</v>
      </c>
      <c r="V7" s="157">
        <f t="shared" si="2"/>
        <v>113.920233159897</v>
      </c>
      <c r="W7" s="157">
        <v>23861.8023681599</v>
      </c>
      <c r="X7" s="157">
        <v>0</v>
      </c>
      <c r="Y7" s="157"/>
      <c r="Z7" s="281">
        <v>45017</v>
      </c>
      <c r="AA7" s="157">
        <v>7121.903211</v>
      </c>
      <c r="AB7" s="157">
        <v>2735.057825</v>
      </c>
      <c r="AC7" s="157">
        <v>28249.361143</v>
      </c>
      <c r="AD7" s="157">
        <v>164.805766</v>
      </c>
      <c r="AE7" s="157">
        <v>362.397844</v>
      </c>
      <c r="AF7" s="157">
        <v>-6.76878900000156</v>
      </c>
      <c r="AG7" s="157">
        <v>38626.757</v>
      </c>
      <c r="AH7" s="157">
        <v>0</v>
      </c>
      <c r="AJ7" s="283">
        <v>44652</v>
      </c>
      <c r="AK7" s="106">
        <v>5045.488451</v>
      </c>
      <c r="AL7" s="106">
        <v>4748.072605</v>
      </c>
      <c r="AM7" s="106">
        <v>24625.747218</v>
      </c>
      <c r="AN7" s="106">
        <v>96.921017</v>
      </c>
      <c r="AO7" s="106">
        <v>139.770511</v>
      </c>
      <c r="AP7" s="106">
        <v>311.360887999988</v>
      </c>
      <c r="AQ7" s="90">
        <v>34967.36069</v>
      </c>
      <c r="AR7" s="66">
        <v>0</v>
      </c>
    </row>
    <row r="8" spans="1:44">
      <c r="A8" s="110">
        <v>45778</v>
      </c>
      <c r="B8" s="106">
        <f>VLOOKUP(B$3,$L$69:$N$83,3,0)</f>
        <v>4773.87022638672</v>
      </c>
      <c r="C8" s="106">
        <f>VLOOKUP(C$3,$L$69:$N$83,3,0)</f>
        <v>833.379459260254</v>
      </c>
      <c r="D8" s="106">
        <f>VLOOKUP(D$3,$L$69:$N$83,3,0)</f>
        <v>9471.53853449332</v>
      </c>
      <c r="E8" s="106">
        <f>VLOOKUP(E$3,$L$69:$N$83,3,0)</f>
        <v>581.97344704</v>
      </c>
      <c r="F8" s="106">
        <f>VLOOKUP(F$3,$L$69:$N$83,3,0)</f>
        <v>1618.30656447592</v>
      </c>
      <c r="G8" s="106">
        <f>'GMV表-商品大类'!D46-SUM(B8:F8)</f>
        <v>11.4981629842878</v>
      </c>
      <c r="H8" s="90">
        <f t="shared" si="1"/>
        <v>17290.5663946405</v>
      </c>
      <c r="I8" s="66">
        <f>H8-'GMV表-商品大类'!D46</f>
        <v>0</v>
      </c>
      <c r="L8" s="54" t="s">
        <v>253</v>
      </c>
      <c r="M8" s="106">
        <v>15672.48</v>
      </c>
      <c r="N8" s="106">
        <f t="shared" si="0"/>
        <v>1.567248</v>
      </c>
      <c r="P8" s="281">
        <v>45413</v>
      </c>
      <c r="Q8" s="282">
        <v>8499.620609</v>
      </c>
      <c r="R8" s="157">
        <v>966.029834</v>
      </c>
      <c r="S8" s="157">
        <v>19570.3855098</v>
      </c>
      <c r="T8" s="157">
        <v>284.772143</v>
      </c>
      <c r="U8" s="157">
        <v>621.695762</v>
      </c>
      <c r="V8" s="157">
        <f t="shared" si="2"/>
        <v>6.00596734020655</v>
      </c>
      <c r="W8" s="157">
        <v>29948.5098251402</v>
      </c>
      <c r="X8" s="157">
        <v>0</v>
      </c>
      <c r="Y8" s="157"/>
      <c r="Z8" s="281">
        <v>45047</v>
      </c>
      <c r="AA8" s="157">
        <v>10431.345213</v>
      </c>
      <c r="AB8" s="157">
        <v>2253.559973</v>
      </c>
      <c r="AC8" s="157">
        <v>21805.577266</v>
      </c>
      <c r="AD8" s="157">
        <v>55.003518</v>
      </c>
      <c r="AE8" s="157">
        <v>265.457537</v>
      </c>
      <c r="AF8" s="157">
        <v>-4.02830200029712</v>
      </c>
      <c r="AG8" s="157">
        <v>34806.9152049997</v>
      </c>
      <c r="AH8" s="157">
        <v>0</v>
      </c>
      <c r="AJ8" s="283">
        <v>44682</v>
      </c>
      <c r="AK8" s="106">
        <v>7991.852979</v>
      </c>
      <c r="AL8" s="106">
        <v>3536.141616</v>
      </c>
      <c r="AM8" s="106">
        <v>27144.01596</v>
      </c>
      <c r="AN8" s="106">
        <v>106.16313</v>
      </c>
      <c r="AO8" s="106">
        <v>142.353821</v>
      </c>
      <c r="AP8" s="106">
        <v>161.280073000002</v>
      </c>
      <c r="AQ8" s="90">
        <v>39081.807579</v>
      </c>
      <c r="AR8" s="66">
        <v>0</v>
      </c>
    </row>
    <row r="9" spans="1:44">
      <c r="A9" s="110">
        <v>45809</v>
      </c>
      <c r="B9" s="106">
        <f>VLOOKUP(B$3,$L$87:$N$101,3,0)</f>
        <v>6039.90849726798</v>
      </c>
      <c r="C9" s="106">
        <f>VLOOKUP(C$3,$L$87:$N$101,3,0)</f>
        <v>690.586564902211</v>
      </c>
      <c r="D9" s="106">
        <f>VLOOKUP(D$3,$L$87:$N$101,3,0)</f>
        <v>3322.64694866</v>
      </c>
      <c r="E9" s="106">
        <f>VLOOKUP(E$3,$L$87:$N$101,3,0)</f>
        <v>524.371560992759</v>
      </c>
      <c r="F9" s="106">
        <f>VLOOKUP(F$3,$L$87:$N$101,3,0)</f>
        <v>1892.78448789892</v>
      </c>
      <c r="G9" s="106">
        <f>'GMV表-商品大类'!D47-SUM(B9:F9)</f>
        <v>4.2181614179317</v>
      </c>
      <c r="H9" s="90">
        <f t="shared" si="1"/>
        <v>12474.5162211398</v>
      </c>
      <c r="I9" s="66">
        <f>H9-'GMV表-商品大类'!D47</f>
        <v>0</v>
      </c>
      <c r="L9" s="54" t="s">
        <v>250</v>
      </c>
      <c r="M9" s="106">
        <v>121269436.3261</v>
      </c>
      <c r="N9" s="106">
        <f t="shared" si="0"/>
        <v>12126.94363261</v>
      </c>
      <c r="P9" s="281">
        <v>45444</v>
      </c>
      <c r="Q9" s="282">
        <v>7606.33099411898</v>
      </c>
      <c r="R9" s="157">
        <v>1061.46812201</v>
      </c>
      <c r="S9" s="157">
        <v>25825.33422347</v>
      </c>
      <c r="T9" s="157">
        <v>229.03323052</v>
      </c>
      <c r="U9" s="157">
        <v>579.31108</v>
      </c>
      <c r="V9" s="157">
        <f t="shared" si="2"/>
        <v>-440.979196338376</v>
      </c>
      <c r="W9" s="157">
        <v>34860.4984537806</v>
      </c>
      <c r="X9" s="157">
        <v>0</v>
      </c>
      <c r="Y9" s="157"/>
      <c r="Z9" s="281">
        <v>45078</v>
      </c>
      <c r="AA9" s="157">
        <v>15369.4365446</v>
      </c>
      <c r="AB9" s="157">
        <v>3149.507323</v>
      </c>
      <c r="AC9" s="157">
        <v>21568.204181</v>
      </c>
      <c r="AD9" s="157">
        <v>181.578052</v>
      </c>
      <c r="AE9" s="157">
        <v>162.295955</v>
      </c>
      <c r="AF9" s="157">
        <v>151.835030499795</v>
      </c>
      <c r="AG9" s="157">
        <v>40582.8570860998</v>
      </c>
      <c r="AH9" s="157">
        <v>0</v>
      </c>
      <c r="AJ9" s="283">
        <v>44713</v>
      </c>
      <c r="AK9" s="106">
        <v>11112.306216</v>
      </c>
      <c r="AL9" s="106">
        <v>4444.243052</v>
      </c>
      <c r="AM9" s="106">
        <v>34288.439524</v>
      </c>
      <c r="AN9" s="106">
        <v>86.107677</v>
      </c>
      <c r="AO9" s="106">
        <v>279.1332</v>
      </c>
      <c r="AP9" s="106">
        <v>115.9804826201</v>
      </c>
      <c r="AQ9" s="90">
        <v>50326.2101516201</v>
      </c>
      <c r="AR9" s="66">
        <v>0</v>
      </c>
    </row>
    <row r="10" spans="1:44">
      <c r="A10" s="110">
        <v>45839</v>
      </c>
      <c r="B10" s="106">
        <f>VLOOKUP(B$3,$L$105:$N$119,3,0)</f>
        <v>2908.19890642373</v>
      </c>
      <c r="C10" s="106">
        <f>VLOOKUP(C$3,$L$105:$N$119,3,0)</f>
        <v>809.567965548964</v>
      </c>
      <c r="D10" s="106">
        <f>VLOOKUP(D$3,$L$105:$N$119,3,0)</f>
        <v>2149.14039079</v>
      </c>
      <c r="E10" s="106">
        <f>VLOOKUP(E$3,$L$105:$N$119,3,0)</f>
        <v>423.09725288</v>
      </c>
      <c r="F10" s="106">
        <f>VLOOKUP(F$3,$L$105:$N$119,3,0)</f>
        <v>1215.42110262542</v>
      </c>
      <c r="G10" s="106">
        <f>'GMV表-商品大类'!D48-SUM(B10:F10)</f>
        <v>7.17088051186511</v>
      </c>
      <c r="H10" s="90">
        <f t="shared" si="1"/>
        <v>7512.59649877998</v>
      </c>
      <c r="I10" s="66">
        <f>H10-'GMV表-商品大类'!D48</f>
        <v>0</v>
      </c>
      <c r="L10" s="54" t="s">
        <v>252</v>
      </c>
      <c r="M10" s="106">
        <v>9905272.00999997</v>
      </c>
      <c r="N10" s="106">
        <f t="shared" si="0"/>
        <v>990.527200999997</v>
      </c>
      <c r="P10" s="281">
        <v>45474</v>
      </c>
      <c r="Q10" s="282">
        <v>4572.82062493778</v>
      </c>
      <c r="R10" s="157">
        <v>665.630745553334</v>
      </c>
      <c r="S10" s="157">
        <v>18787.3863155499</v>
      </c>
      <c r="T10" s="157">
        <v>141.31102606</v>
      </c>
      <c r="U10" s="157">
        <v>351.29139404</v>
      </c>
      <c r="V10" s="157">
        <f t="shared" si="2"/>
        <v>27.6680877393846</v>
      </c>
      <c r="W10" s="157">
        <v>24546.1081938804</v>
      </c>
      <c r="X10" s="157">
        <v>0</v>
      </c>
      <c r="Y10" s="157"/>
      <c r="Z10" s="281">
        <v>45108</v>
      </c>
      <c r="AA10" s="157">
        <v>10216.1446284</v>
      </c>
      <c r="AB10" s="157">
        <v>844.93032979</v>
      </c>
      <c r="AC10" s="157">
        <v>23913.59800781</v>
      </c>
      <c r="AD10" s="157">
        <v>55.022786</v>
      </c>
      <c r="AE10" s="157">
        <v>377.89675</v>
      </c>
      <c r="AF10" s="157">
        <v>10.5438359996042</v>
      </c>
      <c r="AG10" s="157">
        <v>35418.1363379996</v>
      </c>
      <c r="AH10" s="157">
        <v>0</v>
      </c>
      <c r="AJ10" s="283">
        <v>44743</v>
      </c>
      <c r="AK10" s="106">
        <v>6927.9175239</v>
      </c>
      <c r="AL10" s="106">
        <v>3863.3423</v>
      </c>
      <c r="AM10" s="106">
        <v>27571.9842</v>
      </c>
      <c r="AN10" s="106">
        <v>83.446368</v>
      </c>
      <c r="AO10" s="106">
        <v>568.880003</v>
      </c>
      <c r="AP10" s="106">
        <v>84.3894381000064</v>
      </c>
      <c r="AQ10" s="90">
        <v>39099.959833</v>
      </c>
      <c r="AR10" s="66">
        <v>0</v>
      </c>
    </row>
    <row r="11" spans="1:44">
      <c r="A11" s="110">
        <v>45870</v>
      </c>
      <c r="B11" s="106">
        <f>VLOOKUP(B$3,$L$123:$N$137,3,0)</f>
        <v>4488.45216613096</v>
      </c>
      <c r="C11" s="106">
        <f>VLOOKUP(C$3,$L$123:$N$137,3,0)</f>
        <v>849.621852017343</v>
      </c>
      <c r="D11" s="106">
        <f>VLOOKUP(D$3,$L$123:$N$137,3,0)</f>
        <v>2146.403908</v>
      </c>
      <c r="E11" s="106">
        <f>VLOOKUP(E$3,$L$123:$N$137,3,0)</f>
        <v>481.77782804</v>
      </c>
      <c r="F11" s="106">
        <f>VLOOKUP(F$3,$L$123:$N$137,3,0)</f>
        <v>554.132392136054</v>
      </c>
      <c r="G11" s="106">
        <f>'GMV表-商品大类'!D49-SUM(B11:F11)</f>
        <v>-88.8220847243992</v>
      </c>
      <c r="H11" s="90">
        <f t="shared" si="1"/>
        <v>8431.56606159996</v>
      </c>
      <c r="I11" s="66">
        <f>H11-'GMV表-商品大类'!D49</f>
        <v>0</v>
      </c>
      <c r="L11" s="54" t="s">
        <v>249</v>
      </c>
      <c r="M11" s="106">
        <v>10016234.0298899</v>
      </c>
      <c r="N11" s="106">
        <f t="shared" si="0"/>
        <v>1001.62340298899</v>
      </c>
      <c r="P11" s="281">
        <v>45505</v>
      </c>
      <c r="Q11" s="282">
        <v>5399.83007468158</v>
      </c>
      <c r="R11" s="157">
        <v>1309.91352594038</v>
      </c>
      <c r="S11" s="157">
        <v>22646.5133574732</v>
      </c>
      <c r="T11" s="157">
        <v>190.63346782</v>
      </c>
      <c r="U11" s="157">
        <v>417.689745599999</v>
      </c>
      <c r="V11" s="157">
        <f t="shared" si="2"/>
        <v>37.5352761447393</v>
      </c>
      <c r="W11" s="157">
        <v>30002.1154476599</v>
      </c>
      <c r="X11" s="157">
        <v>0</v>
      </c>
      <c r="Y11" s="157"/>
      <c r="Z11" s="281">
        <v>45139</v>
      </c>
      <c r="AA11" s="157">
        <v>12282.883502</v>
      </c>
      <c r="AB11" s="157">
        <v>2893.335088</v>
      </c>
      <c r="AC11" s="157">
        <v>26302.744864</v>
      </c>
      <c r="AD11" s="157">
        <v>113.387092</v>
      </c>
      <c r="AE11" s="157">
        <v>181.333692</v>
      </c>
      <c r="AF11" s="157">
        <v>49.7338500004043</v>
      </c>
      <c r="AG11" s="157">
        <v>41823.4180880004</v>
      </c>
      <c r="AH11" s="157">
        <v>0</v>
      </c>
      <c r="AJ11" s="283">
        <v>44774</v>
      </c>
      <c r="AK11" s="106">
        <v>10210.1359982</v>
      </c>
      <c r="AL11" s="106">
        <v>5164.414659</v>
      </c>
      <c r="AM11" s="106">
        <v>35440.571344</v>
      </c>
      <c r="AN11" s="106">
        <v>138.620841</v>
      </c>
      <c r="AO11" s="106">
        <v>210.158984</v>
      </c>
      <c r="AP11" s="106">
        <v>55.5014058001907</v>
      </c>
      <c r="AQ11" s="90">
        <v>51219.4032320002</v>
      </c>
      <c r="AR11" s="66">
        <v>0</v>
      </c>
    </row>
    <row r="12" spans="1:44">
      <c r="A12" s="110">
        <v>45901</v>
      </c>
      <c r="B12" s="106">
        <f>VLOOKUP(B$3,$L$141:$N$156,3,0)</f>
        <v>5056.40164114505</v>
      </c>
      <c r="C12" s="106">
        <f>VLOOKUP(C$3,$L$141:$N$156,3,0)</f>
        <v>652.74496628845</v>
      </c>
      <c r="D12" s="106">
        <f>VLOOKUP(D$3,$L$141:$N$156,3,0)</f>
        <v>837.7050717</v>
      </c>
      <c r="E12" s="106">
        <f>VLOOKUP(E$3,$L$141:$N$156,3,0)</f>
        <v>492.51330258</v>
      </c>
      <c r="F12" s="106">
        <f>VLOOKUP(F$3,$L$141:$N$156,3,0)</f>
        <v>867.88198335</v>
      </c>
      <c r="G12" s="106">
        <f>'GMV表-商品大类'!D50-SUM(B12:F12)</f>
        <v>804.610106096389</v>
      </c>
      <c r="H12" s="90">
        <f t="shared" si="1"/>
        <v>8711.85707115989</v>
      </c>
      <c r="I12" s="66">
        <f>H12-'GMV表-商品大类'!D50</f>
        <v>0</v>
      </c>
      <c r="L12" s="54" t="s">
        <v>248</v>
      </c>
      <c r="M12" s="106">
        <v>61369116.0612671</v>
      </c>
      <c r="N12" s="106">
        <f t="shared" si="0"/>
        <v>6136.91160612671</v>
      </c>
      <c r="P12" s="281">
        <v>45536</v>
      </c>
      <c r="Q12" s="282">
        <v>5591.882894472</v>
      </c>
      <c r="R12" s="157">
        <v>1000.28260250083</v>
      </c>
      <c r="S12" s="157">
        <v>15574.4847747133</v>
      </c>
      <c r="T12" s="157">
        <v>163.612388</v>
      </c>
      <c r="U12" s="157">
        <v>628.207742909999</v>
      </c>
      <c r="V12" s="157">
        <f t="shared" si="2"/>
        <v>-29.674593485528</v>
      </c>
      <c r="W12" s="157">
        <v>22928.7958091106</v>
      </c>
      <c r="X12" s="157">
        <v>0</v>
      </c>
      <c r="Y12" s="157"/>
      <c r="Z12" s="281">
        <v>45170</v>
      </c>
      <c r="AA12" s="157">
        <v>9903.629036</v>
      </c>
      <c r="AB12" s="157">
        <v>1782.810508</v>
      </c>
      <c r="AC12" s="157">
        <v>27656.213284</v>
      </c>
      <c r="AD12" s="157">
        <v>67.001426</v>
      </c>
      <c r="AE12" s="157">
        <v>204.136243</v>
      </c>
      <c r="AF12" s="157">
        <v>93.3754720008947</v>
      </c>
      <c r="AG12" s="157">
        <v>39707.1659690009</v>
      </c>
      <c r="AH12" s="157">
        <v>0</v>
      </c>
      <c r="AJ12" s="283">
        <v>44805</v>
      </c>
      <c r="AK12" s="106">
        <v>9354.739096</v>
      </c>
      <c r="AL12" s="106">
        <v>3448.509926</v>
      </c>
      <c r="AM12" s="106">
        <v>47059.398617</v>
      </c>
      <c r="AN12" s="106">
        <v>50.914779</v>
      </c>
      <c r="AO12" s="106">
        <v>531.490966</v>
      </c>
      <c r="AP12" s="106">
        <v>43.7387099998014</v>
      </c>
      <c r="AQ12" s="90">
        <v>60488.7920939998</v>
      </c>
      <c r="AR12" s="66">
        <v>0</v>
      </c>
    </row>
    <row r="13" spans="1:44">
      <c r="A13" s="110">
        <v>45931</v>
      </c>
      <c r="B13" s="106">
        <f>VLOOKUP(B$3,$L$159:$N$173,3,0)</f>
        <v>4046.98965324346</v>
      </c>
      <c r="C13" s="106">
        <f>VLOOKUP(C$3,$L$159:$N$173,3,0)</f>
        <v>986.233588858888</v>
      </c>
      <c r="D13" s="106">
        <f>VLOOKUP(D$3,$L$159:$N$173,3,0)</f>
        <v>1470.3084066</v>
      </c>
      <c r="E13" s="106">
        <f>VLOOKUP(E$3,$L$159:$N$173,3,0)</f>
        <v>628.134322739999</v>
      </c>
      <c r="F13" s="106">
        <f>VLOOKUP(F$3,$L$159:$N$173,3,0)</f>
        <v>1581.20678145603</v>
      </c>
      <c r="G13" s="106">
        <f>'GMV表-商品大类'!D51-SUM(B13:F13)</f>
        <v>555.251009021571</v>
      </c>
      <c r="H13" s="90">
        <f t="shared" si="1"/>
        <v>9268.12376191995</v>
      </c>
      <c r="I13" s="66">
        <f>H13-'GMV表-商品大类'!D51</f>
        <v>0</v>
      </c>
      <c r="L13" s="54" t="s">
        <v>251</v>
      </c>
      <c r="M13" s="106">
        <v>1189572.6827</v>
      </c>
      <c r="N13" s="106">
        <f t="shared" si="0"/>
        <v>118.95726827</v>
      </c>
      <c r="P13" s="281">
        <v>45566</v>
      </c>
      <c r="Q13" s="282">
        <v>6468.5197541674</v>
      </c>
      <c r="R13" s="157">
        <v>1404.52344629127</v>
      </c>
      <c r="S13" s="157">
        <v>14117.22451341</v>
      </c>
      <c r="T13" s="157">
        <v>335.07355202</v>
      </c>
      <c r="U13" s="157">
        <v>905.787737839999</v>
      </c>
      <c r="V13" s="157">
        <f t="shared" si="2"/>
        <v>24.8519964120278</v>
      </c>
      <c r="W13" s="157">
        <v>23255.9810001407</v>
      </c>
      <c r="X13" s="157">
        <v>0</v>
      </c>
      <c r="Y13" s="157"/>
      <c r="Z13" s="281">
        <v>45200</v>
      </c>
      <c r="AA13" s="157">
        <v>12285.088789</v>
      </c>
      <c r="AB13" s="157">
        <v>2025.497848</v>
      </c>
      <c r="AC13" s="157">
        <v>25105.258668</v>
      </c>
      <c r="AD13" s="157">
        <v>409.817479</v>
      </c>
      <c r="AE13" s="157">
        <v>122.346534</v>
      </c>
      <c r="AF13" s="157">
        <v>8.29242400020303</v>
      </c>
      <c r="AG13" s="157">
        <v>39956.3017420002</v>
      </c>
      <c r="AH13" s="157">
        <v>0</v>
      </c>
      <c r="AJ13" s="283">
        <v>44835</v>
      </c>
      <c r="AK13" s="106">
        <v>11006.976569</v>
      </c>
      <c r="AL13" s="106">
        <v>3568.480401</v>
      </c>
      <c r="AM13" s="106">
        <v>36415.133244</v>
      </c>
      <c r="AN13" s="106">
        <v>49.642019</v>
      </c>
      <c r="AO13" s="106">
        <v>334.695104</v>
      </c>
      <c r="AP13" s="106">
        <v>41.7188340000066</v>
      </c>
      <c r="AQ13" s="90">
        <v>51416.646171</v>
      </c>
      <c r="AR13" s="66">
        <v>0</v>
      </c>
    </row>
    <row r="14" spans="1:44">
      <c r="A14" s="110">
        <v>45962</v>
      </c>
      <c r="B14" s="106">
        <f>VLOOKUP(B$3,$L$177:$N$191,3,0)</f>
        <v>3408.87092564474</v>
      </c>
      <c r="C14" s="106">
        <f>VLOOKUP(C$3,$L$177:$N$191,3,0)</f>
        <v>798.49938387561</v>
      </c>
      <c r="D14" s="106">
        <f>VLOOKUP(D$3,$L$177:$N$191,3,0)</f>
        <v>3813.96621552</v>
      </c>
      <c r="E14" s="106">
        <f>VLOOKUP(E$3,$L$177:$N$191,3,0)</f>
        <v>553.67924514</v>
      </c>
      <c r="F14" s="106">
        <f>VLOOKUP(F$3,$L$177:$N$191,3,0)</f>
        <v>1976.5254422</v>
      </c>
      <c r="G14" s="106">
        <f>'GMV表-商品大类'!D52-SUM(B14:F14)</f>
        <v>35.8301997795515</v>
      </c>
      <c r="H14" s="90">
        <f t="shared" si="1"/>
        <v>10587.3714121599</v>
      </c>
      <c r="I14" s="66">
        <f>H14-'GMV表-商品大类'!D52</f>
        <v>0</v>
      </c>
      <c r="L14" s="54" t="e">
        <v>#N/A</v>
      </c>
      <c r="M14" s="106">
        <v>129735233.360634</v>
      </c>
      <c r="N14" s="106">
        <f t="shared" si="0"/>
        <v>12973.5233360634</v>
      </c>
      <c r="P14" s="281">
        <v>45597</v>
      </c>
      <c r="Q14" s="282">
        <v>6842.70800380649</v>
      </c>
      <c r="R14" s="157">
        <v>2232.48433636848</v>
      </c>
      <c r="S14" s="157">
        <v>15441.8676355867</v>
      </c>
      <c r="T14" s="157">
        <v>248.02302125</v>
      </c>
      <c r="U14" s="157">
        <v>1146.83511552</v>
      </c>
      <c r="V14" s="157">
        <f t="shared" si="2"/>
        <v>-19.6532732609667</v>
      </c>
      <c r="W14" s="157">
        <v>25892.2648392707</v>
      </c>
      <c r="X14" s="157">
        <v>0</v>
      </c>
      <c r="Y14" s="157"/>
      <c r="Z14" s="281">
        <v>45231</v>
      </c>
      <c r="AA14" s="157">
        <v>20147.535895</v>
      </c>
      <c r="AB14" s="157">
        <v>3621.093807</v>
      </c>
      <c r="AC14" s="157">
        <v>27859.796154</v>
      </c>
      <c r="AD14" s="157">
        <v>248.624314</v>
      </c>
      <c r="AE14" s="157">
        <v>361.733825</v>
      </c>
      <c r="AF14" s="157">
        <v>-24.0849450000023</v>
      </c>
      <c r="AG14" s="157">
        <v>52214.69905</v>
      </c>
      <c r="AH14" s="157">
        <v>0</v>
      </c>
      <c r="AJ14" s="283">
        <v>44866</v>
      </c>
      <c r="AK14" s="106">
        <v>17588.434144</v>
      </c>
      <c r="AL14" s="106">
        <v>4638.774944</v>
      </c>
      <c r="AM14" s="106">
        <v>47244.208406</v>
      </c>
      <c r="AN14" s="106">
        <v>174.553297</v>
      </c>
      <c r="AO14" s="106">
        <v>234.210745</v>
      </c>
      <c r="AP14" s="106">
        <v>159.674417089394</v>
      </c>
      <c r="AQ14" s="90">
        <v>70039.8559530894</v>
      </c>
      <c r="AR14" s="66">
        <v>0</v>
      </c>
    </row>
    <row r="15" spans="1:44">
      <c r="A15" s="110">
        <v>45992</v>
      </c>
      <c r="B15" s="106">
        <f>VLOOKUP(B$3,$L$195:$N$209,3,0)</f>
        <v>4206.70721074263</v>
      </c>
      <c r="C15" s="106">
        <f>VLOOKUP(C$3,$L$195:$N$209,3,0)</f>
        <v>856.269996576889</v>
      </c>
      <c r="D15" s="106">
        <f>VLOOKUP(D$3,$L$195:$N$209,3,0)</f>
        <v>3824.9187149</v>
      </c>
      <c r="E15" s="106">
        <f>VLOOKUP(E$3,$L$195:$N$209,3,0)</f>
        <v>355.26055456</v>
      </c>
      <c r="F15" s="106">
        <f>VLOOKUP(F$3,$L$195:$N$209,3,0)</f>
        <v>2639.85933661838</v>
      </c>
      <c r="G15" s="106">
        <f>'GMV表-商品大类'!D53-SUM(B15:F15)</f>
        <v>92.1949490220013</v>
      </c>
      <c r="H15" s="90">
        <f t="shared" si="1"/>
        <v>11975.2107624199</v>
      </c>
      <c r="I15" s="66">
        <f>H15-'GMV表-商品大类'!D53</f>
        <v>0</v>
      </c>
      <c r="L15" s="54" t="s">
        <v>260</v>
      </c>
      <c r="M15" s="106">
        <f>SUM(M2:M14)</f>
        <v>699064213.91715</v>
      </c>
      <c r="N15" s="106">
        <f>SUM(N2:N14)</f>
        <v>69906.421391715</v>
      </c>
      <c r="P15" s="281">
        <v>45627</v>
      </c>
      <c r="Q15" s="282">
        <v>5009.38847206728</v>
      </c>
      <c r="R15" s="157">
        <v>1217.78789911509</v>
      </c>
      <c r="S15" s="157">
        <v>18798.8958199033</v>
      </c>
      <c r="T15" s="157">
        <v>205.09285413</v>
      </c>
      <c r="U15" s="157">
        <v>1071.11672500995</v>
      </c>
      <c r="V15" s="157">
        <f t="shared" si="2"/>
        <v>110.665010494777</v>
      </c>
      <c r="W15" s="157">
        <v>26412.9467807204</v>
      </c>
      <c r="X15" s="157">
        <v>0</v>
      </c>
      <c r="Y15" s="157"/>
      <c r="Z15" s="281">
        <v>45261</v>
      </c>
      <c r="AA15" s="157">
        <v>9294.497362</v>
      </c>
      <c r="AB15" s="157">
        <v>3250.16097</v>
      </c>
      <c r="AC15" s="157">
        <v>28589.034404</v>
      </c>
      <c r="AD15" s="157">
        <v>110.716166</v>
      </c>
      <c r="AE15" s="157">
        <v>633.287949</v>
      </c>
      <c r="AF15" s="157">
        <v>-18.534296999489</v>
      </c>
      <c r="AG15" s="157">
        <v>41859.1625540005</v>
      </c>
      <c r="AH15" s="157">
        <v>0</v>
      </c>
      <c r="AJ15" s="283">
        <v>44896</v>
      </c>
      <c r="AK15" s="106">
        <v>9207.629053</v>
      </c>
      <c r="AL15" s="106">
        <v>3740.080934</v>
      </c>
      <c r="AM15" s="106">
        <v>63841.176871</v>
      </c>
      <c r="AN15" s="106">
        <v>58.520539</v>
      </c>
      <c r="AO15" s="106">
        <v>694.86699</v>
      </c>
      <c r="AP15" s="106">
        <v>165.883542999785</v>
      </c>
      <c r="AQ15" s="90">
        <v>77708.1579299998</v>
      </c>
      <c r="AR15" s="66">
        <v>0</v>
      </c>
    </row>
    <row r="16" spans="1:44">
      <c r="A16" s="54" t="s">
        <v>9</v>
      </c>
      <c r="B16" s="106">
        <f>SUM(B4:B15)</f>
        <v>54142.1506743136</v>
      </c>
      <c r="C16" s="106">
        <f t="shared" ref="B16:H16" si="3">SUM(C4:C15)</f>
        <v>10374.5202600877</v>
      </c>
      <c r="D16" s="106">
        <f t="shared" si="3"/>
        <v>73875.9415821899</v>
      </c>
      <c r="E16" s="106">
        <f t="shared" si="3"/>
        <v>5067.96310814347</v>
      </c>
      <c r="F16" s="106">
        <f t="shared" si="3"/>
        <v>16586.7140137607</v>
      </c>
      <c r="G16" s="106">
        <f t="shared" si="3"/>
        <v>1407.63129106721</v>
      </c>
      <c r="H16" s="106">
        <f t="shared" si="3"/>
        <v>161454.920929563</v>
      </c>
      <c r="I16" s="66">
        <f>H16-'GMV表-商品大类'!D61</f>
        <v>0</v>
      </c>
      <c r="P16" s="281" t="s">
        <v>9</v>
      </c>
      <c r="Q16" s="282">
        <f>SUM(Q4:Q15)</f>
        <v>82354.2253932515</v>
      </c>
      <c r="R16" s="282">
        <f t="shared" ref="R16:W16" si="4">SUM(R4:R15)</f>
        <v>14510.6394627794</v>
      </c>
      <c r="S16" s="282">
        <f t="shared" si="4"/>
        <v>200083.779548906</v>
      </c>
      <c r="T16" s="282">
        <f t="shared" si="4"/>
        <v>2455.7432608</v>
      </c>
      <c r="U16" s="282">
        <f t="shared" si="4"/>
        <v>9073.94802091995</v>
      </c>
      <c r="V16" s="282">
        <f t="shared" si="4"/>
        <v>-93.0102720346295</v>
      </c>
      <c r="W16" s="282">
        <f t="shared" si="4"/>
        <v>308385.325414623</v>
      </c>
      <c r="X16" s="157">
        <v>0</v>
      </c>
      <c r="Y16" s="157"/>
      <c r="Z16" s="281" t="s">
        <v>9</v>
      </c>
      <c r="AA16" s="157">
        <f>SUM(AA4:AA15)</f>
        <v>140215.188872</v>
      </c>
      <c r="AB16" s="157">
        <f t="shared" ref="AB16:AG16" si="5">SUM(AB4:AB15)</f>
        <v>29272.81968079</v>
      </c>
      <c r="AC16" s="157">
        <f t="shared" si="5"/>
        <v>330310.20392181</v>
      </c>
      <c r="AD16" s="157">
        <f t="shared" si="5"/>
        <v>1589.159724</v>
      </c>
      <c r="AE16" s="157">
        <f t="shared" si="5"/>
        <v>3916.385121</v>
      </c>
      <c r="AF16" s="157">
        <f t="shared" si="5"/>
        <v>299.836505501015</v>
      </c>
      <c r="AG16" s="157">
        <f t="shared" si="5"/>
        <v>505603.593825101</v>
      </c>
      <c r="AH16" s="157">
        <v>0</v>
      </c>
      <c r="AJ16" s="284" t="s">
        <v>9</v>
      </c>
      <c r="AK16" s="106">
        <f t="shared" ref="AK16:AQ16" si="6">SUM(AK4:AK15)</f>
        <v>111094.7779551</v>
      </c>
      <c r="AL16" s="106">
        <f t="shared" si="6"/>
        <v>45100.995671</v>
      </c>
      <c r="AM16" s="106">
        <f t="shared" si="6"/>
        <v>413202.440754</v>
      </c>
      <c r="AN16" s="106">
        <f t="shared" si="6"/>
        <v>1072.115846</v>
      </c>
      <c r="AO16" s="106">
        <f t="shared" si="6"/>
        <v>4058.120287</v>
      </c>
      <c r="AP16" s="106">
        <f t="shared" si="6"/>
        <v>1866.05009360928</v>
      </c>
      <c r="AQ16" s="106">
        <f t="shared" si="6"/>
        <v>576394.500606709</v>
      </c>
      <c r="AR16" s="66">
        <v>0</v>
      </c>
    </row>
    <row r="17" spans="1:44">
      <c r="A17" s="54" t="s">
        <v>64</v>
      </c>
      <c r="B17" s="65">
        <f t="shared" ref="B17:G17" si="7">B16/$H$16</f>
        <v>0.335339117337489</v>
      </c>
      <c r="C17" s="65">
        <f t="shared" si="7"/>
        <v>0.0642564512766617</v>
      </c>
      <c r="D17" s="65">
        <f t="shared" si="7"/>
        <v>0.457563889393124</v>
      </c>
      <c r="E17" s="65">
        <f t="shared" si="7"/>
        <v>0.03138933814445</v>
      </c>
      <c r="F17" s="65">
        <f t="shared" si="7"/>
        <v>0.102732787073098</v>
      </c>
      <c r="G17" s="65">
        <f t="shared" si="7"/>
        <v>0.0087184167751772</v>
      </c>
      <c r="P17" s="281" t="s">
        <v>64</v>
      </c>
      <c r="Q17" s="285">
        <f t="shared" ref="Q17:V17" si="8">Q16/$W$16</f>
        <v>0.267049754337456</v>
      </c>
      <c r="R17" s="285">
        <f t="shared" si="8"/>
        <v>0.0470535990753448</v>
      </c>
      <c r="S17" s="285">
        <f t="shared" si="8"/>
        <v>0.648810961675605</v>
      </c>
      <c r="T17" s="285">
        <f t="shared" si="8"/>
        <v>0.00796322995427315</v>
      </c>
      <c r="U17" s="285">
        <f t="shared" si="8"/>
        <v>0.0294240590362724</v>
      </c>
      <c r="V17" s="285">
        <f t="shared" si="8"/>
        <v>-0.000301604078954073</v>
      </c>
      <c r="W17" s="157"/>
      <c r="X17" s="157"/>
      <c r="Y17" s="157"/>
      <c r="Z17" s="281" t="s">
        <v>64</v>
      </c>
      <c r="AA17" s="285">
        <f t="shared" ref="AA17:AF17" si="9">AA16/$AG$16</f>
        <v>0.277322373860545</v>
      </c>
      <c r="AB17" s="285">
        <f t="shared" si="9"/>
        <v>0.0578967792917154</v>
      </c>
      <c r="AC17" s="285">
        <f t="shared" si="9"/>
        <v>0.653298765981619</v>
      </c>
      <c r="AD17" s="285">
        <f t="shared" si="9"/>
        <v>0.00314309420148173</v>
      </c>
      <c r="AE17" s="285">
        <f t="shared" si="9"/>
        <v>0.00774595981680217</v>
      </c>
      <c r="AF17" s="285">
        <f t="shared" si="9"/>
        <v>0.000593026847836716</v>
      </c>
      <c r="AG17" s="157"/>
      <c r="AH17" s="157"/>
      <c r="AJ17" s="126" t="s">
        <v>64</v>
      </c>
      <c r="AK17" s="65">
        <v>0.1927409</v>
      </c>
      <c r="AL17" s="65">
        <v>0.0782467487519866</v>
      </c>
      <c r="AM17" s="65">
        <v>0.716874363511563</v>
      </c>
      <c r="AN17" s="65">
        <v>0.00186003829819941</v>
      </c>
      <c r="AO17" s="65">
        <v>0.00704052568636315</v>
      </c>
      <c r="AP17" s="65">
        <v>0.00323745297993838</v>
      </c>
      <c r="AQ17" s="54"/>
      <c r="AR17" s="66"/>
    </row>
    <row r="18" spans="1:44">
      <c r="A18" s="54" t="s">
        <v>163</v>
      </c>
      <c r="B18" s="94">
        <f>B16-Q16</f>
        <v>-28212.0747189379</v>
      </c>
      <c r="C18" s="94">
        <f t="shared" ref="B18:H18" si="10">C16-R16</f>
        <v>-4136.1192026917</v>
      </c>
      <c r="D18" s="94">
        <f t="shared" si="10"/>
        <v>-126207.837966716</v>
      </c>
      <c r="E18" s="94">
        <f t="shared" si="10"/>
        <v>2612.21984734347</v>
      </c>
      <c r="F18" s="94">
        <f t="shared" si="10"/>
        <v>7512.76599284075</v>
      </c>
      <c r="G18" s="94">
        <f t="shared" si="10"/>
        <v>1500.64156310184</v>
      </c>
      <c r="H18" s="94">
        <f t="shared" si="10"/>
        <v>-146930.40448506</v>
      </c>
      <c r="I18" s="66">
        <f>H18-'GMV表-商品大类'!D69</f>
        <v>0</v>
      </c>
      <c r="K18" s="54" t="s">
        <v>112</v>
      </c>
      <c r="L18" s="54" t="s">
        <v>243</v>
      </c>
      <c r="M18" s="106" t="s">
        <v>244</v>
      </c>
      <c r="N18" s="106" t="s">
        <v>245</v>
      </c>
      <c r="P18" s="286"/>
      <c r="Q18" s="157"/>
      <c r="R18" s="157"/>
      <c r="S18" s="157"/>
      <c r="T18" s="157"/>
      <c r="U18" s="157"/>
      <c r="V18" s="157"/>
      <c r="W18" s="157"/>
      <c r="X18" s="53"/>
      <c r="Z18" s="281" t="s">
        <v>261</v>
      </c>
      <c r="AA18" s="53"/>
      <c r="AB18" s="53"/>
      <c r="AC18" s="53"/>
      <c r="AD18" s="53"/>
      <c r="AE18" s="53"/>
      <c r="AF18" s="53"/>
      <c r="AG18" s="53"/>
      <c r="AH18" s="53"/>
      <c r="AJ18" s="126" t="s">
        <v>262</v>
      </c>
      <c r="AK18" s="94"/>
      <c r="AL18" s="94"/>
      <c r="AM18" s="94"/>
      <c r="AN18" s="94"/>
      <c r="AO18" s="94"/>
      <c r="AP18" s="94"/>
      <c r="AQ18" s="90"/>
      <c r="AR18" s="66"/>
    </row>
    <row r="19" spans="1:44">
      <c r="L19" s="54" t="s">
        <v>247</v>
      </c>
      <c r="M19" s="106">
        <v>22290274.0136598</v>
      </c>
      <c r="N19" s="106">
        <f t="shared" ref="N19:N32" si="11">M19/10000</f>
        <v>2229.02740136598</v>
      </c>
      <c r="P19" s="286"/>
      <c r="Q19" s="157"/>
      <c r="R19" s="157"/>
      <c r="S19" s="157"/>
      <c r="T19" s="157"/>
      <c r="U19" s="157"/>
      <c r="V19" s="157"/>
      <c r="W19" s="157"/>
      <c r="X19" s="53"/>
      <c r="Z19" s="281" t="s">
        <v>163</v>
      </c>
      <c r="AA19" s="53"/>
      <c r="AB19" s="53"/>
      <c r="AC19" s="53"/>
      <c r="AD19" s="53"/>
      <c r="AE19" s="53"/>
      <c r="AF19" s="53"/>
      <c r="AG19" s="53"/>
      <c r="AH19" s="53"/>
      <c r="AJ19" s="126" t="s">
        <v>163</v>
      </c>
      <c r="AK19" s="94">
        <v>-51717.3264693246</v>
      </c>
      <c r="AL19" s="94">
        <v>-14847.9663518294</v>
      </c>
      <c r="AM19" s="94">
        <v>-270913.059116939</v>
      </c>
      <c r="AN19" s="57"/>
      <c r="AO19" s="57"/>
      <c r="AP19" s="57"/>
      <c r="AQ19" s="54"/>
      <c r="AR19" s="66"/>
    </row>
    <row r="20" spans="1:44">
      <c r="A20" s="54" t="s">
        <v>263</v>
      </c>
      <c r="L20" s="54" t="s">
        <v>255</v>
      </c>
      <c r="M20" s="106">
        <v>2530736.54670921</v>
      </c>
      <c r="N20" s="106">
        <f t="shared" si="11"/>
        <v>253.073654670921</v>
      </c>
      <c r="P20" s="286" t="s">
        <v>263</v>
      </c>
      <c r="Q20" s="53"/>
      <c r="R20" s="53"/>
      <c r="S20" s="53">
        <v>-0.375698836978687</v>
      </c>
      <c r="T20" s="53"/>
      <c r="U20" s="53"/>
      <c r="V20" s="53"/>
      <c r="W20" s="53"/>
      <c r="X20" s="53"/>
      <c r="Z20" s="281" t="s">
        <v>263</v>
      </c>
      <c r="AA20" s="53"/>
      <c r="AB20" s="53"/>
      <c r="AC20" s="53"/>
      <c r="AD20" s="53"/>
      <c r="AE20" s="53"/>
      <c r="AF20" s="53"/>
      <c r="AG20" s="53"/>
      <c r="AH20" s="53"/>
      <c r="AJ20" s="126" t="s">
        <v>263</v>
      </c>
      <c r="AK20" s="57"/>
      <c r="AL20" s="57"/>
      <c r="AM20" s="57"/>
      <c r="AN20" s="57"/>
      <c r="AO20" s="57"/>
      <c r="AP20" s="57"/>
      <c r="AQ20" s="54"/>
      <c r="AR20" s="66"/>
    </row>
    <row r="21" spans="1:44">
      <c r="A21" s="54" t="s">
        <v>53</v>
      </c>
      <c r="B21" s="222" t="s">
        <v>257</v>
      </c>
      <c r="C21" s="222" t="s">
        <v>255</v>
      </c>
      <c r="D21" s="222" t="s">
        <v>247</v>
      </c>
      <c r="E21" s="222" t="s">
        <v>264</v>
      </c>
      <c r="F21" s="222" t="s">
        <v>256</v>
      </c>
      <c r="G21" s="222" t="s">
        <v>259</v>
      </c>
      <c r="H21" s="55" t="s">
        <v>9</v>
      </c>
      <c r="I21" s="66" t="s">
        <v>254</v>
      </c>
      <c r="L21" s="54" t="s">
        <v>256</v>
      </c>
      <c r="M21" s="106">
        <v>259945696.312011</v>
      </c>
      <c r="N21" s="106">
        <f t="shared" si="11"/>
        <v>25994.5696312011</v>
      </c>
      <c r="P21" s="286" t="s">
        <v>53</v>
      </c>
      <c r="Q21" s="53" t="s">
        <v>257</v>
      </c>
      <c r="R21" s="53" t="s">
        <v>255</v>
      </c>
      <c r="S21" s="53" t="s">
        <v>247</v>
      </c>
      <c r="T21" s="53" t="s">
        <v>264</v>
      </c>
      <c r="U21" s="53" t="s">
        <v>256</v>
      </c>
      <c r="V21" s="53" t="s">
        <v>259</v>
      </c>
      <c r="W21" s="53" t="s">
        <v>9</v>
      </c>
      <c r="X21" s="53" t="s">
        <v>254</v>
      </c>
      <c r="Z21" s="281" t="s">
        <v>53</v>
      </c>
      <c r="AA21" s="53" t="s">
        <v>257</v>
      </c>
      <c r="AB21" s="53" t="s">
        <v>255</v>
      </c>
      <c r="AC21" s="53" t="s">
        <v>247</v>
      </c>
      <c r="AD21" s="53" t="s">
        <v>264</v>
      </c>
      <c r="AE21" s="53" t="s">
        <v>256</v>
      </c>
      <c r="AF21" s="53" t="s">
        <v>259</v>
      </c>
      <c r="AG21" s="53" t="s">
        <v>9</v>
      </c>
      <c r="AH21" s="53" t="s">
        <v>254</v>
      </c>
      <c r="AJ21" s="126" t="s">
        <v>53</v>
      </c>
      <c r="AK21" s="57" t="s">
        <v>257</v>
      </c>
      <c r="AL21" s="57" t="s">
        <v>255</v>
      </c>
      <c r="AM21" s="57" t="s">
        <v>247</v>
      </c>
      <c r="AN21" s="57" t="s">
        <v>256</v>
      </c>
      <c r="AO21" s="57" t="s">
        <v>258</v>
      </c>
      <c r="AP21" s="57" t="s">
        <v>259</v>
      </c>
      <c r="AQ21" s="54" t="s">
        <v>9</v>
      </c>
      <c r="AR21" s="66" t="s">
        <v>254</v>
      </c>
    </row>
    <row r="22" spans="1:44">
      <c r="A22" s="110">
        <v>45658</v>
      </c>
      <c r="B22" s="106">
        <f>VLOOKUP(B$21,$L$1:$N$15,3,0)</f>
        <v>16.240908690788</v>
      </c>
      <c r="C22" s="106">
        <f>VLOOKUP(C$21,$L$1:$N$15,3,0)</f>
        <v>717.614482837475</v>
      </c>
      <c r="D22" s="106">
        <f>VLOOKUP(D$21,$L$1:$N$15,3,0)</f>
        <v>2176.36603581436</v>
      </c>
      <c r="E22" s="106">
        <v>13624.1186572233</v>
      </c>
      <c r="F22" s="106">
        <v>19335.96552909</v>
      </c>
      <c r="G22" s="106">
        <v>712.062799504079</v>
      </c>
      <c r="H22" s="90">
        <f t="shared" ref="H22:H33" si="12">SUM(B22:G22)</f>
        <v>36582.36841316</v>
      </c>
      <c r="I22" s="66">
        <f>H22-'GMV表-商品大类'!E42</f>
        <v>0</v>
      </c>
      <c r="L22" s="54" t="s">
        <v>257</v>
      </c>
      <c r="M22" s="106">
        <v>87658.97835788</v>
      </c>
      <c r="N22" s="106">
        <f t="shared" si="11"/>
        <v>8.765897835788</v>
      </c>
      <c r="P22" s="286">
        <v>45292</v>
      </c>
      <c r="Q22" s="157">
        <v>774.98675</v>
      </c>
      <c r="R22" s="157">
        <v>1247.308299</v>
      </c>
      <c r="S22" s="157">
        <v>1721.637961</v>
      </c>
      <c r="T22" s="157">
        <v>7067.38902</v>
      </c>
      <c r="U22" s="157">
        <v>20395.536684</v>
      </c>
      <c r="V22" s="157">
        <v>1230.2988849998</v>
      </c>
      <c r="W22" s="157">
        <f t="shared" ref="W22:W34" si="13">SUM(Q22:V22)</f>
        <v>32437.1575989998</v>
      </c>
      <c r="X22" s="53">
        <f>W22-'GMV表-商品大类'!E30</f>
        <v>0</v>
      </c>
      <c r="Z22" s="281">
        <v>44927</v>
      </c>
      <c r="AA22" s="157">
        <v>2320.304725</v>
      </c>
      <c r="AB22" s="157">
        <v>344.549526</v>
      </c>
      <c r="AC22" s="157">
        <v>1931.802885</v>
      </c>
      <c r="AD22" s="157">
        <v>3357.849548</v>
      </c>
      <c r="AE22" s="157">
        <v>24795.951781</v>
      </c>
      <c r="AF22" s="157">
        <v>729.433842999895</v>
      </c>
      <c r="AG22" s="157">
        <f t="shared" ref="AG22:AG34" si="14">SUM(AA22:AF22)</f>
        <v>33479.8923079999</v>
      </c>
      <c r="AH22" s="53">
        <f>AG22-'GMV表-商品大类'!E18</f>
        <v>0</v>
      </c>
      <c r="AJ22" s="283">
        <v>44562</v>
      </c>
      <c r="AK22" s="106">
        <v>74.12923</v>
      </c>
      <c r="AL22" s="106">
        <v>154.062312</v>
      </c>
      <c r="AM22" s="106">
        <v>358.474351</v>
      </c>
      <c r="AN22" s="106">
        <v>16549.654496</v>
      </c>
      <c r="AO22" s="106">
        <v>32.36919</v>
      </c>
      <c r="AP22" s="106">
        <v>546.885518000003</v>
      </c>
      <c r="AQ22" s="90">
        <v>17715.575097</v>
      </c>
      <c r="AR22" s="66">
        <v>0</v>
      </c>
    </row>
    <row r="23" spans="1:44">
      <c r="A23" s="110">
        <v>45689</v>
      </c>
      <c r="B23" s="106">
        <f>VLOOKUP(B$21,$L$18:$N$32,3,0)</f>
        <v>8.765897835788</v>
      </c>
      <c r="C23" s="106">
        <f>VLOOKUP(C$21,$L$18:$N$32,3,0)</f>
        <v>253.073654670921</v>
      </c>
      <c r="D23" s="106">
        <f>VLOOKUP(D$21,$L$18:$N$32,3,0)</f>
        <v>2229.02740136598</v>
      </c>
      <c r="E23" s="106">
        <v>10803.7503378978</v>
      </c>
      <c r="F23" s="106">
        <v>15190.8192933033</v>
      </c>
      <c r="G23" s="106">
        <v>528.576925306312</v>
      </c>
      <c r="H23" s="90">
        <f t="shared" si="12"/>
        <v>29014.0135103801</v>
      </c>
      <c r="I23" s="66">
        <f>H23-'GMV表-商品大类'!E43</f>
        <v>0</v>
      </c>
      <c r="L23" s="54" t="s">
        <v>258</v>
      </c>
      <c r="M23" s="106">
        <v>25975</v>
      </c>
      <c r="N23" s="106">
        <f t="shared" si="11"/>
        <v>2.5975</v>
      </c>
      <c r="P23" s="286">
        <v>45323</v>
      </c>
      <c r="Q23" s="157">
        <v>585.78005</v>
      </c>
      <c r="R23" s="157">
        <v>649.931738</v>
      </c>
      <c r="S23" s="157">
        <v>911.103691</v>
      </c>
      <c r="T23" s="157">
        <v>7258.58369</v>
      </c>
      <c r="U23" s="157">
        <v>18963.56322</v>
      </c>
      <c r="V23" s="157">
        <v>1262.393076</v>
      </c>
      <c r="W23" s="157">
        <f t="shared" si="13"/>
        <v>29631.355465</v>
      </c>
      <c r="X23" s="53">
        <f>W23-'GMV表-商品大类'!E31</f>
        <v>0</v>
      </c>
      <c r="Z23" s="281">
        <v>44958</v>
      </c>
      <c r="AA23" s="157">
        <v>2426.295205</v>
      </c>
      <c r="AB23" s="157">
        <v>219.019172</v>
      </c>
      <c r="AC23" s="157">
        <v>771.203486</v>
      </c>
      <c r="AD23" s="157">
        <v>4562.718383</v>
      </c>
      <c r="AE23" s="157">
        <v>26789.71181</v>
      </c>
      <c r="AF23" s="157">
        <v>236.1313443897</v>
      </c>
      <c r="AG23" s="157">
        <f t="shared" si="14"/>
        <v>35005.0794003897</v>
      </c>
      <c r="AH23" s="53">
        <f>AG23-'GMV表-商品大类'!E19</f>
        <v>0</v>
      </c>
      <c r="AJ23" s="283">
        <v>44593</v>
      </c>
      <c r="AK23" s="106">
        <v>224.424037</v>
      </c>
      <c r="AL23" s="106">
        <v>159.396623</v>
      </c>
      <c r="AM23" s="106">
        <v>275.87252</v>
      </c>
      <c r="AN23" s="106">
        <v>13563.38776</v>
      </c>
      <c r="AO23" s="106">
        <v>132.21854</v>
      </c>
      <c r="AP23" s="106">
        <v>735.54984</v>
      </c>
      <c r="AQ23" s="90">
        <v>15090.84932</v>
      </c>
      <c r="AR23" s="66">
        <v>0</v>
      </c>
    </row>
    <row r="24" spans="1:44">
      <c r="A24" s="110">
        <v>45717</v>
      </c>
      <c r="B24" s="106">
        <f>VLOOKUP(B$21,$L$35:$N$49,3,0)</f>
        <v>17.792375586455</v>
      </c>
      <c r="C24" s="106">
        <f>VLOOKUP(C$21,$L$35:$N$49,3,0)</f>
        <v>283.697195314963</v>
      </c>
      <c r="D24" s="106">
        <f>VLOOKUP(D$21,$L$35:$N$49,3,0)</f>
        <v>3225.03026816901</v>
      </c>
      <c r="E24" s="106">
        <v>19966.9043182717</v>
      </c>
      <c r="F24" s="106">
        <v>17220.5404066482</v>
      </c>
      <c r="G24" s="106">
        <v>316.359968969572</v>
      </c>
      <c r="H24" s="90">
        <f t="shared" si="12"/>
        <v>41030.3245329599</v>
      </c>
      <c r="I24" s="66">
        <f>H24-'GMV表-商品大类'!E44</f>
        <v>0</v>
      </c>
      <c r="L24" s="54" t="s">
        <v>259</v>
      </c>
      <c r="M24" s="106">
        <v>4974963.102</v>
      </c>
      <c r="N24" s="106">
        <f t="shared" si="11"/>
        <v>497.4963102</v>
      </c>
      <c r="P24" s="286">
        <v>45352</v>
      </c>
      <c r="Q24" s="157">
        <v>584.415594</v>
      </c>
      <c r="R24" s="157">
        <v>704.907485</v>
      </c>
      <c r="S24" s="157">
        <v>1110.043234</v>
      </c>
      <c r="T24" s="157">
        <v>6473.652073</v>
      </c>
      <c r="U24" s="157">
        <v>19058.409118</v>
      </c>
      <c r="V24" s="157">
        <v>617.7629168998</v>
      </c>
      <c r="W24" s="157">
        <f t="shared" si="13"/>
        <v>28549.1904208998</v>
      </c>
      <c r="X24" s="53">
        <f>W24-'GMV表-商品大类'!E32</f>
        <v>0</v>
      </c>
      <c r="Z24" s="281">
        <v>44986</v>
      </c>
      <c r="AA24" s="157">
        <v>3214.787269</v>
      </c>
      <c r="AB24" s="157">
        <v>491.155968</v>
      </c>
      <c r="AC24" s="157">
        <v>994.092273</v>
      </c>
      <c r="AD24" s="157">
        <v>8101.04409988</v>
      </c>
      <c r="AE24" s="157">
        <v>35280.265558</v>
      </c>
      <c r="AF24" s="157">
        <v>102.677915120098</v>
      </c>
      <c r="AG24" s="157">
        <f t="shared" si="14"/>
        <v>48184.0230830001</v>
      </c>
      <c r="AH24" s="53">
        <f>AG24-'GMV表-商品大类'!E20</f>
        <v>0</v>
      </c>
      <c r="AJ24" s="283">
        <v>44621</v>
      </c>
      <c r="AK24" s="106">
        <v>635.022997</v>
      </c>
      <c r="AL24" s="106">
        <v>210.430862</v>
      </c>
      <c r="AM24" s="106">
        <v>289.146625</v>
      </c>
      <c r="AN24" s="106">
        <v>30733.178585</v>
      </c>
      <c r="AO24" s="106">
        <v>69.596241</v>
      </c>
      <c r="AP24" s="106">
        <v>731.486587000003</v>
      </c>
      <c r="AQ24" s="90">
        <v>32668.861897</v>
      </c>
      <c r="AR24" s="66">
        <v>0</v>
      </c>
    </row>
    <row r="25" spans="1:44">
      <c r="A25" s="110">
        <v>45748</v>
      </c>
      <c r="B25" s="106">
        <f>VLOOKUP(B$21,$L$52:$N$66,3,0)</f>
        <v>30.265324</v>
      </c>
      <c r="C25" s="106">
        <f>VLOOKUP(C$21,$L$52:$N$66,3,0)</f>
        <v>236.210526</v>
      </c>
      <c r="D25" s="106">
        <f>VLOOKUP(D$21,$L$52:$N$66,3,0)</f>
        <v>1843.354556</v>
      </c>
      <c r="E25" s="106">
        <v>17616.7078212519</v>
      </c>
      <c r="F25" s="106">
        <v>15440.9805207481</v>
      </c>
      <c r="G25" s="106">
        <v>187.814914560303</v>
      </c>
      <c r="H25" s="90">
        <f t="shared" si="12"/>
        <v>35355.3336625603</v>
      </c>
      <c r="I25" s="66">
        <f>H25-'GMV表-商品大类'!E45</f>
        <v>0</v>
      </c>
      <c r="L25" s="54" t="s">
        <v>253</v>
      </c>
      <c r="N25" s="106">
        <f t="shared" si="11"/>
        <v>0</v>
      </c>
      <c r="P25" s="286">
        <v>45383</v>
      </c>
      <c r="Q25" s="157">
        <v>372.055212</v>
      </c>
      <c r="R25" s="157">
        <v>653.526189</v>
      </c>
      <c r="S25" s="157">
        <v>1707.260188</v>
      </c>
      <c r="T25" s="157">
        <v>3110.074285</v>
      </c>
      <c r="U25" s="157">
        <v>10627.835527</v>
      </c>
      <c r="V25" s="157">
        <v>126.990527650001</v>
      </c>
      <c r="W25" s="157">
        <f t="shared" si="13"/>
        <v>16597.74192865</v>
      </c>
      <c r="X25" s="53">
        <f>W25-'GMV表-商品大类'!E33</f>
        <v>0</v>
      </c>
      <c r="Z25" s="281">
        <v>45017</v>
      </c>
      <c r="AA25" s="157">
        <v>2699.110291</v>
      </c>
      <c r="AB25" s="157">
        <v>925.305091</v>
      </c>
      <c r="AC25" s="157">
        <v>1324.472907</v>
      </c>
      <c r="AD25" s="157">
        <v>10136.698184</v>
      </c>
      <c r="AE25" s="157">
        <v>31186.051639</v>
      </c>
      <c r="AF25" s="157">
        <v>345.6936949996</v>
      </c>
      <c r="AG25" s="157">
        <f t="shared" si="14"/>
        <v>46617.3318069996</v>
      </c>
      <c r="AH25" s="53">
        <f>AG25-'GMV表-商品大类'!E21</f>
        <v>0</v>
      </c>
      <c r="AJ25" s="283">
        <v>44652</v>
      </c>
      <c r="AK25" s="106">
        <v>1390.742212</v>
      </c>
      <c r="AL25" s="106">
        <v>137.692175</v>
      </c>
      <c r="AM25" s="106">
        <v>311.867641</v>
      </c>
      <c r="AN25" s="106">
        <v>23405.072453</v>
      </c>
      <c r="AO25" s="106">
        <v>36.415092</v>
      </c>
      <c r="AP25" s="106">
        <v>879.538221000101</v>
      </c>
      <c r="AQ25" s="90">
        <v>26161.3277940001</v>
      </c>
      <c r="AR25" s="66">
        <v>0</v>
      </c>
    </row>
    <row r="26" spans="1:44">
      <c r="A26" s="110">
        <v>45778</v>
      </c>
      <c r="B26" s="106">
        <f>VLOOKUP(B$21,$L$69:$N$83,3,0)</f>
        <v>185.685921075718</v>
      </c>
      <c r="C26" s="106">
        <f>VLOOKUP(C$21,$L$69:$N$83,3,0)</f>
        <v>450.337233804555</v>
      </c>
      <c r="D26" s="106">
        <f>VLOOKUP(D$21,$L$69:$N$83,3,0)</f>
        <v>1038.52187692084</v>
      </c>
      <c r="E26" s="106">
        <f>VLOOKUP(E$21,$L$69:$N$83,3,0)</f>
        <v>14953.6556652</v>
      </c>
      <c r="F26" s="106">
        <f>VLOOKUP(F$21,$L$69:$N$83,3,0)</f>
        <v>12292.8903398387</v>
      </c>
      <c r="G26" s="106">
        <f>'GMV表-商品大类'!E46-SUM(B26:F26)</f>
        <v>166.30813196009</v>
      </c>
      <c r="H26" s="90">
        <f t="shared" si="12"/>
        <v>29087.3991687999</v>
      </c>
      <c r="I26" s="66">
        <f>H26-'GMV表-商品大类'!E46</f>
        <v>0</v>
      </c>
      <c r="L26" s="54" t="s">
        <v>250</v>
      </c>
      <c r="M26" s="106">
        <v>110054741.035066</v>
      </c>
      <c r="N26" s="106">
        <f t="shared" si="11"/>
        <v>11005.4741035066</v>
      </c>
      <c r="P26" s="286">
        <v>45413</v>
      </c>
      <c r="Q26" s="157">
        <v>322.621113</v>
      </c>
      <c r="R26" s="157">
        <v>1082.051737</v>
      </c>
      <c r="S26" s="157">
        <v>3449.887799</v>
      </c>
      <c r="T26" s="157">
        <v>5123.716615</v>
      </c>
      <c r="U26" s="157">
        <v>16430.589968</v>
      </c>
      <c r="V26" s="157">
        <v>148.6489053001</v>
      </c>
      <c r="W26" s="157">
        <f t="shared" si="13"/>
        <v>26557.5161373001</v>
      </c>
      <c r="X26" s="53">
        <f>W26-'GMV表-商品大类'!E34</f>
        <v>0</v>
      </c>
      <c r="Z26" s="281">
        <v>45047</v>
      </c>
      <c r="AA26" s="157">
        <v>2460.116907</v>
      </c>
      <c r="AB26" s="157">
        <v>1032.280952</v>
      </c>
      <c r="AC26" s="157">
        <v>4523.382032</v>
      </c>
      <c r="AD26" s="157">
        <v>11405.169369</v>
      </c>
      <c r="AE26" s="157">
        <v>34527.546594</v>
      </c>
      <c r="AF26" s="157">
        <v>625.810465999802</v>
      </c>
      <c r="AG26" s="157">
        <f t="shared" si="14"/>
        <v>54574.3063199998</v>
      </c>
      <c r="AH26" s="53">
        <f>AG26-'GMV表-商品大类'!E22</f>
        <v>0</v>
      </c>
      <c r="AJ26" s="283">
        <v>44682</v>
      </c>
      <c r="AK26" s="106">
        <v>1223.04055</v>
      </c>
      <c r="AL26" s="106">
        <v>290.914439</v>
      </c>
      <c r="AM26" s="106">
        <v>367.321901</v>
      </c>
      <c r="AN26" s="106">
        <v>30278.131164</v>
      </c>
      <c r="AO26" s="106">
        <v>46.410383</v>
      </c>
      <c r="AP26" s="106">
        <v>277.318651000009</v>
      </c>
      <c r="AQ26" s="90">
        <v>32483.137088</v>
      </c>
      <c r="AR26" s="66">
        <v>0</v>
      </c>
    </row>
    <row r="27" spans="1:44">
      <c r="A27" s="110">
        <v>45809</v>
      </c>
      <c r="B27" s="106">
        <f>VLOOKUP(B$21,$L$87:$N$101,3,0)</f>
        <v>101.097513259488</v>
      </c>
      <c r="C27" s="106">
        <f>VLOOKUP(C$21,$L$87:$N$101,3,0)</f>
        <v>396.922620947605</v>
      </c>
      <c r="D27" s="106">
        <f>VLOOKUP(D$21,$L$87:$N$101,3,0)</f>
        <v>1422.69180966943</v>
      </c>
      <c r="E27" s="106">
        <f>VLOOKUP(E$21,$L$87:$N$101,3,0)</f>
        <v>19088.455724254</v>
      </c>
      <c r="F27" s="106">
        <f>VLOOKUP(F$21,$L$87:$N$101,3,0)</f>
        <v>14425.5206277346</v>
      </c>
      <c r="G27" s="106">
        <f>'GMV表-商品大类'!E47-SUM(B27:F27)</f>
        <v>51.6774966355733</v>
      </c>
      <c r="H27" s="90">
        <f t="shared" si="12"/>
        <v>35486.3657925007</v>
      </c>
      <c r="I27" s="66">
        <f>H27-'GMV表-商品大类'!E47</f>
        <v>0</v>
      </c>
      <c r="L27" s="54" t="s">
        <v>252</v>
      </c>
      <c r="M27" s="106">
        <v>10468678.385</v>
      </c>
      <c r="N27" s="106">
        <f t="shared" si="11"/>
        <v>1046.8678385</v>
      </c>
      <c r="P27" s="286">
        <v>45444</v>
      </c>
      <c r="Q27" s="157">
        <v>427.31041</v>
      </c>
      <c r="R27" s="157">
        <v>1091.9992951301</v>
      </c>
      <c r="S27" s="157">
        <v>4832.89634044911</v>
      </c>
      <c r="T27" s="157">
        <v>10732.79567888</v>
      </c>
      <c r="U27" s="157">
        <v>13441.7587708166</v>
      </c>
      <c r="V27" s="157">
        <v>18.5653596632922</v>
      </c>
      <c r="W27" s="157">
        <f t="shared" si="13"/>
        <v>30545.3258549391</v>
      </c>
      <c r="X27" s="53">
        <f>W27-'GMV表-商品大类'!E35</f>
        <v>0</v>
      </c>
      <c r="Z27" s="281">
        <v>45078</v>
      </c>
      <c r="AA27" s="157">
        <v>2044.5297</v>
      </c>
      <c r="AB27" s="157">
        <v>1056.508041</v>
      </c>
      <c r="AC27" s="157">
        <v>7100.426537</v>
      </c>
      <c r="AD27" s="157">
        <v>11254.686312</v>
      </c>
      <c r="AE27" s="157">
        <v>42579.00659</v>
      </c>
      <c r="AF27" s="157">
        <v>1709.0887140003</v>
      </c>
      <c r="AG27" s="157">
        <f t="shared" si="14"/>
        <v>65744.2458940003</v>
      </c>
      <c r="AH27" s="53">
        <f>AG27-'GMV表-商品大类'!E23</f>
        <v>0</v>
      </c>
      <c r="AJ27" s="283">
        <v>44713</v>
      </c>
      <c r="AK27" s="106">
        <v>1416.337631</v>
      </c>
      <c r="AL27" s="106">
        <v>335.264063</v>
      </c>
      <c r="AM27" s="106">
        <v>4303.004798</v>
      </c>
      <c r="AN27" s="106">
        <v>27891.41788</v>
      </c>
      <c r="AO27" s="106">
        <v>63.937918</v>
      </c>
      <c r="AP27" s="106">
        <v>152.625504000091</v>
      </c>
      <c r="AQ27" s="90">
        <v>34162.5877940001</v>
      </c>
      <c r="AR27" s="66">
        <v>0</v>
      </c>
    </row>
    <row r="28" spans="1:44">
      <c r="A28" s="110">
        <v>45839</v>
      </c>
      <c r="B28" s="106">
        <f>VLOOKUP(B$21,$L$105:$N$119,3,0)</f>
        <v>37.199617505658</v>
      </c>
      <c r="C28" s="106">
        <f>VLOOKUP(C$21,$L$105:$N$119,3,0)</f>
        <v>334.704167184632</v>
      </c>
      <c r="D28" s="106">
        <f>VLOOKUP(D$21,$L$105:$N$119,3,0)</f>
        <v>847.268545810566</v>
      </c>
      <c r="E28" s="106">
        <f>VLOOKUP(E$21,$L$105:$N$119,3,0)</f>
        <v>33418.8981861466</v>
      </c>
      <c r="F28" s="106">
        <f>VLOOKUP(F$21,$L$105:$N$119,3,0)</f>
        <v>11301.8058105059</v>
      </c>
      <c r="G28" s="106">
        <f>'GMV表-商品大类'!E48-SUM(B28:F28)</f>
        <v>531.957557487032</v>
      </c>
      <c r="H28" s="90">
        <f t="shared" si="12"/>
        <v>46471.8338846404</v>
      </c>
      <c r="I28" s="66">
        <f>H28-'GMV表-商品大类'!E48</f>
        <v>0</v>
      </c>
      <c r="L28" s="54" t="s">
        <v>249</v>
      </c>
      <c r="M28" s="106">
        <v>10958762.9618921</v>
      </c>
      <c r="N28" s="106">
        <f t="shared" si="11"/>
        <v>1095.87629618921</v>
      </c>
      <c r="P28" s="286">
        <v>45474</v>
      </c>
      <c r="Q28" s="157">
        <v>510.973183</v>
      </c>
      <c r="R28" s="157">
        <v>843.137602775439</v>
      </c>
      <c r="S28" s="157">
        <v>6740.28317446286</v>
      </c>
      <c r="T28" s="157">
        <v>13168.6548027306</v>
      </c>
      <c r="U28" s="157">
        <v>13332.027104659</v>
      </c>
      <c r="V28" s="157">
        <v>-187.249761018605</v>
      </c>
      <c r="W28" s="157">
        <f t="shared" si="13"/>
        <v>34407.8261066093</v>
      </c>
      <c r="X28" s="53">
        <f>W28-'GMV表-商品大类'!E36</f>
        <v>0</v>
      </c>
      <c r="Z28" s="281">
        <v>45108</v>
      </c>
      <c r="AA28" s="157">
        <v>2042.562583</v>
      </c>
      <c r="AB28" s="157">
        <v>1022.482373</v>
      </c>
      <c r="AC28" s="157">
        <v>4563.961566</v>
      </c>
      <c r="AD28" s="157">
        <v>9871.243082</v>
      </c>
      <c r="AE28" s="157">
        <v>36648.973326</v>
      </c>
      <c r="AF28" s="157">
        <v>1134.44852499981</v>
      </c>
      <c r="AG28" s="157">
        <f t="shared" si="14"/>
        <v>55283.6714549998</v>
      </c>
      <c r="AH28" s="53">
        <f>AG28-'GMV表-商品大类'!E24</f>
        <v>0</v>
      </c>
      <c r="AJ28" s="283">
        <v>44743</v>
      </c>
      <c r="AK28" s="106">
        <v>1500.11409</v>
      </c>
      <c r="AL28" s="106">
        <v>307.840263</v>
      </c>
      <c r="AM28" s="106">
        <v>1099.174657</v>
      </c>
      <c r="AN28" s="106">
        <v>24170.129163</v>
      </c>
      <c r="AO28" s="106">
        <v>103.119876</v>
      </c>
      <c r="AP28" s="106">
        <v>231.708863999997</v>
      </c>
      <c r="AQ28" s="90">
        <v>27412.086913</v>
      </c>
      <c r="AR28" s="66">
        <v>0</v>
      </c>
    </row>
    <row r="29" spans="1:44">
      <c r="A29" s="110">
        <v>45870</v>
      </c>
      <c r="B29" s="106">
        <f>VLOOKUP(B$21,$L$123:$N$137,3,0)</f>
        <v>11.819629</v>
      </c>
      <c r="C29" s="106">
        <f>VLOOKUP(C$21,$L$123:$N$137,3,0)</f>
        <v>163.622267320096</v>
      </c>
      <c r="D29" s="106">
        <f>VLOOKUP(D$21,$L$123:$N$137,3,0)</f>
        <v>1598.26631904241</v>
      </c>
      <c r="E29" s="106">
        <f>VLOOKUP(E$21,$L$123:$N$137,3,0)</f>
        <v>38309.5432673486</v>
      </c>
      <c r="F29" s="106">
        <f>VLOOKUP(F$21,$L$123:$N$137,3,0)</f>
        <v>11809.011515317</v>
      </c>
      <c r="G29" s="106">
        <f>'GMV表-商品大类'!E49-SUM(B29:F29)</f>
        <v>714.648538171692</v>
      </c>
      <c r="H29" s="90">
        <f t="shared" si="12"/>
        <v>52606.9115361998</v>
      </c>
      <c r="I29" s="66">
        <f>H29-'GMV表-商品大类'!E49</f>
        <v>0</v>
      </c>
      <c r="L29" s="54" t="s">
        <v>248</v>
      </c>
      <c r="M29" s="106">
        <v>52562006.174537</v>
      </c>
      <c r="N29" s="106">
        <f t="shared" si="11"/>
        <v>5256.2006174537</v>
      </c>
      <c r="P29" s="286">
        <v>45505</v>
      </c>
      <c r="Q29" s="157">
        <v>361.772075</v>
      </c>
      <c r="R29" s="157">
        <v>687.820968709124</v>
      </c>
      <c r="S29" s="157">
        <v>4493.33199870456</v>
      </c>
      <c r="T29" s="157">
        <v>10974.9404112478</v>
      </c>
      <c r="U29" s="157">
        <v>14228.8121396252</v>
      </c>
      <c r="V29" s="157">
        <v>286.138395472617</v>
      </c>
      <c r="W29" s="157">
        <f t="shared" si="13"/>
        <v>31032.8159887593</v>
      </c>
      <c r="X29" s="53">
        <f>W29-'GMV表-商品大类'!E37</f>
        <v>0</v>
      </c>
      <c r="Z29" s="281">
        <v>45139</v>
      </c>
      <c r="AA29" s="157">
        <v>2262.277768</v>
      </c>
      <c r="AB29" s="157">
        <v>2377.4194804</v>
      </c>
      <c r="AC29" s="157">
        <v>4585.227372</v>
      </c>
      <c r="AD29" s="157">
        <v>9710.703764</v>
      </c>
      <c r="AE29" s="157">
        <v>40803.7045765</v>
      </c>
      <c r="AF29" s="157">
        <v>1362.8887330997</v>
      </c>
      <c r="AG29" s="157">
        <f t="shared" si="14"/>
        <v>61102.2216939997</v>
      </c>
      <c r="AH29" s="53">
        <f>AG29-'GMV表-商品大类'!E25</f>
        <v>0</v>
      </c>
      <c r="AJ29" s="283">
        <v>44774</v>
      </c>
      <c r="AK29" s="106">
        <v>1478.330092</v>
      </c>
      <c r="AL29" s="106">
        <v>205.528189</v>
      </c>
      <c r="AM29" s="106">
        <v>2845.465313</v>
      </c>
      <c r="AN29" s="106">
        <v>29241.323367</v>
      </c>
      <c r="AO29" s="106">
        <v>81.081032</v>
      </c>
      <c r="AP29" s="106">
        <v>340.692489000103</v>
      </c>
      <c r="AQ29" s="90">
        <v>34192.4204820001</v>
      </c>
      <c r="AR29" s="66">
        <v>0</v>
      </c>
    </row>
    <row r="30" spans="1:44">
      <c r="A30" s="110">
        <v>45901</v>
      </c>
      <c r="B30" s="106">
        <f>VLOOKUP(B$21,$L$141:$N$156,3,0)</f>
        <v>17.877110190596</v>
      </c>
      <c r="C30" s="106">
        <f>VLOOKUP(C$21,$L$141:$N$156,3,0)</f>
        <v>199.777964016137</v>
      </c>
      <c r="D30" s="106">
        <f>VLOOKUP(D$21,$L$141:$N$156,3,0)</f>
        <v>2063.65217422124</v>
      </c>
      <c r="E30" s="106">
        <f>VLOOKUP(E$21,$L$141:$N$156,3,0)</f>
        <v>35231.1218063424</v>
      </c>
      <c r="F30" s="106">
        <f>VLOOKUP(F$21,$L$141:$N$156,3,0)</f>
        <v>12463.4675716719</v>
      </c>
      <c r="G30" s="106">
        <f>'GMV表-商品大类'!E50-SUM(B30:F30)</f>
        <v>480.195684897022</v>
      </c>
      <c r="H30" s="90">
        <f t="shared" si="12"/>
        <v>50456.0923113393</v>
      </c>
      <c r="I30" s="66">
        <f>H30-'GMV表-商品大类'!E50</f>
        <v>0</v>
      </c>
      <c r="L30" s="54" t="s">
        <v>251</v>
      </c>
      <c r="M30" s="106">
        <v>2467184.0856</v>
      </c>
      <c r="N30" s="106">
        <f t="shared" si="11"/>
        <v>246.71840856</v>
      </c>
      <c r="P30" s="286">
        <v>45536</v>
      </c>
      <c r="Q30" s="157">
        <v>287.566519006364</v>
      </c>
      <c r="R30" s="157">
        <v>585.619048585185</v>
      </c>
      <c r="S30" s="157">
        <v>2377.42638508714</v>
      </c>
      <c r="T30" s="157">
        <v>5421.04314478342</v>
      </c>
      <c r="U30" s="157">
        <f>9893.04944759228+19348723.985/10000</f>
        <v>11827.9218460923</v>
      </c>
      <c r="V30" s="157">
        <f>2085.82866757591-19348723.985/10000</f>
        <v>150.95626907591</v>
      </c>
      <c r="W30" s="157">
        <f t="shared" si="13"/>
        <v>20650.5332126303</v>
      </c>
      <c r="X30" s="53">
        <f>W30-'GMV表-商品大类'!E38</f>
        <v>0</v>
      </c>
      <c r="Z30" s="281">
        <v>45170</v>
      </c>
      <c r="AA30" s="157">
        <v>2358.241142</v>
      </c>
      <c r="AB30" s="157">
        <v>1562.921937</v>
      </c>
      <c r="AC30" s="157">
        <v>3820.757671</v>
      </c>
      <c r="AD30" s="157">
        <v>6609.640544</v>
      </c>
      <c r="AE30" s="157">
        <v>34169.960672</v>
      </c>
      <c r="AF30" s="157">
        <v>1415.0598949996</v>
      </c>
      <c r="AG30" s="157">
        <f t="shared" si="14"/>
        <v>49936.5818609996</v>
      </c>
      <c r="AH30" s="53">
        <f>AG30-'GMV表-商品大类'!E26</f>
        <v>0</v>
      </c>
      <c r="AJ30" s="283">
        <v>44805</v>
      </c>
      <c r="AK30" s="106">
        <v>1808.61655</v>
      </c>
      <c r="AL30" s="106">
        <v>288.56608</v>
      </c>
      <c r="AM30" s="106">
        <v>1683.640482</v>
      </c>
      <c r="AN30" s="106">
        <v>24763.290063</v>
      </c>
      <c r="AO30" s="106">
        <v>75.289404</v>
      </c>
      <c r="AP30" s="106">
        <v>-264.360988999899</v>
      </c>
      <c r="AQ30" s="90">
        <v>28355.0415900001</v>
      </c>
      <c r="AR30" s="66">
        <v>0</v>
      </c>
    </row>
    <row r="31" spans="1:44">
      <c r="A31" s="110">
        <v>45931</v>
      </c>
      <c r="B31" s="106">
        <f>VLOOKUP(B$21,$L$159:$N$173,3,0)</f>
        <v>64.369594</v>
      </c>
      <c r="C31" s="106">
        <f>VLOOKUP(C$21,$L$159:$N$173,3,0)</f>
        <v>209.270484547684</v>
      </c>
      <c r="D31" s="106">
        <f>VLOOKUP(D$21,$L$159:$N$173,3,0)</f>
        <v>1945.4389884351</v>
      </c>
      <c r="E31" s="106">
        <f>VLOOKUP(E$21,$L$159:$N$173,3,0)</f>
        <v>25806.09938855</v>
      </c>
      <c r="F31" s="106">
        <f>VLOOKUP(F$21,$L$159:$N$173,3,0)</f>
        <v>11398.2388119993</v>
      </c>
      <c r="G31" s="106">
        <f>'GMV表-商品大类'!E51-SUM(B31:F31)</f>
        <v>306.769356337318</v>
      </c>
      <c r="H31" s="90">
        <f t="shared" si="12"/>
        <v>39730.1866238694</v>
      </c>
      <c r="I31" s="66">
        <f>H31-'GMV表-商品大类'!E51</f>
        <v>0</v>
      </c>
      <c r="L31" s="54" t="e">
        <v>#N/A</v>
      </c>
      <c r="M31" s="106">
        <v>75726106.3002801</v>
      </c>
      <c r="N31" s="106">
        <f t="shared" si="11"/>
        <v>7572.61063002801</v>
      </c>
      <c r="P31" s="286">
        <v>45566</v>
      </c>
      <c r="Q31" s="157">
        <v>146.474280009556</v>
      </c>
      <c r="R31" s="157">
        <v>437.107803373631</v>
      </c>
      <c r="S31" s="157">
        <v>2222.23420755084</v>
      </c>
      <c r="T31" s="157">
        <v>10464.26047831</v>
      </c>
      <c r="U31" s="157">
        <v>12772.5412898749</v>
      </c>
      <c r="V31" s="157">
        <v>125.039935691472</v>
      </c>
      <c r="W31" s="157">
        <f t="shared" si="13"/>
        <v>26167.6579948104</v>
      </c>
      <c r="X31" s="53">
        <f>W31-'GMV表-商品大类'!E39</f>
        <v>0</v>
      </c>
      <c r="Z31" s="281">
        <v>45200</v>
      </c>
      <c r="AA31" s="157">
        <v>1188.369984</v>
      </c>
      <c r="AB31" s="157">
        <v>917.271594</v>
      </c>
      <c r="AC31" s="157">
        <v>2244.713295</v>
      </c>
      <c r="AD31" s="157">
        <v>7900.887498</v>
      </c>
      <c r="AE31" s="157">
        <v>23421.307751</v>
      </c>
      <c r="AF31" s="157">
        <v>918.753623999698</v>
      </c>
      <c r="AG31" s="157">
        <f t="shared" si="14"/>
        <v>36591.3037459997</v>
      </c>
      <c r="AH31" s="53">
        <f>AG31-'GMV表-商品大类'!E27</f>
        <v>0</v>
      </c>
      <c r="AJ31" s="283">
        <v>44835</v>
      </c>
      <c r="AK31" s="106">
        <v>1649.752635</v>
      </c>
      <c r="AL31" s="106">
        <v>227.444705</v>
      </c>
      <c r="AM31" s="106">
        <v>2058.065671</v>
      </c>
      <c r="AN31" s="106">
        <v>30586.804375</v>
      </c>
      <c r="AO31" s="106">
        <v>52.265159</v>
      </c>
      <c r="AP31" s="106">
        <v>124.770120999892</v>
      </c>
      <c r="AQ31" s="90">
        <v>34699.1026659999</v>
      </c>
      <c r="AR31" s="66">
        <v>0</v>
      </c>
    </row>
    <row r="32" spans="1:44">
      <c r="A32" s="110">
        <v>45962</v>
      </c>
      <c r="B32" s="106">
        <f>VLOOKUP(B$21,$L$177:$N$191,3,0)</f>
        <v>61.000113</v>
      </c>
      <c r="C32" s="106">
        <f>VLOOKUP(C$21,$L$177:$N$191,3,0)</f>
        <v>166.499624212032</v>
      </c>
      <c r="D32" s="106">
        <f>VLOOKUP(D$21,$L$177:$N$191,3,0)</f>
        <v>1694.32969553641</v>
      </c>
      <c r="E32" s="106">
        <f>VLOOKUP(E$21,$L$177:$N$191,3,0)</f>
        <v>28110.92087661</v>
      </c>
      <c r="F32" s="106">
        <f>VLOOKUP(F$21,$L$177:$N$191,3,0)</f>
        <v>10324.7231835836</v>
      </c>
      <c r="G32" s="106">
        <f>'GMV表-商品大类'!E52-SUM(B32:F32)</f>
        <v>297.143893028362</v>
      </c>
      <c r="H32" s="90">
        <f t="shared" si="12"/>
        <v>40654.6173859704</v>
      </c>
      <c r="I32" s="66">
        <f>H32-'GMV表-商品大类'!E52</f>
        <v>0</v>
      </c>
      <c r="L32" s="54" t="s">
        <v>260</v>
      </c>
      <c r="M32" s="106">
        <f>SUM(M19:M31)</f>
        <v>552092782.895113</v>
      </c>
      <c r="N32" s="106">
        <f t="shared" si="11"/>
        <v>55209.2782895113</v>
      </c>
      <c r="P32" s="286">
        <v>45597</v>
      </c>
      <c r="Q32" s="157">
        <v>166.484789082769</v>
      </c>
      <c r="R32" s="157">
        <v>416.454835493701</v>
      </c>
      <c r="S32" s="157">
        <v>2192.16249205951</v>
      </c>
      <c r="T32" s="157">
        <v>10392.7101936453</v>
      </c>
      <c r="U32" s="157">
        <v>13399.1111280267</v>
      </c>
      <c r="V32" s="157">
        <v>8.77385432192082</v>
      </c>
      <c r="W32" s="157">
        <f t="shared" si="13"/>
        <v>26575.6972926299</v>
      </c>
      <c r="X32" s="53">
        <f>W32-'GMV表-商品大类'!E40</f>
        <v>0</v>
      </c>
      <c r="Z32" s="281">
        <v>45231</v>
      </c>
      <c r="AA32" s="157">
        <v>682.404147</v>
      </c>
      <c r="AB32" s="157">
        <v>1010.029743</v>
      </c>
      <c r="AC32" s="157">
        <v>4440.345408</v>
      </c>
      <c r="AD32" s="157">
        <v>7109.829689</v>
      </c>
      <c r="AE32" s="157">
        <v>20246.639825</v>
      </c>
      <c r="AF32" s="157">
        <v>847.053017999799</v>
      </c>
      <c r="AG32" s="157">
        <f t="shared" si="14"/>
        <v>34336.3018299998</v>
      </c>
      <c r="AH32" s="53">
        <f>AG32-'GMV表-商品大类'!E28</f>
        <v>0</v>
      </c>
      <c r="AJ32" s="283">
        <v>44866</v>
      </c>
      <c r="AK32" s="106">
        <v>3087.439811</v>
      </c>
      <c r="AL32" s="106">
        <v>208.579691</v>
      </c>
      <c r="AM32" s="106">
        <v>1237.581394</v>
      </c>
      <c r="AN32" s="106">
        <v>36750.997021</v>
      </c>
      <c r="AO32" s="106">
        <v>124.948138</v>
      </c>
      <c r="AP32" s="106">
        <v>56.6911972897942</v>
      </c>
      <c r="AQ32" s="90">
        <v>41466.2372522898</v>
      </c>
      <c r="AR32" s="66">
        <v>0</v>
      </c>
    </row>
    <row r="33" spans="1:44">
      <c r="A33" s="110">
        <v>45992</v>
      </c>
      <c r="B33" s="106">
        <f>VLOOKUP(B$21,$L$195:$N$209,3,0)</f>
        <v>53.415092</v>
      </c>
      <c r="C33" s="106">
        <f>VLOOKUP(C$21,$L$195:$N$209,3,0)</f>
        <v>136.098462442243</v>
      </c>
      <c r="D33" s="106">
        <f>VLOOKUP(D$21,$L$195:$N$209,3,0)</f>
        <v>2631.06007679088</v>
      </c>
      <c r="E33" s="106">
        <f>VLOOKUP(E$21,$L$195:$N$209,3,0)</f>
        <v>37983.1840827879</v>
      </c>
      <c r="F33" s="106">
        <f>VLOOKUP(F$21,$L$195:$N$209,3,0)</f>
        <v>19139.1590179447</v>
      </c>
      <c r="G33" s="106">
        <f>'GMV表-商品大类'!E53-SUM(B33:F33)</f>
        <v>1211.81712695378</v>
      </c>
      <c r="H33" s="90">
        <f t="shared" si="12"/>
        <v>61154.7338589195</v>
      </c>
      <c r="I33" s="66">
        <f>H33-'GMV表-商品大类'!E53</f>
        <v>0</v>
      </c>
      <c r="P33" s="286">
        <v>45627</v>
      </c>
      <c r="Q33" s="157">
        <v>204.390994084749</v>
      </c>
      <c r="R33" s="157">
        <v>579.482634910991</v>
      </c>
      <c r="S33" s="157">
        <v>1757.71093949784</v>
      </c>
      <c r="T33" s="157">
        <v>9407.00919576165</v>
      </c>
      <c r="U33" s="157">
        <v>16146.4423138336</v>
      </c>
      <c r="V33" s="157">
        <v>-186.403298758582</v>
      </c>
      <c r="W33" s="157">
        <f t="shared" si="13"/>
        <v>27908.6327793302</v>
      </c>
      <c r="X33" s="53">
        <f>W33-'GMV表-商品大类'!E41</f>
        <v>4.72937244921923e-11</v>
      </c>
      <c r="Z33" s="281">
        <v>45261</v>
      </c>
      <c r="AA33" s="157">
        <v>692.711493</v>
      </c>
      <c r="AB33" s="157">
        <v>1307.137657</v>
      </c>
      <c r="AC33" s="157">
        <v>2325.569155</v>
      </c>
      <c r="AD33" s="157">
        <v>6914.590361</v>
      </c>
      <c r="AE33" s="157">
        <v>20605.032779</v>
      </c>
      <c r="AF33" s="157">
        <v>1577.84517699981</v>
      </c>
      <c r="AG33" s="157">
        <f t="shared" si="14"/>
        <v>33422.8866219998</v>
      </c>
      <c r="AH33" s="53">
        <f>AG33-'GMV表-商品大类'!E29</f>
        <v>0</v>
      </c>
      <c r="AJ33" s="283">
        <v>44896</v>
      </c>
      <c r="AK33" s="106">
        <v>2930.745549</v>
      </c>
      <c r="AL33" s="106">
        <v>318.809024</v>
      </c>
      <c r="AM33" s="106">
        <v>929.465321</v>
      </c>
      <c r="AN33" s="106">
        <v>36809.705354</v>
      </c>
      <c r="AO33" s="106">
        <v>74.946251</v>
      </c>
      <c r="AP33" s="106">
        <v>165.898790999505</v>
      </c>
      <c r="AQ33" s="90">
        <v>41229.5702899995</v>
      </c>
      <c r="AR33" s="66">
        <v>0</v>
      </c>
    </row>
    <row r="34" spans="1:44">
      <c r="A34" s="54" t="s">
        <v>9</v>
      </c>
      <c r="B34" s="106">
        <f t="shared" ref="B34:H34" si="15">SUM(B22:B33)</f>
        <v>605.529096144491</v>
      </c>
      <c r="C34" s="106">
        <f t="shared" si="15"/>
        <v>3547.82868329834</v>
      </c>
      <c r="D34" s="106">
        <f t="shared" si="15"/>
        <v>22715.0077477762</v>
      </c>
      <c r="E34" s="106">
        <f t="shared" si="15"/>
        <v>294913.360131884</v>
      </c>
      <c r="F34" s="106">
        <f t="shared" si="15"/>
        <v>170343.122628385</v>
      </c>
      <c r="G34" s="106">
        <f t="shared" si="15"/>
        <v>5505.33239381113</v>
      </c>
      <c r="H34" s="106">
        <f t="shared" si="15"/>
        <v>497630.1806813</v>
      </c>
      <c r="I34" s="66">
        <f>H34-'GMV表-商品大类'!E61</f>
        <v>0</v>
      </c>
      <c r="P34" s="137" t="s">
        <v>9</v>
      </c>
      <c r="Q34" s="157">
        <f>SUM(Q22:Q33)</f>
        <v>4744.83096918344</v>
      </c>
      <c r="R34" s="157">
        <f t="shared" ref="R34:W34" si="16">SUM(R22:R33)</f>
        <v>8979.34763697817</v>
      </c>
      <c r="S34" s="157">
        <f t="shared" si="16"/>
        <v>33515.9784108119</v>
      </c>
      <c r="T34" s="157">
        <f t="shared" si="16"/>
        <v>99594.8295883588</v>
      </c>
      <c r="U34" s="157">
        <f t="shared" si="16"/>
        <v>180624.549109928</v>
      </c>
      <c r="V34" s="157">
        <f t="shared" si="16"/>
        <v>3601.91506529773</v>
      </c>
      <c r="W34" s="157">
        <f t="shared" si="16"/>
        <v>331061.450780558</v>
      </c>
      <c r="X34" s="53"/>
      <c r="Z34" s="53" t="s">
        <v>9</v>
      </c>
      <c r="AA34" s="157">
        <f>SUM(AA22:AA33)</f>
        <v>24391.711214</v>
      </c>
      <c r="AB34" s="157">
        <f t="shared" ref="AB34:AG34" si="17">SUM(AB22:AB33)</f>
        <v>12266.0815344</v>
      </c>
      <c r="AC34" s="157">
        <f t="shared" si="17"/>
        <v>38625.954587</v>
      </c>
      <c r="AD34" s="157">
        <f t="shared" si="17"/>
        <v>96935.06083388</v>
      </c>
      <c r="AE34" s="157">
        <f t="shared" si="17"/>
        <v>371054.1529015</v>
      </c>
      <c r="AF34" s="157">
        <f t="shared" si="17"/>
        <v>11004.8849496078</v>
      </c>
      <c r="AG34" s="157">
        <f t="shared" si="17"/>
        <v>554277.846020388</v>
      </c>
      <c r="AH34" s="53">
        <v>0</v>
      </c>
      <c r="AJ34" s="284" t="s">
        <v>9</v>
      </c>
      <c r="AK34" s="106">
        <f t="shared" ref="AK34:AP34" si="18">SUM(AK22:AK33)</f>
        <v>17418.695384</v>
      </c>
      <c r="AL34" s="106">
        <f t="shared" si="18"/>
        <v>2844.528426</v>
      </c>
      <c r="AM34" s="106">
        <f t="shared" si="18"/>
        <v>15759.080674</v>
      </c>
      <c r="AN34" s="106">
        <f t="shared" si="18"/>
        <v>324743.091681</v>
      </c>
      <c r="AO34" s="106">
        <f t="shared" si="18"/>
        <v>892.597224</v>
      </c>
      <c r="AP34" s="106">
        <f t="shared" si="18"/>
        <v>3978.8047942896</v>
      </c>
      <c r="AQ34" s="106">
        <f>SUM(AK34:AP34)</f>
        <v>365636.79818329</v>
      </c>
      <c r="AR34" s="66">
        <v>0</v>
      </c>
    </row>
    <row r="35" spans="1:44">
      <c r="A35" s="54" t="s">
        <v>64</v>
      </c>
      <c r="B35" s="65">
        <f t="shared" ref="B35:G35" si="19">B34/$H$34</f>
        <v>0.00121682550546968</v>
      </c>
      <c r="C35" s="65">
        <f t="shared" si="19"/>
        <v>0.00712944837558094</v>
      </c>
      <c r="D35" s="65">
        <f t="shared" si="19"/>
        <v>0.0456463627601472</v>
      </c>
      <c r="E35" s="65">
        <f t="shared" si="19"/>
        <v>0.592635598845957</v>
      </c>
      <c r="F35" s="65">
        <f t="shared" si="19"/>
        <v>0.342308664629565</v>
      </c>
      <c r="G35" s="65">
        <f t="shared" si="19"/>
        <v>0.0110630998832785</v>
      </c>
      <c r="K35" s="54" t="s">
        <v>113</v>
      </c>
      <c r="L35" s="54" t="s">
        <v>243</v>
      </c>
      <c r="M35" s="106" t="s">
        <v>244</v>
      </c>
      <c r="N35" s="106" t="s">
        <v>245</v>
      </c>
      <c r="P35" s="137" t="s">
        <v>64</v>
      </c>
      <c r="Q35" s="285">
        <f t="shared" ref="Q35:V35" si="20">Q34/$W$34</f>
        <v>0.014332175969133</v>
      </c>
      <c r="R35" s="285">
        <f t="shared" si="20"/>
        <v>0.0271229030616738</v>
      </c>
      <c r="S35" s="285">
        <f t="shared" si="20"/>
        <v>0.101237937343021</v>
      </c>
      <c r="T35" s="285">
        <f t="shared" si="20"/>
        <v>0.300834873264585</v>
      </c>
      <c r="U35" s="285">
        <f t="shared" si="20"/>
        <v>0.545592211609239</v>
      </c>
      <c r="V35" s="285">
        <f t="shared" si="20"/>
        <v>0.0108798987523474</v>
      </c>
      <c r="W35" s="53"/>
      <c r="X35" s="53"/>
      <c r="Z35" s="53" t="s">
        <v>64</v>
      </c>
      <c r="AA35" s="285">
        <f t="shared" ref="AA35:AF35" si="21">AA34/$AG$34</f>
        <v>0.0440062892448759</v>
      </c>
      <c r="AB35" s="285">
        <f t="shared" si="21"/>
        <v>0.0221298426817312</v>
      </c>
      <c r="AC35" s="285">
        <f t="shared" si="21"/>
        <v>0.0696869897729581</v>
      </c>
      <c r="AD35" s="285">
        <f t="shared" si="21"/>
        <v>0.174885324264456</v>
      </c>
      <c r="AE35" s="285">
        <f t="shared" si="21"/>
        <v>0.669437098317387</v>
      </c>
      <c r="AF35" s="285">
        <f t="shared" si="21"/>
        <v>0.019854455718591</v>
      </c>
      <c r="AG35" s="53"/>
      <c r="AH35" s="53"/>
      <c r="AJ35" s="126" t="s">
        <v>64</v>
      </c>
      <c r="AK35" s="65">
        <v>0.04763934</v>
      </c>
      <c r="AL35" s="65">
        <v>0.00777965576805557</v>
      </c>
      <c r="AM35" s="65">
        <v>0.0431003683226111</v>
      </c>
      <c r="AN35" s="65">
        <v>0.888157574113232</v>
      </c>
      <c r="AO35" s="65">
        <v>0.00244121277845933</v>
      </c>
      <c r="AP35" s="65">
        <v>0.0108818500054118</v>
      </c>
      <c r="AQ35" s="54"/>
      <c r="AR35" s="66"/>
    </row>
    <row r="36" spans="1:44">
      <c r="A36" s="54" t="s">
        <v>163</v>
      </c>
      <c r="B36" s="94">
        <f>B34-Q34</f>
        <v>-4139.30187303895</v>
      </c>
      <c r="C36" s="94">
        <f>C34-R34</f>
        <v>-5431.51895367983</v>
      </c>
      <c r="D36" s="94">
        <f t="shared" ref="B36:H36" si="22">D34-S34</f>
        <v>-10800.9706630357</v>
      </c>
      <c r="E36" s="94">
        <f t="shared" si="22"/>
        <v>195318.530543525</v>
      </c>
      <c r="F36" s="94">
        <f t="shared" si="22"/>
        <v>-10281.426481543</v>
      </c>
      <c r="G36" s="94">
        <f t="shared" si="22"/>
        <v>1903.4173285134</v>
      </c>
      <c r="H36" s="94">
        <f t="shared" si="22"/>
        <v>166568.729900742</v>
      </c>
      <c r="I36" s="66">
        <f>H36-'GMV表-商品大类'!E69</f>
        <v>0</v>
      </c>
      <c r="L36" s="54" t="s">
        <v>247</v>
      </c>
      <c r="M36" s="106">
        <v>32250302.6816901</v>
      </c>
      <c r="N36" s="106">
        <f t="shared" ref="N36:N49" si="23">M36/10000</f>
        <v>3225.03026816901</v>
      </c>
      <c r="P36" s="137"/>
      <c r="Q36" s="157"/>
      <c r="R36" s="157"/>
      <c r="S36" s="157"/>
      <c r="T36" s="157"/>
      <c r="U36" s="157"/>
      <c r="V36" s="157"/>
      <c r="W36" s="157"/>
      <c r="X36" s="53"/>
    </row>
    <row r="37" spans="1:44">
      <c r="L37" s="54" t="s">
        <v>255</v>
      </c>
      <c r="M37" s="106">
        <v>2836971.95314963</v>
      </c>
      <c r="N37" s="106">
        <f t="shared" si="23"/>
        <v>283.697195314963</v>
      </c>
      <c r="P37" s="137"/>
      <c r="Q37" s="157"/>
      <c r="R37" s="157"/>
      <c r="S37" s="94"/>
      <c r="T37" s="94"/>
      <c r="U37" s="157"/>
      <c r="V37" s="157"/>
      <c r="W37" s="157"/>
      <c r="X37" s="53"/>
    </row>
    <row r="38" spans="1:44">
      <c r="B38" s="94"/>
      <c r="C38" s="94"/>
      <c r="D38" s="94"/>
      <c r="E38" s="94"/>
      <c r="F38" s="94"/>
      <c r="G38" s="94"/>
      <c r="H38" s="94"/>
      <c r="L38" s="54" t="s">
        <v>256</v>
      </c>
      <c r="M38" s="106">
        <v>371874447.249199</v>
      </c>
      <c r="N38" s="106">
        <f t="shared" si="23"/>
        <v>37187.4447249199</v>
      </c>
      <c r="Q38" s="94"/>
      <c r="R38" s="158"/>
      <c r="S38" s="94"/>
      <c r="T38" s="94"/>
      <c r="U38" s="94"/>
      <c r="V38" s="157"/>
      <c r="W38" s="158"/>
      <c r="AB38" s="57"/>
      <c r="AC38" s="57"/>
      <c r="AE38" s="94"/>
      <c r="AF38" s="94"/>
      <c r="AG38" s="94"/>
    </row>
    <row r="39" spans="1:44">
      <c r="A39" s="123">
        <v>45261</v>
      </c>
      <c r="C39" s="134"/>
      <c r="L39" s="54" t="s">
        <v>257</v>
      </c>
      <c r="M39" s="106">
        <v>177923.75586455</v>
      </c>
      <c r="N39" s="106">
        <f t="shared" si="23"/>
        <v>17.792375586455</v>
      </c>
      <c r="Q39" s="94"/>
      <c r="R39" s="158"/>
      <c r="S39" s="94"/>
      <c r="T39" s="94"/>
      <c r="U39" s="94"/>
      <c r="V39" s="157"/>
      <c r="W39" s="158"/>
      <c r="AB39" s="57"/>
      <c r="AC39" s="57"/>
      <c r="AD39" s="94"/>
      <c r="AE39" s="94"/>
      <c r="AF39" s="94"/>
      <c r="AG39" s="94"/>
    </row>
    <row r="40" spans="1:44">
      <c r="A40" s="123">
        <v>45627</v>
      </c>
      <c r="C40" s="134"/>
      <c r="E40" s="94"/>
      <c r="G40" s="94"/>
      <c r="L40" s="54" t="s">
        <v>258</v>
      </c>
      <c r="M40" s="106">
        <v>67003.5401</v>
      </c>
      <c r="N40" s="106">
        <f t="shared" si="23"/>
        <v>6.70035401</v>
      </c>
      <c r="S40" s="57"/>
      <c r="T40" s="57"/>
      <c r="U40" s="94"/>
      <c r="V40" s="157"/>
      <c r="AB40" s="57"/>
      <c r="AC40" s="57"/>
      <c r="AD40" s="94"/>
      <c r="AE40" s="94"/>
      <c r="AF40" s="94"/>
      <c r="AG40" s="94"/>
    </row>
    <row r="41" spans="1:44">
      <c r="A41" s="123">
        <v>45992</v>
      </c>
      <c r="C41" s="134"/>
      <c r="E41" s="94"/>
      <c r="G41" s="94"/>
      <c r="L41" s="54" t="s">
        <v>259</v>
      </c>
      <c r="M41" s="106">
        <v>2776757.83742668</v>
      </c>
      <c r="N41" s="106">
        <f t="shared" si="23"/>
        <v>277.675783742668</v>
      </c>
      <c r="S41" s="57"/>
      <c r="T41" s="57"/>
      <c r="U41" s="94"/>
      <c r="V41" s="157"/>
      <c r="AB41" s="57"/>
      <c r="AC41" s="57"/>
      <c r="AD41" s="94"/>
      <c r="AE41" s="94"/>
      <c r="AF41" s="94"/>
      <c r="AG41" s="94"/>
    </row>
    <row r="42" spans="1:44">
      <c r="C42" s="134"/>
      <c r="E42" s="94"/>
      <c r="G42" s="94"/>
      <c r="L42" s="54" t="s">
        <v>253</v>
      </c>
      <c r="M42" s="106">
        <v>174347.7</v>
      </c>
      <c r="N42" s="106">
        <f t="shared" si="23"/>
        <v>17.43477</v>
      </c>
      <c r="S42" s="57"/>
      <c r="T42" s="57"/>
      <c r="U42" s="94"/>
      <c r="V42" s="157"/>
      <c r="AB42" s="57"/>
      <c r="AC42" s="57"/>
      <c r="AD42" s="94"/>
      <c r="AE42" s="94"/>
      <c r="AF42" s="94"/>
      <c r="AG42" s="94"/>
    </row>
    <row r="43" spans="1:44">
      <c r="C43" s="134"/>
      <c r="E43" s="94"/>
      <c r="G43" s="94"/>
      <c r="L43" s="54" t="s">
        <v>250</v>
      </c>
      <c r="M43" s="106">
        <v>124205985.1888</v>
      </c>
      <c r="N43" s="106">
        <f t="shared" si="23"/>
        <v>12420.59851888</v>
      </c>
      <c r="S43" s="57"/>
      <c r="T43" s="57"/>
      <c r="U43" s="94"/>
      <c r="V43" s="157"/>
      <c r="AB43" s="57"/>
      <c r="AC43" s="57"/>
      <c r="AD43" s="94"/>
      <c r="AE43" s="94"/>
      <c r="AF43" s="94"/>
      <c r="AG43" s="94"/>
    </row>
    <row r="44" spans="1:44">
      <c r="C44" s="134"/>
      <c r="E44" s="94"/>
      <c r="G44" s="94"/>
      <c r="L44" s="54" t="s">
        <v>252</v>
      </c>
      <c r="M44" s="106">
        <v>11337676.685</v>
      </c>
      <c r="N44" s="106">
        <f t="shared" si="23"/>
        <v>1133.7676685</v>
      </c>
      <c r="S44" s="57"/>
      <c r="T44" s="57"/>
      <c r="U44" s="94"/>
      <c r="V44" s="157"/>
      <c r="AB44" s="57"/>
      <c r="AC44" s="57"/>
      <c r="AD44" s="94"/>
      <c r="AE44" s="94"/>
      <c r="AF44" s="94"/>
      <c r="AG44" s="94"/>
    </row>
    <row r="45" spans="1:44">
      <c r="G45" s="94"/>
      <c r="L45" s="54" t="s">
        <v>249</v>
      </c>
      <c r="M45" s="106">
        <v>8862751.81580856</v>
      </c>
      <c r="N45" s="106">
        <f t="shared" si="23"/>
        <v>886.275181580856</v>
      </c>
      <c r="S45" s="57"/>
      <c r="T45" s="57"/>
      <c r="U45" s="94"/>
      <c r="V45" s="157"/>
      <c r="AB45" s="57"/>
      <c r="AC45" s="57"/>
      <c r="AD45" s="94"/>
      <c r="AE45" s="94"/>
      <c r="AF45" s="94"/>
      <c r="AG45" s="94"/>
    </row>
    <row r="46" spans="1:44">
      <c r="G46" s="94"/>
      <c r="L46" s="54" t="s">
        <v>248</v>
      </c>
      <c r="M46" s="106">
        <v>41858648.4455748</v>
      </c>
      <c r="N46" s="106">
        <f t="shared" si="23"/>
        <v>4185.86484455748</v>
      </c>
      <c r="S46" s="57"/>
      <c r="T46" s="57"/>
      <c r="U46" s="94"/>
      <c r="V46" s="157"/>
      <c r="AB46" s="57"/>
      <c r="AC46" s="57"/>
      <c r="AD46" s="94"/>
      <c r="AE46" s="94"/>
      <c r="AF46" s="94"/>
      <c r="AG46" s="94"/>
    </row>
    <row r="47" spans="1:44">
      <c r="L47" s="54" t="s">
        <v>251</v>
      </c>
      <c r="M47" s="106">
        <v>2433437.01340716</v>
      </c>
      <c r="N47" s="106">
        <f t="shared" si="23"/>
        <v>243.343701340716</v>
      </c>
      <c r="S47" s="57"/>
      <c r="T47" s="57"/>
      <c r="U47" s="94"/>
      <c r="V47" s="157"/>
      <c r="AB47" s="57"/>
      <c r="AC47" s="57"/>
      <c r="AD47" s="94"/>
      <c r="AE47" s="94"/>
      <c r="AF47" s="94"/>
      <c r="AG47" s="94"/>
    </row>
    <row r="48" spans="1:44">
      <c r="L48" s="54" t="e">
        <v>#N/A</v>
      </c>
      <c r="M48" s="106">
        <v>67970733.2143568</v>
      </c>
      <c r="N48" s="106">
        <f t="shared" si="23"/>
        <v>6797.07332143568</v>
      </c>
      <c r="P48" s="287"/>
      <c r="S48" s="57"/>
      <c r="T48" s="57"/>
      <c r="U48" s="94"/>
      <c r="V48" s="157"/>
      <c r="AB48" s="57"/>
      <c r="AC48" s="57"/>
      <c r="AD48" s="94"/>
      <c r="AE48" s="94"/>
      <c r="AF48" s="94"/>
      <c r="AG48" s="94"/>
    </row>
    <row r="49" spans="11:33">
      <c r="L49" s="54" t="s">
        <v>260</v>
      </c>
      <c r="M49" s="106">
        <f>SUM(M36:M48)</f>
        <v>666826987.080377</v>
      </c>
      <c r="N49" s="106">
        <f t="shared" si="23"/>
        <v>66682.6987080377</v>
      </c>
      <c r="S49" s="57"/>
      <c r="T49" s="57"/>
      <c r="U49" s="94"/>
      <c r="V49" s="157"/>
      <c r="AB49" s="57"/>
      <c r="AC49" s="57"/>
      <c r="AD49" s="94"/>
      <c r="AE49" s="94"/>
      <c r="AF49" s="94"/>
      <c r="AG49" s="94"/>
    </row>
    <row r="50" spans="11:33">
      <c r="S50" s="57"/>
      <c r="T50" s="57"/>
      <c r="U50" s="94"/>
      <c r="AB50" s="57"/>
      <c r="AC50" s="57"/>
      <c r="AD50" s="94"/>
      <c r="AE50" s="94"/>
      <c r="AF50" s="94"/>
      <c r="AG50" s="94"/>
    </row>
    <row r="51" hidden="1" spans="11:33">
      <c r="AB51" s="57"/>
      <c r="AC51" s="57"/>
      <c r="AD51" s="94"/>
      <c r="AE51" s="94"/>
      <c r="AF51" s="94"/>
      <c r="AG51" s="94"/>
    </row>
    <row r="52" hidden="1" spans="11:33">
      <c r="K52" s="54" t="s">
        <v>114</v>
      </c>
      <c r="L52" s="54" t="s">
        <v>243</v>
      </c>
      <c r="M52" s="106" t="s">
        <v>244</v>
      </c>
      <c r="N52" s="106" t="s">
        <v>245</v>
      </c>
      <c r="AE52" s="94"/>
      <c r="AF52" s="94"/>
      <c r="AG52" s="94"/>
    </row>
    <row r="53" hidden="1" spans="11:33">
      <c r="L53" s="54" t="s">
        <v>247</v>
      </c>
      <c r="M53" s="106">
        <v>18433545.56</v>
      </c>
      <c r="N53" s="106">
        <f t="shared" ref="N53:N65" si="24">M53/10000</f>
        <v>1843.354556</v>
      </c>
    </row>
    <row r="54" hidden="1" spans="11:33">
      <c r="L54" s="54" t="s">
        <v>255</v>
      </c>
      <c r="M54" s="106">
        <v>2362105.26</v>
      </c>
      <c r="N54" s="106">
        <f t="shared" si="24"/>
        <v>236.210526</v>
      </c>
    </row>
    <row r="55" hidden="1" spans="11:33">
      <c r="L55" s="54" t="s">
        <v>256</v>
      </c>
      <c r="M55" s="106">
        <v>330576883.42</v>
      </c>
      <c r="N55" s="106">
        <f t="shared" si="24"/>
        <v>33057.688342</v>
      </c>
    </row>
    <row r="56" hidden="1" spans="11:33">
      <c r="L56" s="54" t="s">
        <v>257</v>
      </c>
      <c r="M56" s="106">
        <v>302653.24</v>
      </c>
      <c r="N56" s="106">
        <f t="shared" si="24"/>
        <v>30.265324</v>
      </c>
    </row>
    <row r="57" hidden="1" spans="11:33">
      <c r="L57" s="54" t="s">
        <v>258</v>
      </c>
      <c r="M57" s="106">
        <v>8665.72</v>
      </c>
      <c r="N57" s="106">
        <f t="shared" si="24"/>
        <v>0.866572</v>
      </c>
    </row>
    <row r="58" hidden="1" spans="11:33">
      <c r="L58" s="54" t="s">
        <v>259</v>
      </c>
      <c r="M58" s="106">
        <v>1744349.13</v>
      </c>
      <c r="N58" s="106">
        <f t="shared" si="24"/>
        <v>174.434913</v>
      </c>
    </row>
    <row r="59" hidden="1" spans="11:33">
      <c r="L59" s="54" t="s">
        <v>253</v>
      </c>
      <c r="M59" s="106">
        <v>29.6</v>
      </c>
      <c r="N59" s="106">
        <f t="shared" si="24"/>
        <v>0.00296</v>
      </c>
    </row>
    <row r="60" hidden="1" spans="11:33">
      <c r="L60" s="54" t="s">
        <v>250</v>
      </c>
      <c r="M60" s="106">
        <v>112862971.3653</v>
      </c>
      <c r="N60" s="106">
        <f t="shared" si="24"/>
        <v>11286.29713653</v>
      </c>
    </row>
    <row r="61" hidden="1" spans="11:33">
      <c r="L61" s="54" t="s">
        <v>252</v>
      </c>
      <c r="M61" s="106">
        <v>10694332.15</v>
      </c>
      <c r="N61" s="106">
        <f t="shared" si="24"/>
        <v>1069.433215</v>
      </c>
    </row>
    <row r="62" hidden="1" spans="11:33">
      <c r="L62" s="54" t="s">
        <v>249</v>
      </c>
      <c r="M62" s="106">
        <v>9138416.02</v>
      </c>
      <c r="N62" s="106">
        <f t="shared" si="24"/>
        <v>913.841602</v>
      </c>
    </row>
    <row r="63" hidden="1" spans="11:33">
      <c r="L63" s="54" t="s">
        <v>248</v>
      </c>
      <c r="M63" s="106">
        <v>36337743.7919043</v>
      </c>
      <c r="N63" s="106">
        <f t="shared" si="24"/>
        <v>3633.77437919043</v>
      </c>
    </row>
    <row r="64" hidden="1" spans="11:33">
      <c r="L64" s="54" t="s">
        <v>251</v>
      </c>
      <c r="M64" s="106">
        <v>4181362.16</v>
      </c>
      <c r="N64" s="106">
        <f t="shared" si="24"/>
        <v>418.136216</v>
      </c>
    </row>
    <row r="65" hidden="1" spans="11:14">
      <c r="L65" s="54" t="e">
        <v>#N/A</v>
      </c>
      <c r="M65" s="106">
        <v>77419758.76</v>
      </c>
      <c r="N65" s="106">
        <f t="shared" si="24"/>
        <v>7741.975876</v>
      </c>
    </row>
    <row r="66" hidden="1" spans="11:14">
      <c r="L66" s="54" t="s">
        <v>260</v>
      </c>
      <c r="M66" s="106">
        <v>604062816.18</v>
      </c>
      <c r="N66" s="106">
        <f>SUM(N53:N65)</f>
        <v>60406.2816177204</v>
      </c>
    </row>
    <row r="67" hidden="1"/>
    <row r="68" hidden="1"/>
    <row r="69" hidden="1" spans="11:14">
      <c r="K69" s="54" t="s">
        <v>115</v>
      </c>
      <c r="L69" s="54" t="s">
        <v>243</v>
      </c>
      <c r="M69" s="106" t="s">
        <v>244</v>
      </c>
      <c r="N69" s="106" t="s">
        <v>245</v>
      </c>
    </row>
    <row r="70" hidden="1" spans="11:14">
      <c r="L70" s="54" t="s">
        <v>247</v>
      </c>
      <c r="M70" s="106">
        <v>10385218.7692084</v>
      </c>
      <c r="N70" s="106">
        <f t="shared" ref="N70:N84" si="25">M70/10000</f>
        <v>1038.52187692084</v>
      </c>
    </row>
    <row r="71" hidden="1" spans="11:14">
      <c r="L71" s="54" t="s">
        <v>255</v>
      </c>
      <c r="M71" s="106">
        <v>4503372.33804555</v>
      </c>
      <c r="N71" s="106">
        <f t="shared" si="25"/>
        <v>450.337233804555</v>
      </c>
    </row>
    <row r="72" hidden="1" spans="11:14">
      <c r="L72" s="54" t="s">
        <v>256</v>
      </c>
      <c r="M72" s="106">
        <v>122928903.398387</v>
      </c>
      <c r="N72" s="106">
        <f t="shared" si="25"/>
        <v>12292.8903398387</v>
      </c>
    </row>
    <row r="73" hidden="1" spans="11:14">
      <c r="L73" s="54" t="s">
        <v>257</v>
      </c>
      <c r="M73" s="106">
        <v>1856859.21075718</v>
      </c>
      <c r="N73" s="106">
        <f t="shared" si="25"/>
        <v>185.685921075718</v>
      </c>
    </row>
    <row r="74" hidden="1" spans="11:14">
      <c r="L74" s="54" t="s">
        <v>258</v>
      </c>
      <c r="M74" s="106">
        <v>44819.2</v>
      </c>
      <c r="N74" s="106">
        <f t="shared" si="25"/>
        <v>4.48192</v>
      </c>
    </row>
    <row r="75" hidden="1" spans="11:14">
      <c r="L75" s="54" t="s">
        <v>264</v>
      </c>
      <c r="M75" s="106">
        <v>149536556.652</v>
      </c>
      <c r="N75" s="106">
        <f t="shared" si="25"/>
        <v>14953.6556652</v>
      </c>
    </row>
    <row r="76" hidden="1" spans="11:14">
      <c r="L76" s="54" t="s">
        <v>259</v>
      </c>
      <c r="M76" s="106">
        <v>1785949.44712756</v>
      </c>
      <c r="N76" s="106">
        <f t="shared" si="25"/>
        <v>178.594944712756</v>
      </c>
    </row>
    <row r="77" hidden="1" spans="11:14">
      <c r="L77" s="54" t="s">
        <v>253</v>
      </c>
      <c r="M77" s="106">
        <v>25159.99</v>
      </c>
      <c r="N77" s="106">
        <f t="shared" si="25"/>
        <v>2.515999</v>
      </c>
    </row>
    <row r="78" hidden="1" spans="11:14">
      <c r="L78" s="54" t="s">
        <v>250</v>
      </c>
      <c r="M78" s="106">
        <v>94715385.3449332</v>
      </c>
      <c r="N78" s="106">
        <f t="shared" si="25"/>
        <v>9471.53853449332</v>
      </c>
    </row>
    <row r="79" hidden="1" spans="11:14">
      <c r="L79" s="54" t="s">
        <v>252</v>
      </c>
      <c r="M79" s="106">
        <v>16183065.6447592</v>
      </c>
      <c r="N79" s="106">
        <f t="shared" si="25"/>
        <v>1618.30656447592</v>
      </c>
    </row>
    <row r="80" hidden="1" spans="11:14">
      <c r="L80" s="54" t="s">
        <v>249</v>
      </c>
      <c r="M80" s="106">
        <v>8333794.59260254</v>
      </c>
      <c r="N80" s="106">
        <f t="shared" si="25"/>
        <v>833.379459260254</v>
      </c>
    </row>
    <row r="81" hidden="1" spans="11:35">
      <c r="L81" s="54" t="s">
        <v>248</v>
      </c>
      <c r="M81" s="106">
        <v>47738702.2638672</v>
      </c>
      <c r="N81" s="106">
        <f t="shared" si="25"/>
        <v>4773.87022638672</v>
      </c>
    </row>
    <row r="82" hidden="1" spans="11:35">
      <c r="L82" s="54" t="s">
        <v>251</v>
      </c>
      <c r="M82" s="106">
        <v>5819734.4704</v>
      </c>
      <c r="N82" s="106">
        <f t="shared" si="25"/>
        <v>581.97344704</v>
      </c>
    </row>
    <row r="83" hidden="1" spans="11:35">
      <c r="L83" s="54" t="e">
        <v>#N/A</v>
      </c>
      <c r="M83" s="106">
        <v>141543740.623413</v>
      </c>
      <c r="N83" s="106">
        <f t="shared" si="25"/>
        <v>14154.3740623413</v>
      </c>
    </row>
    <row r="84" hidden="1" spans="11:35">
      <c r="L84" s="54" t="s">
        <v>260</v>
      </c>
      <c r="M84" s="106">
        <v>605401261.945501</v>
      </c>
      <c r="N84" s="106">
        <f t="shared" si="25"/>
        <v>60540.1261945501</v>
      </c>
    </row>
    <row r="85" hidden="1"/>
    <row r="86" hidden="1"/>
    <row r="87" hidden="1" spans="11:35">
      <c r="K87" s="54" t="s">
        <v>116</v>
      </c>
      <c r="L87" s="54" t="s">
        <v>243</v>
      </c>
      <c r="M87" s="106" t="s">
        <v>244</v>
      </c>
      <c r="N87" s="106" t="s">
        <v>245</v>
      </c>
    </row>
    <row r="88" hidden="1" spans="11:35">
      <c r="L88" s="54" t="s">
        <v>247</v>
      </c>
      <c r="M88" s="106">
        <v>14226918.0966943</v>
      </c>
      <c r="N88" s="106">
        <f t="shared" ref="N88:N101" si="26">M88/10000</f>
        <v>1422.69180966943</v>
      </c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 s="105"/>
    </row>
    <row r="89" hidden="1" spans="11:35">
      <c r="L89" s="54" t="s">
        <v>255</v>
      </c>
      <c r="M89" s="106">
        <v>3969226.20947605</v>
      </c>
      <c r="N89" s="106">
        <f t="shared" si="26"/>
        <v>396.922620947605</v>
      </c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 s="105"/>
    </row>
    <row r="90" hidden="1" spans="11:35">
      <c r="L90" s="54" t="s">
        <v>256</v>
      </c>
      <c r="M90" s="106">
        <v>144255206.277346</v>
      </c>
      <c r="N90" s="106">
        <f t="shared" si="26"/>
        <v>14425.5206277346</v>
      </c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 s="105"/>
    </row>
    <row r="91" hidden="1" spans="11:35">
      <c r="L91" s="54" t="s">
        <v>257</v>
      </c>
      <c r="M91" s="106">
        <v>1010975.13259488</v>
      </c>
      <c r="N91" s="106">
        <f t="shared" si="26"/>
        <v>101.097513259488</v>
      </c>
    </row>
    <row r="92" hidden="1" spans="11:35">
      <c r="L92" s="54" t="s">
        <v>258</v>
      </c>
      <c r="M92" s="106">
        <v>18669.82</v>
      </c>
      <c r="N92" s="106">
        <f t="shared" si="26"/>
        <v>1.866982</v>
      </c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 s="105"/>
    </row>
    <row r="93" hidden="1" spans="11:35">
      <c r="L93" s="54" t="s">
        <v>264</v>
      </c>
      <c r="M93" s="106">
        <v>190884557.24254</v>
      </c>
      <c r="N93" s="106">
        <f t="shared" si="26"/>
        <v>19088.455724254</v>
      </c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 s="105"/>
    </row>
    <row r="94" hidden="1" spans="11:35">
      <c r="L94" s="54" t="s">
        <v>259</v>
      </c>
      <c r="M94" s="106">
        <v>425860.8103</v>
      </c>
      <c r="N94" s="106">
        <f t="shared" si="26"/>
        <v>42.58608103</v>
      </c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 s="105"/>
    </row>
    <row r="95" hidden="1" spans="11:35">
      <c r="L95" s="54" t="s">
        <v>253</v>
      </c>
      <c r="M95" s="106">
        <v>5629.01</v>
      </c>
      <c r="N95" s="106">
        <f t="shared" si="26"/>
        <v>0.562901</v>
      </c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 s="105"/>
    </row>
    <row r="96" hidden="1" spans="11:35">
      <c r="L96" s="54" t="s">
        <v>250</v>
      </c>
      <c r="M96" s="106">
        <v>33226469.4866</v>
      </c>
      <c r="N96" s="106">
        <f t="shared" si="26"/>
        <v>3322.64694866</v>
      </c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 s="105"/>
    </row>
    <row r="97" hidden="1" spans="11:35">
      <c r="L97" s="54" t="s">
        <v>252</v>
      </c>
      <c r="M97" s="106">
        <v>18927844.8789892</v>
      </c>
      <c r="N97" s="106">
        <f t="shared" si="26"/>
        <v>1892.78448789892</v>
      </c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 s="105"/>
    </row>
    <row r="98" hidden="1" spans="11:35">
      <c r="L98" s="54" t="s">
        <v>249</v>
      </c>
      <c r="M98" s="106">
        <v>6905865.64902211</v>
      </c>
      <c r="N98" s="106">
        <f t="shared" si="26"/>
        <v>690.586564902211</v>
      </c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 s="105"/>
    </row>
    <row r="99" hidden="1" spans="11:35">
      <c r="L99" s="54" t="s">
        <v>248</v>
      </c>
      <c r="M99" s="106">
        <v>60399084.9726798</v>
      </c>
      <c r="N99" s="106">
        <f t="shared" si="26"/>
        <v>6039.90849726798</v>
      </c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 s="105"/>
    </row>
    <row r="100" hidden="1" spans="11:35">
      <c r="L100" s="54" t="s">
        <v>251</v>
      </c>
      <c r="M100" s="106">
        <v>5243715.60992759</v>
      </c>
      <c r="N100" s="106">
        <f t="shared" si="26"/>
        <v>524.371560992759</v>
      </c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 s="105"/>
    </row>
    <row r="101" hidden="1" spans="11:35">
      <c r="L101" s="54" t="e">
        <v>#N/A</v>
      </c>
      <c r="M101" s="106">
        <v>91531242.0628257</v>
      </c>
      <c r="N101" s="106">
        <f t="shared" si="26"/>
        <v>9153.12420628257</v>
      </c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 s="105"/>
    </row>
    <row r="102" hidden="1" spans="11:35">
      <c r="L102" s="54" t="s">
        <v>260</v>
      </c>
      <c r="M102" s="106">
        <v>601482542.818996</v>
      </c>
      <c r="N102" s="106">
        <f>SUM(N88:N101)</f>
        <v>57103.1265258996</v>
      </c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 s="105"/>
    </row>
    <row r="103" hidden="1" spans="11:35"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</row>
    <row r="104" hidden="1"/>
    <row r="105" hidden="1" spans="11:35">
      <c r="K105" s="54" t="s">
        <v>117</v>
      </c>
      <c r="L105" s="54" t="s">
        <v>243</v>
      </c>
      <c r="M105" s="106" t="s">
        <v>244</v>
      </c>
      <c r="N105" s="106" t="s">
        <v>245</v>
      </c>
    </row>
    <row r="106" hidden="1" spans="11:35">
      <c r="L106" s="54" t="s">
        <v>247</v>
      </c>
      <c r="M106" s="106">
        <v>8472685.45810566</v>
      </c>
      <c r="N106" s="106">
        <f t="shared" ref="N106:N119" si="27">M106/10000</f>
        <v>847.268545810566</v>
      </c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</row>
    <row r="107" hidden="1" spans="11:35">
      <c r="L107" s="54" t="s">
        <v>255</v>
      </c>
      <c r="M107" s="106">
        <v>3347041.67184632</v>
      </c>
      <c r="N107" s="106">
        <f t="shared" si="27"/>
        <v>334.704167184632</v>
      </c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</row>
    <row r="108" hidden="1" spans="11:35">
      <c r="L108" s="54" t="s">
        <v>256</v>
      </c>
      <c r="M108" s="106">
        <v>113018058.105059</v>
      </c>
      <c r="N108" s="106">
        <f t="shared" si="27"/>
        <v>11301.8058105059</v>
      </c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</row>
    <row r="109" hidden="1" spans="11:35">
      <c r="L109" s="54" t="s">
        <v>257</v>
      </c>
      <c r="M109" s="106">
        <v>371996.17505658</v>
      </c>
      <c r="N109" s="106">
        <f t="shared" si="27"/>
        <v>37.199617505658</v>
      </c>
    </row>
    <row r="110" hidden="1" spans="11:35">
      <c r="L110" s="54" t="s">
        <v>258</v>
      </c>
      <c r="M110" s="106">
        <v>20332.21</v>
      </c>
      <c r="N110" s="106">
        <f t="shared" si="27"/>
        <v>2.033221</v>
      </c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</row>
    <row r="111" hidden="1" spans="11:35">
      <c r="L111" s="54" t="s">
        <v>264</v>
      </c>
      <c r="M111" s="106">
        <v>334188981.861466</v>
      </c>
      <c r="N111" s="106">
        <f t="shared" si="27"/>
        <v>33418.8981861466</v>
      </c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</row>
    <row r="112" hidden="1" spans="11:35">
      <c r="L112" s="54" t="s">
        <v>259</v>
      </c>
      <c r="M112" s="106">
        <v>5265696.9728</v>
      </c>
      <c r="N112" s="106">
        <f t="shared" si="27"/>
        <v>526.56969728</v>
      </c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</row>
    <row r="113" hidden="1" spans="11:34">
      <c r="L113" s="54" t="s">
        <v>253</v>
      </c>
      <c r="N113" s="106">
        <f t="shared" si="27"/>
        <v>0</v>
      </c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</row>
    <row r="114" hidden="1" spans="11:34">
      <c r="L114" s="54" t="s">
        <v>250</v>
      </c>
      <c r="M114" s="106">
        <v>21491403.9079</v>
      </c>
      <c r="N114" s="106">
        <f t="shared" si="27"/>
        <v>2149.14039079</v>
      </c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</row>
    <row r="115" hidden="1" spans="11:34">
      <c r="L115" s="54" t="s">
        <v>252</v>
      </c>
      <c r="M115" s="106">
        <v>12154211.0262542</v>
      </c>
      <c r="N115" s="106">
        <f t="shared" si="27"/>
        <v>1215.42110262542</v>
      </c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</row>
    <row r="116" hidden="1" spans="11:34">
      <c r="L116" s="54" t="s">
        <v>249</v>
      </c>
      <c r="M116" s="106">
        <v>8095679.65548964</v>
      </c>
      <c r="N116" s="106">
        <f t="shared" si="27"/>
        <v>809.567965548964</v>
      </c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</row>
    <row r="117" hidden="1" spans="11:34">
      <c r="L117" s="54" t="s">
        <v>248</v>
      </c>
      <c r="M117" s="106">
        <v>29081989.0642373</v>
      </c>
      <c r="N117" s="106">
        <f t="shared" si="27"/>
        <v>2908.19890642373</v>
      </c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</row>
    <row r="118" hidden="1" spans="11:34">
      <c r="L118" s="54" t="s">
        <v>251</v>
      </c>
      <c r="M118" s="106">
        <v>4230972.5288</v>
      </c>
      <c r="N118" s="106">
        <f t="shared" si="27"/>
        <v>423.09725288</v>
      </c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</row>
    <row r="119" hidden="1" spans="11:34">
      <c r="L119" s="54" t="e">
        <v>#N/A</v>
      </c>
      <c r="M119" s="106">
        <v>91647695.9088077</v>
      </c>
      <c r="N119" s="106">
        <f t="shared" si="27"/>
        <v>9164.76959088077</v>
      </c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</row>
    <row r="120" hidden="1" spans="11:34">
      <c r="L120" s="54" t="s">
        <v>260</v>
      </c>
      <c r="M120" s="106">
        <f>SUM(M106:M119)</f>
        <v>631386744.545822</v>
      </c>
      <c r="N120" s="106">
        <f>SUM(N106:N119)</f>
        <v>63138.6744545822</v>
      </c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</row>
    <row r="121" hidden="1" spans="11:34"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</row>
    <row r="122" hidden="1" spans="11:34">
      <c r="P122"/>
      <c r="Q122"/>
    </row>
    <row r="123" hidden="1" spans="11:34">
      <c r="K123" s="54" t="s">
        <v>118</v>
      </c>
      <c r="L123" s="54" t="s">
        <v>243</v>
      </c>
      <c r="M123" s="66" t="s">
        <v>244</v>
      </c>
      <c r="N123" s="58" t="s">
        <v>245</v>
      </c>
      <c r="O123" s="58"/>
    </row>
    <row r="124" hidden="1" spans="11:34">
      <c r="L124" s="54" t="s">
        <v>247</v>
      </c>
      <c r="M124" s="66">
        <v>15982663.1904241</v>
      </c>
      <c r="N124" s="106">
        <f t="shared" ref="N124:N137" si="28">M124/10000</f>
        <v>1598.26631904241</v>
      </c>
      <c r="O124" s="58"/>
    </row>
    <row r="125" hidden="1" spans="11:34">
      <c r="L125" s="54" t="s">
        <v>255</v>
      </c>
      <c r="M125" s="66">
        <v>1636222.67320096</v>
      </c>
      <c r="N125" s="106">
        <f t="shared" si="28"/>
        <v>163.622267320096</v>
      </c>
      <c r="O125" s="58"/>
      <c r="P125" s="66"/>
    </row>
    <row r="126" hidden="1" spans="11:34">
      <c r="L126" s="54" t="s">
        <v>256</v>
      </c>
      <c r="M126" s="66">
        <v>118090115.15317</v>
      </c>
      <c r="N126" s="106">
        <f t="shared" si="28"/>
        <v>11809.011515317</v>
      </c>
      <c r="O126" s="58"/>
      <c r="P126" s="66"/>
    </row>
    <row r="127" hidden="1" spans="11:34">
      <c r="L127" s="54" t="s">
        <v>257</v>
      </c>
      <c r="M127" s="66">
        <v>118196.29</v>
      </c>
      <c r="N127" s="106">
        <f t="shared" si="28"/>
        <v>11.819629</v>
      </c>
    </row>
    <row r="128" hidden="1" spans="11:34">
      <c r="L128" s="54" t="s">
        <v>258</v>
      </c>
      <c r="M128" s="66">
        <v>4948.7</v>
      </c>
      <c r="N128" s="106">
        <f t="shared" si="28"/>
        <v>0.49487</v>
      </c>
      <c r="O128" s="58"/>
      <c r="P128" s="66"/>
    </row>
    <row r="129" hidden="1" spans="11:16">
      <c r="L129" s="54" t="s">
        <v>264</v>
      </c>
      <c r="M129" s="106">
        <v>383095432.673486</v>
      </c>
      <c r="N129" s="106">
        <f t="shared" si="28"/>
        <v>38309.5432673486</v>
      </c>
      <c r="O129" s="58"/>
      <c r="P129" s="66"/>
    </row>
    <row r="130" hidden="1" spans="11:16">
      <c r="L130" s="54" t="s">
        <v>259</v>
      </c>
      <c r="M130" s="66">
        <v>6943694.0779</v>
      </c>
      <c r="N130" s="106">
        <f t="shared" si="28"/>
        <v>694.36940779</v>
      </c>
      <c r="O130" s="58"/>
      <c r="P130" s="66"/>
    </row>
    <row r="131" hidden="1" spans="11:16">
      <c r="L131" s="54" t="s">
        <v>250</v>
      </c>
      <c r="M131" s="66">
        <v>21464039.08</v>
      </c>
      <c r="N131" s="106">
        <f t="shared" si="28"/>
        <v>2146.403908</v>
      </c>
      <c r="O131" s="58"/>
      <c r="P131" s="66"/>
    </row>
    <row r="132" hidden="1" spans="11:16">
      <c r="L132" s="54" t="s">
        <v>252</v>
      </c>
      <c r="M132" s="66">
        <v>5541323.92136054</v>
      </c>
      <c r="N132" s="106">
        <f t="shared" si="28"/>
        <v>554.132392136054</v>
      </c>
      <c r="O132" s="58"/>
      <c r="P132" s="66"/>
    </row>
    <row r="133" hidden="1" spans="11:16">
      <c r="L133" s="54" t="s">
        <v>249</v>
      </c>
      <c r="M133" s="66">
        <v>8496218.52017343</v>
      </c>
      <c r="N133" s="106">
        <f t="shared" si="28"/>
        <v>849.621852017343</v>
      </c>
      <c r="O133" s="58"/>
      <c r="P133" s="66"/>
    </row>
    <row r="134" hidden="1" spans="11:16">
      <c r="L134" s="54" t="s">
        <v>248</v>
      </c>
      <c r="M134" s="66">
        <v>44884521.6613096</v>
      </c>
      <c r="N134" s="106">
        <f t="shared" si="28"/>
        <v>4488.45216613096</v>
      </c>
      <c r="O134" s="58"/>
      <c r="P134" s="66"/>
    </row>
    <row r="135" hidden="1" spans="11:16">
      <c r="L135" s="54" t="s">
        <v>251</v>
      </c>
      <c r="M135" s="66">
        <v>4817778.2804</v>
      </c>
      <c r="N135" s="106">
        <f t="shared" si="28"/>
        <v>481.77782804</v>
      </c>
      <c r="O135" s="58"/>
      <c r="P135" s="66"/>
    </row>
    <row r="136" hidden="1" spans="11:16">
      <c r="L136" s="54" t="s">
        <v>253</v>
      </c>
      <c r="M136" s="66">
        <v>0</v>
      </c>
      <c r="N136" s="106">
        <f t="shared" si="28"/>
        <v>0</v>
      </c>
      <c r="O136" s="58"/>
    </row>
    <row r="137" hidden="1" spans="11:16">
      <c r="L137" s="54" t="e">
        <v>#N/A</v>
      </c>
      <c r="M137" s="66">
        <v>103328013.068777</v>
      </c>
      <c r="N137" s="106">
        <f t="shared" si="28"/>
        <v>10332.8013068777</v>
      </c>
      <c r="O137" s="58"/>
      <c r="P137" s="66"/>
    </row>
    <row r="138" hidden="1" spans="11:16">
      <c r="L138" s="54" t="s">
        <v>260</v>
      </c>
      <c r="M138" s="250">
        <f>SUM(M124:M137)</f>
        <v>714403167.290202</v>
      </c>
      <c r="N138" s="106">
        <f>SUM(N124:N137)</f>
        <v>71440.3167290202</v>
      </c>
      <c r="O138" s="58"/>
      <c r="P138" s="66"/>
    </row>
    <row r="139" hidden="1" spans="11:16">
      <c r="M139" s="58"/>
      <c r="O139" s="58"/>
      <c r="P139" s="66"/>
    </row>
    <row r="140" hidden="1" spans="11:16">
      <c r="M140" s="58"/>
      <c r="N140" s="58"/>
      <c r="O140" s="58"/>
      <c r="P140" s="66"/>
    </row>
    <row r="141" hidden="1" spans="11:16">
      <c r="K141" s="54" t="s">
        <v>119</v>
      </c>
      <c r="L141" s="54" t="s">
        <v>243</v>
      </c>
      <c r="M141" s="58" t="s">
        <v>244</v>
      </c>
      <c r="N141" s="58" t="s">
        <v>245</v>
      </c>
      <c r="O141" s="58"/>
      <c r="P141" s="66"/>
    </row>
    <row r="142" hidden="1" spans="11:16">
      <c r="L142" s="54" t="s">
        <v>247</v>
      </c>
      <c r="M142" s="58">
        <v>20636521.7422124</v>
      </c>
      <c r="N142" s="58">
        <f t="shared" ref="N142:N155" si="29">M142/10000</f>
        <v>2063.65217422124</v>
      </c>
      <c r="O142" s="58"/>
      <c r="P142" s="66"/>
    </row>
    <row r="143" hidden="1" spans="11:16">
      <c r="L143" s="54" t="s">
        <v>255</v>
      </c>
      <c r="M143" s="106">
        <v>1997779.64016137</v>
      </c>
      <c r="N143" s="58">
        <f t="shared" si="29"/>
        <v>199.777964016137</v>
      </c>
      <c r="P143" s="66"/>
    </row>
    <row r="144" hidden="1" spans="11:16">
      <c r="L144" s="54" t="s">
        <v>256</v>
      </c>
      <c r="M144" s="106">
        <v>124634675.716719</v>
      </c>
      <c r="N144" s="58">
        <f t="shared" si="29"/>
        <v>12463.4675716719</v>
      </c>
      <c r="P144" s="66"/>
    </row>
    <row r="145" hidden="1" spans="11:36">
      <c r="L145" s="54" t="s">
        <v>257</v>
      </c>
      <c r="M145" s="106">
        <v>178771.10190596</v>
      </c>
      <c r="N145" s="106">
        <f t="shared" si="29"/>
        <v>17.877110190596</v>
      </c>
      <c r="P145" s="66"/>
    </row>
    <row r="146" hidden="1" spans="11:36">
      <c r="L146" s="54" t="s">
        <v>258</v>
      </c>
      <c r="M146" s="106">
        <v>4640.96</v>
      </c>
      <c r="N146" s="58">
        <f t="shared" si="29"/>
        <v>0.464096</v>
      </c>
    </row>
    <row r="147" hidden="1" spans="11:36">
      <c r="L147" s="54" t="s">
        <v>264</v>
      </c>
      <c r="M147" s="106">
        <v>352311218.063424</v>
      </c>
      <c r="N147" s="58">
        <f t="shared" si="29"/>
        <v>35231.1218063424</v>
      </c>
    </row>
    <row r="148" hidden="1" spans="11:36">
      <c r="L148" s="54" t="s">
        <v>259</v>
      </c>
      <c r="M148" s="106">
        <v>5228130.18179999</v>
      </c>
      <c r="N148" s="58">
        <f t="shared" si="29"/>
        <v>522.813018179999</v>
      </c>
    </row>
    <row r="149" hidden="1" spans="11:36">
      <c r="L149" s="54" t="s">
        <v>253</v>
      </c>
      <c r="M149" s="106">
        <v>5937.39999999999</v>
      </c>
      <c r="N149" s="58">
        <f t="shared" si="29"/>
        <v>0.593739999999999</v>
      </c>
    </row>
    <row r="150" hidden="1" spans="11:36">
      <c r="L150" s="54" t="s">
        <v>250</v>
      </c>
      <c r="M150" s="106">
        <v>8377050.717</v>
      </c>
      <c r="N150" s="58">
        <f t="shared" si="29"/>
        <v>837.7050717</v>
      </c>
    </row>
    <row r="151" hidden="1" spans="11:36">
      <c r="L151" s="54" t="s">
        <v>252</v>
      </c>
      <c r="M151" s="106">
        <v>8678819.8335</v>
      </c>
      <c r="N151" s="58">
        <f t="shared" si="29"/>
        <v>867.88198335</v>
      </c>
    </row>
    <row r="152" hidden="1" spans="11:36">
      <c r="L152" s="54" t="s">
        <v>249</v>
      </c>
      <c r="M152" s="106">
        <v>6527449.6628845</v>
      </c>
      <c r="N152" s="58">
        <f t="shared" si="29"/>
        <v>652.74496628845</v>
      </c>
    </row>
    <row r="153" hidden="1" spans="11:36">
      <c r="L153" s="54" t="s">
        <v>248</v>
      </c>
      <c r="M153" s="106">
        <v>50564016.4114505</v>
      </c>
      <c r="N153" s="58">
        <f t="shared" si="29"/>
        <v>5056.40164114505</v>
      </c>
    </row>
    <row r="154" hidden="1" spans="11:36">
      <c r="L154" s="54" t="s">
        <v>251</v>
      </c>
      <c r="M154" s="106">
        <v>4925133.0258</v>
      </c>
      <c r="N154" s="58">
        <f t="shared" si="29"/>
        <v>492.51330258</v>
      </c>
    </row>
    <row r="155" hidden="1" spans="11:36">
      <c r="L155" s="54" t="e">
        <v>#N/A</v>
      </c>
      <c r="M155" s="106">
        <v>144409515.059422</v>
      </c>
      <c r="N155" s="58">
        <f t="shared" si="29"/>
        <v>14440.9515059422</v>
      </c>
    </row>
    <row r="156" hidden="1" spans="11:36">
      <c r="L156" s="54" t="s">
        <v>260</v>
      </c>
      <c r="M156" s="106">
        <v>728479659.516279</v>
      </c>
      <c r="N156" s="106">
        <f>SUM(N142:N155)</f>
        <v>72847.965951628</v>
      </c>
    </row>
    <row r="157" hidden="1"/>
    <row r="158" hidden="1" spans="11:36">
      <c r="R158" s="250"/>
      <c r="S158" s="250"/>
      <c r="AH158"/>
      <c r="AI158" s="277"/>
      <c r="AJ158"/>
    </row>
    <row r="159" hidden="1" spans="11:36">
      <c r="K159" s="54" t="s">
        <v>120</v>
      </c>
      <c r="L159" s="57" t="s">
        <v>243</v>
      </c>
      <c r="M159" s="106" t="s">
        <v>244</v>
      </c>
      <c r="N159" s="58" t="s">
        <v>245</v>
      </c>
      <c r="R159" s="250"/>
      <c r="S159" s="250"/>
      <c r="AH159"/>
      <c r="AI159" s="277"/>
      <c r="AJ159"/>
    </row>
    <row r="160" hidden="1" spans="11:36">
      <c r="L160" s="54" t="s">
        <v>247</v>
      </c>
      <c r="M160" s="106">
        <v>19454389.884351</v>
      </c>
      <c r="N160" s="106">
        <f t="shared" ref="N160:N174" si="30">M160/10000</f>
        <v>1945.4389884351</v>
      </c>
      <c r="R160" s="250"/>
      <c r="S160" s="250"/>
      <c r="AH160"/>
      <c r="AI160" s="277"/>
      <c r="AJ160"/>
    </row>
    <row r="161" hidden="1" spans="12:36">
      <c r="L161" s="54" t="s">
        <v>255</v>
      </c>
      <c r="M161" s="106">
        <v>2092704.84547684</v>
      </c>
      <c r="N161" s="106">
        <f t="shared" si="30"/>
        <v>209.270484547684</v>
      </c>
      <c r="R161" s="250"/>
      <c r="S161" s="250"/>
      <c r="AH161"/>
      <c r="AI161" s="277"/>
      <c r="AJ161"/>
    </row>
    <row r="162" hidden="1" spans="12:36">
      <c r="L162" s="54" t="s">
        <v>256</v>
      </c>
      <c r="M162" s="106">
        <v>113982388.119993</v>
      </c>
      <c r="N162" s="106">
        <f t="shared" si="30"/>
        <v>11398.2388119993</v>
      </c>
      <c r="R162" s="250"/>
      <c r="S162" s="250"/>
      <c r="AH162"/>
      <c r="AI162" s="277"/>
      <c r="AJ162"/>
    </row>
    <row r="163" hidden="1" spans="12:36">
      <c r="L163" s="54" t="s">
        <v>257</v>
      </c>
      <c r="M163" s="106">
        <v>643695.94</v>
      </c>
      <c r="N163" s="106">
        <f t="shared" si="30"/>
        <v>64.369594</v>
      </c>
      <c r="R163" s="250"/>
      <c r="S163" s="250"/>
      <c r="AH163"/>
      <c r="AI163" s="277"/>
      <c r="AJ163"/>
    </row>
    <row r="164" hidden="1" spans="12:36">
      <c r="L164" s="54" t="s">
        <v>258</v>
      </c>
      <c r="M164" s="106">
        <v>42603.62</v>
      </c>
      <c r="N164" s="106">
        <f t="shared" si="30"/>
        <v>4.260362</v>
      </c>
      <c r="R164" s="250"/>
      <c r="S164" s="250"/>
      <c r="AH164"/>
      <c r="AI164" s="277"/>
      <c r="AJ164"/>
    </row>
    <row r="165" hidden="1" spans="12:36">
      <c r="L165" s="54" t="s">
        <v>264</v>
      </c>
      <c r="M165" s="106">
        <v>258060993.8855</v>
      </c>
      <c r="N165" s="106">
        <f t="shared" si="30"/>
        <v>25806.09938855</v>
      </c>
      <c r="R165" s="250"/>
      <c r="S165" s="250"/>
      <c r="AH165"/>
      <c r="AI165" s="277"/>
      <c r="AJ165"/>
    </row>
    <row r="166" hidden="1" spans="12:36">
      <c r="L166" s="54" t="s">
        <v>259</v>
      </c>
      <c r="M166" s="106">
        <v>3003433.0212</v>
      </c>
      <c r="N166" s="106">
        <f t="shared" si="30"/>
        <v>300.34330212</v>
      </c>
      <c r="R166" s="250"/>
      <c r="S166" s="250"/>
      <c r="AH166"/>
      <c r="AI166" s="277"/>
      <c r="AJ166"/>
    </row>
    <row r="167" hidden="1" spans="12:36">
      <c r="L167" s="54" t="s">
        <v>253</v>
      </c>
      <c r="M167" s="106">
        <v>310.799999999999</v>
      </c>
      <c r="N167" s="106">
        <f t="shared" si="30"/>
        <v>0.0310799999999999</v>
      </c>
      <c r="R167" s="250"/>
      <c r="S167" s="250"/>
      <c r="AH167"/>
      <c r="AI167" s="277"/>
      <c r="AJ167"/>
    </row>
    <row r="168" hidden="1" spans="12:36">
      <c r="L168" s="54" t="s">
        <v>250</v>
      </c>
      <c r="M168" s="106">
        <v>14703084.066</v>
      </c>
      <c r="N168" s="106">
        <f t="shared" si="30"/>
        <v>1470.3084066</v>
      </c>
      <c r="R168" s="250"/>
      <c r="S168" s="250"/>
      <c r="AH168"/>
      <c r="AI168" s="277"/>
      <c r="AJ168"/>
    </row>
    <row r="169" hidden="1" spans="12:36">
      <c r="L169" s="54" t="s">
        <v>252</v>
      </c>
      <c r="M169" s="106">
        <v>15812067.8145603</v>
      </c>
      <c r="N169" s="106">
        <f t="shared" si="30"/>
        <v>1581.20678145603</v>
      </c>
      <c r="R169" s="250"/>
      <c r="S169" s="250"/>
      <c r="AH169"/>
      <c r="AI169" s="277"/>
      <c r="AJ169"/>
    </row>
    <row r="170" hidden="1" spans="12:36">
      <c r="L170" s="54" t="s">
        <v>249</v>
      </c>
      <c r="M170" s="106">
        <v>9862335.88858888</v>
      </c>
      <c r="N170" s="106">
        <f t="shared" si="30"/>
        <v>986.233588858888</v>
      </c>
      <c r="R170" s="250"/>
      <c r="S170" s="250"/>
      <c r="AH170"/>
      <c r="AI170" s="277"/>
      <c r="AJ170"/>
    </row>
    <row r="171" hidden="1" spans="12:36">
      <c r="L171" s="54" t="s">
        <v>248</v>
      </c>
      <c r="M171" s="106">
        <v>40469896.5324346</v>
      </c>
      <c r="N171" s="106">
        <f t="shared" si="30"/>
        <v>4046.98965324346</v>
      </c>
      <c r="R171" s="250"/>
      <c r="S171" s="250"/>
      <c r="AH171"/>
      <c r="AI171" s="277"/>
      <c r="AJ171"/>
    </row>
    <row r="172" hidden="1" spans="12:36">
      <c r="L172" s="54" t="s">
        <v>251</v>
      </c>
      <c r="M172" s="106">
        <v>6281343.22739999</v>
      </c>
      <c r="N172" s="106">
        <f t="shared" si="30"/>
        <v>628.134322739999</v>
      </c>
      <c r="R172" s="250"/>
      <c r="S172" s="250"/>
      <c r="AH172"/>
      <c r="AI172" s="277"/>
      <c r="AJ172"/>
    </row>
    <row r="173" hidden="1" spans="12:36">
      <c r="L173" s="57" t="e">
        <v>#N/A</v>
      </c>
      <c r="M173" s="106">
        <v>138359652.046787</v>
      </c>
      <c r="N173" s="106">
        <f t="shared" si="30"/>
        <v>13835.9652046787</v>
      </c>
      <c r="R173" s="250"/>
      <c r="S173" s="250"/>
      <c r="AH173"/>
      <c r="AI173" s="277"/>
      <c r="AJ173"/>
    </row>
    <row r="174" hidden="1" spans="12:36">
      <c r="L174" s="57" t="s">
        <v>260</v>
      </c>
      <c r="M174" s="106">
        <f>SUM(M160:M173)</f>
        <v>622768899.692292</v>
      </c>
      <c r="N174" s="106">
        <f t="shared" si="30"/>
        <v>62276.8899692292</v>
      </c>
      <c r="R174" s="250"/>
      <c r="S174" s="250"/>
      <c r="AH174"/>
      <c r="AI174" s="277"/>
      <c r="AJ174"/>
    </row>
    <row r="175" hidden="1" spans="12:36">
      <c r="R175" s="250"/>
      <c r="S175" s="250"/>
      <c r="AH175"/>
      <c r="AI175" s="277"/>
      <c r="AJ175"/>
    </row>
    <row r="176" hidden="1" spans="12:36">
      <c r="R176" s="57"/>
      <c r="S176" s="57"/>
      <c r="AH176"/>
      <c r="AI176" s="277"/>
      <c r="AJ176"/>
    </row>
    <row r="177" hidden="1" spans="11:36">
      <c r="K177" s="54" t="s">
        <v>121</v>
      </c>
      <c r="L177" s="54" t="s">
        <v>243</v>
      </c>
      <c r="M177" s="106" t="s">
        <v>244</v>
      </c>
      <c r="N177" s="58" t="s">
        <v>245</v>
      </c>
      <c r="R177" s="57"/>
      <c r="S177" s="57"/>
      <c r="AH177"/>
      <c r="AI177" s="277"/>
      <c r="AJ177"/>
    </row>
    <row r="178" hidden="1" spans="11:36">
      <c r="L178" s="54" t="s">
        <v>247</v>
      </c>
      <c r="M178" s="106">
        <v>16943296.9553641</v>
      </c>
      <c r="N178" s="106">
        <f t="shared" ref="N178:N191" si="31">M178/10000</f>
        <v>1694.32969553641</v>
      </c>
      <c r="AH178"/>
      <c r="AI178" s="277"/>
      <c r="AJ178"/>
    </row>
    <row r="179" hidden="1" spans="11:36">
      <c r="L179" s="54" t="s">
        <v>255</v>
      </c>
      <c r="M179" s="106">
        <v>1664996.24212032</v>
      </c>
      <c r="N179" s="106">
        <f t="shared" si="31"/>
        <v>166.499624212032</v>
      </c>
      <c r="AH179"/>
      <c r="AI179" s="277"/>
      <c r="AJ179"/>
    </row>
    <row r="180" hidden="1" spans="11:36">
      <c r="L180" s="54" t="s">
        <v>256</v>
      </c>
      <c r="M180" s="106">
        <v>103247231.835836</v>
      </c>
      <c r="N180" s="106">
        <f t="shared" si="31"/>
        <v>10324.7231835836</v>
      </c>
      <c r="AH180"/>
      <c r="AI180" s="277"/>
      <c r="AJ180"/>
    </row>
    <row r="181" hidden="1" spans="11:36">
      <c r="L181" s="54" t="s">
        <v>257</v>
      </c>
      <c r="M181" s="106">
        <v>610001.13</v>
      </c>
      <c r="N181" s="106">
        <f t="shared" si="31"/>
        <v>61.000113</v>
      </c>
      <c r="AH181"/>
      <c r="AI181" s="277"/>
      <c r="AJ181"/>
    </row>
    <row r="182" hidden="1" spans="11:36">
      <c r="L182" s="54" t="s">
        <v>258</v>
      </c>
      <c r="M182" s="106">
        <v>15066.28</v>
      </c>
      <c r="N182" s="106">
        <f t="shared" si="31"/>
        <v>1.506628</v>
      </c>
      <c r="AH182"/>
      <c r="AI182" s="277"/>
      <c r="AJ182"/>
    </row>
    <row r="183" hidden="1" spans="11:36">
      <c r="L183" s="54" t="s">
        <v>264</v>
      </c>
      <c r="M183" s="106">
        <v>281109208.7661</v>
      </c>
      <c r="N183" s="106">
        <f t="shared" si="31"/>
        <v>28110.92087661</v>
      </c>
      <c r="AH183"/>
      <c r="AI183" s="277"/>
      <c r="AJ183"/>
    </row>
    <row r="184" hidden="1" spans="11:36">
      <c r="L184" s="54" t="s">
        <v>259</v>
      </c>
      <c r="M184" s="106">
        <v>3087041.7938</v>
      </c>
      <c r="N184" s="106">
        <f t="shared" si="31"/>
        <v>308.70417938</v>
      </c>
      <c r="AH184"/>
      <c r="AI184" s="277"/>
      <c r="AJ184"/>
    </row>
    <row r="185" hidden="1" spans="11:36">
      <c r="L185" s="54" t="s">
        <v>253</v>
      </c>
      <c r="M185" s="106">
        <v>29052.3499999999</v>
      </c>
      <c r="N185" s="106">
        <f t="shared" si="31"/>
        <v>2.90523499999999</v>
      </c>
      <c r="AH185"/>
      <c r="AI185" s="277"/>
      <c r="AJ185"/>
    </row>
    <row r="186" hidden="1" spans="11:36">
      <c r="L186" s="54" t="s">
        <v>250</v>
      </c>
      <c r="M186" s="106">
        <v>38139662.1552</v>
      </c>
      <c r="N186" s="106">
        <f t="shared" si="31"/>
        <v>3813.96621552</v>
      </c>
      <c r="AH186"/>
      <c r="AI186" s="277"/>
      <c r="AJ186"/>
    </row>
    <row r="187" hidden="1" spans="11:36">
      <c r="L187" s="54" t="s">
        <v>252</v>
      </c>
      <c r="M187" s="106">
        <v>19765254.422</v>
      </c>
      <c r="N187" s="106">
        <f t="shared" si="31"/>
        <v>1976.5254422</v>
      </c>
      <c r="AH187"/>
      <c r="AI187" s="277"/>
      <c r="AJ187"/>
    </row>
    <row r="188" hidden="1" spans="11:36">
      <c r="L188" s="54" t="s">
        <v>249</v>
      </c>
      <c r="M188" s="106">
        <v>7984993.8387561</v>
      </c>
      <c r="N188" s="106">
        <f t="shared" si="31"/>
        <v>798.49938387561</v>
      </c>
      <c r="AH188"/>
      <c r="AI188" s="277"/>
      <c r="AJ188"/>
    </row>
    <row r="189" hidden="1" spans="11:36">
      <c r="L189" s="54" t="s">
        <v>248</v>
      </c>
      <c r="M189" s="106">
        <v>34088709.2564474</v>
      </c>
      <c r="N189" s="106">
        <f t="shared" si="31"/>
        <v>3408.87092564474</v>
      </c>
      <c r="AH189"/>
      <c r="AI189" s="277"/>
      <c r="AJ189"/>
    </row>
    <row r="190" hidden="1" spans="11:36">
      <c r="L190" s="54" t="s">
        <v>251</v>
      </c>
      <c r="M190" s="106">
        <v>5536792.4514</v>
      </c>
      <c r="N190" s="106">
        <f t="shared" si="31"/>
        <v>553.67924514</v>
      </c>
      <c r="AH190"/>
      <c r="AI190" s="277"/>
      <c r="AJ190"/>
    </row>
    <row r="191" hidden="1" spans="11:36">
      <c r="L191" s="54" t="e">
        <v>#N/A</v>
      </c>
      <c r="M191" s="106">
        <v>140836386.833</v>
      </c>
      <c r="N191" s="106">
        <f t="shared" si="31"/>
        <v>14083.6386833</v>
      </c>
      <c r="AH191"/>
      <c r="AI191" s="277"/>
      <c r="AJ191"/>
    </row>
    <row r="192" hidden="1" spans="11:36">
      <c r="L192" s="54" t="s">
        <v>260</v>
      </c>
      <c r="M192" s="106">
        <f>SUM(M178:M191)</f>
        <v>653057694.310024</v>
      </c>
      <c r="N192" s="106">
        <f>SUM(N178:N191)</f>
        <v>65305.7694310024</v>
      </c>
      <c r="AH192"/>
      <c r="AI192" s="277"/>
      <c r="AJ192"/>
    </row>
    <row r="193" hidden="1" spans="11:37">
      <c r="AH193"/>
      <c r="AI193" s="277"/>
      <c r="AJ193"/>
    </row>
    <row r="194" spans="11:37">
      <c r="AH194"/>
      <c r="AI194" s="277"/>
      <c r="AJ194"/>
    </row>
    <row r="195" spans="11:37">
      <c r="K195" s="54" t="s">
        <v>265</v>
      </c>
      <c r="L195" s="54" t="s">
        <v>243</v>
      </c>
      <c r="M195" s="106" t="s">
        <v>244</v>
      </c>
      <c r="N195" s="58" t="s">
        <v>245</v>
      </c>
      <c r="Q195" s="54"/>
      <c r="R195" s="54"/>
      <c r="S195" s="54"/>
      <c r="AI195" s="106"/>
      <c r="AJ195" s="288"/>
      <c r="AK195" s="57"/>
    </row>
    <row r="196" spans="11:37">
      <c r="L196" s="54" t="s">
        <v>247</v>
      </c>
      <c r="M196" s="106">
        <v>26310600.7679088</v>
      </c>
      <c r="N196" s="106">
        <f t="shared" ref="N196:N209" si="32">M196/10000</f>
        <v>2631.06007679088</v>
      </c>
      <c r="Q196" s="54"/>
      <c r="R196" s="54"/>
      <c r="S196" s="54"/>
      <c r="T196" s="54"/>
      <c r="U196" s="54"/>
      <c r="V196" s="54"/>
      <c r="W196" s="54"/>
      <c r="X196" s="54"/>
      <c r="Y196" s="54"/>
      <c r="Z196" s="54"/>
      <c r="AA196" s="54"/>
      <c r="AB196" s="54"/>
      <c r="AC196" s="54"/>
      <c r="AD196" s="54"/>
      <c r="AE196" s="54"/>
      <c r="AF196" s="54"/>
      <c r="AG196" s="54"/>
      <c r="AH196" s="54"/>
      <c r="AI196" s="106"/>
      <c r="AJ196" s="289"/>
      <c r="AK196" s="57"/>
    </row>
    <row r="197" spans="11:37">
      <c r="L197" s="54" t="s">
        <v>255</v>
      </c>
      <c r="M197" s="106">
        <v>1360984.62442243</v>
      </c>
      <c r="N197" s="106">
        <f t="shared" si="32"/>
        <v>136.098462442243</v>
      </c>
      <c r="Q197" s="54"/>
      <c r="R197" s="54"/>
      <c r="S197" s="54"/>
      <c r="T197" s="54"/>
      <c r="U197" s="54"/>
      <c r="V197" s="54"/>
      <c r="W197" s="54"/>
      <c r="X197" s="54"/>
      <c r="Y197" s="54"/>
      <c r="Z197" s="54"/>
      <c r="AA197" s="54"/>
      <c r="AB197" s="54"/>
      <c r="AC197" s="54"/>
      <c r="AD197" s="54"/>
      <c r="AE197" s="54"/>
      <c r="AF197" s="54"/>
      <c r="AG197" s="54"/>
      <c r="AH197" s="54"/>
      <c r="AI197" s="106"/>
      <c r="AJ197" s="289"/>
      <c r="AK197" s="57"/>
    </row>
    <row r="198" spans="11:37">
      <c r="L198" s="54" t="s">
        <v>256</v>
      </c>
      <c r="M198" s="106">
        <v>191391590.179447</v>
      </c>
      <c r="N198" s="106">
        <f t="shared" si="32"/>
        <v>19139.1590179447</v>
      </c>
      <c r="Q198" s="54"/>
      <c r="T198" s="54"/>
      <c r="U198" s="54"/>
      <c r="V198" s="54"/>
      <c r="W198" s="54"/>
      <c r="X198" s="54"/>
      <c r="Y198" s="54"/>
      <c r="Z198" s="54"/>
      <c r="AA198" s="54"/>
      <c r="AB198" s="54"/>
      <c r="AC198" s="54"/>
      <c r="AD198" s="54"/>
      <c r="AE198" s="54"/>
      <c r="AF198" s="54"/>
      <c r="AG198" s="54"/>
      <c r="AH198" s="54"/>
      <c r="AI198" s="106"/>
      <c r="AJ198" s="289"/>
      <c r="AK198" s="57"/>
    </row>
    <row r="199" spans="11:37">
      <c r="L199" s="54" t="s">
        <v>257</v>
      </c>
      <c r="M199" s="106">
        <v>534150.92</v>
      </c>
      <c r="N199" s="106">
        <f t="shared" si="32"/>
        <v>53.415092</v>
      </c>
      <c r="P199" s="66"/>
      <c r="Q199" s="54"/>
      <c r="R199" s="54"/>
      <c r="S199" s="54"/>
    </row>
    <row r="200" spans="11:37">
      <c r="L200" s="54" t="s">
        <v>258</v>
      </c>
      <c r="M200" s="106">
        <v>9058.18</v>
      </c>
      <c r="N200" s="106">
        <f t="shared" si="32"/>
        <v>0.905818</v>
      </c>
      <c r="Q200" s="54"/>
      <c r="R200" s="54"/>
      <c r="S200" s="54"/>
      <c r="T200" s="54"/>
      <c r="U200" s="54"/>
      <c r="V200" s="54"/>
      <c r="W200" s="54"/>
      <c r="X200" s="54"/>
      <c r="Y200" s="54"/>
      <c r="Z200" s="54"/>
      <c r="AA200" s="54"/>
      <c r="AB200" s="54"/>
      <c r="AC200" s="54"/>
      <c r="AD200" s="54"/>
      <c r="AE200" s="54"/>
      <c r="AF200" s="54"/>
      <c r="AG200" s="54"/>
      <c r="AH200" s="54"/>
      <c r="AI200" s="106"/>
      <c r="AJ200" s="289"/>
      <c r="AK200" s="57"/>
    </row>
    <row r="201" spans="11:37">
      <c r="L201" s="54" t="s">
        <v>264</v>
      </c>
      <c r="M201" s="106">
        <v>379831840.827879</v>
      </c>
      <c r="N201" s="106">
        <f t="shared" si="32"/>
        <v>37983.1840827879</v>
      </c>
      <c r="P201" s="66"/>
      <c r="Q201" s="54"/>
      <c r="R201" s="54"/>
      <c r="S201" s="54"/>
      <c r="T201" s="54"/>
      <c r="U201" s="54"/>
      <c r="V201" s="54"/>
      <c r="W201" s="54"/>
      <c r="X201" s="54"/>
      <c r="Y201" s="54"/>
      <c r="Z201" s="54"/>
      <c r="AA201" s="54"/>
      <c r="AB201" s="54"/>
      <c r="AC201" s="54"/>
      <c r="AD201" s="54"/>
      <c r="AE201" s="54"/>
      <c r="AF201" s="54"/>
      <c r="AG201" s="54"/>
      <c r="AH201" s="54"/>
      <c r="AI201" s="106"/>
      <c r="AJ201" s="289"/>
      <c r="AK201" s="57"/>
    </row>
    <row r="202" spans="11:37">
      <c r="L202" s="54" t="s">
        <v>259</v>
      </c>
      <c r="M202" s="106">
        <v>7438819.7377</v>
      </c>
      <c r="N202" s="106">
        <f t="shared" si="32"/>
        <v>743.88197377</v>
      </c>
      <c r="P202" s="66"/>
      <c r="Q202" s="54"/>
      <c r="R202" s="54"/>
      <c r="S202" s="54"/>
      <c r="T202" s="54"/>
      <c r="U202" s="54"/>
      <c r="V202" s="54"/>
      <c r="W202" s="54"/>
      <c r="X202" s="54"/>
      <c r="Y202" s="54"/>
      <c r="Z202" s="54"/>
      <c r="AA202" s="54"/>
      <c r="AB202" s="54"/>
      <c r="AC202" s="54"/>
      <c r="AD202" s="54"/>
      <c r="AE202" s="54"/>
      <c r="AF202" s="54"/>
      <c r="AG202" s="54"/>
      <c r="AH202" s="54"/>
      <c r="AI202" s="106"/>
      <c r="AJ202" s="289"/>
      <c r="AK202" s="57"/>
    </row>
    <row r="203" spans="11:37">
      <c r="L203" s="54" t="s">
        <v>253</v>
      </c>
      <c r="M203" s="106">
        <v>55192.58</v>
      </c>
      <c r="N203" s="106">
        <f t="shared" si="32"/>
        <v>5.519258</v>
      </c>
      <c r="P203" s="66"/>
      <c r="Q203" s="54"/>
      <c r="R203" s="54"/>
      <c r="S203" s="54"/>
      <c r="T203" s="54"/>
      <c r="U203" s="54"/>
      <c r="V203" s="54"/>
      <c r="W203" s="54"/>
      <c r="X203" s="54"/>
      <c r="Y203" s="54"/>
      <c r="Z203" s="54"/>
      <c r="AA203" s="54"/>
      <c r="AB203" s="54"/>
      <c r="AC203" s="54"/>
      <c r="AD203" s="54"/>
      <c r="AE203" s="54"/>
      <c r="AF203" s="54"/>
      <c r="AG203" s="54"/>
      <c r="AH203" s="54"/>
      <c r="AI203" s="106"/>
      <c r="AJ203" s="289"/>
      <c r="AK203" s="57"/>
    </row>
    <row r="204" spans="11:37">
      <c r="L204" s="54" t="s">
        <v>250</v>
      </c>
      <c r="M204" s="106">
        <v>38249187.149</v>
      </c>
      <c r="N204" s="106">
        <f t="shared" si="32"/>
        <v>3824.9187149</v>
      </c>
      <c r="P204" s="66"/>
      <c r="Q204" s="54"/>
      <c r="R204" s="54"/>
      <c r="S204" s="54"/>
      <c r="T204" s="54"/>
      <c r="U204" s="54"/>
      <c r="V204" s="54"/>
      <c r="W204" s="54"/>
      <c r="X204" s="54"/>
      <c r="Y204" s="54"/>
      <c r="Z204" s="54"/>
      <c r="AA204" s="54"/>
      <c r="AB204" s="54"/>
      <c r="AC204" s="54"/>
      <c r="AD204" s="54"/>
      <c r="AE204" s="54"/>
      <c r="AF204" s="54"/>
      <c r="AG204" s="54"/>
      <c r="AH204" s="54"/>
      <c r="AI204" s="106"/>
      <c r="AJ204" s="289"/>
      <c r="AK204" s="57"/>
    </row>
    <row r="205" spans="11:37">
      <c r="L205" s="54" t="s">
        <v>252</v>
      </c>
      <c r="M205" s="106">
        <v>26398593.3661838</v>
      </c>
      <c r="N205" s="106">
        <f t="shared" si="32"/>
        <v>2639.85933661838</v>
      </c>
      <c r="P205" s="66"/>
      <c r="Q205" s="54"/>
      <c r="R205" s="54"/>
      <c r="S205" s="54"/>
      <c r="T205" s="54"/>
      <c r="U205" s="54"/>
      <c r="V205" s="54"/>
      <c r="W205" s="54"/>
      <c r="X205" s="54"/>
      <c r="Y205" s="54"/>
      <c r="Z205" s="54"/>
      <c r="AA205" s="54"/>
      <c r="AB205" s="54"/>
      <c r="AC205" s="54"/>
      <c r="AD205" s="54"/>
      <c r="AE205" s="54"/>
      <c r="AF205" s="54"/>
      <c r="AG205" s="54"/>
      <c r="AH205" s="54"/>
      <c r="AI205" s="106"/>
      <c r="AJ205" s="289"/>
      <c r="AK205" s="57"/>
    </row>
    <row r="206" spans="11:37">
      <c r="L206" s="54" t="s">
        <v>249</v>
      </c>
      <c r="M206" s="106">
        <v>8562699.96576889</v>
      </c>
      <c r="N206" s="106">
        <f t="shared" si="32"/>
        <v>856.269996576889</v>
      </c>
      <c r="P206" s="66"/>
      <c r="Q206" s="54"/>
      <c r="R206" s="54"/>
      <c r="S206" s="54"/>
      <c r="T206" s="54"/>
      <c r="U206" s="54"/>
      <c r="V206" s="54"/>
      <c r="W206" s="54"/>
      <c r="X206" s="54"/>
      <c r="Y206" s="54"/>
      <c r="Z206" s="54"/>
      <c r="AA206" s="54"/>
      <c r="AB206" s="54"/>
      <c r="AC206" s="54"/>
      <c r="AD206" s="54"/>
      <c r="AE206" s="54"/>
      <c r="AF206" s="54"/>
      <c r="AG206" s="54"/>
      <c r="AH206" s="54"/>
      <c r="AI206" s="106"/>
      <c r="AJ206" s="289"/>
      <c r="AK206" s="57"/>
    </row>
    <row r="207" spans="11:37">
      <c r="L207" s="54" t="s">
        <v>248</v>
      </c>
      <c r="M207" s="106">
        <v>42067072.1074263</v>
      </c>
      <c r="N207" s="106">
        <f t="shared" si="32"/>
        <v>4206.70721074263</v>
      </c>
      <c r="P207" s="66"/>
      <c r="Q207" s="54"/>
      <c r="R207" s="54"/>
      <c r="S207" s="54"/>
      <c r="T207" s="54"/>
      <c r="U207" s="54"/>
      <c r="V207" s="54"/>
      <c r="W207" s="54"/>
      <c r="X207" s="54"/>
      <c r="Y207" s="54"/>
      <c r="Z207" s="54"/>
      <c r="AA207" s="54"/>
      <c r="AB207" s="54"/>
      <c r="AC207" s="54"/>
      <c r="AD207" s="54"/>
      <c r="AE207" s="54"/>
      <c r="AF207" s="54"/>
      <c r="AG207" s="54"/>
      <c r="AH207" s="54"/>
      <c r="AI207" s="106"/>
      <c r="AJ207" s="289"/>
      <c r="AK207" s="57"/>
    </row>
    <row r="208" spans="11:37">
      <c r="L208" s="54" t="s">
        <v>251</v>
      </c>
      <c r="M208" s="106">
        <v>3552605.5456</v>
      </c>
      <c r="N208" s="106">
        <f t="shared" si="32"/>
        <v>355.26055456</v>
      </c>
      <c r="P208" s="66"/>
      <c r="Q208" s="54"/>
      <c r="R208" s="54"/>
      <c r="S208" s="54"/>
      <c r="T208" s="54"/>
      <c r="U208" s="54"/>
      <c r="V208" s="54"/>
      <c r="W208" s="54"/>
      <c r="X208" s="54"/>
      <c r="Y208" s="54"/>
      <c r="Z208" s="54"/>
      <c r="AA208" s="54"/>
      <c r="AB208" s="54"/>
      <c r="AC208" s="54"/>
      <c r="AD208" s="54"/>
      <c r="AE208" s="54"/>
      <c r="AF208" s="54"/>
      <c r="AG208" s="54"/>
      <c r="AH208" s="54"/>
      <c r="AI208" s="106"/>
      <c r="AJ208" s="289"/>
      <c r="AK208" s="57"/>
    </row>
    <row r="209" spans="12:37">
      <c r="L209" s="54" t="e">
        <v>#N/A</v>
      </c>
      <c r="M209" s="106">
        <v>138719956.81579</v>
      </c>
      <c r="N209" s="106">
        <f t="shared" si="32"/>
        <v>13871.995681579</v>
      </c>
      <c r="P209" s="66"/>
      <c r="Q209" s="54"/>
      <c r="R209" s="54"/>
      <c r="S209" s="54"/>
      <c r="T209" s="54"/>
      <c r="U209" s="54"/>
      <c r="V209" s="54"/>
      <c r="W209" s="54"/>
      <c r="X209" s="54"/>
      <c r="Y209" s="54"/>
      <c r="Z209" s="54"/>
      <c r="AA209" s="54"/>
      <c r="AB209" s="54"/>
      <c r="AC209" s="54"/>
      <c r="AD209" s="54"/>
      <c r="AE209" s="54"/>
      <c r="AF209" s="54"/>
      <c r="AG209" s="54"/>
      <c r="AH209" s="54"/>
      <c r="AI209" s="106"/>
      <c r="AJ209" s="289"/>
      <c r="AK209" s="57"/>
    </row>
    <row r="210" spans="12:37">
      <c r="L210" s="54" t="s">
        <v>260</v>
      </c>
      <c r="M210" s="106">
        <v>864482352.767126</v>
      </c>
      <c r="N210" s="106">
        <f>SUM(N196:N209)</f>
        <v>86448.2352767126</v>
      </c>
      <c r="P210" s="66"/>
      <c r="Q210" s="54"/>
      <c r="R210" s="54"/>
      <c r="S210" s="54"/>
      <c r="T210" s="54"/>
      <c r="U210" s="54"/>
      <c r="V210" s="54"/>
      <c r="W210" s="54"/>
      <c r="X210" s="54"/>
      <c r="Y210" s="54"/>
      <c r="Z210" s="54"/>
      <c r="AA210" s="54"/>
      <c r="AB210" s="54"/>
      <c r="AC210" s="54"/>
      <c r="AD210" s="54"/>
      <c r="AE210" s="54"/>
      <c r="AF210" s="54"/>
      <c r="AG210" s="54"/>
      <c r="AH210" s="54"/>
      <c r="AI210" s="106"/>
      <c r="AJ210" s="289"/>
      <c r="AK210" s="57"/>
    </row>
    <row r="211" spans="12:37">
      <c r="P211" s="66"/>
      <c r="Q211" s="54"/>
      <c r="T211" s="54"/>
      <c r="U211" s="54"/>
      <c r="V211" s="54"/>
      <c r="W211" s="54"/>
      <c r="X211" s="54"/>
      <c r="Y211" s="54"/>
      <c r="Z211" s="54"/>
      <c r="AA211" s="54"/>
      <c r="AB211" s="54"/>
      <c r="AC211" s="54"/>
      <c r="AD211" s="54"/>
      <c r="AE211" s="54"/>
      <c r="AF211" s="54"/>
      <c r="AG211" s="54"/>
      <c r="AH211" s="54"/>
    </row>
    <row r="212" spans="12:37">
      <c r="P212" s="66"/>
      <c r="Q212" s="54"/>
    </row>
  </sheetData>
  <autoFilter xmlns:etc="http://www.wps.cn/officeDocument/2017/etCustomData" ref="K35:N49" etc:filterBottomFollowUsedRange="0">
    <extLst/>
  </autoFilter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BF213"/>
  <sheetViews>
    <sheetView zoomScale="110" zoomScaleNormal="110" workbookViewId="0">
      <pane ySplit="2" topLeftCell="A147" activePane="bottomLeft" state="frozen"/>
      <selection/>
      <selection pane="bottomLeft" activeCell="F206" sqref="F206"/>
    </sheetView>
  </sheetViews>
  <sheetFormatPr defaultColWidth="8.89166666666667" defaultRowHeight="13.5"/>
  <cols>
    <col min="1" max="1" width="9.88333333333333" style="54" customWidth="1"/>
    <col min="2" max="2" width="13.8583333333333" style="57" customWidth="1"/>
    <col min="3" max="3" width="14.375" style="57" customWidth="1"/>
    <col min="4" max="4" width="14.25" style="57" customWidth="1"/>
    <col min="5" max="5" width="13.4" style="57" customWidth="1"/>
    <col min="6" max="6" width="12.7583333333333" style="54" customWidth="1"/>
    <col min="7" max="7" width="13.175" style="56" customWidth="1"/>
    <col min="8" max="8" width="11.0166666666667" style="56" customWidth="1"/>
    <col min="9" max="9" width="13.4" style="54" customWidth="1"/>
    <col min="10" max="10" width="14.2" style="57" customWidth="1"/>
    <col min="11" max="11" width="9.55" style="57" customWidth="1"/>
    <col min="12" max="13" width="10.9083333333333" style="57" customWidth="1"/>
    <col min="14" max="14" width="10.1083333333333" style="54" customWidth="1"/>
    <col min="15" max="15" width="5.10833333333333" style="56" customWidth="1"/>
    <col min="16" max="16" width="9.31666666666667" style="54" customWidth="1"/>
    <col min="17" max="17" width="9.2" style="57" customWidth="1"/>
    <col min="18" max="19" width="9.425" style="57" customWidth="1"/>
    <col min="20" max="20" width="10.6333333333333" style="57" customWidth="1"/>
    <col min="21" max="21" width="10.6333333333333" style="54" customWidth="1"/>
    <col min="22" max="22" width="10.7333333333333" style="56" customWidth="1"/>
    <col min="23" max="23" width="9.375" style="126" customWidth="1"/>
    <col min="24" max="24" width="9.125" style="57" customWidth="1"/>
    <col min="25" max="25" width="9.125" style="54" customWidth="1"/>
    <col min="26" max="26" width="9.125" style="57" customWidth="1"/>
    <col min="27" max="28" width="8.625" style="57" customWidth="1"/>
    <col min="29" max="29" width="11.1333333333333" style="155" customWidth="1"/>
    <col min="30" max="30" width="6.70833333333333" style="117" customWidth="1"/>
    <col min="31" max="32" width="8.86666666666667" style="57" customWidth="1"/>
    <col min="33" max="33" width="8.86666666666667" style="54" customWidth="1"/>
    <col min="34" max="34" width="8.86666666666667" customWidth="1"/>
    <col min="35" max="35" width="8.86666666666667" style="53" customWidth="1"/>
    <col min="36" max="36" width="6.025" style="42" customWidth="1"/>
    <col min="37" max="37" width="8.89166666666667" style="1" customWidth="1"/>
    <col min="38" max="38" width="10.5666666666667" style="143" customWidth="1"/>
    <col min="39" max="43" width="10.1083333333333" style="156" customWidth="1"/>
    <col min="44" max="44" width="10.5" style="43" customWidth="1"/>
    <col min="45" max="45" width="9.5" style="51" customWidth="1"/>
    <col min="46" max="49" width="10.7583333333333" style="143" customWidth="1"/>
    <col min="50" max="50" width="8.89166666666667" style="143" customWidth="1"/>
    <col min="51" max="51" width="8.89166666666667" style="1" customWidth="1"/>
    <col min="52" max="52" width="8.89166666666667" style="137"/>
    <col min="53" max="57" width="10.375" style="157"/>
    <col min="58" max="58" width="8.89166666666667" style="158"/>
  </cols>
  <sheetData>
    <row r="1" spans="1:58">
      <c r="A1" s="159" t="s">
        <v>266</v>
      </c>
      <c r="I1" s="54" t="s">
        <v>267</v>
      </c>
      <c r="P1" s="54" t="s">
        <v>268</v>
      </c>
      <c r="X1" s="57" t="s">
        <v>269</v>
      </c>
      <c r="AE1" s="160" t="s">
        <v>270</v>
      </c>
      <c r="AL1" s="161" t="s">
        <v>271</v>
      </c>
      <c r="AZ1" s="137" t="s">
        <v>266</v>
      </c>
    </row>
    <row r="2" s="154" customFormat="1" ht="22.5" spans="1:58">
      <c r="A2" s="162" t="s">
        <v>53</v>
      </c>
      <c r="B2" s="163" t="s">
        <v>6</v>
      </c>
      <c r="C2" s="163" t="s">
        <v>7</v>
      </c>
      <c r="D2" s="163" t="s">
        <v>8</v>
      </c>
      <c r="E2" s="163" t="s">
        <v>14</v>
      </c>
      <c r="F2" s="162" t="s">
        <v>178</v>
      </c>
      <c r="G2" s="164"/>
      <c r="H2" s="164"/>
      <c r="I2" s="162" t="s">
        <v>53</v>
      </c>
      <c r="J2" s="163" t="s">
        <v>6</v>
      </c>
      <c r="K2" s="163" t="s">
        <v>7</v>
      </c>
      <c r="L2" s="163" t="s">
        <v>8</v>
      </c>
      <c r="M2" s="163" t="s">
        <v>14</v>
      </c>
      <c r="N2" s="162" t="s">
        <v>178</v>
      </c>
      <c r="O2" s="164"/>
      <c r="P2" s="162" t="s">
        <v>53</v>
      </c>
      <c r="Q2" s="163" t="s">
        <v>6</v>
      </c>
      <c r="R2" s="163" t="s">
        <v>7</v>
      </c>
      <c r="S2" s="163" t="s">
        <v>8</v>
      </c>
      <c r="T2" s="163" t="s">
        <v>14</v>
      </c>
      <c r="U2" s="162" t="s">
        <v>178</v>
      </c>
      <c r="V2" s="164"/>
      <c r="W2" s="165" t="s">
        <v>53</v>
      </c>
      <c r="X2" s="163" t="s">
        <v>6</v>
      </c>
      <c r="Y2" s="163" t="s">
        <v>7</v>
      </c>
      <c r="Z2" s="163" t="s">
        <v>8</v>
      </c>
      <c r="AA2" s="163" t="s">
        <v>14</v>
      </c>
      <c r="AB2" s="162" t="s">
        <v>178</v>
      </c>
      <c r="AC2" s="166"/>
      <c r="AD2" s="165" t="s">
        <v>53</v>
      </c>
      <c r="AE2" s="163" t="s">
        <v>6</v>
      </c>
      <c r="AF2" s="163" t="s">
        <v>7</v>
      </c>
      <c r="AG2" s="163" t="s">
        <v>8</v>
      </c>
      <c r="AH2" s="163" t="s">
        <v>14</v>
      </c>
      <c r="AI2" s="162" t="s">
        <v>178</v>
      </c>
      <c r="AJ2" s="163" t="s">
        <v>254</v>
      </c>
      <c r="AK2" s="167"/>
      <c r="AL2" s="168" t="s">
        <v>272</v>
      </c>
      <c r="AM2" s="169" t="s">
        <v>6</v>
      </c>
      <c r="AN2" s="169" t="s">
        <v>7</v>
      </c>
      <c r="AO2" s="169" t="s">
        <v>8</v>
      </c>
      <c r="AP2" s="169" t="s">
        <v>14</v>
      </c>
      <c r="AQ2" s="169" t="s">
        <v>178</v>
      </c>
      <c r="AR2" s="170"/>
      <c r="AS2" s="168" t="s">
        <v>64</v>
      </c>
      <c r="AT2" s="170" t="s">
        <v>6</v>
      </c>
      <c r="AU2" s="170" t="s">
        <v>7</v>
      </c>
      <c r="AV2" s="170" t="s">
        <v>8</v>
      </c>
      <c r="AW2" s="170" t="s">
        <v>14</v>
      </c>
      <c r="AX2" s="170" t="s">
        <v>178</v>
      </c>
      <c r="AY2" s="167"/>
      <c r="AZ2" s="171" t="s">
        <v>36</v>
      </c>
      <c r="BA2" s="172" t="s">
        <v>6</v>
      </c>
      <c r="BB2" s="172" t="s">
        <v>7</v>
      </c>
      <c r="BC2" s="172" t="s">
        <v>8</v>
      </c>
      <c r="BD2" s="172" t="s">
        <v>14</v>
      </c>
      <c r="BE2" s="172" t="s">
        <v>178</v>
      </c>
      <c r="BF2" s="173"/>
    </row>
    <row r="3" hidden="1" spans="1:58">
      <c r="A3" s="174">
        <v>43831</v>
      </c>
      <c r="B3" s="175">
        <v>1548.7370251</v>
      </c>
      <c r="C3" s="175">
        <v>259.542292419896</v>
      </c>
      <c r="D3" s="175">
        <v>907.341431659989</v>
      </c>
      <c r="E3" s="175">
        <v>54.6591913399997</v>
      </c>
      <c r="F3" s="175">
        <f t="shared" ref="F3:F66" si="0">SUM(B3:E3)</f>
        <v>2770.27994051988</v>
      </c>
      <c r="I3" s="174">
        <v>43831</v>
      </c>
      <c r="J3" s="175">
        <v>0</v>
      </c>
      <c r="K3" s="175">
        <v>0</v>
      </c>
      <c r="L3" s="175">
        <v>235.27324128</v>
      </c>
      <c r="M3" s="175">
        <v>0</v>
      </c>
      <c r="N3" s="175">
        <f t="shared" ref="N3:N66" si="1">SUM(J3:M3)</f>
        <v>235.27324128</v>
      </c>
      <c r="P3" s="174">
        <v>43831</v>
      </c>
      <c r="Q3" s="175"/>
      <c r="R3" s="175"/>
      <c r="S3" s="175"/>
      <c r="T3" s="175">
        <v>0</v>
      </c>
      <c r="U3" s="175">
        <f t="shared" ref="U3:U66" si="2">SUM(Q3:T3)</f>
        <v>0</v>
      </c>
      <c r="W3" s="176">
        <v>43831</v>
      </c>
      <c r="X3" s="177"/>
      <c r="Y3" s="178"/>
      <c r="Z3" s="177"/>
      <c r="AA3" s="177"/>
      <c r="AB3" s="177">
        <f t="shared" ref="AB3:AB66" si="3">SUM(X3:AA3)</f>
        <v>0</v>
      </c>
      <c r="AD3" s="176">
        <v>43831</v>
      </c>
      <c r="AE3" s="177">
        <f t="shared" ref="AE3:AE66" si="4">B3+J3+Q3+X3</f>
        <v>1548.7370251</v>
      </c>
      <c r="AF3" s="177">
        <f t="shared" ref="AF3:AF66" si="5">C3+K3+R3+Y3</f>
        <v>259.542292419896</v>
      </c>
      <c r="AG3" s="177">
        <f t="shared" ref="AG3:AG66" si="6">D3+L3+S3+Z3</f>
        <v>1142.61467293999</v>
      </c>
      <c r="AH3" s="177">
        <f t="shared" ref="AH3:AH66" si="7">E3+M3+T3+AA3</f>
        <v>54.6591913399997</v>
      </c>
      <c r="AI3" s="177">
        <f t="shared" ref="AI3:AI62" si="8">F3+N3+U3+AB3</f>
        <v>3005.55318179988</v>
      </c>
      <c r="AJ3" s="177">
        <f t="shared" ref="AJ3:AJ62" si="9">SUM(AE3:AH3)-AI3</f>
        <v>0</v>
      </c>
      <c r="AL3" s="143" t="s">
        <v>273</v>
      </c>
      <c r="AM3" s="156">
        <f>AE3</f>
        <v>1548.7370251</v>
      </c>
      <c r="AN3" s="156">
        <f>AF3</f>
        <v>259.542292419896</v>
      </c>
      <c r="AO3" s="156">
        <f>AG3</f>
        <v>1142.61467293999</v>
      </c>
      <c r="AP3" s="156">
        <f>AH3</f>
        <v>54.6591913399997</v>
      </c>
      <c r="AQ3" s="156">
        <f t="shared" ref="AQ3:AQ66" si="10">SUM(AM3:AP3)</f>
        <v>3005.55318179988</v>
      </c>
      <c r="AS3" s="143" t="s">
        <v>273</v>
      </c>
      <c r="AT3" s="140">
        <f t="shared" ref="AT3:AT66" si="11">AM3/$AQ3</f>
        <v>0.515291838613394</v>
      </c>
      <c r="AU3" s="140">
        <f t="shared" ref="AU3:AU66" si="12">AN3/$AQ3</f>
        <v>0.0863542505225172</v>
      </c>
      <c r="AV3" s="140">
        <f t="shared" ref="AV3:AV66" si="13">AO3/$AQ3</f>
        <v>0.380167843929393</v>
      </c>
      <c r="AW3" s="140">
        <f t="shared" ref="AW3:AW66" si="14">AP3/$AQ3</f>
        <v>0.0181860669346955</v>
      </c>
      <c r="AX3" s="143">
        <f t="shared" ref="AX3:AX66" si="15">SUM(AT3:AW3)</f>
        <v>1</v>
      </c>
      <c r="AZ3" s="137" t="s">
        <v>273</v>
      </c>
      <c r="BA3" s="157">
        <v>1548.7370251</v>
      </c>
      <c r="BB3" s="157">
        <v>259.542292419896</v>
      </c>
      <c r="BC3" s="157">
        <v>907.341431659989</v>
      </c>
      <c r="BD3" s="157">
        <v>54.6591913399997</v>
      </c>
      <c r="BE3" s="157">
        <v>2770.27994051988</v>
      </c>
    </row>
    <row r="4" hidden="1" spans="1:58">
      <c r="A4" s="174">
        <v>43862</v>
      </c>
      <c r="B4" s="175">
        <v>1011.55443968</v>
      </c>
      <c r="C4" s="175">
        <v>241.340101240204</v>
      </c>
      <c r="D4" s="175">
        <v>1075.26100028</v>
      </c>
      <c r="E4" s="175">
        <v>30.5257059999999</v>
      </c>
      <c r="F4" s="175">
        <f t="shared" si="0"/>
        <v>2358.6812472002</v>
      </c>
      <c r="I4" s="174">
        <v>43862</v>
      </c>
      <c r="J4" s="175">
        <v>0.1777249</v>
      </c>
      <c r="K4" s="175">
        <v>0</v>
      </c>
      <c r="L4" s="175">
        <v>89.38082498</v>
      </c>
      <c r="M4" s="175">
        <v>0</v>
      </c>
      <c r="N4" s="175">
        <f t="shared" si="1"/>
        <v>89.55854988</v>
      </c>
      <c r="P4" s="174">
        <v>43862</v>
      </c>
      <c r="Q4" s="175"/>
      <c r="R4" s="175"/>
      <c r="S4" s="175"/>
      <c r="T4" s="175">
        <v>-0.49117114</v>
      </c>
      <c r="U4" s="175">
        <f t="shared" si="2"/>
        <v>-0.49117114</v>
      </c>
      <c r="W4" s="176">
        <v>43862</v>
      </c>
      <c r="X4" s="177">
        <v>172.7397995</v>
      </c>
      <c r="Y4" s="178"/>
      <c r="Z4" s="177"/>
      <c r="AA4" s="177"/>
      <c r="AB4" s="177">
        <f t="shared" si="3"/>
        <v>172.7397995</v>
      </c>
      <c r="AD4" s="176">
        <v>43862</v>
      </c>
      <c r="AE4" s="177">
        <f t="shared" si="4"/>
        <v>1184.47196408</v>
      </c>
      <c r="AF4" s="177">
        <f t="shared" si="5"/>
        <v>241.340101240204</v>
      </c>
      <c r="AG4" s="177">
        <f t="shared" si="6"/>
        <v>1164.64182526</v>
      </c>
      <c r="AH4" s="177">
        <f t="shared" si="7"/>
        <v>30.0345348599999</v>
      </c>
      <c r="AI4" s="177">
        <f t="shared" si="8"/>
        <v>2620.4884254402</v>
      </c>
      <c r="AJ4" s="177">
        <f t="shared" si="9"/>
        <v>0</v>
      </c>
      <c r="AL4" s="143" t="s">
        <v>274</v>
      </c>
      <c r="AM4" s="156">
        <f>SUM(AE3:AE4)</f>
        <v>2733.20898918</v>
      </c>
      <c r="AN4" s="156">
        <f>SUM(AF3:AF4)</f>
        <v>500.8823936601</v>
      </c>
      <c r="AO4" s="156">
        <f>SUM(AG3:AG4)</f>
        <v>2307.25649819999</v>
      </c>
      <c r="AP4" s="156">
        <f>SUM(AH3:AH4)</f>
        <v>84.6937261999996</v>
      </c>
      <c r="AQ4" s="156">
        <f t="shared" si="10"/>
        <v>5626.04160724009</v>
      </c>
      <c r="AS4" s="143" t="s">
        <v>274</v>
      </c>
      <c r="AT4" s="140">
        <f t="shared" si="11"/>
        <v>0.485813859901545</v>
      </c>
      <c r="AU4" s="140">
        <f t="shared" si="12"/>
        <v>0.0890292729110855</v>
      </c>
      <c r="AV4" s="140">
        <f t="shared" si="13"/>
        <v>0.410102992347374</v>
      </c>
      <c r="AW4" s="140">
        <f t="shared" si="14"/>
        <v>0.0150538748399955</v>
      </c>
      <c r="AX4" s="143">
        <f t="shared" si="15"/>
        <v>1</v>
      </c>
      <c r="AZ4" s="137" t="s">
        <v>274</v>
      </c>
      <c r="BA4" s="157">
        <v>2560.29146478</v>
      </c>
      <c r="BB4" s="157">
        <v>500.8823936601</v>
      </c>
      <c r="BC4" s="157">
        <v>1982.60243193999</v>
      </c>
      <c r="BD4" s="157">
        <v>85.1848973399996</v>
      </c>
      <c r="BE4" s="157">
        <v>5128.96118772009</v>
      </c>
    </row>
    <row r="5" hidden="1" spans="1:58">
      <c r="A5" s="174">
        <v>43891</v>
      </c>
      <c r="B5" s="175">
        <v>1275.1450964</v>
      </c>
      <c r="C5" s="175">
        <v>296.774850740102</v>
      </c>
      <c r="D5" s="175">
        <v>1946.12663528</v>
      </c>
      <c r="E5" s="175">
        <v>63.0069118800005</v>
      </c>
      <c r="F5" s="175">
        <f t="shared" si="0"/>
        <v>3581.0534943001</v>
      </c>
      <c r="I5" s="174">
        <v>43891</v>
      </c>
      <c r="J5" s="175">
        <v>0.51642776</v>
      </c>
      <c r="K5" s="175">
        <v>0</v>
      </c>
      <c r="L5" s="175">
        <v>95.10584364</v>
      </c>
      <c r="M5" s="175">
        <v>0</v>
      </c>
      <c r="N5" s="175">
        <f t="shared" si="1"/>
        <v>95.6222714</v>
      </c>
      <c r="P5" s="174">
        <v>43891</v>
      </c>
      <c r="Q5" s="175"/>
      <c r="R5" s="175"/>
      <c r="S5" s="175"/>
      <c r="T5" s="175">
        <v>0.0574795599999998</v>
      </c>
      <c r="U5" s="175">
        <f t="shared" si="2"/>
        <v>0.0574795599999998</v>
      </c>
      <c r="W5" s="176">
        <v>43891</v>
      </c>
      <c r="X5" s="177"/>
      <c r="Y5" s="178"/>
      <c r="Z5" s="177"/>
      <c r="AA5" s="177"/>
      <c r="AB5" s="177">
        <f t="shared" si="3"/>
        <v>0</v>
      </c>
      <c r="AD5" s="176">
        <v>43891</v>
      </c>
      <c r="AE5" s="177">
        <f t="shared" si="4"/>
        <v>1275.66152416</v>
      </c>
      <c r="AF5" s="177">
        <f t="shared" si="5"/>
        <v>296.774850740102</v>
      </c>
      <c r="AG5" s="177">
        <f t="shared" si="6"/>
        <v>2041.23247892</v>
      </c>
      <c r="AH5" s="177">
        <f t="shared" si="7"/>
        <v>63.0643914400005</v>
      </c>
      <c r="AI5" s="177">
        <f t="shared" si="8"/>
        <v>3676.7332452601</v>
      </c>
      <c r="AJ5" s="177">
        <f t="shared" si="9"/>
        <v>0</v>
      </c>
      <c r="AL5" s="143" t="s">
        <v>275</v>
      </c>
      <c r="AM5" s="156">
        <f>SUM(AE3:AE5)</f>
        <v>4008.87051334</v>
      </c>
      <c r="AN5" s="156">
        <f>SUM(AF3:AF5)</f>
        <v>797.657244400202</v>
      </c>
      <c r="AO5" s="156">
        <f>SUM(AG3:AG5)</f>
        <v>4348.48897711999</v>
      </c>
      <c r="AP5" s="156">
        <f>SUM(AH3:AH5)</f>
        <v>147.75811764</v>
      </c>
      <c r="AQ5" s="156">
        <f t="shared" si="10"/>
        <v>9302.77485250019</v>
      </c>
      <c r="AS5" s="143" t="s">
        <v>275</v>
      </c>
      <c r="AT5" s="140">
        <f t="shared" si="11"/>
        <v>0.430932767577685</v>
      </c>
      <c r="AU5" s="140">
        <f t="shared" si="12"/>
        <v>0.0857440126249885</v>
      </c>
      <c r="AV5" s="140">
        <f t="shared" si="13"/>
        <v>0.467439989257754</v>
      </c>
      <c r="AW5" s="140">
        <f t="shared" si="14"/>
        <v>0.0158832305395727</v>
      </c>
      <c r="AX5" s="143">
        <f t="shared" si="15"/>
        <v>1</v>
      </c>
      <c r="AZ5" s="137" t="s">
        <v>275</v>
      </c>
      <c r="BA5" s="157">
        <v>3835.43656118</v>
      </c>
      <c r="BB5" s="157">
        <v>797.657244400202</v>
      </c>
      <c r="BC5" s="157">
        <v>3928.72906721999</v>
      </c>
      <c r="BD5" s="157">
        <v>148.19180922</v>
      </c>
      <c r="BE5" s="157">
        <v>8710.01468202019</v>
      </c>
    </row>
    <row r="6" hidden="1" spans="1:58">
      <c r="A6" s="174">
        <v>43922</v>
      </c>
      <c r="B6" s="175">
        <v>863.878236600002</v>
      </c>
      <c r="C6" s="175">
        <v>249.753543360105</v>
      </c>
      <c r="D6" s="175">
        <v>935.3831626801</v>
      </c>
      <c r="E6" s="175">
        <v>61.9177865400002</v>
      </c>
      <c r="F6" s="175">
        <f t="shared" si="0"/>
        <v>2110.93272918021</v>
      </c>
      <c r="I6" s="174">
        <v>43922</v>
      </c>
      <c r="J6" s="175">
        <v>32.9572921</v>
      </c>
      <c r="K6" s="175">
        <v>0</v>
      </c>
      <c r="L6" s="175">
        <v>105.91361742</v>
      </c>
      <c r="M6" s="175">
        <v>0</v>
      </c>
      <c r="N6" s="175">
        <f t="shared" si="1"/>
        <v>138.87090952</v>
      </c>
      <c r="P6" s="174">
        <v>43922</v>
      </c>
      <c r="Q6" s="175"/>
      <c r="R6" s="175"/>
      <c r="S6" s="175"/>
      <c r="T6" s="175">
        <v>4.8315701</v>
      </c>
      <c r="U6" s="175">
        <f t="shared" si="2"/>
        <v>4.8315701</v>
      </c>
      <c r="W6" s="176">
        <v>43922</v>
      </c>
      <c r="X6" s="177">
        <v>5.84750378</v>
      </c>
      <c r="Y6" s="178"/>
      <c r="Z6" s="177"/>
      <c r="AA6" s="177"/>
      <c r="AB6" s="177">
        <f t="shared" si="3"/>
        <v>5.84750378</v>
      </c>
      <c r="AD6" s="176">
        <v>43922</v>
      </c>
      <c r="AE6" s="177">
        <f t="shared" si="4"/>
        <v>902.683032480002</v>
      </c>
      <c r="AF6" s="177">
        <f t="shared" si="5"/>
        <v>249.753543360105</v>
      </c>
      <c r="AG6" s="177">
        <f t="shared" si="6"/>
        <v>1041.2967801001</v>
      </c>
      <c r="AH6" s="177">
        <f t="shared" si="7"/>
        <v>66.7493566400002</v>
      </c>
      <c r="AI6" s="177">
        <f t="shared" si="8"/>
        <v>2260.48271258021</v>
      </c>
      <c r="AJ6" s="177">
        <f t="shared" si="9"/>
        <v>0</v>
      </c>
      <c r="AL6" s="143" t="s">
        <v>276</v>
      </c>
      <c r="AM6" s="156">
        <f>SUM(AE3:AE6)</f>
        <v>4911.55354582</v>
      </c>
      <c r="AN6" s="156">
        <f>SUM(AF3:AF6)</f>
        <v>1047.41078776031</v>
      </c>
      <c r="AO6" s="156">
        <f>SUM(AG3:AG6)</f>
        <v>5389.78575722009</v>
      </c>
      <c r="AP6" s="156">
        <f>SUM(AH3:AH6)</f>
        <v>214.50747428</v>
      </c>
      <c r="AQ6" s="156">
        <f t="shared" si="10"/>
        <v>11563.2575650804</v>
      </c>
      <c r="AS6" s="143" t="s">
        <v>276</v>
      </c>
      <c r="AT6" s="140">
        <f t="shared" si="11"/>
        <v>0.42475517977324</v>
      </c>
      <c r="AU6" s="140">
        <f t="shared" si="12"/>
        <v>0.0905809441556816</v>
      </c>
      <c r="AV6" s="140">
        <f t="shared" si="13"/>
        <v>0.466113093726855</v>
      </c>
      <c r="AW6" s="140">
        <f t="shared" si="14"/>
        <v>0.0185507823442233</v>
      </c>
      <c r="AX6" s="143">
        <f t="shared" si="15"/>
        <v>1</v>
      </c>
      <c r="AZ6" s="137" t="s">
        <v>276</v>
      </c>
      <c r="BA6" s="157">
        <v>4699.31479778</v>
      </c>
      <c r="BB6" s="157">
        <v>1047.41078776031</v>
      </c>
      <c r="BC6" s="157">
        <v>4864.11222990009</v>
      </c>
      <c r="BD6" s="157">
        <v>210.10959576</v>
      </c>
      <c r="BE6" s="157">
        <v>10820.9474112004</v>
      </c>
    </row>
    <row r="7" hidden="1" spans="1:58">
      <c r="A7" s="174">
        <v>43952</v>
      </c>
      <c r="B7" s="175">
        <v>968.379730120001</v>
      </c>
      <c r="C7" s="175">
        <v>534.519146660002</v>
      </c>
      <c r="D7" s="175">
        <v>1000.57821296</v>
      </c>
      <c r="E7" s="175">
        <v>166.8108841</v>
      </c>
      <c r="F7" s="175">
        <f t="shared" si="0"/>
        <v>2670.28797384</v>
      </c>
      <c r="I7" s="174">
        <v>43952</v>
      </c>
      <c r="J7" s="175">
        <v>-32.43260058</v>
      </c>
      <c r="K7" s="175">
        <v>0</v>
      </c>
      <c r="L7" s="175">
        <v>105.20619992</v>
      </c>
      <c r="M7" s="175">
        <v>0</v>
      </c>
      <c r="N7" s="175">
        <f t="shared" si="1"/>
        <v>72.77359934</v>
      </c>
      <c r="P7" s="174">
        <v>43952</v>
      </c>
      <c r="Q7" s="175"/>
      <c r="R7" s="175"/>
      <c r="S7" s="175"/>
      <c r="T7" s="175">
        <v>39.54031928</v>
      </c>
      <c r="U7" s="175">
        <f t="shared" si="2"/>
        <v>39.54031928</v>
      </c>
      <c r="W7" s="176">
        <v>43952</v>
      </c>
      <c r="X7" s="177">
        <v>15.6502004</v>
      </c>
      <c r="Y7" s="178"/>
      <c r="Z7" s="177"/>
      <c r="AA7" s="177"/>
      <c r="AB7" s="177">
        <f t="shared" si="3"/>
        <v>15.6502004</v>
      </c>
      <c r="AD7" s="176">
        <v>43952</v>
      </c>
      <c r="AE7" s="177">
        <f t="shared" si="4"/>
        <v>951.597329940001</v>
      </c>
      <c r="AF7" s="177">
        <f t="shared" si="5"/>
        <v>534.519146660002</v>
      </c>
      <c r="AG7" s="177">
        <f t="shared" si="6"/>
        <v>1105.78441288</v>
      </c>
      <c r="AH7" s="177">
        <f t="shared" si="7"/>
        <v>206.35120338</v>
      </c>
      <c r="AI7" s="177">
        <f t="shared" si="8"/>
        <v>2798.25209286</v>
      </c>
      <c r="AJ7" s="177">
        <f t="shared" si="9"/>
        <v>0</v>
      </c>
      <c r="AL7" s="143" t="s">
        <v>277</v>
      </c>
      <c r="AM7" s="156">
        <f>SUM(AE3:AE7)</f>
        <v>5863.15087576</v>
      </c>
      <c r="AN7" s="156">
        <f>SUM(AF3:AF7)</f>
        <v>1581.92993442031</v>
      </c>
      <c r="AO7" s="156">
        <f>SUM(AG3:AG7)</f>
        <v>6495.57017010009</v>
      </c>
      <c r="AP7" s="156">
        <f>SUM(AH3:AH7)</f>
        <v>420.85867766</v>
      </c>
      <c r="AQ7" s="156">
        <f t="shared" si="10"/>
        <v>14361.5096579404</v>
      </c>
      <c r="AS7" s="143" t="s">
        <v>277</v>
      </c>
      <c r="AT7" s="140">
        <f t="shared" si="11"/>
        <v>0.408254495203316</v>
      </c>
      <c r="AU7" s="140">
        <f t="shared" si="12"/>
        <v>0.110150671628429</v>
      </c>
      <c r="AV7" s="140">
        <f t="shared" si="13"/>
        <v>0.452290206587629</v>
      </c>
      <c r="AW7" s="140">
        <f t="shared" si="14"/>
        <v>0.0293046265806262</v>
      </c>
      <c r="AX7" s="143">
        <f t="shared" si="15"/>
        <v>1</v>
      </c>
      <c r="AZ7" s="137" t="s">
        <v>277</v>
      </c>
      <c r="BA7" s="157">
        <v>5667.6945279</v>
      </c>
      <c r="BB7" s="157">
        <v>1581.92993442031</v>
      </c>
      <c r="BC7" s="157">
        <v>5864.69044286009</v>
      </c>
      <c r="BD7" s="157">
        <v>376.92047986</v>
      </c>
      <c r="BE7" s="157">
        <v>13491.2353850404</v>
      </c>
    </row>
    <row r="8" hidden="1" spans="1:58">
      <c r="A8" s="174">
        <v>43983</v>
      </c>
      <c r="B8" s="175">
        <v>771.137421740001</v>
      </c>
      <c r="C8" s="175">
        <v>400.119286239903</v>
      </c>
      <c r="D8" s="175">
        <v>1396.0129392401</v>
      </c>
      <c r="E8" s="175">
        <v>308.42394682001</v>
      </c>
      <c r="F8" s="175">
        <f t="shared" si="0"/>
        <v>2875.69359404001</v>
      </c>
      <c r="I8" s="174">
        <v>43983</v>
      </c>
      <c r="J8" s="175">
        <v>5.03562752</v>
      </c>
      <c r="K8" s="175">
        <v>0</v>
      </c>
      <c r="L8" s="175">
        <v>112.28006222</v>
      </c>
      <c r="M8" s="175">
        <v>0</v>
      </c>
      <c r="N8" s="175">
        <f t="shared" si="1"/>
        <v>117.31568974</v>
      </c>
      <c r="P8" s="174">
        <v>43983</v>
      </c>
      <c r="Q8" s="175"/>
      <c r="R8" s="175"/>
      <c r="S8" s="175"/>
      <c r="T8" s="175">
        <v>5.03417002</v>
      </c>
      <c r="U8" s="175">
        <f t="shared" si="2"/>
        <v>5.03417002</v>
      </c>
      <c r="W8" s="176">
        <v>43983</v>
      </c>
      <c r="X8" s="177">
        <v>0.01000004</v>
      </c>
      <c r="Y8" s="178"/>
      <c r="Z8" s="177"/>
      <c r="AA8" s="177"/>
      <c r="AB8" s="177">
        <f t="shared" si="3"/>
        <v>0.01000004</v>
      </c>
      <c r="AD8" s="176">
        <v>43983</v>
      </c>
      <c r="AE8" s="177">
        <f t="shared" si="4"/>
        <v>776.183049300001</v>
      </c>
      <c r="AF8" s="177">
        <f t="shared" si="5"/>
        <v>400.119286239903</v>
      </c>
      <c r="AG8" s="177">
        <f t="shared" si="6"/>
        <v>1508.2930014601</v>
      </c>
      <c r="AH8" s="177">
        <f t="shared" si="7"/>
        <v>313.45811684001</v>
      </c>
      <c r="AI8" s="177">
        <f t="shared" si="8"/>
        <v>2998.05345384001</v>
      </c>
      <c r="AJ8" s="177">
        <f t="shared" si="9"/>
        <v>0</v>
      </c>
      <c r="AL8" s="143" t="s">
        <v>278</v>
      </c>
      <c r="AM8" s="156">
        <f>SUM(AE3:AE8)</f>
        <v>6639.33392506</v>
      </c>
      <c r="AN8" s="156">
        <f>SUM(AF3:AF8)</f>
        <v>1982.04922066021</v>
      </c>
      <c r="AO8" s="156">
        <f>SUM(AG3:AG8)</f>
        <v>8003.86317156019</v>
      </c>
      <c r="AP8" s="156">
        <f>SUM(AH3:AH8)</f>
        <v>734.31679450001</v>
      </c>
      <c r="AQ8" s="156">
        <f t="shared" si="10"/>
        <v>17359.5631117804</v>
      </c>
      <c r="AS8" s="143" t="s">
        <v>278</v>
      </c>
      <c r="AT8" s="140">
        <f t="shared" si="11"/>
        <v>0.382459736014581</v>
      </c>
      <c r="AU8" s="140">
        <f t="shared" si="12"/>
        <v>0.114176215605056</v>
      </c>
      <c r="AV8" s="140">
        <f t="shared" si="13"/>
        <v>0.461063629310387</v>
      </c>
      <c r="AW8" s="140">
        <f t="shared" si="14"/>
        <v>0.0423004190699761</v>
      </c>
      <c r="AX8" s="143">
        <f t="shared" si="15"/>
        <v>1</v>
      </c>
      <c r="AZ8" s="137" t="s">
        <v>278</v>
      </c>
      <c r="BA8" s="157">
        <v>6438.83194964</v>
      </c>
      <c r="BB8" s="157">
        <v>1982.04922066021</v>
      </c>
      <c r="BC8" s="157">
        <v>7260.70338210019</v>
      </c>
      <c r="BD8" s="157">
        <v>685.34442668001</v>
      </c>
      <c r="BE8" s="157">
        <v>16366.9289790804</v>
      </c>
    </row>
    <row r="9" hidden="1" spans="1:58">
      <c r="A9" s="174">
        <v>44013</v>
      </c>
      <c r="B9" s="175">
        <v>692.787955379999</v>
      </c>
      <c r="C9" s="175">
        <v>541.305149200498</v>
      </c>
      <c r="D9" s="175">
        <v>739.32796328</v>
      </c>
      <c r="E9" s="175">
        <v>171.631853</v>
      </c>
      <c r="F9" s="175">
        <f t="shared" si="0"/>
        <v>2145.0529208605</v>
      </c>
      <c r="I9" s="174">
        <v>44013</v>
      </c>
      <c r="J9" s="175">
        <v>0.02328396</v>
      </c>
      <c r="K9" s="175">
        <v>0</v>
      </c>
      <c r="L9" s="175">
        <v>105.77402496</v>
      </c>
      <c r="M9" s="175">
        <v>0</v>
      </c>
      <c r="N9" s="175">
        <f t="shared" si="1"/>
        <v>105.79730892</v>
      </c>
      <c r="P9" s="174">
        <v>44013</v>
      </c>
      <c r="Q9" s="175"/>
      <c r="R9" s="175"/>
      <c r="S9" s="175"/>
      <c r="T9" s="175">
        <v>10.45212258</v>
      </c>
      <c r="U9" s="175">
        <f t="shared" si="2"/>
        <v>10.45212258</v>
      </c>
      <c r="W9" s="176">
        <v>44013</v>
      </c>
      <c r="X9" s="177"/>
      <c r="Y9" s="178"/>
      <c r="Z9" s="177"/>
      <c r="AA9" s="177"/>
      <c r="AB9" s="177">
        <f t="shared" si="3"/>
        <v>0</v>
      </c>
      <c r="AD9" s="176">
        <v>44013</v>
      </c>
      <c r="AE9" s="177">
        <f t="shared" si="4"/>
        <v>692.811239339999</v>
      </c>
      <c r="AF9" s="177">
        <f t="shared" si="5"/>
        <v>541.305149200498</v>
      </c>
      <c r="AG9" s="177">
        <f t="shared" si="6"/>
        <v>845.10198824</v>
      </c>
      <c r="AH9" s="177">
        <f t="shared" si="7"/>
        <v>182.08397558</v>
      </c>
      <c r="AI9" s="177">
        <f t="shared" si="8"/>
        <v>2261.3023523605</v>
      </c>
      <c r="AJ9" s="177">
        <f t="shared" si="9"/>
        <v>0</v>
      </c>
      <c r="AL9" s="143" t="s">
        <v>279</v>
      </c>
      <c r="AM9" s="156">
        <f>SUM(AE3:AE9)</f>
        <v>7332.1451644</v>
      </c>
      <c r="AN9" s="156">
        <f>SUM(AF3:AF9)</f>
        <v>2523.35436986071</v>
      </c>
      <c r="AO9" s="156">
        <f>SUM(AG3:AG9)</f>
        <v>8848.96515980019</v>
      </c>
      <c r="AP9" s="156">
        <f>SUM(AH3:AH9)</f>
        <v>916.40077008001</v>
      </c>
      <c r="AQ9" s="156">
        <f t="shared" si="10"/>
        <v>19620.8654641409</v>
      </c>
      <c r="AS9" s="143" t="s">
        <v>279</v>
      </c>
      <c r="AT9" s="140">
        <f t="shared" si="11"/>
        <v>0.373691220593721</v>
      </c>
      <c r="AU9" s="140">
        <f t="shared" si="12"/>
        <v>0.128605660870179</v>
      </c>
      <c r="AV9" s="140">
        <f t="shared" si="13"/>
        <v>0.45099769813786</v>
      </c>
      <c r="AW9" s="140">
        <f t="shared" si="14"/>
        <v>0.04670542039824</v>
      </c>
      <c r="AX9" s="143">
        <f t="shared" si="15"/>
        <v>1</v>
      </c>
      <c r="AZ9" s="137" t="s">
        <v>279</v>
      </c>
      <c r="BA9" s="157">
        <v>7131.61990502</v>
      </c>
      <c r="BB9" s="157">
        <v>2523.35436986071</v>
      </c>
      <c r="BC9" s="157">
        <v>8000.03134538019</v>
      </c>
      <c r="BD9" s="157">
        <v>856.97627968001</v>
      </c>
      <c r="BE9" s="157">
        <v>18511.9818999409</v>
      </c>
    </row>
    <row r="10" hidden="1" spans="1:58">
      <c r="A10" s="174">
        <v>44044</v>
      </c>
      <c r="B10" s="175">
        <v>976.97592326</v>
      </c>
      <c r="C10" s="175">
        <v>375.320215739802</v>
      </c>
      <c r="D10" s="175">
        <v>937.490614660002</v>
      </c>
      <c r="E10" s="175">
        <v>427.87452422</v>
      </c>
      <c r="F10" s="175">
        <f t="shared" si="0"/>
        <v>2717.6612778798</v>
      </c>
      <c r="I10" s="174">
        <v>44044</v>
      </c>
      <c r="J10" s="175">
        <v>0.27428454</v>
      </c>
      <c r="K10" s="175">
        <v>0.763412</v>
      </c>
      <c r="L10" s="175">
        <v>198.73142138</v>
      </c>
      <c r="M10" s="175">
        <v>0</v>
      </c>
      <c r="N10" s="175">
        <f t="shared" si="1"/>
        <v>199.76911792</v>
      </c>
      <c r="P10" s="174">
        <v>44044</v>
      </c>
      <c r="Q10" s="175"/>
      <c r="R10" s="175"/>
      <c r="S10" s="175"/>
      <c r="T10" s="175">
        <v>5.3365223</v>
      </c>
      <c r="U10" s="175">
        <f t="shared" si="2"/>
        <v>5.3365223</v>
      </c>
      <c r="W10" s="176">
        <v>44044</v>
      </c>
      <c r="X10" s="177">
        <v>65.09999964</v>
      </c>
      <c r="Y10" s="178"/>
      <c r="Z10" s="177"/>
      <c r="AA10" s="177"/>
      <c r="AB10" s="177">
        <f t="shared" si="3"/>
        <v>65.09999964</v>
      </c>
      <c r="AD10" s="176">
        <v>44044</v>
      </c>
      <c r="AE10" s="177">
        <f t="shared" si="4"/>
        <v>1042.35020744</v>
      </c>
      <c r="AF10" s="177">
        <f t="shared" si="5"/>
        <v>376.083627739802</v>
      </c>
      <c r="AG10" s="177">
        <f t="shared" si="6"/>
        <v>1136.22203604</v>
      </c>
      <c r="AH10" s="177">
        <f t="shared" si="7"/>
        <v>433.21104652</v>
      </c>
      <c r="AI10" s="177">
        <f t="shared" si="8"/>
        <v>2987.8669177398</v>
      </c>
      <c r="AJ10" s="177">
        <f t="shared" si="9"/>
        <v>0</v>
      </c>
      <c r="AL10" s="143" t="s">
        <v>280</v>
      </c>
      <c r="AM10" s="156">
        <f>SUM(AE3:AE10)</f>
        <v>8374.49537184</v>
      </c>
      <c r="AN10" s="156">
        <f>SUM(AF3:AF10)</f>
        <v>2899.43799760051</v>
      </c>
      <c r="AO10" s="156">
        <f>SUM(AG3:AG10)</f>
        <v>9985.18719584019</v>
      </c>
      <c r="AP10" s="156">
        <f>SUM(AH3:AH10)</f>
        <v>1349.61181660001</v>
      </c>
      <c r="AQ10" s="156">
        <f t="shared" si="10"/>
        <v>22608.7323818807</v>
      </c>
      <c r="AS10" s="143" t="s">
        <v>280</v>
      </c>
      <c r="AT10" s="140">
        <f t="shared" si="11"/>
        <v>0.370409770454515</v>
      </c>
      <c r="AU10" s="140">
        <f t="shared" si="12"/>
        <v>0.128244164627478</v>
      </c>
      <c r="AV10" s="140">
        <f t="shared" si="13"/>
        <v>0.441651793085162</v>
      </c>
      <c r="AW10" s="140">
        <f t="shared" si="14"/>
        <v>0.059694271832844</v>
      </c>
      <c r="AX10" s="143">
        <f t="shared" si="15"/>
        <v>1</v>
      </c>
      <c r="AZ10" s="137" t="s">
        <v>280</v>
      </c>
      <c r="BA10" s="157">
        <v>8108.59582828</v>
      </c>
      <c r="BB10" s="157">
        <v>2898.67458560051</v>
      </c>
      <c r="BC10" s="157">
        <v>8937.52196004019</v>
      </c>
      <c r="BD10" s="157">
        <v>1284.85080390001</v>
      </c>
      <c r="BE10" s="157">
        <v>21229.6431778207</v>
      </c>
    </row>
    <row r="11" hidden="1" spans="1:58">
      <c r="A11" s="174">
        <v>44075</v>
      </c>
      <c r="B11" s="175">
        <v>1085.1145418</v>
      </c>
      <c r="C11" s="175">
        <v>422.722419380093</v>
      </c>
      <c r="D11" s="175">
        <v>1053.06368038</v>
      </c>
      <c r="E11" s="175">
        <v>258.89113066</v>
      </c>
      <c r="F11" s="175">
        <f t="shared" si="0"/>
        <v>2819.79177222009</v>
      </c>
      <c r="I11" s="174">
        <v>44075</v>
      </c>
      <c r="J11" s="175">
        <v>0.48239752</v>
      </c>
      <c r="K11" s="175">
        <v>0.245602</v>
      </c>
      <c r="L11" s="175">
        <v>134.96318136</v>
      </c>
      <c r="M11" s="175">
        <v>0.28263734</v>
      </c>
      <c r="N11" s="175">
        <f t="shared" si="1"/>
        <v>135.97381822</v>
      </c>
      <c r="P11" s="174">
        <v>44075</v>
      </c>
      <c r="Q11" s="175"/>
      <c r="R11" s="175"/>
      <c r="S11" s="175"/>
      <c r="T11" s="175">
        <v>-7.22310394</v>
      </c>
      <c r="U11" s="175">
        <f t="shared" si="2"/>
        <v>-7.22310394</v>
      </c>
      <c r="W11" s="176">
        <v>44075</v>
      </c>
      <c r="X11" s="177">
        <v>41.90000012</v>
      </c>
      <c r="Y11" s="178"/>
      <c r="Z11" s="177"/>
      <c r="AA11" s="177"/>
      <c r="AB11" s="177">
        <f t="shared" si="3"/>
        <v>41.90000012</v>
      </c>
      <c r="AD11" s="176">
        <v>44075</v>
      </c>
      <c r="AE11" s="177">
        <f t="shared" si="4"/>
        <v>1127.49693944</v>
      </c>
      <c r="AF11" s="177">
        <f t="shared" si="5"/>
        <v>422.968021380093</v>
      </c>
      <c r="AG11" s="177">
        <f t="shared" si="6"/>
        <v>1188.02686174</v>
      </c>
      <c r="AH11" s="177">
        <f t="shared" si="7"/>
        <v>251.95066406</v>
      </c>
      <c r="AI11" s="177">
        <f t="shared" si="8"/>
        <v>2990.44248662009</v>
      </c>
      <c r="AJ11" s="177">
        <f t="shared" si="9"/>
        <v>0</v>
      </c>
      <c r="AL11" s="143" t="s">
        <v>281</v>
      </c>
      <c r="AM11" s="156">
        <f>SUM(AE3:AE11)</f>
        <v>9501.99231128</v>
      </c>
      <c r="AN11" s="156">
        <f>SUM(AF3:AF11)</f>
        <v>3322.40601898061</v>
      </c>
      <c r="AO11" s="156">
        <f>SUM(AG3:AG11)</f>
        <v>11173.2140575802</v>
      </c>
      <c r="AP11" s="156">
        <f>SUM(AH3:AH11)</f>
        <v>1601.56248066001</v>
      </c>
      <c r="AQ11" s="156">
        <f t="shared" si="10"/>
        <v>25599.1748685008</v>
      </c>
      <c r="AS11" s="143" t="s">
        <v>281</v>
      </c>
      <c r="AT11" s="140">
        <f t="shared" si="11"/>
        <v>0.371183538535532</v>
      </c>
      <c r="AU11" s="140">
        <f t="shared" si="12"/>
        <v>0.12978566832905</v>
      </c>
      <c r="AV11" s="140">
        <f t="shared" si="13"/>
        <v>0.436467742221198</v>
      </c>
      <c r="AW11" s="140">
        <f t="shared" si="14"/>
        <v>0.0625630509142189</v>
      </c>
      <c r="AX11" s="143">
        <f t="shared" si="15"/>
        <v>1</v>
      </c>
      <c r="AZ11" s="137" t="s">
        <v>281</v>
      </c>
      <c r="BA11" s="157">
        <v>9193.71037008</v>
      </c>
      <c r="BB11" s="157">
        <v>3321.3970049806</v>
      </c>
      <c r="BC11" s="157">
        <v>9990.58564042019</v>
      </c>
      <c r="BD11" s="157">
        <v>1543.74193456001</v>
      </c>
      <c r="BE11" s="157">
        <v>24049.4349500408</v>
      </c>
    </row>
    <row r="12" hidden="1" spans="1:58">
      <c r="A12" s="174">
        <v>44105</v>
      </c>
      <c r="B12" s="175">
        <v>243.653969959999</v>
      </c>
      <c r="C12" s="175">
        <v>563.521580800199</v>
      </c>
      <c r="D12" s="175">
        <v>858.343336560001</v>
      </c>
      <c r="E12" s="175">
        <v>441.92058402</v>
      </c>
      <c r="F12" s="175">
        <f t="shared" si="0"/>
        <v>2107.4394713402</v>
      </c>
      <c r="I12" s="174">
        <v>44105</v>
      </c>
      <c r="J12" s="175">
        <v>-0.0080114799999998</v>
      </c>
      <c r="K12" s="175">
        <v>0</v>
      </c>
      <c r="L12" s="175">
        <v>183.27774074</v>
      </c>
      <c r="M12" s="175">
        <v>0.2340533</v>
      </c>
      <c r="N12" s="175">
        <f t="shared" si="1"/>
        <v>183.50378256</v>
      </c>
      <c r="P12" s="174">
        <v>44105</v>
      </c>
      <c r="Q12" s="175"/>
      <c r="R12" s="175"/>
      <c r="S12" s="175"/>
      <c r="T12" s="175">
        <v>2.60169686</v>
      </c>
      <c r="U12" s="175">
        <f t="shared" si="2"/>
        <v>2.60169686</v>
      </c>
      <c r="W12" s="176">
        <v>44105</v>
      </c>
      <c r="X12" s="177">
        <v>62.85000018</v>
      </c>
      <c r="Y12" s="178"/>
      <c r="Z12" s="177"/>
      <c r="AA12" s="177"/>
      <c r="AB12" s="177">
        <f t="shared" si="3"/>
        <v>62.85000018</v>
      </c>
      <c r="AD12" s="176">
        <v>44105</v>
      </c>
      <c r="AE12" s="177">
        <f t="shared" si="4"/>
        <v>306.495958659999</v>
      </c>
      <c r="AF12" s="177">
        <f t="shared" si="5"/>
        <v>563.521580800199</v>
      </c>
      <c r="AG12" s="177">
        <f t="shared" si="6"/>
        <v>1041.6210773</v>
      </c>
      <c r="AH12" s="177">
        <f t="shared" si="7"/>
        <v>444.75633418</v>
      </c>
      <c r="AI12" s="177">
        <f t="shared" si="8"/>
        <v>2356.3949509402</v>
      </c>
      <c r="AJ12" s="177">
        <f t="shared" si="9"/>
        <v>0</v>
      </c>
      <c r="AL12" s="143" t="s">
        <v>282</v>
      </c>
      <c r="AM12" s="156">
        <f>SUM(AE3:AE12)</f>
        <v>9808.48826994</v>
      </c>
      <c r="AN12" s="156">
        <f>SUM(AF3:AF12)</f>
        <v>3885.9275997808</v>
      </c>
      <c r="AO12" s="156">
        <f>SUM(AG3:AG12)</f>
        <v>12214.8351348802</v>
      </c>
      <c r="AP12" s="156">
        <f>SUM(AH3:AH12)</f>
        <v>2046.31881484001</v>
      </c>
      <c r="AQ12" s="156">
        <f t="shared" si="10"/>
        <v>27955.569819441</v>
      </c>
      <c r="AS12" s="143" t="s">
        <v>282</v>
      </c>
      <c r="AT12" s="140">
        <f t="shared" si="11"/>
        <v>0.350859894228267</v>
      </c>
      <c r="AU12" s="140">
        <f t="shared" si="12"/>
        <v>0.139003698543051</v>
      </c>
      <c r="AV12" s="140">
        <f t="shared" si="13"/>
        <v>0.436937440866818</v>
      </c>
      <c r="AW12" s="140">
        <f t="shared" si="14"/>
        <v>0.0731989663618643</v>
      </c>
      <c r="AX12" s="143">
        <f t="shared" si="15"/>
        <v>1</v>
      </c>
      <c r="AZ12" s="137" t="s">
        <v>282</v>
      </c>
      <c r="BA12" s="157">
        <v>9437.36434004</v>
      </c>
      <c r="BB12" s="157">
        <v>3884.9185857808</v>
      </c>
      <c r="BC12" s="157">
        <v>10848.9289769802</v>
      </c>
      <c r="BD12" s="157">
        <v>1985.66251858001</v>
      </c>
      <c r="BE12" s="157">
        <v>26156.874421381</v>
      </c>
    </row>
    <row r="13" hidden="1" spans="1:58">
      <c r="A13" s="174">
        <v>44136</v>
      </c>
      <c r="B13" s="175">
        <v>679.465551480001</v>
      </c>
      <c r="C13" s="175">
        <v>630.528934060997</v>
      </c>
      <c r="D13" s="175">
        <v>2092.64525732</v>
      </c>
      <c r="E13" s="175">
        <v>180.99483128</v>
      </c>
      <c r="F13" s="175">
        <f t="shared" si="0"/>
        <v>3583.634574141</v>
      </c>
      <c r="I13" s="174">
        <v>44136</v>
      </c>
      <c r="J13" s="175">
        <v>0.250874440000001</v>
      </c>
      <c r="K13" s="175">
        <v>0</v>
      </c>
      <c r="L13" s="175">
        <v>598.84461076</v>
      </c>
      <c r="M13" s="175">
        <v>0.22402782</v>
      </c>
      <c r="N13" s="175">
        <f t="shared" si="1"/>
        <v>599.31951302</v>
      </c>
      <c r="P13" s="174">
        <v>44136</v>
      </c>
      <c r="Q13" s="175"/>
      <c r="R13" s="175"/>
      <c r="S13" s="175"/>
      <c r="T13" s="175">
        <v>13.90553792</v>
      </c>
      <c r="U13" s="175">
        <f t="shared" si="2"/>
        <v>13.90553792</v>
      </c>
      <c r="W13" s="176">
        <v>44136</v>
      </c>
      <c r="X13" s="177"/>
      <c r="Y13" s="178"/>
      <c r="Z13" s="177"/>
      <c r="AA13" s="177"/>
      <c r="AB13" s="177">
        <f t="shared" si="3"/>
        <v>0</v>
      </c>
      <c r="AD13" s="176">
        <v>44136</v>
      </c>
      <c r="AE13" s="177">
        <f t="shared" si="4"/>
        <v>679.716425920001</v>
      </c>
      <c r="AF13" s="177">
        <f t="shared" si="5"/>
        <v>630.528934060997</v>
      </c>
      <c r="AG13" s="177">
        <f t="shared" si="6"/>
        <v>2691.48986808</v>
      </c>
      <c r="AH13" s="177">
        <f t="shared" si="7"/>
        <v>195.12439702</v>
      </c>
      <c r="AI13" s="177">
        <f t="shared" si="8"/>
        <v>4196.859625081</v>
      </c>
      <c r="AJ13" s="177">
        <f t="shared" si="9"/>
        <v>0</v>
      </c>
      <c r="AL13" s="143" t="s">
        <v>283</v>
      </c>
      <c r="AM13" s="156">
        <f>SUM(AE3:AE13)</f>
        <v>10488.20469586</v>
      </c>
      <c r="AN13" s="156">
        <f>SUM(AF3:AF13)</f>
        <v>4516.4565338418</v>
      </c>
      <c r="AO13" s="156">
        <f>SUM(AG3:AG13)</f>
        <v>14906.3250029602</v>
      </c>
      <c r="AP13" s="156">
        <f>SUM(AH3:AH13)</f>
        <v>2241.44321186001</v>
      </c>
      <c r="AQ13" s="156">
        <f t="shared" si="10"/>
        <v>32152.429444522</v>
      </c>
      <c r="AS13" s="143" t="s">
        <v>283</v>
      </c>
      <c r="AT13" s="140">
        <f t="shared" si="11"/>
        <v>0.326202556915864</v>
      </c>
      <c r="AU13" s="140">
        <f t="shared" si="12"/>
        <v>0.140470148348659</v>
      </c>
      <c r="AV13" s="140">
        <f t="shared" si="13"/>
        <v>0.463614266806201</v>
      </c>
      <c r="AW13" s="140">
        <f t="shared" si="14"/>
        <v>0.0697130279292751</v>
      </c>
      <c r="AX13" s="143">
        <f t="shared" si="15"/>
        <v>1</v>
      </c>
      <c r="AZ13" s="137" t="s">
        <v>283</v>
      </c>
      <c r="BA13" s="157">
        <v>10116.82989152</v>
      </c>
      <c r="BB13" s="157">
        <v>4515.4475198418</v>
      </c>
      <c r="BC13" s="157">
        <v>12941.5742343002</v>
      </c>
      <c r="BD13" s="157">
        <v>2166.65734986001</v>
      </c>
      <c r="BE13" s="157">
        <v>29740.508995522</v>
      </c>
    </row>
    <row r="14" hidden="1" spans="1:58">
      <c r="A14" s="174">
        <v>44166</v>
      </c>
      <c r="B14" s="175">
        <v>899.326539980001</v>
      </c>
      <c r="C14" s="175">
        <v>500.976012800008</v>
      </c>
      <c r="D14" s="175">
        <v>2715.58922504009</v>
      </c>
      <c r="E14" s="175">
        <v>402.796887519999</v>
      </c>
      <c r="F14" s="175">
        <f t="shared" si="0"/>
        <v>4518.6886653401</v>
      </c>
      <c r="I14" s="174">
        <v>44166</v>
      </c>
      <c r="J14" s="175">
        <v>1.3039537</v>
      </c>
      <c r="K14" s="175">
        <v>0</v>
      </c>
      <c r="L14" s="175">
        <v>145.95540362</v>
      </c>
      <c r="M14" s="175">
        <v>2.57226172</v>
      </c>
      <c r="N14" s="175">
        <f t="shared" si="1"/>
        <v>149.83161904</v>
      </c>
      <c r="P14" s="174">
        <v>44166</v>
      </c>
      <c r="Q14" s="175"/>
      <c r="R14" s="175"/>
      <c r="S14" s="175"/>
      <c r="T14" s="175">
        <v>89.5096542</v>
      </c>
      <c r="U14" s="175">
        <f t="shared" si="2"/>
        <v>89.5096542</v>
      </c>
      <c r="W14" s="176">
        <v>44166</v>
      </c>
      <c r="X14" s="177">
        <v>84.09199844</v>
      </c>
      <c r="Y14" s="178"/>
      <c r="Z14" s="177"/>
      <c r="AA14" s="177"/>
      <c r="AB14" s="177">
        <f t="shared" si="3"/>
        <v>84.09199844</v>
      </c>
      <c r="AD14" s="176">
        <v>44166</v>
      </c>
      <c r="AE14" s="177">
        <f t="shared" si="4"/>
        <v>984.722492120001</v>
      </c>
      <c r="AF14" s="177">
        <f t="shared" si="5"/>
        <v>500.976012800008</v>
      </c>
      <c r="AG14" s="177">
        <f t="shared" si="6"/>
        <v>2861.54462866009</v>
      </c>
      <c r="AH14" s="177">
        <f t="shared" si="7"/>
        <v>494.878803439999</v>
      </c>
      <c r="AI14" s="177">
        <f t="shared" si="8"/>
        <v>4842.1219370201</v>
      </c>
      <c r="AJ14" s="177">
        <f t="shared" si="9"/>
        <v>0</v>
      </c>
      <c r="AL14" s="143" t="s">
        <v>284</v>
      </c>
      <c r="AM14" s="156">
        <f>SUM(AE3:AE14)</f>
        <v>11472.92718798</v>
      </c>
      <c r="AN14" s="156">
        <f>SUM(AF3:AF14)</f>
        <v>5017.43254664181</v>
      </c>
      <c r="AO14" s="156">
        <f>SUM(AG3:AG14)</f>
        <v>17767.8696316203</v>
      </c>
      <c r="AP14" s="156">
        <f>SUM(AH3:AH14)</f>
        <v>2736.32201530001</v>
      </c>
      <c r="AQ14" s="156">
        <f t="shared" si="10"/>
        <v>36994.5513815421</v>
      </c>
      <c r="AS14" s="143" t="s">
        <v>284</v>
      </c>
      <c r="AT14" s="140">
        <f t="shared" si="11"/>
        <v>0.310124782151143</v>
      </c>
      <c r="AU14" s="140">
        <f t="shared" si="12"/>
        <v>0.13562625736138</v>
      </c>
      <c r="AV14" s="140">
        <f t="shared" si="13"/>
        <v>0.480283419262797</v>
      </c>
      <c r="AW14" s="140">
        <f t="shared" si="14"/>
        <v>0.0739655412246804</v>
      </c>
      <c r="AX14" s="143">
        <f t="shared" si="15"/>
        <v>1</v>
      </c>
      <c r="AZ14" s="137" t="s">
        <v>284</v>
      </c>
      <c r="BA14" s="157">
        <v>11016.1564315</v>
      </c>
      <c r="BB14" s="157">
        <v>5016.42353264181</v>
      </c>
      <c r="BC14" s="157">
        <v>15657.1634593403</v>
      </c>
      <c r="BD14" s="157">
        <v>2569.45423738001</v>
      </c>
      <c r="BE14" s="157">
        <v>34259.1976608621</v>
      </c>
    </row>
    <row r="15" hidden="1" spans="1:58">
      <c r="A15" s="146">
        <v>44197</v>
      </c>
      <c r="B15" s="179">
        <v>402.278228699999</v>
      </c>
      <c r="C15" s="179">
        <v>559.519240400001</v>
      </c>
      <c r="D15" s="179">
        <v>1607.6582581</v>
      </c>
      <c r="E15" s="179">
        <v>507.680884400002</v>
      </c>
      <c r="F15" s="179">
        <f t="shared" si="0"/>
        <v>3077.1366116</v>
      </c>
      <c r="I15" s="146">
        <v>44197</v>
      </c>
      <c r="J15" s="179">
        <v>14.1838123</v>
      </c>
      <c r="K15" s="179">
        <v>0</v>
      </c>
      <c r="L15" s="179">
        <v>156.18728788</v>
      </c>
      <c r="M15" s="179">
        <v>1.01405854</v>
      </c>
      <c r="N15" s="179">
        <f t="shared" si="1"/>
        <v>171.38515872</v>
      </c>
      <c r="P15" s="146">
        <v>44197</v>
      </c>
      <c r="Q15" s="179">
        <v>0</v>
      </c>
      <c r="R15" s="179">
        <v>0</v>
      </c>
      <c r="S15" s="179">
        <v>0</v>
      </c>
      <c r="T15" s="179">
        <v>19.11353416</v>
      </c>
      <c r="U15" s="179">
        <f t="shared" si="2"/>
        <v>19.11353416</v>
      </c>
      <c r="W15" s="180">
        <v>44197</v>
      </c>
      <c r="X15" s="181">
        <v>0.0515955</v>
      </c>
      <c r="Y15" s="182">
        <v>0</v>
      </c>
      <c r="Z15" s="181">
        <v>0</v>
      </c>
      <c r="AA15" s="181">
        <v>-0.05951476</v>
      </c>
      <c r="AB15" s="181">
        <f t="shared" si="3"/>
        <v>-0.00791926</v>
      </c>
      <c r="AD15" s="180">
        <v>44197</v>
      </c>
      <c r="AE15" s="181">
        <f t="shared" si="4"/>
        <v>416.513636499999</v>
      </c>
      <c r="AF15" s="181">
        <f t="shared" si="5"/>
        <v>559.519240400001</v>
      </c>
      <c r="AG15" s="181">
        <f t="shared" si="6"/>
        <v>1763.84554598</v>
      </c>
      <c r="AH15" s="181">
        <f t="shared" si="7"/>
        <v>527.748962340002</v>
      </c>
      <c r="AI15" s="181">
        <f t="shared" si="8"/>
        <v>3267.62738522</v>
      </c>
      <c r="AJ15" s="181">
        <f t="shared" si="9"/>
        <v>0</v>
      </c>
      <c r="AL15" s="143" t="s">
        <v>285</v>
      </c>
      <c r="AM15" s="156">
        <f>AE15</f>
        <v>416.513636499999</v>
      </c>
      <c r="AN15" s="156">
        <f>AF15</f>
        <v>559.519240400001</v>
      </c>
      <c r="AO15" s="156">
        <f>AG15</f>
        <v>1763.84554598</v>
      </c>
      <c r="AP15" s="156">
        <f>AH15</f>
        <v>527.748962340002</v>
      </c>
      <c r="AQ15" s="156">
        <f t="shared" si="10"/>
        <v>3267.62738522</v>
      </c>
      <c r="AS15" s="143" t="s">
        <v>285</v>
      </c>
      <c r="AT15" s="140">
        <f t="shared" si="11"/>
        <v>0.127466686802772</v>
      </c>
      <c r="AU15" s="140">
        <f t="shared" si="12"/>
        <v>0.171231041498426</v>
      </c>
      <c r="AV15" s="140">
        <f t="shared" si="13"/>
        <v>0.539793966092387</v>
      </c>
      <c r="AW15" s="140">
        <f t="shared" si="14"/>
        <v>0.161508305606415</v>
      </c>
      <c r="AX15" s="143">
        <f t="shared" si="15"/>
        <v>1</v>
      </c>
      <c r="AZ15" s="137" t="s">
        <v>285</v>
      </c>
      <c r="BA15" s="157">
        <v>402.278228699999</v>
      </c>
      <c r="BB15" s="157">
        <v>559.519240400001</v>
      </c>
      <c r="BC15" s="157">
        <v>1607.6582581</v>
      </c>
      <c r="BD15" s="157">
        <v>507.680884400002</v>
      </c>
      <c r="BE15" s="157">
        <v>3077.1366116</v>
      </c>
    </row>
    <row r="16" hidden="1" spans="1:58">
      <c r="A16" s="146">
        <v>44228</v>
      </c>
      <c r="B16" s="179">
        <v>488.588753479998</v>
      </c>
      <c r="C16" s="179">
        <v>542.103976720104</v>
      </c>
      <c r="D16" s="179">
        <v>1137.1924499</v>
      </c>
      <c r="E16" s="179">
        <v>282.05379282</v>
      </c>
      <c r="F16" s="179">
        <f t="shared" si="0"/>
        <v>2449.9389729201</v>
      </c>
      <c r="I16" s="146">
        <v>44228</v>
      </c>
      <c r="J16" s="179">
        <v>546.48273924</v>
      </c>
      <c r="K16" s="179">
        <v>0</v>
      </c>
      <c r="L16" s="179">
        <v>201.93547278</v>
      </c>
      <c r="M16" s="179">
        <v>0.86096592</v>
      </c>
      <c r="N16" s="179">
        <f t="shared" si="1"/>
        <v>749.27917794</v>
      </c>
      <c r="P16" s="146">
        <v>44228</v>
      </c>
      <c r="Q16" s="179">
        <v>0</v>
      </c>
      <c r="R16" s="179">
        <v>0</v>
      </c>
      <c r="S16" s="179">
        <v>0</v>
      </c>
      <c r="T16" s="179">
        <v>-15.10292028</v>
      </c>
      <c r="U16" s="179">
        <f t="shared" si="2"/>
        <v>-15.10292028</v>
      </c>
      <c r="W16" s="180">
        <v>44228</v>
      </c>
      <c r="X16" s="181">
        <v>1.5389875</v>
      </c>
      <c r="Y16" s="182">
        <v>0</v>
      </c>
      <c r="Z16" s="181">
        <v>0</v>
      </c>
      <c r="AA16" s="181">
        <v>0.06840392</v>
      </c>
      <c r="AB16" s="181">
        <f t="shared" si="3"/>
        <v>1.60739142</v>
      </c>
      <c r="AD16" s="180">
        <v>44228</v>
      </c>
      <c r="AE16" s="181">
        <f t="shared" si="4"/>
        <v>1036.61048022</v>
      </c>
      <c r="AF16" s="181">
        <f t="shared" si="5"/>
        <v>542.103976720104</v>
      </c>
      <c r="AG16" s="181">
        <f t="shared" si="6"/>
        <v>1339.12792268</v>
      </c>
      <c r="AH16" s="181">
        <f t="shared" si="7"/>
        <v>267.88024238</v>
      </c>
      <c r="AI16" s="181">
        <f t="shared" si="8"/>
        <v>3185.7226220001</v>
      </c>
      <c r="AJ16" s="181">
        <f t="shared" si="9"/>
        <v>0</v>
      </c>
      <c r="AL16" s="143" t="s">
        <v>286</v>
      </c>
      <c r="AM16" s="156">
        <f>SUM(AE15:AE16)</f>
        <v>1453.12411672</v>
      </c>
      <c r="AN16" s="156">
        <f>SUM(AF15:AF16)</f>
        <v>1101.6232171201</v>
      </c>
      <c r="AO16" s="156">
        <f>SUM(AG15:AG16)</f>
        <v>3102.97346866</v>
      </c>
      <c r="AP16" s="156">
        <f>SUM(AH15:AH16)</f>
        <v>795.629204720002</v>
      </c>
      <c r="AQ16" s="156">
        <f t="shared" si="10"/>
        <v>6453.3500072201</v>
      </c>
      <c r="AS16" s="143" t="s">
        <v>286</v>
      </c>
      <c r="AT16" s="140">
        <f t="shared" si="11"/>
        <v>0.225173609845154</v>
      </c>
      <c r="AU16" s="140">
        <f t="shared" si="12"/>
        <v>0.170705635970091</v>
      </c>
      <c r="AV16" s="140">
        <f t="shared" si="13"/>
        <v>0.480831423243486</v>
      </c>
      <c r="AW16" s="140">
        <f t="shared" si="14"/>
        <v>0.123289330941269</v>
      </c>
      <c r="AX16" s="143">
        <f t="shared" si="15"/>
        <v>1</v>
      </c>
      <c r="AZ16" s="137" t="s">
        <v>286</v>
      </c>
      <c r="BA16" s="157">
        <v>890.866982179997</v>
      </c>
      <c r="BB16" s="157">
        <v>1101.6232171201</v>
      </c>
      <c r="BC16" s="157">
        <v>2744.850708</v>
      </c>
      <c r="BD16" s="157">
        <v>789.734677220002</v>
      </c>
      <c r="BE16" s="157">
        <v>5527.0755845201</v>
      </c>
    </row>
    <row r="17" hidden="1" spans="1:57">
      <c r="A17" s="146">
        <v>44256</v>
      </c>
      <c r="B17" s="179">
        <v>356.535295740001</v>
      </c>
      <c r="C17" s="179">
        <v>728.132220999991</v>
      </c>
      <c r="D17" s="179">
        <v>2787.05705628</v>
      </c>
      <c r="E17" s="179">
        <v>365.723094359997</v>
      </c>
      <c r="F17" s="179">
        <f t="shared" si="0"/>
        <v>4237.44766737999</v>
      </c>
      <c r="I17" s="146">
        <v>44256</v>
      </c>
      <c r="J17" s="179">
        <v>330.3272594</v>
      </c>
      <c r="K17" s="179">
        <v>0</v>
      </c>
      <c r="L17" s="179">
        <v>154.32760904</v>
      </c>
      <c r="M17" s="179">
        <v>9.92371152</v>
      </c>
      <c r="N17" s="179">
        <f t="shared" si="1"/>
        <v>494.57857996</v>
      </c>
      <c r="P17" s="146">
        <v>44256</v>
      </c>
      <c r="Q17" s="179">
        <v>0</v>
      </c>
      <c r="R17" s="179">
        <v>0</v>
      </c>
      <c r="S17" s="179">
        <v>0</v>
      </c>
      <c r="T17" s="179">
        <v>-17.59579118</v>
      </c>
      <c r="U17" s="179">
        <f t="shared" si="2"/>
        <v>-17.59579118</v>
      </c>
      <c r="W17" s="180">
        <v>44256</v>
      </c>
      <c r="X17" s="181">
        <v>2.01691924</v>
      </c>
      <c r="Y17" s="182">
        <v>0</v>
      </c>
      <c r="Z17" s="181">
        <v>0</v>
      </c>
      <c r="AA17" s="181">
        <v>0</v>
      </c>
      <c r="AB17" s="181">
        <f t="shared" si="3"/>
        <v>2.01691924</v>
      </c>
      <c r="AD17" s="180">
        <v>44256</v>
      </c>
      <c r="AE17" s="181">
        <f t="shared" si="4"/>
        <v>688.879474380001</v>
      </c>
      <c r="AF17" s="181">
        <f t="shared" si="5"/>
        <v>728.132220999991</v>
      </c>
      <c r="AG17" s="181">
        <f t="shared" si="6"/>
        <v>2941.38466532</v>
      </c>
      <c r="AH17" s="181">
        <f t="shared" si="7"/>
        <v>358.051014699997</v>
      </c>
      <c r="AI17" s="181">
        <f t="shared" si="8"/>
        <v>4716.44737539999</v>
      </c>
      <c r="AJ17" s="181">
        <f t="shared" si="9"/>
        <v>0</v>
      </c>
      <c r="AL17" s="143" t="s">
        <v>287</v>
      </c>
      <c r="AM17" s="156">
        <f>SUM(AE15:AE17)</f>
        <v>2142.0035911</v>
      </c>
      <c r="AN17" s="156">
        <f>SUM(AF15:AF17)</f>
        <v>1829.7554381201</v>
      </c>
      <c r="AO17" s="156">
        <f>SUM(AG15:AG17)</f>
        <v>6044.35813398</v>
      </c>
      <c r="AP17" s="156">
        <f>SUM(AH15:AH17)</f>
        <v>1153.68021942</v>
      </c>
      <c r="AQ17" s="156">
        <f t="shared" si="10"/>
        <v>11169.7973826201</v>
      </c>
      <c r="AS17" s="143" t="s">
        <v>287</v>
      </c>
      <c r="AT17" s="140">
        <f t="shared" si="11"/>
        <v>0.19176745268745</v>
      </c>
      <c r="AU17" s="140">
        <f t="shared" si="12"/>
        <v>0.163812768973513</v>
      </c>
      <c r="AV17" s="140">
        <f t="shared" si="13"/>
        <v>0.541134089270487</v>
      </c>
      <c r="AW17" s="140">
        <f t="shared" si="14"/>
        <v>0.10328568906855</v>
      </c>
      <c r="AX17" s="143">
        <f t="shared" si="15"/>
        <v>1</v>
      </c>
      <c r="AZ17" s="137" t="s">
        <v>287</v>
      </c>
      <c r="BA17" s="157">
        <v>1247.40227792</v>
      </c>
      <c r="BB17" s="157">
        <v>1829.7554381201</v>
      </c>
      <c r="BC17" s="157">
        <v>5531.90776428</v>
      </c>
      <c r="BD17" s="157">
        <v>1155.45777158</v>
      </c>
      <c r="BE17" s="157">
        <v>9764.52325190009</v>
      </c>
    </row>
    <row r="18" hidden="1" spans="1:57">
      <c r="A18" s="146">
        <v>44287</v>
      </c>
      <c r="B18" s="179">
        <v>236.521633060001</v>
      </c>
      <c r="C18" s="179">
        <v>813.212964559978</v>
      </c>
      <c r="D18" s="179">
        <v>639.932419660001</v>
      </c>
      <c r="E18" s="179">
        <v>329.586349240001</v>
      </c>
      <c r="F18" s="179">
        <f t="shared" si="0"/>
        <v>2019.25336651998</v>
      </c>
      <c r="I18" s="146">
        <v>44287</v>
      </c>
      <c r="J18" s="179">
        <v>28.47880482</v>
      </c>
      <c r="K18" s="179">
        <v>0</v>
      </c>
      <c r="L18" s="179">
        <v>153.5337284</v>
      </c>
      <c r="M18" s="179">
        <v>0.37578484</v>
      </c>
      <c r="N18" s="179">
        <f t="shared" si="1"/>
        <v>182.38831806</v>
      </c>
      <c r="P18" s="146">
        <v>44287</v>
      </c>
      <c r="Q18" s="179">
        <v>0</v>
      </c>
      <c r="R18" s="179">
        <v>0</v>
      </c>
      <c r="S18" s="179">
        <v>0</v>
      </c>
      <c r="T18" s="179">
        <v>27.92590988</v>
      </c>
      <c r="U18" s="179">
        <f t="shared" si="2"/>
        <v>27.92590988</v>
      </c>
      <c r="W18" s="180">
        <v>44287</v>
      </c>
      <c r="X18" s="181">
        <v>45.29379682</v>
      </c>
      <c r="Y18" s="182">
        <v>0</v>
      </c>
      <c r="Z18" s="181">
        <v>0</v>
      </c>
      <c r="AA18" s="181">
        <v>1.50378172</v>
      </c>
      <c r="AB18" s="181">
        <f t="shared" si="3"/>
        <v>46.79757854</v>
      </c>
      <c r="AD18" s="180">
        <v>44287</v>
      </c>
      <c r="AE18" s="181">
        <f t="shared" si="4"/>
        <v>310.294234700001</v>
      </c>
      <c r="AF18" s="181">
        <f t="shared" si="5"/>
        <v>813.212964559978</v>
      </c>
      <c r="AG18" s="181">
        <f t="shared" si="6"/>
        <v>793.466148060001</v>
      </c>
      <c r="AH18" s="181">
        <f t="shared" si="7"/>
        <v>359.391825680001</v>
      </c>
      <c r="AI18" s="181">
        <f t="shared" si="8"/>
        <v>2276.36517299998</v>
      </c>
      <c r="AJ18" s="181">
        <f t="shared" si="9"/>
        <v>0</v>
      </c>
      <c r="AL18" s="143" t="s">
        <v>288</v>
      </c>
      <c r="AM18" s="156">
        <f>SUM(AE15:AE18)</f>
        <v>2452.2978258</v>
      </c>
      <c r="AN18" s="156">
        <f>SUM(AF15:AF18)</f>
        <v>2642.96840268007</v>
      </c>
      <c r="AO18" s="156">
        <f>SUM(AG15:AG18)</f>
        <v>6837.82428204</v>
      </c>
      <c r="AP18" s="156">
        <f>SUM(AH15:AH18)</f>
        <v>1513.0720451</v>
      </c>
      <c r="AQ18" s="156">
        <f t="shared" si="10"/>
        <v>13446.1625556201</v>
      </c>
      <c r="AS18" s="143" t="s">
        <v>288</v>
      </c>
      <c r="AT18" s="140">
        <f t="shared" si="11"/>
        <v>0.182379010788845</v>
      </c>
      <c r="AU18" s="140">
        <f t="shared" si="12"/>
        <v>0.196559307664728</v>
      </c>
      <c r="AV18" s="140">
        <f t="shared" si="13"/>
        <v>0.508533513093816</v>
      </c>
      <c r="AW18" s="140">
        <f t="shared" si="14"/>
        <v>0.112528168452611</v>
      </c>
      <c r="AX18" s="143">
        <f t="shared" si="15"/>
        <v>1</v>
      </c>
      <c r="AZ18" s="137" t="s">
        <v>288</v>
      </c>
      <c r="BA18" s="157">
        <v>1483.92391098</v>
      </c>
      <c r="BB18" s="157">
        <v>2642.96840268007</v>
      </c>
      <c r="BC18" s="157">
        <v>6171.84018394</v>
      </c>
      <c r="BD18" s="157">
        <v>1485.04412082</v>
      </c>
      <c r="BE18" s="157">
        <v>11783.7766184201</v>
      </c>
    </row>
    <row r="19" hidden="1" spans="1:57">
      <c r="A19" s="146">
        <v>44317</v>
      </c>
      <c r="B19" s="179">
        <v>256.64980436</v>
      </c>
      <c r="C19" s="179">
        <v>1101.23785261999</v>
      </c>
      <c r="D19" s="179">
        <v>1111.48854272</v>
      </c>
      <c r="E19" s="179">
        <v>340.375510959999</v>
      </c>
      <c r="F19" s="179">
        <f t="shared" si="0"/>
        <v>2809.75171065999</v>
      </c>
      <c r="I19" s="146">
        <v>44317</v>
      </c>
      <c r="J19" s="179">
        <v>226.5730019</v>
      </c>
      <c r="K19" s="179">
        <v>0</v>
      </c>
      <c r="L19" s="179">
        <v>146.84181802</v>
      </c>
      <c r="M19" s="179">
        <v>10.72832254</v>
      </c>
      <c r="N19" s="179">
        <f t="shared" si="1"/>
        <v>384.14314246</v>
      </c>
      <c r="P19" s="146">
        <v>44317</v>
      </c>
      <c r="Q19" s="179">
        <v>0</v>
      </c>
      <c r="R19" s="179">
        <v>0</v>
      </c>
      <c r="S19" s="179">
        <v>0</v>
      </c>
      <c r="T19" s="179">
        <v>10.13129238</v>
      </c>
      <c r="U19" s="179">
        <f t="shared" si="2"/>
        <v>10.13129238</v>
      </c>
      <c r="W19" s="180">
        <v>44317</v>
      </c>
      <c r="X19" s="181">
        <v>1.56700436</v>
      </c>
      <c r="Y19" s="182">
        <v>0</v>
      </c>
      <c r="Z19" s="181">
        <v>0</v>
      </c>
      <c r="AA19" s="181">
        <v>0.1399995</v>
      </c>
      <c r="AB19" s="181">
        <f t="shared" si="3"/>
        <v>1.70700386</v>
      </c>
      <c r="AD19" s="180">
        <v>44317</v>
      </c>
      <c r="AE19" s="181">
        <f t="shared" si="4"/>
        <v>484.78981062</v>
      </c>
      <c r="AF19" s="181">
        <f t="shared" si="5"/>
        <v>1101.23785261999</v>
      </c>
      <c r="AG19" s="181">
        <f t="shared" si="6"/>
        <v>1258.33036074</v>
      </c>
      <c r="AH19" s="181">
        <f t="shared" si="7"/>
        <v>361.375125379999</v>
      </c>
      <c r="AI19" s="181">
        <f t="shared" si="8"/>
        <v>3205.73314935999</v>
      </c>
      <c r="AJ19" s="181">
        <f t="shared" si="9"/>
        <v>0</v>
      </c>
      <c r="AL19" s="143" t="s">
        <v>289</v>
      </c>
      <c r="AM19" s="156">
        <f>SUM(AE15:AE19)</f>
        <v>2937.08763642</v>
      </c>
      <c r="AN19" s="156">
        <f>SUM(AF15:AF19)</f>
        <v>3744.20625530006</v>
      </c>
      <c r="AO19" s="156">
        <f>SUM(AG15:AG19)</f>
        <v>8096.15464278</v>
      </c>
      <c r="AP19" s="156">
        <f>SUM(AH15:AH19)</f>
        <v>1874.44717048</v>
      </c>
      <c r="AQ19" s="156">
        <f t="shared" si="10"/>
        <v>16651.8957049801</v>
      </c>
      <c r="AS19" s="143" t="s">
        <v>289</v>
      </c>
      <c r="AT19" s="140">
        <f t="shared" si="11"/>
        <v>0.176381577716801</v>
      </c>
      <c r="AU19" s="140">
        <f t="shared" si="12"/>
        <v>0.224851651826061</v>
      </c>
      <c r="AV19" s="140">
        <f t="shared" si="13"/>
        <v>0.486200177218183</v>
      </c>
      <c r="AW19" s="140">
        <f t="shared" si="14"/>
        <v>0.112566593238955</v>
      </c>
      <c r="AX19" s="143">
        <f t="shared" si="15"/>
        <v>1</v>
      </c>
      <c r="AZ19" s="137" t="s">
        <v>289</v>
      </c>
      <c r="BA19" s="157">
        <v>1740.57371534</v>
      </c>
      <c r="BB19" s="157">
        <v>3744.20625530006</v>
      </c>
      <c r="BC19" s="157">
        <v>7283.32872666</v>
      </c>
      <c r="BD19" s="157">
        <v>1825.41963178</v>
      </c>
      <c r="BE19" s="157">
        <v>14593.5283290801</v>
      </c>
    </row>
    <row r="20" hidden="1" spans="1:57">
      <c r="A20" s="146">
        <v>44348</v>
      </c>
      <c r="B20" s="179">
        <v>460.4561986</v>
      </c>
      <c r="C20" s="179">
        <v>1107.42813784002</v>
      </c>
      <c r="D20" s="179">
        <v>2248.05565680001</v>
      </c>
      <c r="E20" s="179">
        <f>267.930894339999+897733.18/10000</f>
        <v>357.704212339999</v>
      </c>
      <c r="F20" s="179">
        <f t="shared" si="0"/>
        <v>4173.64420558003</v>
      </c>
      <c r="I20" s="146">
        <v>44348</v>
      </c>
      <c r="J20" s="179">
        <v>387.50774782</v>
      </c>
      <c r="K20" s="179">
        <v>0</v>
      </c>
      <c r="L20" s="179">
        <v>194.94648892</v>
      </c>
      <c r="M20" s="179">
        <v>0.9571482</v>
      </c>
      <c r="N20" s="179">
        <f t="shared" si="1"/>
        <v>583.41138494</v>
      </c>
      <c r="P20" s="146">
        <v>44348</v>
      </c>
      <c r="Q20" s="179">
        <v>0</v>
      </c>
      <c r="R20" s="179">
        <v>0</v>
      </c>
      <c r="S20" s="179">
        <v>0</v>
      </c>
      <c r="T20" s="179">
        <v>75.2321103400002</v>
      </c>
      <c r="U20" s="179">
        <f t="shared" si="2"/>
        <v>75.2321103400002</v>
      </c>
      <c r="W20" s="180">
        <v>44348</v>
      </c>
      <c r="X20" s="181">
        <v>174.97704398</v>
      </c>
      <c r="Y20" s="182">
        <v>0</v>
      </c>
      <c r="Z20" s="181">
        <v>0</v>
      </c>
      <c r="AA20" s="181">
        <v>6.16613024</v>
      </c>
      <c r="AB20" s="181">
        <f t="shared" si="3"/>
        <v>181.14317422</v>
      </c>
      <c r="AD20" s="180">
        <v>44348</v>
      </c>
      <c r="AE20" s="181">
        <f t="shared" si="4"/>
        <v>1022.9409904</v>
      </c>
      <c r="AF20" s="181">
        <f t="shared" si="5"/>
        <v>1107.42813784002</v>
      </c>
      <c r="AG20" s="181">
        <f t="shared" si="6"/>
        <v>2443.00214572001</v>
      </c>
      <c r="AH20" s="181">
        <f t="shared" si="7"/>
        <v>440.059601119999</v>
      </c>
      <c r="AI20" s="181">
        <f t="shared" si="8"/>
        <v>5013.43087508003</v>
      </c>
      <c r="AJ20" s="181">
        <f t="shared" si="9"/>
        <v>0</v>
      </c>
      <c r="AL20" s="143" t="s">
        <v>290</v>
      </c>
      <c r="AM20" s="156">
        <f>SUM(AE15:AE20)</f>
        <v>3960.02862682</v>
      </c>
      <c r="AN20" s="156">
        <f>SUM(AF15:AF20)</f>
        <v>4851.63439314008</v>
      </c>
      <c r="AO20" s="156">
        <f>SUM(AG15:AG20)</f>
        <v>10539.1567885</v>
      </c>
      <c r="AP20" s="156">
        <f>SUM(AH15:AH20)</f>
        <v>2314.5067716</v>
      </c>
      <c r="AQ20" s="156">
        <f t="shared" si="10"/>
        <v>21665.3265800601</v>
      </c>
      <c r="AS20" s="143" t="s">
        <v>290</v>
      </c>
      <c r="AT20" s="140">
        <f t="shared" si="11"/>
        <v>0.182781857092551</v>
      </c>
      <c r="AU20" s="140">
        <f t="shared" si="12"/>
        <v>0.223935437816355</v>
      </c>
      <c r="AV20" s="140">
        <f t="shared" si="13"/>
        <v>0.486452708181184</v>
      </c>
      <c r="AW20" s="140">
        <f t="shared" si="14"/>
        <v>0.10682999690991</v>
      </c>
      <c r="AX20" s="143">
        <f t="shared" si="15"/>
        <v>1</v>
      </c>
      <c r="AZ20" s="137" t="s">
        <v>290</v>
      </c>
      <c r="BA20" s="157">
        <v>2201.02991394</v>
      </c>
      <c r="BB20" s="157">
        <v>4851.63439314008</v>
      </c>
      <c r="BC20" s="157">
        <v>9531.38438346001</v>
      </c>
      <c r="BD20" s="157">
        <v>2183.12384412</v>
      </c>
      <c r="BE20" s="157">
        <v>18767.1725346601</v>
      </c>
    </row>
    <row r="21" hidden="1" spans="1:57">
      <c r="A21" s="146">
        <v>44378</v>
      </c>
      <c r="B21" s="179">
        <v>286.43738028</v>
      </c>
      <c r="C21" s="179">
        <v>860.617549840005</v>
      </c>
      <c r="D21" s="179">
        <v>671.291088999999</v>
      </c>
      <c r="E21" s="179">
        <v>216.768337640001</v>
      </c>
      <c r="F21" s="179">
        <f t="shared" si="0"/>
        <v>2035.11435676001</v>
      </c>
      <c r="I21" s="146">
        <v>44378</v>
      </c>
      <c r="J21" s="179">
        <v>115.30655196</v>
      </c>
      <c r="K21" s="179">
        <v>0</v>
      </c>
      <c r="L21" s="179">
        <v>239.2756497</v>
      </c>
      <c r="M21" s="179">
        <v>0.51343644</v>
      </c>
      <c r="N21" s="179">
        <f t="shared" si="1"/>
        <v>355.0956381</v>
      </c>
      <c r="P21" s="146">
        <v>44378</v>
      </c>
      <c r="Q21" s="179">
        <v>0</v>
      </c>
      <c r="R21" s="179">
        <v>0</v>
      </c>
      <c r="S21" s="179">
        <v>0</v>
      </c>
      <c r="T21" s="179">
        <v>35.53128056</v>
      </c>
      <c r="U21" s="179">
        <f t="shared" si="2"/>
        <v>35.53128056</v>
      </c>
      <c r="W21" s="180">
        <v>44378</v>
      </c>
      <c r="X21" s="181">
        <v>0.18943684</v>
      </c>
      <c r="Y21" s="182">
        <v>0</v>
      </c>
      <c r="Z21" s="181">
        <v>0</v>
      </c>
      <c r="AA21" s="181">
        <v>5.6012838</v>
      </c>
      <c r="AB21" s="181">
        <f t="shared" si="3"/>
        <v>5.79072064</v>
      </c>
      <c r="AD21" s="180">
        <v>44378</v>
      </c>
      <c r="AE21" s="181">
        <f t="shared" si="4"/>
        <v>401.93336908</v>
      </c>
      <c r="AF21" s="181">
        <f t="shared" si="5"/>
        <v>860.617549840005</v>
      </c>
      <c r="AG21" s="181">
        <f t="shared" si="6"/>
        <v>910.566738699999</v>
      </c>
      <c r="AH21" s="181">
        <f t="shared" si="7"/>
        <v>258.414338440001</v>
      </c>
      <c r="AI21" s="181">
        <f t="shared" si="8"/>
        <v>2431.53199606001</v>
      </c>
      <c r="AJ21" s="181">
        <f t="shared" si="9"/>
        <v>0</v>
      </c>
      <c r="AL21" s="143" t="s">
        <v>291</v>
      </c>
      <c r="AM21" s="156">
        <f>SUM(AE15:AE21)</f>
        <v>4361.9619959</v>
      </c>
      <c r="AN21" s="156">
        <f>SUM(AF15:AF21)</f>
        <v>5712.25194298009</v>
      </c>
      <c r="AO21" s="156">
        <f>SUM(AG15:AG21)</f>
        <v>11449.7235272</v>
      </c>
      <c r="AP21" s="156">
        <f>SUM(AH15:AH21)</f>
        <v>2572.92111004</v>
      </c>
      <c r="AQ21" s="156">
        <f t="shared" si="10"/>
        <v>24096.8585761201</v>
      </c>
      <c r="AS21" s="143" t="s">
        <v>291</v>
      </c>
      <c r="AT21" s="140">
        <f t="shared" si="11"/>
        <v>0.181017869284534</v>
      </c>
      <c r="AU21" s="140">
        <f t="shared" si="12"/>
        <v>0.237053802052061</v>
      </c>
      <c r="AV21" s="140">
        <f t="shared" si="13"/>
        <v>0.475154198669973</v>
      </c>
      <c r="AW21" s="140">
        <f t="shared" si="14"/>
        <v>0.106774129993432</v>
      </c>
      <c r="AX21" s="143">
        <f t="shared" si="15"/>
        <v>1</v>
      </c>
      <c r="AZ21" s="137" t="s">
        <v>291</v>
      </c>
      <c r="BA21" s="157">
        <v>2487.46729422</v>
      </c>
      <c r="BB21" s="157">
        <v>5712.25194298009</v>
      </c>
      <c r="BC21" s="157">
        <v>10202.67547246</v>
      </c>
      <c r="BD21" s="157">
        <v>2399.89218176</v>
      </c>
      <c r="BE21" s="157">
        <v>20802.2868914201</v>
      </c>
    </row>
    <row r="22" hidden="1" spans="1:57">
      <c r="A22" s="146">
        <v>44409</v>
      </c>
      <c r="B22" s="179">
        <v>242.473694060001</v>
      </c>
      <c r="C22" s="179">
        <v>1083.10786816</v>
      </c>
      <c r="D22" s="179">
        <v>2403.40552914</v>
      </c>
      <c r="E22" s="179">
        <v>355.561045120001</v>
      </c>
      <c r="F22" s="179">
        <f t="shared" si="0"/>
        <v>4084.54813648</v>
      </c>
      <c r="I22" s="146">
        <v>44409</v>
      </c>
      <c r="J22" s="179">
        <v>120.21480352</v>
      </c>
      <c r="K22" s="179">
        <v>0</v>
      </c>
      <c r="L22" s="179">
        <v>165.6623279</v>
      </c>
      <c r="M22" s="179">
        <v>0.78503918</v>
      </c>
      <c r="N22" s="179">
        <f t="shared" si="1"/>
        <v>286.6621706</v>
      </c>
      <c r="P22" s="146">
        <v>44409</v>
      </c>
      <c r="Q22" s="179">
        <v>5.07562662</v>
      </c>
      <c r="R22" s="179">
        <v>0</v>
      </c>
      <c r="S22" s="179">
        <v>0</v>
      </c>
      <c r="T22" s="179">
        <v>18.26892298</v>
      </c>
      <c r="U22" s="179">
        <f t="shared" si="2"/>
        <v>23.3445496</v>
      </c>
      <c r="W22" s="180">
        <v>44409</v>
      </c>
      <c r="X22" s="181">
        <v>0.11049016</v>
      </c>
      <c r="Y22" s="182">
        <v>0</v>
      </c>
      <c r="Z22" s="181">
        <v>0</v>
      </c>
      <c r="AA22" s="181">
        <v>6.78075216</v>
      </c>
      <c r="AB22" s="181">
        <f t="shared" si="3"/>
        <v>6.89124232</v>
      </c>
      <c r="AD22" s="180">
        <v>44409</v>
      </c>
      <c r="AE22" s="181">
        <f t="shared" si="4"/>
        <v>367.874614360001</v>
      </c>
      <c r="AF22" s="181">
        <f t="shared" si="5"/>
        <v>1083.10786816</v>
      </c>
      <c r="AG22" s="181">
        <f t="shared" si="6"/>
        <v>2569.06785704</v>
      </c>
      <c r="AH22" s="181">
        <f t="shared" si="7"/>
        <v>381.395759440001</v>
      </c>
      <c r="AI22" s="181">
        <f t="shared" si="8"/>
        <v>4401.446099</v>
      </c>
      <c r="AJ22" s="181">
        <f t="shared" si="9"/>
        <v>0</v>
      </c>
      <c r="AL22" s="143" t="s">
        <v>292</v>
      </c>
      <c r="AM22" s="156">
        <f>SUM(AE15:AE22)</f>
        <v>4729.83661026</v>
      </c>
      <c r="AN22" s="156">
        <f>SUM(AF15:AF22)</f>
        <v>6795.35981114009</v>
      </c>
      <c r="AO22" s="156">
        <f>SUM(AG15:AG22)</f>
        <v>14018.79138424</v>
      </c>
      <c r="AP22" s="156">
        <f>SUM(AH15:AH22)</f>
        <v>2954.31686948</v>
      </c>
      <c r="AQ22" s="156">
        <f t="shared" si="10"/>
        <v>28498.3046751201</v>
      </c>
      <c r="AS22" s="143" t="s">
        <v>292</v>
      </c>
      <c r="AT22" s="140">
        <f t="shared" si="11"/>
        <v>0.165969051990285</v>
      </c>
      <c r="AU22" s="140">
        <f t="shared" si="12"/>
        <v>0.238447861674826</v>
      </c>
      <c r="AV22" s="140">
        <f t="shared" si="13"/>
        <v>0.491916678695587</v>
      </c>
      <c r="AW22" s="140">
        <f t="shared" si="14"/>
        <v>0.103666407639301</v>
      </c>
      <c r="AX22" s="143">
        <f t="shared" si="15"/>
        <v>1</v>
      </c>
      <c r="AZ22" s="137" t="s">
        <v>292</v>
      </c>
      <c r="BA22" s="157">
        <v>2729.94098828</v>
      </c>
      <c r="BB22" s="157">
        <v>6795.35981114009</v>
      </c>
      <c r="BC22" s="157">
        <v>12606.0810016</v>
      </c>
      <c r="BD22" s="157">
        <v>2755.45322688</v>
      </c>
      <c r="BE22" s="157">
        <v>24886.8350279001</v>
      </c>
    </row>
    <row r="23" hidden="1" spans="1:57">
      <c r="A23" s="146">
        <v>44440</v>
      </c>
      <c r="B23" s="179">
        <v>487.324547279999</v>
      </c>
      <c r="C23" s="179">
        <v>550.623674339994</v>
      </c>
      <c r="D23" s="179">
        <v>1512.2164968799</v>
      </c>
      <c r="E23" s="179">
        <v>215.697975419999</v>
      </c>
      <c r="F23" s="179">
        <f t="shared" si="0"/>
        <v>2765.86269391989</v>
      </c>
      <c r="I23" s="146">
        <v>44440</v>
      </c>
      <c r="J23" s="179">
        <v>271.61448904</v>
      </c>
      <c r="K23" s="179">
        <v>0</v>
      </c>
      <c r="L23" s="179">
        <v>290.27186492</v>
      </c>
      <c r="M23" s="179">
        <v>8.70183044</v>
      </c>
      <c r="N23" s="179">
        <f t="shared" si="1"/>
        <v>570.5881844</v>
      </c>
      <c r="P23" s="146">
        <v>44440</v>
      </c>
      <c r="Q23" s="179">
        <v>-4.99999986</v>
      </c>
      <c r="R23" s="179">
        <v>0</v>
      </c>
      <c r="S23" s="179">
        <v>0</v>
      </c>
      <c r="T23" s="179">
        <v>2.49876343999996</v>
      </c>
      <c r="U23" s="179">
        <f t="shared" si="2"/>
        <v>-2.50123642000004</v>
      </c>
      <c r="W23" s="180">
        <v>44440</v>
      </c>
      <c r="X23" s="181">
        <v>6.08799234</v>
      </c>
      <c r="Y23" s="182">
        <v>0</v>
      </c>
      <c r="Z23" s="181">
        <v>0</v>
      </c>
      <c r="AA23" s="181">
        <v>3.2931073</v>
      </c>
      <c r="AB23" s="181">
        <f t="shared" si="3"/>
        <v>9.38109964</v>
      </c>
      <c r="AD23" s="180">
        <v>44440</v>
      </c>
      <c r="AE23" s="181">
        <f t="shared" si="4"/>
        <v>760.027028799999</v>
      </c>
      <c r="AF23" s="181">
        <f t="shared" si="5"/>
        <v>550.623674339994</v>
      </c>
      <c r="AG23" s="181">
        <f t="shared" si="6"/>
        <v>1802.4883617999</v>
      </c>
      <c r="AH23" s="181">
        <f t="shared" si="7"/>
        <v>230.191676599999</v>
      </c>
      <c r="AI23" s="181">
        <f t="shared" si="8"/>
        <v>3343.33074153989</v>
      </c>
      <c r="AJ23" s="181">
        <f t="shared" si="9"/>
        <v>0</v>
      </c>
      <c r="AL23" s="143" t="s">
        <v>293</v>
      </c>
      <c r="AM23" s="156">
        <f>SUM(AE15:AE23)</f>
        <v>5489.86363906</v>
      </c>
      <c r="AN23" s="156">
        <f>SUM(AF15:AF23)</f>
        <v>7345.98348548008</v>
      </c>
      <c r="AO23" s="156">
        <f>SUM(AG15:AG23)</f>
        <v>15821.2797460399</v>
      </c>
      <c r="AP23" s="156">
        <f>SUM(AH15:AH23)</f>
        <v>3184.50854608</v>
      </c>
      <c r="AQ23" s="156">
        <f t="shared" si="10"/>
        <v>31841.63541666</v>
      </c>
      <c r="AS23" s="143" t="s">
        <v>293</v>
      </c>
      <c r="AT23" s="140">
        <f t="shared" si="11"/>
        <v>0.172411484750172</v>
      </c>
      <c r="AU23" s="140">
        <f t="shared" si="12"/>
        <v>0.23070371195936</v>
      </c>
      <c r="AV23" s="140">
        <f t="shared" si="13"/>
        <v>0.496873968281227</v>
      </c>
      <c r="AW23" s="140">
        <f t="shared" si="14"/>
        <v>0.100010835009241</v>
      </c>
      <c r="AX23" s="143">
        <f t="shared" si="15"/>
        <v>1</v>
      </c>
      <c r="AZ23" s="137" t="s">
        <v>293</v>
      </c>
      <c r="BA23" s="157">
        <v>3217.26553556</v>
      </c>
      <c r="BB23" s="157">
        <v>7345.98348548008</v>
      </c>
      <c r="BC23" s="157">
        <v>14118.2974984799</v>
      </c>
      <c r="BD23" s="157">
        <v>2971.1512023</v>
      </c>
      <c r="BE23" s="157">
        <v>27652.69772182</v>
      </c>
    </row>
    <row r="24" hidden="1" spans="1:57">
      <c r="A24" s="146">
        <v>44470</v>
      </c>
      <c r="B24" s="179">
        <v>223.609979180001</v>
      </c>
      <c r="C24" s="179">
        <v>533.787605780393</v>
      </c>
      <c r="D24" s="179">
        <v>842.037553900002</v>
      </c>
      <c r="E24" s="179">
        <v>333.63151354</v>
      </c>
      <c r="F24" s="179">
        <f t="shared" si="0"/>
        <v>1933.0666524004</v>
      </c>
      <c r="I24" s="146">
        <v>44470</v>
      </c>
      <c r="J24" s="179">
        <v>100.33987242</v>
      </c>
      <c r="K24" s="179">
        <v>0</v>
      </c>
      <c r="L24" s="179">
        <v>144.03379534</v>
      </c>
      <c r="M24" s="179">
        <v>4.46531784</v>
      </c>
      <c r="N24" s="179">
        <f t="shared" si="1"/>
        <v>248.8389856</v>
      </c>
      <c r="P24" s="146">
        <v>44470</v>
      </c>
      <c r="Q24" s="179">
        <v>0</v>
      </c>
      <c r="R24" s="179">
        <v>0</v>
      </c>
      <c r="S24" s="179">
        <v>0.57000016</v>
      </c>
      <c r="T24" s="179">
        <v>-56.13124106</v>
      </c>
      <c r="U24" s="179">
        <f t="shared" si="2"/>
        <v>-55.5612409</v>
      </c>
      <c r="W24" s="180">
        <v>44470</v>
      </c>
      <c r="X24" s="181">
        <v>15.10967142</v>
      </c>
      <c r="Y24" s="182">
        <v>0</v>
      </c>
      <c r="Z24" s="181">
        <v>0</v>
      </c>
      <c r="AA24" s="181">
        <v>5.6083328</v>
      </c>
      <c r="AB24" s="181">
        <f t="shared" si="3"/>
        <v>20.71800422</v>
      </c>
      <c r="AD24" s="180">
        <v>44470</v>
      </c>
      <c r="AE24" s="181">
        <f t="shared" si="4"/>
        <v>339.059523020001</v>
      </c>
      <c r="AF24" s="181">
        <f t="shared" si="5"/>
        <v>533.787605780393</v>
      </c>
      <c r="AG24" s="181">
        <f t="shared" si="6"/>
        <v>986.641349400002</v>
      </c>
      <c r="AH24" s="181">
        <f t="shared" si="7"/>
        <v>287.57392312</v>
      </c>
      <c r="AI24" s="181">
        <f t="shared" si="8"/>
        <v>2147.0624013204</v>
      </c>
      <c r="AJ24" s="181">
        <f t="shared" si="9"/>
        <v>0</v>
      </c>
      <c r="AL24" s="143" t="s">
        <v>294</v>
      </c>
      <c r="AM24" s="156">
        <f>SUM(AE15:AE24)</f>
        <v>5828.92316208</v>
      </c>
      <c r="AN24" s="156">
        <f>SUM(AF15:AF24)</f>
        <v>7879.77109126048</v>
      </c>
      <c r="AO24" s="156">
        <f>SUM(AG15:AG24)</f>
        <v>16807.9210954399</v>
      </c>
      <c r="AP24" s="156">
        <f>SUM(AH15:AH24)</f>
        <v>3472.0824692</v>
      </c>
      <c r="AQ24" s="156">
        <f t="shared" si="10"/>
        <v>33988.6978179804</v>
      </c>
      <c r="AS24" s="143" t="s">
        <v>294</v>
      </c>
      <c r="AT24" s="140">
        <f t="shared" si="11"/>
        <v>0.171495924712845</v>
      </c>
      <c r="AU24" s="140">
        <f t="shared" si="12"/>
        <v>0.231835039208004</v>
      </c>
      <c r="AV24" s="140">
        <f t="shared" si="13"/>
        <v>0.494515005707231</v>
      </c>
      <c r="AW24" s="140">
        <f t="shared" si="14"/>
        <v>0.102154030371921</v>
      </c>
      <c r="AX24" s="143">
        <f t="shared" si="15"/>
        <v>1</v>
      </c>
      <c r="AZ24" s="137" t="s">
        <v>294</v>
      </c>
      <c r="BA24" s="157">
        <v>3440.87551474</v>
      </c>
      <c r="BB24" s="157">
        <v>7879.77109126048</v>
      </c>
      <c r="BC24" s="157">
        <v>14960.3350523799</v>
      </c>
      <c r="BD24" s="157">
        <v>3304.78271584</v>
      </c>
      <c r="BE24" s="157">
        <v>29585.7643742204</v>
      </c>
    </row>
    <row r="25" hidden="1" spans="1:57">
      <c r="A25" s="146">
        <v>44501</v>
      </c>
      <c r="B25" s="179">
        <v>462.204964999999</v>
      </c>
      <c r="C25" s="179">
        <v>453.201376160007</v>
      </c>
      <c r="D25" s="179">
        <v>1766.85604986</v>
      </c>
      <c r="E25" s="179">
        <v>181.29136562</v>
      </c>
      <c r="F25" s="179">
        <f t="shared" si="0"/>
        <v>2863.55375664001</v>
      </c>
      <c r="I25" s="146">
        <v>44501</v>
      </c>
      <c r="J25" s="179">
        <v>444.2008599</v>
      </c>
      <c r="K25" s="179">
        <v>0</v>
      </c>
      <c r="L25" s="179">
        <f>1017.12313038</f>
        <v>1017.12313038</v>
      </c>
      <c r="M25" s="179">
        <v>0.47012166</v>
      </c>
      <c r="N25" s="179">
        <f t="shared" si="1"/>
        <v>1461.79411194</v>
      </c>
      <c r="P25" s="146">
        <v>44501</v>
      </c>
      <c r="Q25" s="179">
        <v>2.21745322</v>
      </c>
      <c r="R25" s="179">
        <v>0</v>
      </c>
      <c r="S25" s="179">
        <v>0</v>
      </c>
      <c r="T25" s="179">
        <v>323.37468336</v>
      </c>
      <c r="U25" s="179">
        <f t="shared" si="2"/>
        <v>325.59213658</v>
      </c>
      <c r="W25" s="180">
        <v>44501</v>
      </c>
      <c r="X25" s="181">
        <v>-3.97010068</v>
      </c>
      <c r="Y25" s="182">
        <v>0</v>
      </c>
      <c r="Z25" s="181">
        <v>0</v>
      </c>
      <c r="AA25" s="181">
        <v>7.49087372</v>
      </c>
      <c r="AB25" s="181">
        <f t="shared" si="3"/>
        <v>3.52077304</v>
      </c>
      <c r="AD25" s="180">
        <v>44501</v>
      </c>
      <c r="AE25" s="181">
        <f t="shared" si="4"/>
        <v>904.653177439999</v>
      </c>
      <c r="AF25" s="181">
        <f t="shared" si="5"/>
        <v>453.201376160007</v>
      </c>
      <c r="AG25" s="181">
        <f t="shared" si="6"/>
        <v>2783.97918024</v>
      </c>
      <c r="AH25" s="181">
        <f t="shared" si="7"/>
        <v>512.62704436</v>
      </c>
      <c r="AI25" s="181">
        <f t="shared" si="8"/>
        <v>4654.46077820001</v>
      </c>
      <c r="AJ25" s="181">
        <f t="shared" si="9"/>
        <v>0</v>
      </c>
      <c r="AL25" s="143" t="s">
        <v>295</v>
      </c>
      <c r="AM25" s="156">
        <f>SUM(AE15:AE25)</f>
        <v>6733.57633952</v>
      </c>
      <c r="AN25" s="156">
        <f>SUM(AF15:AF25)</f>
        <v>8332.97246742048</v>
      </c>
      <c r="AO25" s="156">
        <f>SUM(AG15:AG25)</f>
        <v>19591.9002756799</v>
      </c>
      <c r="AP25" s="156">
        <f>SUM(AH15:AH25)</f>
        <v>3984.70951356</v>
      </c>
      <c r="AQ25" s="156">
        <f t="shared" si="10"/>
        <v>38643.1585961804</v>
      </c>
      <c r="AS25" s="143" t="s">
        <v>295</v>
      </c>
      <c r="AT25" s="140">
        <f t="shared" si="11"/>
        <v>0.17425015407994</v>
      </c>
      <c r="AU25" s="140">
        <f t="shared" si="12"/>
        <v>0.2156390101156</v>
      </c>
      <c r="AV25" s="140">
        <f t="shared" si="13"/>
        <v>0.506995312686899</v>
      </c>
      <c r="AW25" s="140">
        <f t="shared" si="14"/>
        <v>0.103115523117561</v>
      </c>
      <c r="AX25" s="143">
        <f t="shared" si="15"/>
        <v>1</v>
      </c>
      <c r="AZ25" s="137" t="s">
        <v>295</v>
      </c>
      <c r="BA25" s="157">
        <v>3903.08047974</v>
      </c>
      <c r="BB25" s="157">
        <v>8332.97246742048</v>
      </c>
      <c r="BC25" s="157">
        <v>16727.1911022399</v>
      </c>
      <c r="BD25" s="157">
        <v>3486.07408146</v>
      </c>
      <c r="BE25" s="157">
        <v>32449.3181308604</v>
      </c>
    </row>
    <row r="26" hidden="1" spans="1:57">
      <c r="A26" s="146">
        <v>44531</v>
      </c>
      <c r="B26" s="179">
        <v>-54.8798023599988</v>
      </c>
      <c r="C26" s="179">
        <v>286.937020660003</v>
      </c>
      <c r="D26" s="179">
        <f>3497.65611226+3013980.6/10000-1126936.84*1.06/10000+1145995.76/10000</f>
        <v>3794.19844322</v>
      </c>
      <c r="E26" s="179">
        <f>169.845578359999+785557.6/10000</f>
        <v>248.401338359999</v>
      </c>
      <c r="F26" s="179">
        <f t="shared" si="0"/>
        <v>4274.65699988</v>
      </c>
      <c r="I26" s="146">
        <v>44531</v>
      </c>
      <c r="J26" s="179">
        <v>137.75378612</v>
      </c>
      <c r="K26" s="179">
        <v>0</v>
      </c>
      <c r="L26" s="179">
        <v>273.04712568</v>
      </c>
      <c r="M26" s="179">
        <v>31.82778684</v>
      </c>
      <c r="N26" s="179">
        <f t="shared" si="1"/>
        <v>442.62869864</v>
      </c>
      <c r="P26" s="146">
        <v>44531</v>
      </c>
      <c r="Q26" s="179">
        <v>6.03623042</v>
      </c>
      <c r="R26" s="179">
        <v>0</v>
      </c>
      <c r="S26" s="179">
        <v>0.72400014</v>
      </c>
      <c r="T26" s="179">
        <v>11.3193764199998</v>
      </c>
      <c r="U26" s="179">
        <f t="shared" si="2"/>
        <v>18.0796069799998</v>
      </c>
      <c r="W26" s="180">
        <v>44531</v>
      </c>
      <c r="X26" s="181">
        <v>17.84563318</v>
      </c>
      <c r="Y26" s="182">
        <v>0</v>
      </c>
      <c r="Z26" s="181">
        <v>0</v>
      </c>
      <c r="AA26" s="181">
        <v>6.7942714</v>
      </c>
      <c r="AB26" s="181">
        <f t="shared" si="3"/>
        <v>24.63990458</v>
      </c>
      <c r="AD26" s="180">
        <v>44531</v>
      </c>
      <c r="AE26" s="181">
        <f t="shared" si="4"/>
        <v>106.755847360001</v>
      </c>
      <c r="AF26" s="181">
        <f t="shared" si="5"/>
        <v>286.937020660003</v>
      </c>
      <c r="AG26" s="181">
        <f t="shared" si="6"/>
        <v>4067.96956904</v>
      </c>
      <c r="AH26" s="181">
        <f t="shared" si="7"/>
        <v>298.342773019999</v>
      </c>
      <c r="AI26" s="181">
        <f t="shared" si="8"/>
        <v>4760.00521008</v>
      </c>
      <c r="AJ26" s="181">
        <f t="shared" si="9"/>
        <v>0</v>
      </c>
      <c r="AL26" s="183" t="s">
        <v>296</v>
      </c>
      <c r="AM26" s="184">
        <f>SUM(AE15:AE26)</f>
        <v>6840.33218688</v>
      </c>
      <c r="AN26" s="184">
        <f>SUM(AF15:AF26)</f>
        <v>8619.90948808049</v>
      </c>
      <c r="AO26" s="184">
        <f>SUM(AG15:AG26)</f>
        <v>23659.8698447199</v>
      </c>
      <c r="AP26" s="184">
        <f>SUM(AH15:AH26)</f>
        <v>4283.05228658</v>
      </c>
      <c r="AQ26" s="184">
        <f t="shared" si="10"/>
        <v>43403.1638062604</v>
      </c>
      <c r="AS26" s="143" t="s">
        <v>296</v>
      </c>
      <c r="AT26" s="140">
        <f t="shared" si="11"/>
        <v>0.157599851877465</v>
      </c>
      <c r="AU26" s="140">
        <f t="shared" si="12"/>
        <v>0.198600948229428</v>
      </c>
      <c r="AV26" s="140">
        <f t="shared" si="13"/>
        <v>0.545118552885475</v>
      </c>
      <c r="AW26" s="140">
        <f t="shared" si="14"/>
        <v>0.0986806470076317</v>
      </c>
      <c r="AX26" s="143">
        <f t="shared" si="15"/>
        <v>1</v>
      </c>
      <c r="AZ26" s="137" t="s">
        <v>296</v>
      </c>
      <c r="BA26" s="157">
        <v>3848.20067738</v>
      </c>
      <c r="BB26" s="157">
        <v>8619.90948808049</v>
      </c>
      <c r="BC26" s="157">
        <v>20521.3895454599</v>
      </c>
      <c r="BD26" s="157">
        <v>3734.47541982</v>
      </c>
      <c r="BE26" s="157">
        <v>36723.9751307404</v>
      </c>
    </row>
    <row r="27" hidden="1" spans="1:57">
      <c r="A27" s="148">
        <v>44562</v>
      </c>
      <c r="B27" s="185">
        <v>415.719937160002</v>
      </c>
      <c r="C27" s="185">
        <v>174.161129659995</v>
      </c>
      <c r="D27" s="185">
        <v>1453.40840446</v>
      </c>
      <c r="E27" s="185">
        <v>373.950523460003</v>
      </c>
      <c r="F27" s="185">
        <f t="shared" si="0"/>
        <v>2417.23999474</v>
      </c>
      <c r="I27" s="148">
        <v>44562</v>
      </c>
      <c r="J27" s="185">
        <v>-51.1732066</v>
      </c>
      <c r="K27" s="185">
        <v>0</v>
      </c>
      <c r="L27" s="185">
        <v>202.543453</v>
      </c>
      <c r="M27" s="185">
        <v>10.352368</v>
      </c>
      <c r="N27" s="185">
        <f t="shared" si="1"/>
        <v>161.7226144</v>
      </c>
      <c r="P27" s="148">
        <v>44562</v>
      </c>
      <c r="Q27" s="185">
        <v>-1.69375174</v>
      </c>
      <c r="R27" s="185">
        <v>0</v>
      </c>
      <c r="S27" s="185">
        <v>0</v>
      </c>
      <c r="T27" s="185">
        <v>-14.2624929200002</v>
      </c>
      <c r="U27" s="185">
        <f t="shared" si="2"/>
        <v>-15.9562446600002</v>
      </c>
      <c r="W27" s="186">
        <v>44562</v>
      </c>
      <c r="X27" s="185">
        <v>0.25894634</v>
      </c>
      <c r="Y27" s="187">
        <v>0</v>
      </c>
      <c r="Z27" s="185">
        <v>0</v>
      </c>
      <c r="AA27" s="185">
        <v>8.61466876</v>
      </c>
      <c r="AB27" s="185">
        <f t="shared" si="3"/>
        <v>8.8736151</v>
      </c>
      <c r="AD27" s="186">
        <v>44562</v>
      </c>
      <c r="AE27" s="185">
        <f t="shared" si="4"/>
        <v>363.111925160002</v>
      </c>
      <c r="AF27" s="185">
        <f t="shared" si="5"/>
        <v>174.161129659995</v>
      </c>
      <c r="AG27" s="185">
        <f t="shared" si="6"/>
        <v>1655.95185746</v>
      </c>
      <c r="AH27" s="185">
        <f t="shared" si="7"/>
        <v>378.655067300003</v>
      </c>
      <c r="AI27" s="185">
        <f t="shared" si="8"/>
        <v>2571.87997958</v>
      </c>
      <c r="AJ27" s="188">
        <f t="shared" si="9"/>
        <v>0</v>
      </c>
      <c r="AL27" s="189" t="s">
        <v>180</v>
      </c>
      <c r="AM27" s="190">
        <f>AE27</f>
        <v>363.111925160002</v>
      </c>
      <c r="AN27" s="190">
        <f>AF27</f>
        <v>174.161129659995</v>
      </c>
      <c r="AO27" s="190">
        <f>AG27</f>
        <v>1655.95185746</v>
      </c>
      <c r="AP27" s="190">
        <f>AH27</f>
        <v>378.655067300003</v>
      </c>
      <c r="AQ27" s="190">
        <f t="shared" si="10"/>
        <v>2571.87997958</v>
      </c>
      <c r="AR27" s="191"/>
      <c r="AS27" s="189" t="s">
        <v>180</v>
      </c>
      <c r="AT27" s="192">
        <f t="shared" si="11"/>
        <v>0.141185408356147</v>
      </c>
      <c r="AU27" s="192">
        <f t="shared" si="12"/>
        <v>0.0677174405659615</v>
      </c>
      <c r="AV27" s="192">
        <f t="shared" si="13"/>
        <v>0.643868248366094</v>
      </c>
      <c r="AW27" s="193">
        <f t="shared" si="14"/>
        <v>0.147228902711797</v>
      </c>
      <c r="AX27" s="194">
        <f t="shared" si="15"/>
        <v>1</v>
      </c>
      <c r="AZ27" s="137" t="s">
        <v>180</v>
      </c>
      <c r="BA27" s="157">
        <v>415.719937160002</v>
      </c>
      <c r="BB27" s="157">
        <v>174.161129659995</v>
      </c>
      <c r="BC27" s="157">
        <v>1453.40840446</v>
      </c>
      <c r="BD27" s="157">
        <v>373.950523460003</v>
      </c>
      <c r="BE27" s="157">
        <v>2417.23999474</v>
      </c>
    </row>
    <row r="28" hidden="1" spans="1:57">
      <c r="A28" s="148">
        <v>44593</v>
      </c>
      <c r="B28" s="185">
        <v>221.051268759999</v>
      </c>
      <c r="C28" s="185">
        <v>278.826544799799</v>
      </c>
      <c r="D28" s="185">
        <v>647.5564926599</v>
      </c>
      <c r="E28" s="185">
        <v>262.57616632</v>
      </c>
      <c r="F28" s="185">
        <f t="shared" si="0"/>
        <v>1410.0104725397</v>
      </c>
      <c r="I28" s="148">
        <v>44593</v>
      </c>
      <c r="J28" s="185">
        <v>502.32813502</v>
      </c>
      <c r="K28" s="185">
        <v>0</v>
      </c>
      <c r="L28" s="185">
        <v>193.02708332</v>
      </c>
      <c r="M28" s="185">
        <v>3.484379</v>
      </c>
      <c r="N28" s="185">
        <f t="shared" si="1"/>
        <v>698.83959734</v>
      </c>
      <c r="P28" s="148">
        <v>44593</v>
      </c>
      <c r="Q28" s="185">
        <v>0.10716918</v>
      </c>
      <c r="R28" s="185">
        <v>0</v>
      </c>
      <c r="S28" s="185">
        <v>9.44999964</v>
      </c>
      <c r="T28" s="185">
        <v>-106.6247375</v>
      </c>
      <c r="U28" s="185">
        <f t="shared" si="2"/>
        <v>-97.06756868</v>
      </c>
      <c r="W28" s="186">
        <v>44593</v>
      </c>
      <c r="X28" s="185">
        <v>0.85740538</v>
      </c>
      <c r="Y28" s="187">
        <v>0</v>
      </c>
      <c r="Z28" s="185">
        <v>0</v>
      </c>
      <c r="AA28" s="185">
        <v>9.47129822</v>
      </c>
      <c r="AB28" s="185">
        <f t="shared" si="3"/>
        <v>10.3287036</v>
      </c>
      <c r="AD28" s="186">
        <v>44593</v>
      </c>
      <c r="AE28" s="185">
        <f t="shared" si="4"/>
        <v>724.343978339999</v>
      </c>
      <c r="AF28" s="185">
        <f t="shared" si="5"/>
        <v>278.826544799799</v>
      </c>
      <c r="AG28" s="185">
        <f t="shared" si="6"/>
        <v>850.0335756199</v>
      </c>
      <c r="AH28" s="185">
        <f t="shared" si="7"/>
        <v>168.90710604</v>
      </c>
      <c r="AI28" s="185">
        <f t="shared" si="8"/>
        <v>2022.1112047997</v>
      </c>
      <c r="AJ28" s="188">
        <f t="shared" si="9"/>
        <v>0</v>
      </c>
      <c r="AL28" s="189" t="s">
        <v>181</v>
      </c>
      <c r="AM28" s="190">
        <f>SUM(AE27:AE28)</f>
        <v>1087.4559035</v>
      </c>
      <c r="AN28" s="190">
        <f>SUM(AF27:AF28)</f>
        <v>452.987674459794</v>
      </c>
      <c r="AO28" s="190">
        <f>SUM(AG27:AG28)</f>
        <v>2505.9854330799</v>
      </c>
      <c r="AP28" s="190">
        <f>SUM(AH27:AH28)</f>
        <v>547.562173340003</v>
      </c>
      <c r="AQ28" s="190">
        <f t="shared" si="10"/>
        <v>4593.9911843797</v>
      </c>
      <c r="AR28" s="191"/>
      <c r="AS28" s="189" t="s">
        <v>181</v>
      </c>
      <c r="AT28" s="192">
        <f t="shared" si="11"/>
        <v>0.236712666580102</v>
      </c>
      <c r="AU28" s="192">
        <f t="shared" si="12"/>
        <v>0.0986043847885526</v>
      </c>
      <c r="AV28" s="192">
        <f t="shared" si="13"/>
        <v>0.545491998678763</v>
      </c>
      <c r="AW28" s="193">
        <f t="shared" si="14"/>
        <v>0.119190949952582</v>
      </c>
      <c r="AX28" s="194">
        <f t="shared" si="15"/>
        <v>1</v>
      </c>
      <c r="AZ28" s="137" t="s">
        <v>181</v>
      </c>
      <c r="BA28" s="157">
        <v>636.771205920001</v>
      </c>
      <c r="BB28" s="157">
        <v>452.987674459794</v>
      </c>
      <c r="BC28" s="157">
        <v>2100.9648971199</v>
      </c>
      <c r="BD28" s="157">
        <v>636.526689780003</v>
      </c>
      <c r="BE28" s="157">
        <v>3827.2504672797</v>
      </c>
    </row>
    <row r="29" hidden="1" spans="1:57">
      <c r="A29" s="148">
        <v>44621</v>
      </c>
      <c r="B29" s="185">
        <v>462.08027914001</v>
      </c>
      <c r="C29" s="185">
        <v>221.161068379897</v>
      </c>
      <c r="D29" s="185">
        <f>1749.7701880402+146.567852*1.06</f>
        <v>1905.1321111602</v>
      </c>
      <c r="E29" s="185">
        <v>454.048917259898</v>
      </c>
      <c r="F29" s="185">
        <f t="shared" si="0"/>
        <v>3042.42237594001</v>
      </c>
      <c r="I29" s="148">
        <v>44621</v>
      </c>
      <c r="J29" s="185">
        <v>23.70920232</v>
      </c>
      <c r="K29" s="185">
        <v>0</v>
      </c>
      <c r="L29" s="185">
        <v>327.83535416</v>
      </c>
      <c r="M29" s="185">
        <v>10.96680558</v>
      </c>
      <c r="N29" s="185">
        <f t="shared" si="1"/>
        <v>362.51136206</v>
      </c>
      <c r="P29" s="148">
        <v>44621</v>
      </c>
      <c r="Q29" s="185">
        <v>0.06497588</v>
      </c>
      <c r="R29" s="185">
        <v>0</v>
      </c>
      <c r="S29" s="185">
        <v>11.42585978</v>
      </c>
      <c r="T29" s="185">
        <v>-40.1705995200002</v>
      </c>
      <c r="U29" s="185">
        <f t="shared" si="2"/>
        <v>-28.6797638600002</v>
      </c>
      <c r="W29" s="186">
        <v>44621</v>
      </c>
      <c r="X29" s="185">
        <v>22.29000012</v>
      </c>
      <c r="Y29" s="187">
        <v>0</v>
      </c>
      <c r="Z29" s="185">
        <v>0</v>
      </c>
      <c r="AA29" s="185">
        <v>15.8348842</v>
      </c>
      <c r="AB29" s="185">
        <f t="shared" si="3"/>
        <v>38.12488432</v>
      </c>
      <c r="AD29" s="186">
        <v>44621</v>
      </c>
      <c r="AE29" s="185">
        <f t="shared" si="4"/>
        <v>508.14445746001</v>
      </c>
      <c r="AF29" s="185">
        <f t="shared" si="5"/>
        <v>221.161068379897</v>
      </c>
      <c r="AG29" s="185">
        <f t="shared" si="6"/>
        <v>2244.3933251002</v>
      </c>
      <c r="AH29" s="185">
        <f t="shared" si="7"/>
        <v>440.680007519898</v>
      </c>
      <c r="AI29" s="185">
        <f t="shared" si="8"/>
        <v>3414.37885846001</v>
      </c>
      <c r="AJ29" s="188">
        <f t="shared" si="9"/>
        <v>0</v>
      </c>
      <c r="AL29" s="189" t="s">
        <v>182</v>
      </c>
      <c r="AM29" s="190">
        <f>SUM(AE27:AE29)</f>
        <v>1595.60036096001</v>
      </c>
      <c r="AN29" s="190">
        <f>SUM(AF27:AF29)</f>
        <v>674.148742839691</v>
      </c>
      <c r="AO29" s="190">
        <f>SUM(AG27:AG29)</f>
        <v>4750.3787581801</v>
      </c>
      <c r="AP29" s="190">
        <f>SUM(AH27:AH29)</f>
        <v>988.242180859901</v>
      </c>
      <c r="AQ29" s="190">
        <f t="shared" si="10"/>
        <v>8008.3700428397</v>
      </c>
      <c r="AR29" s="191"/>
      <c r="AS29" s="189" t="s">
        <v>182</v>
      </c>
      <c r="AT29" s="192">
        <f t="shared" si="11"/>
        <v>0.199241587542104</v>
      </c>
      <c r="AU29" s="192">
        <f t="shared" si="12"/>
        <v>0.0841805185366588</v>
      </c>
      <c r="AV29" s="192">
        <f t="shared" si="13"/>
        <v>0.593176730441848</v>
      </c>
      <c r="AW29" s="193">
        <f t="shared" si="14"/>
        <v>0.123401163479389</v>
      </c>
      <c r="AX29" s="194">
        <f t="shared" si="15"/>
        <v>1</v>
      </c>
      <c r="AZ29" s="137" t="s">
        <v>182</v>
      </c>
      <c r="BA29" s="157">
        <v>1098.85148506001</v>
      </c>
      <c r="BB29" s="157">
        <v>674.148742839691</v>
      </c>
      <c r="BC29" s="157">
        <v>4006.0970082801</v>
      </c>
      <c r="BD29" s="157">
        <v>1090.5756070399</v>
      </c>
      <c r="BE29" s="157">
        <v>6869.6728432197</v>
      </c>
    </row>
    <row r="30" hidden="1" spans="1:57">
      <c r="A30" s="148">
        <v>44652</v>
      </c>
      <c r="B30" s="185">
        <v>483.342630359901</v>
      </c>
      <c r="C30" s="185">
        <v>235.771657060002</v>
      </c>
      <c r="D30" s="185">
        <f>1278.9378202401-11.900448*1.06</f>
        <v>1266.3233453601</v>
      </c>
      <c r="E30" s="185">
        <v>479.26412892</v>
      </c>
      <c r="F30" s="185">
        <f t="shared" si="0"/>
        <v>2464.7017617</v>
      </c>
      <c r="I30" s="148">
        <v>44652</v>
      </c>
      <c r="J30" s="185">
        <v>13.3679939</v>
      </c>
      <c r="K30" s="185">
        <v>0</v>
      </c>
      <c r="L30" s="185">
        <v>225.4543468</v>
      </c>
      <c r="M30" s="185">
        <v>6.02446972</v>
      </c>
      <c r="N30" s="185">
        <f t="shared" si="1"/>
        <v>244.84681042</v>
      </c>
      <c r="P30" s="148">
        <v>44652</v>
      </c>
      <c r="Q30" s="185">
        <v>0.13202724</v>
      </c>
      <c r="R30" s="185">
        <v>0</v>
      </c>
      <c r="S30" s="185">
        <v>14.63615034</v>
      </c>
      <c r="T30" s="185">
        <v>-33.56507384</v>
      </c>
      <c r="U30" s="185">
        <f t="shared" si="2"/>
        <v>-18.79689626</v>
      </c>
      <c r="W30" s="186">
        <v>44652</v>
      </c>
      <c r="X30" s="185">
        <v>0.70618684</v>
      </c>
      <c r="Y30" s="187">
        <v>0</v>
      </c>
      <c r="Z30" s="185">
        <v>0</v>
      </c>
      <c r="AA30" s="185">
        <v>0.7369385</v>
      </c>
      <c r="AB30" s="185">
        <f t="shared" si="3"/>
        <v>1.44312534</v>
      </c>
      <c r="AD30" s="186">
        <v>44652</v>
      </c>
      <c r="AE30" s="185">
        <f t="shared" si="4"/>
        <v>497.548838339901</v>
      </c>
      <c r="AF30" s="185">
        <f t="shared" si="5"/>
        <v>235.771657060002</v>
      </c>
      <c r="AG30" s="185">
        <f t="shared" si="6"/>
        <v>1506.4138425001</v>
      </c>
      <c r="AH30" s="185">
        <f t="shared" si="7"/>
        <v>452.4604633</v>
      </c>
      <c r="AI30" s="185">
        <f t="shared" si="8"/>
        <v>2692.1948012</v>
      </c>
      <c r="AJ30" s="188">
        <f t="shared" si="9"/>
        <v>0</v>
      </c>
      <c r="AL30" s="189" t="s">
        <v>183</v>
      </c>
      <c r="AM30" s="190">
        <f>SUM(AE27:AE30)</f>
        <v>2093.14919929991</v>
      </c>
      <c r="AN30" s="190">
        <f>SUM(AF27:AF30)</f>
        <v>909.920399899693</v>
      </c>
      <c r="AO30" s="190">
        <f>SUM(AG27:AG30)</f>
        <v>6256.7926006802</v>
      </c>
      <c r="AP30" s="190">
        <f>SUM(AH27:AH30)</f>
        <v>1440.7026441599</v>
      </c>
      <c r="AQ30" s="190">
        <f t="shared" si="10"/>
        <v>10700.5648440397</v>
      </c>
      <c r="AR30" s="191"/>
      <c r="AS30" s="189" t="s">
        <v>183</v>
      </c>
      <c r="AT30" s="192">
        <f t="shared" si="11"/>
        <v>0.195611094349455</v>
      </c>
      <c r="AU30" s="192">
        <f t="shared" si="12"/>
        <v>0.0850348007943268</v>
      </c>
      <c r="AV30" s="192">
        <f t="shared" si="13"/>
        <v>0.584716105352633</v>
      </c>
      <c r="AW30" s="193">
        <f t="shared" si="14"/>
        <v>0.134637999503585</v>
      </c>
      <c r="AX30" s="194">
        <f t="shared" si="15"/>
        <v>1</v>
      </c>
      <c r="AZ30" s="137" t="s">
        <v>183</v>
      </c>
      <c r="BA30" s="157">
        <v>1582.19411541991</v>
      </c>
      <c r="BB30" s="157">
        <v>909.920399899693</v>
      </c>
      <c r="BC30" s="157">
        <v>5272.4203536402</v>
      </c>
      <c r="BD30" s="157">
        <v>1569.8397359599</v>
      </c>
      <c r="BE30" s="157">
        <v>9334.37460491971</v>
      </c>
    </row>
    <row r="31" hidden="1" spans="1:57">
      <c r="A31" s="148">
        <v>44682</v>
      </c>
      <c r="B31" s="185">
        <v>255.904170900022</v>
      </c>
      <c r="C31" s="185">
        <v>261.198581400297</v>
      </c>
      <c r="D31" s="185">
        <f>1781.82149948+208.222596*1.06</f>
        <v>2002.53745124</v>
      </c>
      <c r="E31" s="185">
        <v>-74.2635379599987</v>
      </c>
      <c r="F31" s="185">
        <f t="shared" si="0"/>
        <v>2445.37666558032</v>
      </c>
      <c r="I31" s="148">
        <v>44682</v>
      </c>
      <c r="J31" s="185">
        <v>-25.46879278</v>
      </c>
      <c r="K31" s="185">
        <v>0</v>
      </c>
      <c r="L31" s="185">
        <v>146.70190756</v>
      </c>
      <c r="M31" s="185">
        <v>15.15283038</v>
      </c>
      <c r="N31" s="185">
        <f t="shared" si="1"/>
        <v>136.38594516</v>
      </c>
      <c r="P31" s="148">
        <v>44682</v>
      </c>
      <c r="Q31" s="185">
        <v>0</v>
      </c>
      <c r="R31" s="185">
        <v>0</v>
      </c>
      <c r="S31" s="185">
        <v>46.69070404</v>
      </c>
      <c r="T31" s="185">
        <v>-40.04566474</v>
      </c>
      <c r="U31" s="185">
        <f t="shared" si="2"/>
        <v>6.6450393</v>
      </c>
      <c r="W31" s="186">
        <v>44682</v>
      </c>
      <c r="X31" s="185">
        <v>13.0006138</v>
      </c>
      <c r="Y31" s="187">
        <v>0</v>
      </c>
      <c r="Z31" s="185">
        <v>0</v>
      </c>
      <c r="AA31" s="185">
        <v>8.08391404</v>
      </c>
      <c r="AB31" s="185">
        <f t="shared" si="3"/>
        <v>21.08452784</v>
      </c>
      <c r="AD31" s="186">
        <v>44682</v>
      </c>
      <c r="AE31" s="185">
        <f t="shared" si="4"/>
        <v>243.435991920022</v>
      </c>
      <c r="AF31" s="185">
        <f t="shared" si="5"/>
        <v>261.198581400297</v>
      </c>
      <c r="AG31" s="185">
        <f t="shared" si="6"/>
        <v>2195.93006284</v>
      </c>
      <c r="AH31" s="185">
        <f t="shared" si="7"/>
        <v>-91.0724582799987</v>
      </c>
      <c r="AI31" s="185">
        <f t="shared" si="8"/>
        <v>2609.49217788032</v>
      </c>
      <c r="AJ31" s="188">
        <f t="shared" si="9"/>
        <v>0</v>
      </c>
      <c r="AL31" s="189" t="s">
        <v>184</v>
      </c>
      <c r="AM31" s="190">
        <f>SUM(AE$27:AE31)</f>
        <v>2336.58519121993</v>
      </c>
      <c r="AN31" s="190">
        <f>SUM(AF$27:AF31)</f>
        <v>1171.11898129999</v>
      </c>
      <c r="AO31" s="190">
        <f>SUM(AG$27:AG31)</f>
        <v>8452.7226635202</v>
      </c>
      <c r="AP31" s="190">
        <f>SUM(AH$27:AH31)</f>
        <v>1349.6301858799</v>
      </c>
      <c r="AQ31" s="190">
        <f t="shared" si="10"/>
        <v>13310.05702192</v>
      </c>
      <c r="AR31" s="191"/>
      <c r="AS31" s="189" t="s">
        <v>184</v>
      </c>
      <c r="AT31" s="192">
        <f t="shared" si="11"/>
        <v>0.175550351690595</v>
      </c>
      <c r="AU31" s="192">
        <f t="shared" si="12"/>
        <v>0.0879875254757588</v>
      </c>
      <c r="AV31" s="192">
        <f t="shared" si="13"/>
        <v>0.635062843802969</v>
      </c>
      <c r="AW31" s="193">
        <f t="shared" si="14"/>
        <v>0.101399279030678</v>
      </c>
      <c r="AX31" s="194">
        <f t="shared" si="15"/>
        <v>1</v>
      </c>
      <c r="AZ31" s="137" t="s">
        <v>184</v>
      </c>
      <c r="BA31" s="157">
        <v>1838.09828631993</v>
      </c>
      <c r="BB31" s="157">
        <v>1171.11898129999</v>
      </c>
      <c r="BC31" s="157">
        <v>7274.9578048802</v>
      </c>
      <c r="BD31" s="157">
        <v>1495.5761979999</v>
      </c>
      <c r="BE31" s="157">
        <v>11779.7512705</v>
      </c>
    </row>
    <row r="32" hidden="1" spans="1:57">
      <c r="A32" s="148">
        <v>44713</v>
      </c>
      <c r="B32" s="185">
        <v>461.156574520011</v>
      </c>
      <c r="C32" s="185">
        <v>318.103063299997</v>
      </c>
      <c r="D32" s="185">
        <f>2397.19591002-280.713167*1.06</f>
        <v>2099.639953</v>
      </c>
      <c r="E32" s="185">
        <v>209.550847800098</v>
      </c>
      <c r="F32" s="185">
        <f t="shared" si="0"/>
        <v>3088.45043862011</v>
      </c>
      <c r="I32" s="148">
        <v>44713</v>
      </c>
      <c r="J32" s="185">
        <f>821.37546696-4002426.4402/10000</f>
        <v>421.13282294</v>
      </c>
      <c r="K32" s="185">
        <v>0</v>
      </c>
      <c r="L32" s="185">
        <v>270.34050578</v>
      </c>
      <c r="M32" s="185">
        <v>5.51476024</v>
      </c>
      <c r="N32" s="185">
        <f t="shared" si="1"/>
        <v>696.98808896</v>
      </c>
      <c r="P32" s="148">
        <v>44713</v>
      </c>
      <c r="Q32" s="185">
        <v>0</v>
      </c>
      <c r="R32" s="185">
        <v>0</v>
      </c>
      <c r="S32" s="185">
        <v>11.429556</v>
      </c>
      <c r="T32" s="185">
        <f>-20.51372314-461458.76/10000</f>
        <v>-66.65959914</v>
      </c>
      <c r="U32" s="185">
        <f t="shared" si="2"/>
        <v>-55.23004314</v>
      </c>
      <c r="W32" s="186">
        <v>44713</v>
      </c>
      <c r="X32" s="185">
        <v>6.64610672</v>
      </c>
      <c r="Y32" s="187">
        <v>0</v>
      </c>
      <c r="Z32" s="185">
        <v>0</v>
      </c>
      <c r="AA32" s="185">
        <f>144.16042612-1386687.6116/10000</f>
        <v>5.49166496000001</v>
      </c>
      <c r="AB32" s="185">
        <f t="shared" si="3"/>
        <v>12.13777168</v>
      </c>
      <c r="AD32" s="186">
        <v>44713</v>
      </c>
      <c r="AE32" s="185">
        <f t="shared" si="4"/>
        <v>888.935504180011</v>
      </c>
      <c r="AF32" s="185">
        <f t="shared" si="5"/>
        <v>318.103063299997</v>
      </c>
      <c r="AG32" s="185">
        <f t="shared" si="6"/>
        <v>2381.41001478</v>
      </c>
      <c r="AH32" s="185">
        <f t="shared" si="7"/>
        <v>153.897673860098</v>
      </c>
      <c r="AI32" s="185">
        <f t="shared" si="8"/>
        <v>3742.34625612011</v>
      </c>
      <c r="AJ32" s="188">
        <f t="shared" si="9"/>
        <v>0</v>
      </c>
      <c r="AL32" s="189" t="s">
        <v>185</v>
      </c>
      <c r="AM32" s="190">
        <f>SUM(AE$27:AE32)</f>
        <v>3225.52069539994</v>
      </c>
      <c r="AN32" s="190">
        <f>SUM(AF$27:AF32)</f>
        <v>1489.22204459999</v>
      </c>
      <c r="AO32" s="190">
        <f>SUM(AG$27:AG32)</f>
        <v>10834.1326783002</v>
      </c>
      <c r="AP32" s="190">
        <f>SUM(AH$27:AH32)</f>
        <v>1503.52785974</v>
      </c>
      <c r="AQ32" s="190">
        <f t="shared" si="10"/>
        <v>17052.4032780401</v>
      </c>
      <c r="AR32" s="191"/>
      <c r="AS32" s="189" t="s">
        <v>185</v>
      </c>
      <c r="AT32" s="192">
        <f t="shared" si="11"/>
        <v>0.189153437366434</v>
      </c>
      <c r="AU32" s="192">
        <f t="shared" si="12"/>
        <v>0.0873320915719716</v>
      </c>
      <c r="AV32" s="192">
        <f t="shared" si="13"/>
        <v>0.63534344699977</v>
      </c>
      <c r="AW32" s="193">
        <f t="shared" si="14"/>
        <v>0.0881710240618238</v>
      </c>
      <c r="AX32" s="194">
        <f t="shared" si="15"/>
        <v>1</v>
      </c>
      <c r="AZ32" s="137" t="s">
        <v>185</v>
      </c>
      <c r="BA32" s="157">
        <v>2299.25486083994</v>
      </c>
      <c r="BB32" s="157">
        <v>1489.22204459999</v>
      </c>
      <c r="BC32" s="157">
        <v>9374.5977578802</v>
      </c>
      <c r="BD32" s="157">
        <v>1705.1270458</v>
      </c>
      <c r="BE32" s="157">
        <v>14868.2017091201</v>
      </c>
    </row>
    <row r="33" hidden="1" spans="1:58">
      <c r="A33" s="148">
        <v>44743</v>
      </c>
      <c r="B33" s="185">
        <v>357.68882846</v>
      </c>
      <c r="C33" s="185">
        <v>328.75447592</v>
      </c>
      <c r="D33" s="185">
        <f>1407.25765466+15.963167*1.06</f>
        <v>1424.17861168</v>
      </c>
      <c r="E33" s="185">
        <v>431.43085864</v>
      </c>
      <c r="F33" s="185">
        <f t="shared" si="0"/>
        <v>2542.0527747</v>
      </c>
      <c r="I33" s="148">
        <v>44743</v>
      </c>
      <c r="J33" s="185">
        <v>323.63538718</v>
      </c>
      <c r="K33" s="185">
        <v>0</v>
      </c>
      <c r="L33" s="185">
        <v>123.40799946</v>
      </c>
      <c r="M33" s="185">
        <v>22.72319668</v>
      </c>
      <c r="N33" s="185">
        <f t="shared" si="1"/>
        <v>469.76658332</v>
      </c>
      <c r="P33" s="148">
        <v>44743</v>
      </c>
      <c r="Q33" s="185">
        <v>0</v>
      </c>
      <c r="R33" s="185">
        <v>0</v>
      </c>
      <c r="S33" s="185">
        <v>49.48897154</v>
      </c>
      <c r="T33" s="185">
        <v>56.66852432</v>
      </c>
      <c r="U33" s="185">
        <f t="shared" si="2"/>
        <v>106.15749586</v>
      </c>
      <c r="W33" s="186">
        <v>44743</v>
      </c>
      <c r="X33" s="185">
        <v>13.24818104</v>
      </c>
      <c r="Y33" s="187">
        <v>0</v>
      </c>
      <c r="Z33" s="185">
        <v>-0.0342645</v>
      </c>
      <c r="AA33" s="185">
        <v>2.338784</v>
      </c>
      <c r="AB33" s="185">
        <f t="shared" si="3"/>
        <v>15.55270054</v>
      </c>
      <c r="AD33" s="186">
        <v>44743</v>
      </c>
      <c r="AE33" s="185">
        <f t="shared" si="4"/>
        <v>694.57239668</v>
      </c>
      <c r="AF33" s="185">
        <f t="shared" si="5"/>
        <v>328.75447592</v>
      </c>
      <c r="AG33" s="185">
        <f t="shared" si="6"/>
        <v>1597.04131818</v>
      </c>
      <c r="AH33" s="185">
        <f t="shared" si="7"/>
        <v>513.16136364</v>
      </c>
      <c r="AI33" s="185">
        <f t="shared" si="8"/>
        <v>3133.52955442</v>
      </c>
      <c r="AJ33" s="188">
        <f t="shared" si="9"/>
        <v>0</v>
      </c>
      <c r="AL33" s="189" t="s">
        <v>186</v>
      </c>
      <c r="AM33" s="190">
        <f>SUM(AE$27:AE33)</f>
        <v>3920.09309207995</v>
      </c>
      <c r="AN33" s="190">
        <f>SUM(AF$27:AF33)</f>
        <v>1817.97652051999</v>
      </c>
      <c r="AO33" s="190">
        <f>SUM(AG$27:AG33)</f>
        <v>12431.1739964802</v>
      </c>
      <c r="AP33" s="190">
        <f>SUM(AH$27:AH33)</f>
        <v>2016.68922338</v>
      </c>
      <c r="AQ33" s="190">
        <f t="shared" si="10"/>
        <v>20185.9328324601</v>
      </c>
      <c r="AR33" s="191"/>
      <c r="AS33" s="189" t="s">
        <v>186</v>
      </c>
      <c r="AT33" s="192">
        <f t="shared" si="11"/>
        <v>0.194199253738535</v>
      </c>
      <c r="AU33" s="192">
        <f t="shared" si="12"/>
        <v>0.0900615560157111</v>
      </c>
      <c r="AV33" s="192">
        <f t="shared" si="13"/>
        <v>0.615833516323316</v>
      </c>
      <c r="AW33" s="193">
        <f t="shared" si="14"/>
        <v>0.0999056739224381</v>
      </c>
      <c r="AX33" s="194">
        <f t="shared" si="15"/>
        <v>1</v>
      </c>
      <c r="AZ33" s="137" t="s">
        <v>186</v>
      </c>
      <c r="BA33" s="157">
        <v>2656.94368929994</v>
      </c>
      <c r="BB33" s="157">
        <v>1817.97652051999</v>
      </c>
      <c r="BC33" s="157">
        <v>10798.7763695602</v>
      </c>
      <c r="BD33" s="157">
        <v>2136.55790444</v>
      </c>
      <c r="BE33" s="157">
        <v>17410.2544838201</v>
      </c>
    </row>
    <row r="34" hidden="1" spans="1:58">
      <c r="A34" s="148">
        <v>44774</v>
      </c>
      <c r="B34" s="185">
        <v>511.071954180001</v>
      </c>
      <c r="C34" s="185">
        <v>80.1307540600004</v>
      </c>
      <c r="D34" s="185">
        <f>2412.31793416+302.64*1.06</f>
        <v>2733.11633416</v>
      </c>
      <c r="E34" s="185">
        <v>1445.50099928</v>
      </c>
      <c r="F34" s="185">
        <f t="shared" si="0"/>
        <v>4769.82004168</v>
      </c>
      <c r="I34" s="148">
        <v>44774</v>
      </c>
      <c r="J34" s="185">
        <f>332.1508251-50.912318</f>
        <v>281.2385071</v>
      </c>
      <c r="K34" s="185">
        <v>12.0000003</v>
      </c>
      <c r="L34" s="185">
        <f>213.8241646-55.804324</f>
        <v>158.0198406</v>
      </c>
      <c r="M34" s="185">
        <v>7.91295406</v>
      </c>
      <c r="N34" s="185">
        <f t="shared" si="1"/>
        <v>459.17130206</v>
      </c>
      <c r="P34" s="148">
        <v>44774</v>
      </c>
      <c r="Q34" s="185">
        <v>0</v>
      </c>
      <c r="R34" s="185">
        <v>0</v>
      </c>
      <c r="S34" s="185">
        <v>12.2033666</v>
      </c>
      <c r="T34" s="185">
        <v>55.52490198</v>
      </c>
      <c r="U34" s="185">
        <f t="shared" si="2"/>
        <v>67.72826858</v>
      </c>
      <c r="W34" s="186">
        <v>44774</v>
      </c>
      <c r="X34" s="185">
        <f>-153.87611582+109.402302+51.577694</f>
        <v>7.10388018000001</v>
      </c>
      <c r="Y34" s="187">
        <v>0</v>
      </c>
      <c r="Z34" s="185">
        <f>-197.06060592+196.948106</f>
        <v>-0.112499920000005</v>
      </c>
      <c r="AA34" s="185">
        <f>72.84941796-65.12811296</f>
        <v>7.721305</v>
      </c>
      <c r="AB34" s="185">
        <f t="shared" si="3"/>
        <v>14.71268526</v>
      </c>
      <c r="AD34" s="186">
        <v>44774</v>
      </c>
      <c r="AE34" s="185">
        <f t="shared" si="4"/>
        <v>799.414341460001</v>
      </c>
      <c r="AF34" s="185">
        <f t="shared" si="5"/>
        <v>92.1307543600004</v>
      </c>
      <c r="AG34" s="185">
        <f t="shared" si="6"/>
        <v>2903.22704144</v>
      </c>
      <c r="AH34" s="185">
        <f t="shared" si="7"/>
        <v>1516.66016032</v>
      </c>
      <c r="AI34" s="185">
        <f t="shared" si="8"/>
        <v>5311.43229758</v>
      </c>
      <c r="AJ34" s="188">
        <f t="shared" si="9"/>
        <v>0</v>
      </c>
      <c r="AL34" s="189" t="s">
        <v>187</v>
      </c>
      <c r="AM34" s="190">
        <f>SUM(AE$27:AE34)</f>
        <v>4719.50743353995</v>
      </c>
      <c r="AN34" s="190">
        <f>SUM(AF$27:AF34)</f>
        <v>1910.10727487999</v>
      </c>
      <c r="AO34" s="190">
        <f>SUM(AG$27:AG34)</f>
        <v>15334.4010379202</v>
      </c>
      <c r="AP34" s="190">
        <f>SUM(AH$27:AH34)</f>
        <v>3533.3493837</v>
      </c>
      <c r="AQ34" s="190">
        <f t="shared" si="10"/>
        <v>25497.3651300401</v>
      </c>
      <c r="AR34" s="191"/>
      <c r="AS34" s="189" t="s">
        <v>187</v>
      </c>
      <c r="AT34" s="192">
        <f t="shared" si="11"/>
        <v>0.185097848717693</v>
      </c>
      <c r="AU34" s="192">
        <f t="shared" si="12"/>
        <v>0.0749139083641849</v>
      </c>
      <c r="AV34" s="192">
        <f t="shared" si="13"/>
        <v>0.601411203067949</v>
      </c>
      <c r="AW34" s="193">
        <f t="shared" si="14"/>
        <v>0.138577039850174</v>
      </c>
      <c r="AX34" s="194">
        <f t="shared" si="15"/>
        <v>1</v>
      </c>
      <c r="AZ34" s="137" t="s">
        <v>187</v>
      </c>
      <c r="BA34" s="157">
        <v>3168.01564347995</v>
      </c>
      <c r="BB34" s="157">
        <v>1898.10727457999</v>
      </c>
      <c r="BC34" s="157">
        <v>13531.8927037202</v>
      </c>
      <c r="BD34" s="157">
        <v>3582.05890372</v>
      </c>
      <c r="BE34" s="157">
        <v>22180.0745255001</v>
      </c>
    </row>
    <row r="35" hidden="1" spans="1:58">
      <c r="A35" s="148">
        <v>44805</v>
      </c>
      <c r="B35" s="185">
        <v>292.782998560001</v>
      </c>
      <c r="C35" s="185">
        <v>391.08024568</v>
      </c>
      <c r="D35" s="185">
        <f>1965.91679622-155.56*1.06</f>
        <v>1801.02319622</v>
      </c>
      <c r="E35" s="185">
        <v>380.51312582</v>
      </c>
      <c r="F35" s="185">
        <f t="shared" si="0"/>
        <v>2865.39956628</v>
      </c>
      <c r="I35" s="148">
        <v>44805</v>
      </c>
      <c r="J35" s="185">
        <v>31.62818248</v>
      </c>
      <c r="K35" s="185">
        <v>9.96634684</v>
      </c>
      <c r="L35" s="185">
        <f>130.84519584-15.262596</f>
        <v>115.58259984</v>
      </c>
      <c r="M35" s="185">
        <v>3.21859248</v>
      </c>
      <c r="N35" s="185">
        <f t="shared" si="1"/>
        <v>160.39572164</v>
      </c>
      <c r="P35" s="148">
        <v>44805</v>
      </c>
      <c r="Q35" s="185">
        <v>0</v>
      </c>
      <c r="R35" s="185">
        <v>0</v>
      </c>
      <c r="S35" s="185">
        <v>-16.5438122</v>
      </c>
      <c r="T35" s="185">
        <v>147.74788164</v>
      </c>
      <c r="U35" s="185">
        <f t="shared" si="2"/>
        <v>131.20406944</v>
      </c>
      <c r="W35" s="186">
        <v>44805</v>
      </c>
      <c r="X35" s="185">
        <v>5.49644238</v>
      </c>
      <c r="Y35" s="187">
        <v>-3</v>
      </c>
      <c r="Z35" s="185">
        <v>-4.42806202</v>
      </c>
      <c r="AA35" s="185">
        <v>9.4485591</v>
      </c>
      <c r="AB35" s="185">
        <f t="shared" si="3"/>
        <v>7.51693946</v>
      </c>
      <c r="AD35" s="186">
        <v>44805</v>
      </c>
      <c r="AE35" s="185">
        <f t="shared" si="4"/>
        <v>329.907623420001</v>
      </c>
      <c r="AF35" s="185">
        <f t="shared" si="5"/>
        <v>398.04659252</v>
      </c>
      <c r="AG35" s="185">
        <f t="shared" si="6"/>
        <v>1895.63392184</v>
      </c>
      <c r="AH35" s="185">
        <f t="shared" si="7"/>
        <v>540.92815904</v>
      </c>
      <c r="AI35" s="185">
        <f t="shared" si="8"/>
        <v>3164.51629682</v>
      </c>
      <c r="AJ35" s="188">
        <f t="shared" si="9"/>
        <v>0</v>
      </c>
      <c r="AL35" s="189" t="s">
        <v>188</v>
      </c>
      <c r="AM35" s="190">
        <f>SUM(AE$27:AE35)</f>
        <v>5049.41505695995</v>
      </c>
      <c r="AN35" s="190">
        <f>SUM(AF$27:AF35)</f>
        <v>2308.15386739999</v>
      </c>
      <c r="AO35" s="190">
        <f>SUM(AG$27:AG35)</f>
        <v>17230.0349597602</v>
      </c>
      <c r="AP35" s="190">
        <f>SUM(AH$27:AH35)</f>
        <v>4074.27754274</v>
      </c>
      <c r="AQ35" s="190">
        <f t="shared" si="10"/>
        <v>28661.8814268601</v>
      </c>
      <c r="AR35" s="191"/>
      <c r="AS35" s="189" t="s">
        <v>188</v>
      </c>
      <c r="AT35" s="192">
        <f t="shared" si="11"/>
        <v>0.176171793531598</v>
      </c>
      <c r="AU35" s="192">
        <f t="shared" si="12"/>
        <v>0.0805304380764387</v>
      </c>
      <c r="AV35" s="192">
        <f t="shared" si="13"/>
        <v>0.601148078981768</v>
      </c>
      <c r="AW35" s="193">
        <f t="shared" si="14"/>
        <v>0.142149689410195</v>
      </c>
      <c r="AX35" s="194">
        <f t="shared" si="15"/>
        <v>1</v>
      </c>
      <c r="AZ35" s="137" t="s">
        <v>188</v>
      </c>
      <c r="BA35" s="157">
        <v>3460.79864203995</v>
      </c>
      <c r="BB35" s="157">
        <v>2289.18752025999</v>
      </c>
      <c r="BC35" s="157">
        <v>15332.9158999402</v>
      </c>
      <c r="BD35" s="157">
        <v>3962.57202954</v>
      </c>
      <c r="BE35" s="157">
        <v>25045.4740917801</v>
      </c>
    </row>
    <row r="36" hidden="1" spans="1:58">
      <c r="A36" s="148">
        <v>44835</v>
      </c>
      <c r="B36" s="185">
        <v>440.93172026</v>
      </c>
      <c r="C36" s="185">
        <v>275.4914666</v>
      </c>
      <c r="D36" s="185">
        <f>1522.96789702-99.33*1.06</f>
        <v>1417.67809702</v>
      </c>
      <c r="E36" s="185">
        <v>706.14962446</v>
      </c>
      <c r="F36" s="185">
        <f t="shared" si="0"/>
        <v>2840.25090834</v>
      </c>
      <c r="I36" s="148">
        <v>44835</v>
      </c>
      <c r="J36" s="185">
        <f>374.78072956-3346001.91/10000</f>
        <v>40.18053856</v>
      </c>
      <c r="K36" s="185">
        <v>9.20373514</v>
      </c>
      <c r="L36" s="185">
        <f>492.69261312-1201974.45/10000-54.48/10000</f>
        <v>372.48972012</v>
      </c>
      <c r="M36" s="185">
        <v>9.77151354</v>
      </c>
      <c r="N36" s="185">
        <f t="shared" si="1"/>
        <v>431.64550736</v>
      </c>
      <c r="P36" s="148">
        <v>44835</v>
      </c>
      <c r="Q36" s="185">
        <v>0</v>
      </c>
      <c r="R36" s="185">
        <v>0</v>
      </c>
      <c r="S36" s="185">
        <v>-24.08955576</v>
      </c>
      <c r="T36" s="185">
        <v>19.95906966</v>
      </c>
      <c r="U36" s="185">
        <f t="shared" si="2"/>
        <v>-4.1304861</v>
      </c>
      <c r="W36" s="186">
        <v>44835</v>
      </c>
      <c r="X36" s="185">
        <v>5.61539452</v>
      </c>
      <c r="Y36" s="187">
        <v>0</v>
      </c>
      <c r="Z36" s="185">
        <f>-19.65784946+196578.49/10000</f>
        <v>-4.60000002533434e-7</v>
      </c>
      <c r="AA36" s="185">
        <f>85.28447512-786236.3/10000</f>
        <v>6.66084511999999</v>
      </c>
      <c r="AB36" s="185">
        <f t="shared" si="3"/>
        <v>12.27623918</v>
      </c>
      <c r="AD36" s="186">
        <v>44835</v>
      </c>
      <c r="AE36" s="185">
        <f t="shared" si="4"/>
        <v>486.72765334</v>
      </c>
      <c r="AF36" s="185">
        <f t="shared" si="5"/>
        <v>284.69520174</v>
      </c>
      <c r="AG36" s="185">
        <f t="shared" si="6"/>
        <v>1766.07826092</v>
      </c>
      <c r="AH36" s="185">
        <f t="shared" si="7"/>
        <v>742.54105278</v>
      </c>
      <c r="AI36" s="185">
        <f t="shared" si="8"/>
        <v>3280.04216878</v>
      </c>
      <c r="AJ36" s="188">
        <f t="shared" si="9"/>
        <v>0</v>
      </c>
      <c r="AL36" s="189" t="s">
        <v>189</v>
      </c>
      <c r="AM36" s="190">
        <f>SUM(AE$27:AE36)</f>
        <v>5536.14271029995</v>
      </c>
      <c r="AN36" s="190">
        <f>SUM(AF$27:AF36)</f>
        <v>2592.84906913999</v>
      </c>
      <c r="AO36" s="190">
        <f>SUM(AG$27:AG36)</f>
        <v>18996.1132206802</v>
      </c>
      <c r="AP36" s="190">
        <f>SUM(AH$27:AH36)</f>
        <v>4816.81859552</v>
      </c>
      <c r="AQ36" s="190">
        <f t="shared" si="10"/>
        <v>31941.9235956401</v>
      </c>
      <c r="AR36" s="191"/>
      <c r="AS36" s="189" t="s">
        <v>189</v>
      </c>
      <c r="AT36" s="192">
        <f t="shared" si="11"/>
        <v>0.173319014232931</v>
      </c>
      <c r="AU36" s="192">
        <f t="shared" si="12"/>
        <v>0.0811738548361532</v>
      </c>
      <c r="AV36" s="192">
        <f t="shared" si="13"/>
        <v>0.594707866099618</v>
      </c>
      <c r="AW36" s="193">
        <f t="shared" si="14"/>
        <v>0.150799264831297</v>
      </c>
      <c r="AX36" s="194">
        <f t="shared" si="15"/>
        <v>1</v>
      </c>
      <c r="AZ36" s="137" t="s">
        <v>189</v>
      </c>
      <c r="BA36" s="157">
        <v>3901.73036229995</v>
      </c>
      <c r="BB36" s="157">
        <v>2564.67898685999</v>
      </c>
      <c r="BC36" s="157">
        <v>16750.5939969602</v>
      </c>
      <c r="BD36" s="157">
        <v>4668.721654</v>
      </c>
      <c r="BE36" s="157">
        <v>27885.7250001201</v>
      </c>
    </row>
    <row r="37" hidden="1" spans="1:58">
      <c r="A37" s="148">
        <v>44866</v>
      </c>
      <c r="B37" s="185">
        <v>564.820933219999</v>
      </c>
      <c r="C37" s="185">
        <v>247.67335024</v>
      </c>
      <c r="D37" s="185">
        <f>2235.59010302+1551151.72*1.06/10000-166.06*1.06</f>
        <v>2223.98858534</v>
      </c>
      <c r="E37" s="185">
        <v>-77.4408111399982</v>
      </c>
      <c r="F37" s="185">
        <f t="shared" si="0"/>
        <v>2959.04205766</v>
      </c>
      <c r="I37" s="148">
        <v>44866</v>
      </c>
      <c r="J37" s="185">
        <f>-456.7482071+4817798.29*1.06/10000</f>
        <v>53.93841164</v>
      </c>
      <c r="K37" s="185">
        <v>16.32845518</v>
      </c>
      <c r="L37" s="185">
        <f>1871.99484962-1584219.13/10000-654996.22/10000-4817798.29*1.06/10000</f>
        <v>1137.38669588</v>
      </c>
      <c r="M37" s="185">
        <v>9.23449422</v>
      </c>
      <c r="N37" s="185">
        <f t="shared" si="1"/>
        <v>1216.88805692</v>
      </c>
      <c r="P37" s="148">
        <v>44866</v>
      </c>
      <c r="Q37" s="185">
        <v>0</v>
      </c>
      <c r="R37" s="185">
        <v>0</v>
      </c>
      <c r="S37" s="185">
        <v>-9.5518667</v>
      </c>
      <c r="T37" s="185">
        <v>2.95612481999997</v>
      </c>
      <c r="U37" s="185">
        <f t="shared" si="2"/>
        <v>-6.59574188000003</v>
      </c>
      <c r="W37" s="186">
        <v>44866</v>
      </c>
      <c r="X37" s="185">
        <f>7.51957958+68942.33/10000</f>
        <v>14.41381258</v>
      </c>
      <c r="Y37" s="187">
        <v>0</v>
      </c>
      <c r="Z37" s="185">
        <v>-0.0488002799999997</v>
      </c>
      <c r="AA37" s="185">
        <v>15.60800074</v>
      </c>
      <c r="AB37" s="185">
        <f t="shared" si="3"/>
        <v>29.97301304</v>
      </c>
      <c r="AD37" s="186">
        <v>44866</v>
      </c>
      <c r="AE37" s="185">
        <f t="shared" si="4"/>
        <v>633.173157439999</v>
      </c>
      <c r="AF37" s="185">
        <f t="shared" si="5"/>
        <v>264.00180542</v>
      </c>
      <c r="AG37" s="185">
        <f t="shared" si="6"/>
        <v>3351.77461424</v>
      </c>
      <c r="AH37" s="185">
        <f t="shared" si="7"/>
        <v>-49.6421913599982</v>
      </c>
      <c r="AI37" s="185">
        <f t="shared" si="8"/>
        <v>4199.30738574</v>
      </c>
      <c r="AJ37" s="188">
        <f t="shared" si="9"/>
        <v>0</v>
      </c>
      <c r="AL37" s="189" t="s">
        <v>190</v>
      </c>
      <c r="AM37" s="190">
        <f>SUM(AE$27:AE37)</f>
        <v>6169.31586773995</v>
      </c>
      <c r="AN37" s="190">
        <f>SUM(AF$27:AF37)</f>
        <v>2856.85087455999</v>
      </c>
      <c r="AO37" s="190">
        <f>SUM(AG$27:AG37)</f>
        <v>22347.8878349202</v>
      </c>
      <c r="AP37" s="190">
        <f>SUM(AH$27:AH37)</f>
        <v>4767.17640416</v>
      </c>
      <c r="AQ37" s="190">
        <f t="shared" si="10"/>
        <v>36141.2309813801</v>
      </c>
      <c r="AR37" s="191"/>
      <c r="AS37" s="189" t="s">
        <v>190</v>
      </c>
      <c r="AT37" s="192">
        <f t="shared" si="11"/>
        <v>0.170700214138206</v>
      </c>
      <c r="AU37" s="192">
        <f t="shared" si="12"/>
        <v>0.0790468613543305</v>
      </c>
      <c r="AV37" s="192">
        <f t="shared" si="13"/>
        <v>0.618348828417985</v>
      </c>
      <c r="AW37" s="193">
        <f t="shared" si="14"/>
        <v>0.131904096089478</v>
      </c>
      <c r="AX37" s="194">
        <f t="shared" si="15"/>
        <v>1</v>
      </c>
      <c r="AZ37" s="137" t="s">
        <v>190</v>
      </c>
      <c r="BA37" s="157">
        <v>4466.55129551995</v>
      </c>
      <c r="BB37" s="157">
        <v>2812.35233709999</v>
      </c>
      <c r="BC37" s="157">
        <v>18974.5825823002</v>
      </c>
      <c r="BD37" s="157">
        <v>4591.28084286</v>
      </c>
      <c r="BE37" s="157">
        <v>30844.7670577801</v>
      </c>
    </row>
    <row r="38" hidden="1" spans="1:58">
      <c r="A38" s="148">
        <v>44896</v>
      </c>
      <c r="B38" s="185">
        <v>653.70418148</v>
      </c>
      <c r="C38" s="185">
        <v>349.498680159999</v>
      </c>
      <c r="D38" s="185">
        <f>4991.5440916+184.5*1.06</f>
        <v>5187.1140916</v>
      </c>
      <c r="E38" s="185">
        <v>703.908558679997</v>
      </c>
      <c r="F38" s="185">
        <f t="shared" si="0"/>
        <v>6894.22551192</v>
      </c>
      <c r="I38" s="148">
        <v>44896</v>
      </c>
      <c r="J38" s="185">
        <f>296.25635462-194385.3/10000</f>
        <v>276.81782462</v>
      </c>
      <c r="K38" s="185">
        <v>9.0396005</v>
      </c>
      <c r="L38" s="185">
        <f>394.10007226-1262440.96/10000</f>
        <v>267.85597626</v>
      </c>
      <c r="M38" s="185">
        <f>-10.737429+194385.3/10000</f>
        <v>8.701101</v>
      </c>
      <c r="N38" s="185">
        <f t="shared" si="1"/>
        <v>562.41450238</v>
      </c>
      <c r="P38" s="148">
        <v>44896</v>
      </c>
      <c r="Q38" s="185">
        <v>0</v>
      </c>
      <c r="R38" s="185">
        <v>0</v>
      </c>
      <c r="S38" s="185">
        <v>0.17901068</v>
      </c>
      <c r="T38" s="185">
        <v>17.1998833</v>
      </c>
      <c r="U38" s="185">
        <f t="shared" si="2"/>
        <v>17.37889398</v>
      </c>
      <c r="W38" s="186">
        <v>44896</v>
      </c>
      <c r="X38" s="185">
        <f>146.27517276-1462653.77/10000</f>
        <v>0.00979576000000293</v>
      </c>
      <c r="Y38" s="187">
        <v>0</v>
      </c>
      <c r="Z38" s="185">
        <f>-801.46041486+7727106.553/10000</f>
        <v>-28.74975956</v>
      </c>
      <c r="AA38" s="185">
        <f>-47.38925146-189966.92/10000</f>
        <v>-66.38594346</v>
      </c>
      <c r="AB38" s="185">
        <f t="shared" si="3"/>
        <v>-95.12590726</v>
      </c>
      <c r="AD38" s="186">
        <v>44896</v>
      </c>
      <c r="AE38" s="185">
        <f t="shared" si="4"/>
        <v>930.53180186</v>
      </c>
      <c r="AF38" s="185">
        <f t="shared" si="5"/>
        <v>358.538280659999</v>
      </c>
      <c r="AG38" s="185">
        <f t="shared" si="6"/>
        <v>5426.39931898</v>
      </c>
      <c r="AH38" s="185">
        <f t="shared" si="7"/>
        <v>663.423599519997</v>
      </c>
      <c r="AI38" s="185">
        <f t="shared" si="8"/>
        <v>7378.89300102</v>
      </c>
      <c r="AJ38" s="188">
        <f t="shared" si="9"/>
        <v>0</v>
      </c>
      <c r="AL38" s="189" t="s">
        <v>191</v>
      </c>
      <c r="AM38" s="190">
        <f>SUM(AE$27:AE38)</f>
        <v>7099.84766959995</v>
      </c>
      <c r="AN38" s="190">
        <f>SUM(AF$27:AF38)</f>
        <v>3215.38915521999</v>
      </c>
      <c r="AO38" s="190">
        <f>SUM(AG$27:AG38)</f>
        <v>27774.2871539002</v>
      </c>
      <c r="AP38" s="190">
        <f>SUM(AH$27:AH38)</f>
        <v>5430.60000368</v>
      </c>
      <c r="AQ38" s="190">
        <f t="shared" si="10"/>
        <v>43520.1239824001</v>
      </c>
      <c r="AR38" s="191"/>
      <c r="AS38" s="189" t="s">
        <v>191</v>
      </c>
      <c r="AT38" s="192">
        <f t="shared" si="11"/>
        <v>0.16313941735256</v>
      </c>
      <c r="AU38" s="192">
        <f t="shared" si="12"/>
        <v>0.0738828123862955</v>
      </c>
      <c r="AV38" s="192">
        <f t="shared" si="13"/>
        <v>0.638194118314836</v>
      </c>
      <c r="AW38" s="193">
        <f t="shared" si="14"/>
        <v>0.124783651946308</v>
      </c>
      <c r="AX38" s="194">
        <f t="shared" si="15"/>
        <v>1</v>
      </c>
      <c r="AZ38" s="137" t="s">
        <v>191</v>
      </c>
      <c r="BA38" s="157">
        <v>5120.25547699995</v>
      </c>
      <c r="BB38" s="157">
        <v>3161.85101725999</v>
      </c>
      <c r="BC38" s="157">
        <v>24161.6966739002</v>
      </c>
      <c r="BD38" s="157">
        <v>5295.18940154</v>
      </c>
      <c r="BE38" s="157">
        <v>37738.9925697001</v>
      </c>
    </row>
    <row r="39" s="1" customFormat="1" spans="1:58">
      <c r="A39" s="144">
        <v>44927</v>
      </c>
      <c r="B39" s="195">
        <v>817.407197960002</v>
      </c>
      <c r="C39" s="195">
        <v>88.9428085999999</v>
      </c>
      <c r="D39" s="195">
        <f>2153.97856182+投资公司!D26*1.06</f>
        <v>2258.77334182</v>
      </c>
      <c r="E39" s="195">
        <v>563.540747900001</v>
      </c>
      <c r="F39" s="195">
        <f t="shared" si="0"/>
        <v>3728.66409628</v>
      </c>
      <c r="G39" s="196"/>
      <c r="H39" s="196"/>
      <c r="I39" s="144">
        <v>44927</v>
      </c>
      <c r="J39" s="195">
        <v>327.65234304</v>
      </c>
      <c r="K39" s="195">
        <v>12.2624987</v>
      </c>
      <c r="L39" s="195">
        <v>268.21921682</v>
      </c>
      <c r="M39" s="195">
        <v>7.15855418</v>
      </c>
      <c r="N39" s="195">
        <f t="shared" si="1"/>
        <v>615.29261274</v>
      </c>
      <c r="O39" s="197"/>
      <c r="P39" s="144">
        <v>44927</v>
      </c>
      <c r="Q39" s="195">
        <v>14.83200018</v>
      </c>
      <c r="R39" s="195">
        <v>0</v>
      </c>
      <c r="S39" s="195">
        <v>0.03200034</v>
      </c>
      <c r="T39" s="195">
        <v>-25.5983428</v>
      </c>
      <c r="U39" s="195">
        <f t="shared" si="2"/>
        <v>-10.73434228</v>
      </c>
      <c r="V39" s="56"/>
      <c r="W39" s="198">
        <v>44927</v>
      </c>
      <c r="X39" s="195">
        <v>0.20580324</v>
      </c>
      <c r="Y39" s="199">
        <v>0</v>
      </c>
      <c r="Z39" s="195">
        <v>0</v>
      </c>
      <c r="AA39" s="195">
        <v>9.8552493</v>
      </c>
      <c r="AB39" s="195">
        <f t="shared" si="3"/>
        <v>10.06105254</v>
      </c>
      <c r="AC39" s="155"/>
      <c r="AD39" s="198">
        <v>44927</v>
      </c>
      <c r="AE39" s="195">
        <f t="shared" si="4"/>
        <v>1160.09734442</v>
      </c>
      <c r="AF39" s="195">
        <f t="shared" si="5"/>
        <v>101.2053073</v>
      </c>
      <c r="AG39" s="195">
        <f t="shared" si="6"/>
        <v>2527.02455898</v>
      </c>
      <c r="AH39" s="195">
        <f t="shared" si="7"/>
        <v>554.956208580001</v>
      </c>
      <c r="AI39" s="195">
        <f t="shared" si="8"/>
        <v>4343.28341928</v>
      </c>
      <c r="AJ39" s="200">
        <f t="shared" si="9"/>
        <v>0</v>
      </c>
      <c r="AL39" s="201" t="s">
        <v>192</v>
      </c>
      <c r="AM39" s="202">
        <f>SUM(AE$39:AE39)</f>
        <v>1160.09734442</v>
      </c>
      <c r="AN39" s="202">
        <f>SUM(AF$39:AF39)</f>
        <v>101.2053073</v>
      </c>
      <c r="AO39" s="202">
        <f>SUM(AG$39:AG39)</f>
        <v>2527.02455898</v>
      </c>
      <c r="AP39" s="202">
        <f>SUM(AH$39:AH39)</f>
        <v>554.956208580001</v>
      </c>
      <c r="AQ39" s="202">
        <f t="shared" si="10"/>
        <v>4343.28341928</v>
      </c>
      <c r="AR39" s="43"/>
      <c r="AS39" s="201" t="s">
        <v>192</v>
      </c>
      <c r="AT39" s="203">
        <f t="shared" si="11"/>
        <v>0.267101460445865</v>
      </c>
      <c r="AU39" s="203">
        <f t="shared" si="12"/>
        <v>0.0233015664717494</v>
      </c>
      <c r="AV39" s="203">
        <f t="shared" si="13"/>
        <v>0.581823545698731</v>
      </c>
      <c r="AW39" s="203">
        <f t="shared" si="14"/>
        <v>0.127773427383654</v>
      </c>
      <c r="AX39" s="201">
        <f t="shared" si="15"/>
        <v>1</v>
      </c>
      <c r="AZ39" s="143" t="s">
        <v>192</v>
      </c>
      <c r="BA39" s="204">
        <v>817.407197960002</v>
      </c>
      <c r="BB39" s="204">
        <v>88.9428085999999</v>
      </c>
      <c r="BC39" s="204">
        <v>2258.77334182</v>
      </c>
      <c r="BD39" s="204">
        <v>563.540747900001</v>
      </c>
      <c r="BE39" s="204">
        <v>3728.66409628</v>
      </c>
      <c r="BF39" s="205"/>
    </row>
    <row r="40" s="1" customFormat="1" spans="1:58">
      <c r="A40" s="144">
        <v>44958</v>
      </c>
      <c r="B40" s="195">
        <v>307.96654032</v>
      </c>
      <c r="C40" s="195">
        <v>53.5697627200003</v>
      </c>
      <c r="D40" s="195">
        <f>1701.70774596+投资公司!E26*1.06</f>
        <v>1795.26970596</v>
      </c>
      <c r="E40" s="195">
        <v>723.252593019999</v>
      </c>
      <c r="F40" s="195">
        <f t="shared" si="0"/>
        <v>2880.05860202</v>
      </c>
      <c r="G40" s="196"/>
      <c r="H40" s="196"/>
      <c r="I40" s="144">
        <v>44958</v>
      </c>
      <c r="J40" s="195">
        <v>30.65241432</v>
      </c>
      <c r="K40" s="195">
        <v>7.38250038</v>
      </c>
      <c r="L40" s="195">
        <f>234.45925138-473567.99/10000</f>
        <v>187.10245238</v>
      </c>
      <c r="M40" s="195">
        <f>7.95893474</f>
        <v>7.95893474</v>
      </c>
      <c r="N40" s="195">
        <f t="shared" si="1"/>
        <v>233.09630182</v>
      </c>
      <c r="O40" s="197"/>
      <c r="P40" s="144">
        <v>44958</v>
      </c>
      <c r="Q40" s="195">
        <v>33.50000044</v>
      </c>
      <c r="R40" s="195">
        <v>0</v>
      </c>
      <c r="S40" s="195">
        <v>0.0391882</v>
      </c>
      <c r="T40" s="195">
        <v>-25.66983874</v>
      </c>
      <c r="U40" s="195">
        <f t="shared" si="2"/>
        <v>7.8693499</v>
      </c>
      <c r="V40" s="56"/>
      <c r="W40" s="198">
        <v>44958</v>
      </c>
      <c r="X40" s="195">
        <v>0.22532738</v>
      </c>
      <c r="Y40" s="199">
        <v>0</v>
      </c>
      <c r="Z40" s="195">
        <v>0</v>
      </c>
      <c r="AA40" s="195">
        <v>2.71527692</v>
      </c>
      <c r="AB40" s="195">
        <f t="shared" si="3"/>
        <v>2.9406043</v>
      </c>
      <c r="AC40" s="155"/>
      <c r="AD40" s="198">
        <v>44958</v>
      </c>
      <c r="AE40" s="195">
        <f t="shared" si="4"/>
        <v>372.34428246</v>
      </c>
      <c r="AF40" s="195">
        <f t="shared" si="5"/>
        <v>60.9522631000003</v>
      </c>
      <c r="AG40" s="195">
        <f t="shared" si="6"/>
        <v>1982.41134654</v>
      </c>
      <c r="AH40" s="195">
        <f t="shared" si="7"/>
        <v>708.256965939999</v>
      </c>
      <c r="AI40" s="195">
        <f t="shared" si="8"/>
        <v>3123.96485804</v>
      </c>
      <c r="AJ40" s="200">
        <f t="shared" si="9"/>
        <v>0</v>
      </c>
      <c r="AL40" s="201" t="s">
        <v>193</v>
      </c>
      <c r="AM40" s="202">
        <f>SUM(AE$39:AE40)</f>
        <v>1532.44162688</v>
      </c>
      <c r="AN40" s="202">
        <f>SUM(AF$39:AF40)</f>
        <v>162.1575704</v>
      </c>
      <c r="AO40" s="202">
        <f>SUM(AG$39:AG40)</f>
        <v>4509.43590552</v>
      </c>
      <c r="AP40" s="202">
        <f>SUM(AH$39:AH40)</f>
        <v>1263.21317452</v>
      </c>
      <c r="AQ40" s="202">
        <f t="shared" si="10"/>
        <v>7467.24827732</v>
      </c>
      <c r="AR40" s="43"/>
      <c r="AS40" s="201" t="s">
        <v>193</v>
      </c>
      <c r="AT40" s="203">
        <f t="shared" si="11"/>
        <v>0.205221732285831</v>
      </c>
      <c r="AU40" s="203">
        <f t="shared" si="12"/>
        <v>0.0217158402101769</v>
      </c>
      <c r="AV40" s="203">
        <f t="shared" si="13"/>
        <v>0.60389526878547</v>
      </c>
      <c r="AW40" s="203">
        <f t="shared" si="14"/>
        <v>0.169167158718522</v>
      </c>
      <c r="AX40" s="201">
        <f t="shared" si="15"/>
        <v>1</v>
      </c>
      <c r="AZ40" s="143" t="s">
        <v>193</v>
      </c>
      <c r="BA40" s="204">
        <v>1125.37373828</v>
      </c>
      <c r="BB40" s="204">
        <v>142.51257132</v>
      </c>
      <c r="BC40" s="204">
        <v>4054.04304778</v>
      </c>
      <c r="BD40" s="204">
        <v>1286.79334092</v>
      </c>
      <c r="BE40" s="204">
        <v>6608.7226983</v>
      </c>
      <c r="BF40" s="205"/>
    </row>
    <row r="41" s="1" customFormat="1" spans="1:58">
      <c r="A41" s="144">
        <v>44986</v>
      </c>
      <c r="B41" s="195">
        <v>259.3106938</v>
      </c>
      <c r="C41" s="195">
        <v>111.08653508</v>
      </c>
      <c r="D41" s="195">
        <f>1220.59314819999+投资公司!F26*1.06</f>
        <v>1340.35194819999</v>
      </c>
      <c r="E41" s="195">
        <v>907.384363040003</v>
      </c>
      <c r="F41" s="195">
        <f t="shared" si="0"/>
        <v>2618.13354011999</v>
      </c>
      <c r="G41" s="196"/>
      <c r="H41" s="196"/>
      <c r="I41" s="144">
        <v>44986</v>
      </c>
      <c r="J41" s="195">
        <v>50.11452948</v>
      </c>
      <c r="K41" s="195">
        <v>10.98040008</v>
      </c>
      <c r="L41" s="195">
        <f>229.97762544+178013.39/10000</f>
        <v>247.77896444</v>
      </c>
      <c r="M41" s="195">
        <v>18.70333112</v>
      </c>
      <c r="N41" s="195">
        <f t="shared" si="1"/>
        <v>327.57722512</v>
      </c>
      <c r="O41" s="197"/>
      <c r="P41" s="144">
        <v>44986</v>
      </c>
      <c r="Q41" s="195">
        <v>7.5405432</v>
      </c>
      <c r="R41" s="195">
        <v>0</v>
      </c>
      <c r="S41" s="195">
        <v>-0.177868</v>
      </c>
      <c r="T41" s="195">
        <v>-31.58080048</v>
      </c>
      <c r="U41" s="195">
        <f t="shared" si="2"/>
        <v>-24.21812528</v>
      </c>
      <c r="V41" s="56"/>
      <c r="W41" s="198">
        <v>44986</v>
      </c>
      <c r="X41" s="195">
        <v>5.50630356</v>
      </c>
      <c r="Y41" s="199">
        <v>0</v>
      </c>
      <c r="Z41" s="195">
        <f>-52.51333598+553478.08/10000</f>
        <v>2.83447201999999</v>
      </c>
      <c r="AA41" s="195">
        <f>9.02092754+69963.47/10000</f>
        <v>16.01727454</v>
      </c>
      <c r="AB41" s="195">
        <f t="shared" si="3"/>
        <v>24.35805012</v>
      </c>
      <c r="AC41" s="155"/>
      <c r="AD41" s="198">
        <v>44986</v>
      </c>
      <c r="AE41" s="195">
        <f t="shared" si="4"/>
        <v>322.47207004</v>
      </c>
      <c r="AF41" s="195">
        <f t="shared" si="5"/>
        <v>122.06693516</v>
      </c>
      <c r="AG41" s="195">
        <f t="shared" si="6"/>
        <v>1590.78751665999</v>
      </c>
      <c r="AH41" s="195">
        <f t="shared" si="7"/>
        <v>910.524168220003</v>
      </c>
      <c r="AI41" s="195">
        <f t="shared" si="8"/>
        <v>2945.85069007999</v>
      </c>
      <c r="AJ41" s="200">
        <f t="shared" si="9"/>
        <v>0</v>
      </c>
      <c r="AL41" s="201" t="s">
        <v>194</v>
      </c>
      <c r="AM41" s="202">
        <f>SUM(AE$39:AE41)</f>
        <v>1854.91369692</v>
      </c>
      <c r="AN41" s="202">
        <f>SUM(AF$39:AF41)</f>
        <v>284.22450556</v>
      </c>
      <c r="AO41" s="202">
        <f>SUM(AG$39:AG41)</f>
        <v>6100.22342217999</v>
      </c>
      <c r="AP41" s="202">
        <f>SUM(AH$39:AH41)</f>
        <v>2173.73734274</v>
      </c>
      <c r="AQ41" s="202">
        <f t="shared" si="10"/>
        <v>10413.0989674</v>
      </c>
      <c r="AR41" s="43"/>
      <c r="AS41" s="201" t="s">
        <v>194</v>
      </c>
      <c r="AT41" s="203">
        <f t="shared" si="11"/>
        <v>0.178132725207657</v>
      </c>
      <c r="AU41" s="203">
        <f t="shared" si="12"/>
        <v>0.0272949010135997</v>
      </c>
      <c r="AV41" s="203">
        <f t="shared" si="13"/>
        <v>0.58582209208592</v>
      </c>
      <c r="AW41" s="203">
        <f t="shared" si="14"/>
        <v>0.208750281692824</v>
      </c>
      <c r="AX41" s="201">
        <f t="shared" si="15"/>
        <v>1</v>
      </c>
      <c r="AZ41" s="143" t="s">
        <v>194</v>
      </c>
      <c r="BA41" s="204">
        <v>1384.68443208</v>
      </c>
      <c r="BB41" s="204">
        <v>253.5991064</v>
      </c>
      <c r="BC41" s="204">
        <v>5394.39499597999</v>
      </c>
      <c r="BD41" s="204">
        <v>2194.17770396</v>
      </c>
      <c r="BE41" s="204">
        <v>9226.85623841999</v>
      </c>
      <c r="BF41" s="205"/>
    </row>
    <row r="42" s="1" customFormat="1" spans="1:58">
      <c r="A42" s="144">
        <v>45017</v>
      </c>
      <c r="B42" s="195">
        <v>457.697668180002</v>
      </c>
      <c r="C42" s="195">
        <v>110.45440196</v>
      </c>
      <c r="D42" s="195">
        <f>793.71007964+投资公司!G26*1.06</f>
        <v>675.62501964</v>
      </c>
      <c r="E42" s="195">
        <v>544.724119739999</v>
      </c>
      <c r="F42" s="195">
        <f t="shared" si="0"/>
        <v>1788.50120952</v>
      </c>
      <c r="G42" s="196"/>
      <c r="H42" s="196"/>
      <c r="I42" s="144">
        <v>45017</v>
      </c>
      <c r="J42" s="195">
        <v>129.00531356</v>
      </c>
      <c r="K42" s="195">
        <v>7.45621278</v>
      </c>
      <c r="L42" s="195">
        <f>267.36228208-594316.35/10000+333333.33/10000</f>
        <v>241.26398008</v>
      </c>
      <c r="M42" s="195">
        <v>1.23105008</v>
      </c>
      <c r="N42" s="195">
        <f t="shared" si="1"/>
        <v>378.9565565</v>
      </c>
      <c r="O42" s="197"/>
      <c r="P42" s="144">
        <v>45017</v>
      </c>
      <c r="Q42" s="195">
        <v>36.44145592</v>
      </c>
      <c r="R42" s="195">
        <v>0</v>
      </c>
      <c r="S42" s="195">
        <v>0</v>
      </c>
      <c r="T42" s="195">
        <f>588.101674-5714599.6/10000</f>
        <v>16.6417140000001</v>
      </c>
      <c r="U42" s="195">
        <f t="shared" si="2"/>
        <v>53.0831699200001</v>
      </c>
      <c r="V42" s="56"/>
      <c r="W42" s="198">
        <v>45017</v>
      </c>
      <c r="X42" s="195">
        <v>0.03060962</v>
      </c>
      <c r="Y42" s="199">
        <v>0</v>
      </c>
      <c r="Z42" s="195">
        <f>-4.4588741+170718.02/10000-333333.33/10000</f>
        <v>-20.7204051</v>
      </c>
      <c r="AA42" s="195">
        <f>-570.82232886-48402.57/10000+5714599.6/10000</f>
        <v>-4.20262586000001</v>
      </c>
      <c r="AB42" s="195">
        <f t="shared" si="3"/>
        <v>-24.89242134</v>
      </c>
      <c r="AC42" s="155"/>
      <c r="AD42" s="198">
        <v>45017</v>
      </c>
      <c r="AE42" s="195">
        <f t="shared" si="4"/>
        <v>623.175047280002</v>
      </c>
      <c r="AF42" s="195">
        <f t="shared" si="5"/>
        <v>117.91061474</v>
      </c>
      <c r="AG42" s="195">
        <f t="shared" si="6"/>
        <v>896.16859462</v>
      </c>
      <c r="AH42" s="195">
        <f t="shared" si="7"/>
        <v>558.394257959999</v>
      </c>
      <c r="AI42" s="195">
        <f t="shared" si="8"/>
        <v>2195.6485146</v>
      </c>
      <c r="AJ42" s="200">
        <f t="shared" si="9"/>
        <v>0</v>
      </c>
      <c r="AL42" s="201" t="s">
        <v>195</v>
      </c>
      <c r="AM42" s="202">
        <f>SUM(AE$39:AE42)</f>
        <v>2478.0887442</v>
      </c>
      <c r="AN42" s="202">
        <f>SUM(AF$39:AF42)</f>
        <v>402.1351203</v>
      </c>
      <c r="AO42" s="202">
        <f>SUM(AG$39:AG42)</f>
        <v>6996.39201679999</v>
      </c>
      <c r="AP42" s="202">
        <f>SUM(AH$39:AH42)</f>
        <v>2732.1316007</v>
      </c>
      <c r="AQ42" s="202">
        <f t="shared" si="10"/>
        <v>12608.747482</v>
      </c>
      <c r="AR42" s="43"/>
      <c r="AS42" s="201" t="s">
        <v>195</v>
      </c>
      <c r="AT42" s="203">
        <f t="shared" si="11"/>
        <v>0.196537264921648</v>
      </c>
      <c r="AU42" s="203">
        <f t="shared" si="12"/>
        <v>0.0318933439561765</v>
      </c>
      <c r="AV42" s="203">
        <f t="shared" si="13"/>
        <v>0.55488398247232</v>
      </c>
      <c r="AW42" s="203">
        <f t="shared" si="14"/>
        <v>0.216685408649855</v>
      </c>
      <c r="AX42" s="201">
        <f t="shared" si="15"/>
        <v>1</v>
      </c>
      <c r="AZ42" s="143" t="s">
        <v>195</v>
      </c>
      <c r="BA42" s="204">
        <v>1842.38210026</v>
      </c>
      <c r="BB42" s="204">
        <v>364.05350836</v>
      </c>
      <c r="BC42" s="204">
        <v>6070.02001561999</v>
      </c>
      <c r="BD42" s="204">
        <v>2738.9018237</v>
      </c>
      <c r="BE42" s="204">
        <v>11015.35744794</v>
      </c>
      <c r="BF42" s="205"/>
    </row>
    <row r="43" s="1" customFormat="1" spans="1:58">
      <c r="A43" s="144">
        <v>45047</v>
      </c>
      <c r="B43" s="195">
        <v>804.653779339999</v>
      </c>
      <c r="C43" s="195">
        <v>155.48315426</v>
      </c>
      <c r="D43" s="195">
        <f>1600.87549612+投资公司!H26*1.06</f>
        <v>1556.66607612</v>
      </c>
      <c r="E43" s="195">
        <v>818.576372660003</v>
      </c>
      <c r="F43" s="195">
        <f t="shared" si="0"/>
        <v>3335.37938238</v>
      </c>
      <c r="G43" s="196"/>
      <c r="H43" s="196"/>
      <c r="I43" s="144">
        <v>45047</v>
      </c>
      <c r="J43" s="195">
        <v>51.58597166</v>
      </c>
      <c r="K43" s="195">
        <v>14.35200038</v>
      </c>
      <c r="L43" s="195">
        <f>280.03363232-1022485.65/10000</f>
        <v>177.78506732</v>
      </c>
      <c r="M43" s="195">
        <v>10.7964498</v>
      </c>
      <c r="N43" s="195">
        <f t="shared" si="1"/>
        <v>254.51948916</v>
      </c>
      <c r="O43" s="56"/>
      <c r="P43" s="144">
        <v>45047</v>
      </c>
      <c r="Q43" s="195">
        <v>-2.6012559</v>
      </c>
      <c r="R43" s="195">
        <v>0</v>
      </c>
      <c r="S43" s="195">
        <v>27.62612386</v>
      </c>
      <c r="T43" s="195">
        <v>51.67386686</v>
      </c>
      <c r="U43" s="195">
        <f t="shared" si="2"/>
        <v>76.69873482</v>
      </c>
      <c r="V43" s="56"/>
      <c r="W43" s="198">
        <v>45047</v>
      </c>
      <c r="X43" s="195">
        <v>-6.07099948</v>
      </c>
      <c r="Y43" s="199">
        <v>0</v>
      </c>
      <c r="Z43" s="195">
        <f>-81.77672842+155577.49/10000</f>
        <v>-66.21897942</v>
      </c>
      <c r="AA43" s="195">
        <f>34.58697002-6558.2/10000</f>
        <v>33.93115002</v>
      </c>
      <c r="AB43" s="195">
        <f t="shared" si="3"/>
        <v>-38.35882888</v>
      </c>
      <c r="AC43" s="155"/>
      <c r="AD43" s="198">
        <v>45047</v>
      </c>
      <c r="AE43" s="195">
        <f t="shared" si="4"/>
        <v>847.567495619999</v>
      </c>
      <c r="AF43" s="195">
        <f t="shared" si="5"/>
        <v>169.83515464</v>
      </c>
      <c r="AG43" s="195">
        <f t="shared" si="6"/>
        <v>1695.85828788</v>
      </c>
      <c r="AH43" s="195">
        <f t="shared" si="7"/>
        <v>914.977839340003</v>
      </c>
      <c r="AI43" s="195">
        <f t="shared" si="8"/>
        <v>3628.23877748</v>
      </c>
      <c r="AJ43" s="200">
        <f t="shared" si="9"/>
        <v>0</v>
      </c>
      <c r="AL43" s="201" t="s">
        <v>196</v>
      </c>
      <c r="AM43" s="202">
        <f>SUM(AE$39:AE43)</f>
        <v>3325.65623982</v>
      </c>
      <c r="AN43" s="202">
        <f>SUM(AF$39:AF43)</f>
        <v>571.97027494</v>
      </c>
      <c r="AO43" s="202">
        <f>SUM(AG$39:AG43)</f>
        <v>8692.25030467999</v>
      </c>
      <c r="AP43" s="202">
        <f>SUM(AH$39:AH43)</f>
        <v>3647.10944004001</v>
      </c>
      <c r="AQ43" s="202">
        <f t="shared" si="10"/>
        <v>16236.98625948</v>
      </c>
      <c r="AR43" s="43"/>
      <c r="AS43" s="201" t="s">
        <v>196</v>
      </c>
      <c r="AT43" s="203">
        <f t="shared" si="11"/>
        <v>0.204819797631984</v>
      </c>
      <c r="AU43" s="203">
        <f t="shared" si="12"/>
        <v>0.0352263816572521</v>
      </c>
      <c r="AV43" s="203">
        <f t="shared" si="13"/>
        <v>0.535336432868199</v>
      </c>
      <c r="AW43" s="203">
        <f t="shared" si="14"/>
        <v>0.224617387842565</v>
      </c>
      <c r="AX43" s="201">
        <f t="shared" si="15"/>
        <v>1</v>
      </c>
      <c r="AZ43" s="143" t="s">
        <v>196</v>
      </c>
      <c r="BA43" s="204">
        <v>2647.0358796</v>
      </c>
      <c r="BB43" s="204">
        <v>519.53666262</v>
      </c>
      <c r="BC43" s="204">
        <v>7626.68609173999</v>
      </c>
      <c r="BD43" s="204">
        <v>3557.47819636</v>
      </c>
      <c r="BE43" s="204">
        <v>14350.73683032</v>
      </c>
      <c r="BF43" s="205"/>
    </row>
    <row r="44" s="1" customFormat="1" spans="1:58">
      <c r="A44" s="144">
        <v>45078</v>
      </c>
      <c r="B44" s="195">
        <v>583.504551519999</v>
      </c>
      <c r="C44" s="195">
        <v>222.25006326</v>
      </c>
      <c r="D44" s="195">
        <f>2661.65137478+投资公司!I26*1.06</f>
        <v>2554.70055478</v>
      </c>
      <c r="E44" s="195">
        <v>1001.82509377999</v>
      </c>
      <c r="F44" s="195">
        <f t="shared" si="0"/>
        <v>4362.28026333999</v>
      </c>
      <c r="G44" s="196"/>
      <c r="H44" s="196"/>
      <c r="I44" s="144">
        <v>45078</v>
      </c>
      <c r="J44" s="195">
        <v>255.78530658</v>
      </c>
      <c r="K44" s="195">
        <v>14.2157872</v>
      </c>
      <c r="L44" s="195">
        <f>745.65932776-2065081.83/10000</f>
        <v>539.15114476</v>
      </c>
      <c r="M44" s="195">
        <v>22.40103618</v>
      </c>
      <c r="N44" s="195">
        <f t="shared" si="1"/>
        <v>831.55327472</v>
      </c>
      <c r="O44" s="56"/>
      <c r="P44" s="144">
        <v>45078</v>
      </c>
      <c r="Q44" s="195">
        <v>10.33446152</v>
      </c>
      <c r="R44" s="195">
        <v>0</v>
      </c>
      <c r="S44" s="195">
        <v>21.89261884</v>
      </c>
      <c r="T44" s="195">
        <v>14.3296778400001</v>
      </c>
      <c r="U44" s="195">
        <f t="shared" si="2"/>
        <v>46.5567582000001</v>
      </c>
      <c r="V44" s="56"/>
      <c r="W44" s="198">
        <v>45078</v>
      </c>
      <c r="X44" s="195">
        <v>13.81442138</v>
      </c>
      <c r="Y44" s="199">
        <v>0</v>
      </c>
      <c r="Z44" s="195">
        <f>-195.75792846+1846400.41/10000</f>
        <v>-11.11788746</v>
      </c>
      <c r="AA44" s="195">
        <f>0.68976002-8826.97/10000</f>
        <v>-0.19293698</v>
      </c>
      <c r="AB44" s="195">
        <f t="shared" si="3"/>
        <v>2.50359694</v>
      </c>
      <c r="AC44" s="155"/>
      <c r="AD44" s="198">
        <v>45078</v>
      </c>
      <c r="AE44" s="195">
        <f t="shared" si="4"/>
        <v>863.438740999999</v>
      </c>
      <c r="AF44" s="195">
        <f t="shared" si="5"/>
        <v>236.46585046</v>
      </c>
      <c r="AG44" s="195">
        <f t="shared" si="6"/>
        <v>3104.62643092</v>
      </c>
      <c r="AH44" s="195">
        <f t="shared" si="7"/>
        <v>1038.36287081999</v>
      </c>
      <c r="AI44" s="195">
        <f t="shared" si="8"/>
        <v>5242.89389319999</v>
      </c>
      <c r="AJ44" s="200">
        <f t="shared" si="9"/>
        <v>0</v>
      </c>
      <c r="AL44" s="201" t="s">
        <v>197</v>
      </c>
      <c r="AM44" s="202">
        <f>SUM(AE$39:AE44)</f>
        <v>4189.09498082</v>
      </c>
      <c r="AN44" s="202">
        <f>SUM(AF$39:AF44)</f>
        <v>808.4361254</v>
      </c>
      <c r="AO44" s="202">
        <f>SUM(AG$39:AG44)</f>
        <v>11796.8767356</v>
      </c>
      <c r="AP44" s="202">
        <f>SUM(AH$39:AH44)</f>
        <v>4685.47231086</v>
      </c>
      <c r="AQ44" s="202">
        <f t="shared" si="10"/>
        <v>21479.88015268</v>
      </c>
      <c r="AR44" s="43"/>
      <c r="AS44" s="201" t="s">
        <v>197</v>
      </c>
      <c r="AT44" s="203">
        <f t="shared" si="11"/>
        <v>0.195024131933871</v>
      </c>
      <c r="AU44" s="203">
        <f t="shared" si="12"/>
        <v>0.0376369011211235</v>
      </c>
      <c r="AV44" s="203">
        <f t="shared" si="13"/>
        <v>0.549205891827479</v>
      </c>
      <c r="AW44" s="203">
        <f t="shared" si="14"/>
        <v>0.218133075117526</v>
      </c>
      <c r="AX44" s="201">
        <f t="shared" si="15"/>
        <v>1</v>
      </c>
      <c r="AZ44" s="143" t="s">
        <v>197</v>
      </c>
      <c r="BA44" s="204">
        <v>3230.54043112</v>
      </c>
      <c r="BB44" s="204">
        <v>741.78672588</v>
      </c>
      <c r="BC44" s="204">
        <v>10181.38664652</v>
      </c>
      <c r="BD44" s="204">
        <v>4559.30329013999</v>
      </c>
      <c r="BE44" s="204">
        <v>18713.01709366</v>
      </c>
      <c r="BF44" s="205"/>
    </row>
    <row r="45" s="1" customFormat="1" spans="1:58">
      <c r="A45" s="144">
        <v>45108</v>
      </c>
      <c r="B45" s="195">
        <v>337.56989702</v>
      </c>
      <c r="C45" s="195">
        <v>139.74097342</v>
      </c>
      <c r="D45" s="195">
        <f>1485.70256246+投资公司!J26*1.06</f>
        <v>1656.07530246</v>
      </c>
      <c r="E45" s="195">
        <v>805.186565020001</v>
      </c>
      <c r="F45" s="195">
        <f t="shared" si="0"/>
        <v>2938.57273792</v>
      </c>
      <c r="G45" s="196"/>
      <c r="H45" s="196"/>
      <c r="I45" s="144">
        <v>45108</v>
      </c>
      <c r="J45" s="195">
        <v>256.89027814</v>
      </c>
      <c r="K45" s="195">
        <v>3.3992928</v>
      </c>
      <c r="L45" s="195">
        <f>126.89005494+175247.86/10000</f>
        <v>144.41484094</v>
      </c>
      <c r="M45" s="195">
        <v>52.45814284</v>
      </c>
      <c r="N45" s="195">
        <f t="shared" si="1"/>
        <v>457.16255472</v>
      </c>
      <c r="O45" s="56"/>
      <c r="P45" s="144">
        <v>45108</v>
      </c>
      <c r="Q45" s="195">
        <v>14.5962</v>
      </c>
      <c r="R45" s="195">
        <v>0</v>
      </c>
      <c r="S45" s="195">
        <v>-23.25119116</v>
      </c>
      <c r="T45" s="195">
        <v>-11.9804719199999</v>
      </c>
      <c r="U45" s="195">
        <f t="shared" si="2"/>
        <v>-20.6354630799999</v>
      </c>
      <c r="V45" s="56"/>
      <c r="W45" s="198">
        <v>45108</v>
      </c>
      <c r="X45" s="195">
        <v>2.04502514</v>
      </c>
      <c r="Y45" s="199">
        <v>0</v>
      </c>
      <c r="Z45" s="195">
        <f>-35.11575526+312751.86/10000</f>
        <v>-3.84056926</v>
      </c>
      <c r="AA45" s="195">
        <f>31.72053922+117626.74/10000</f>
        <v>43.48321322</v>
      </c>
      <c r="AB45" s="195">
        <f t="shared" si="3"/>
        <v>41.6876691</v>
      </c>
      <c r="AC45" s="155"/>
      <c r="AD45" s="198">
        <v>45108</v>
      </c>
      <c r="AE45" s="195">
        <f t="shared" si="4"/>
        <v>611.1014003</v>
      </c>
      <c r="AF45" s="195">
        <f t="shared" si="5"/>
        <v>143.14026622</v>
      </c>
      <c r="AG45" s="195">
        <f t="shared" si="6"/>
        <v>1773.39838298</v>
      </c>
      <c r="AH45" s="195">
        <f t="shared" si="7"/>
        <v>889.147449160001</v>
      </c>
      <c r="AI45" s="195">
        <f t="shared" si="8"/>
        <v>3416.78749866</v>
      </c>
      <c r="AJ45" s="200">
        <f t="shared" si="9"/>
        <v>0</v>
      </c>
      <c r="AL45" s="201" t="s">
        <v>198</v>
      </c>
      <c r="AM45" s="202">
        <f>SUM(AE$39:AE45)</f>
        <v>4800.19638112</v>
      </c>
      <c r="AN45" s="202">
        <f>SUM(AF$39:AF45)</f>
        <v>951.57639162</v>
      </c>
      <c r="AO45" s="202">
        <f>SUM(AG$39:AG45)</f>
        <v>13570.27511858</v>
      </c>
      <c r="AP45" s="202">
        <f>SUM(AH$39:AH45)</f>
        <v>5574.61976002</v>
      </c>
      <c r="AQ45" s="202">
        <f t="shared" si="10"/>
        <v>24896.66765134</v>
      </c>
      <c r="AR45" s="43"/>
      <c r="AS45" s="201" t="s">
        <v>198</v>
      </c>
      <c r="AT45" s="203">
        <f t="shared" si="11"/>
        <v>0.192804774050219</v>
      </c>
      <c r="AU45" s="203">
        <f t="shared" si="12"/>
        <v>0.0382210344350556</v>
      </c>
      <c r="AV45" s="203">
        <f t="shared" si="13"/>
        <v>0.545063914119832</v>
      </c>
      <c r="AW45" s="203">
        <f t="shared" si="14"/>
        <v>0.223910277394893</v>
      </c>
      <c r="AX45" s="201">
        <f t="shared" si="15"/>
        <v>1</v>
      </c>
      <c r="AZ45" s="143" t="s">
        <v>198</v>
      </c>
      <c r="BA45" s="204">
        <v>3568.11032814</v>
      </c>
      <c r="BB45" s="204">
        <v>881.5276993</v>
      </c>
      <c r="BC45" s="204">
        <v>11837.46194898</v>
      </c>
      <c r="BD45" s="204">
        <v>5364.48985516</v>
      </c>
      <c r="BE45" s="204">
        <v>21651.58983158</v>
      </c>
      <c r="BF45" s="205"/>
    </row>
    <row r="46" s="1" customFormat="1" spans="1:58">
      <c r="A46" s="144">
        <v>45139</v>
      </c>
      <c r="B46" s="195">
        <v>633.62063284</v>
      </c>
      <c r="C46" s="195">
        <v>237.2429142</v>
      </c>
      <c r="D46" s="195">
        <f>1258.84286872+投资公司!K26*1.06</f>
        <v>1391.52730872</v>
      </c>
      <c r="E46" s="195">
        <v>1386.08232616</v>
      </c>
      <c r="F46" s="195">
        <f t="shared" si="0"/>
        <v>3648.47318192</v>
      </c>
      <c r="G46" s="196"/>
      <c r="H46" s="196"/>
      <c r="I46" s="144">
        <v>45139</v>
      </c>
      <c r="J46" s="195">
        <v>52.64042362</v>
      </c>
      <c r="K46" s="195">
        <v>5.38556002</v>
      </c>
      <c r="L46" s="195">
        <f>336.98070238-1172097.42/10000</f>
        <v>219.77096038</v>
      </c>
      <c r="M46" s="195">
        <v>85.56397592</v>
      </c>
      <c r="N46" s="195">
        <f t="shared" si="1"/>
        <v>363.36091994</v>
      </c>
      <c r="O46" s="56"/>
      <c r="P46" s="144">
        <v>45139</v>
      </c>
      <c r="Q46" s="195">
        <v>47.39434158</v>
      </c>
      <c r="R46" s="195">
        <v>0</v>
      </c>
      <c r="S46" s="195">
        <v>77.66974464</v>
      </c>
      <c r="T46" s="195">
        <v>29.02436986</v>
      </c>
      <c r="U46" s="195">
        <f t="shared" si="2"/>
        <v>154.08845608</v>
      </c>
      <c r="V46" s="56"/>
      <c r="W46" s="198">
        <v>45139</v>
      </c>
      <c r="X46" s="195">
        <v>0.0612415</v>
      </c>
      <c r="Y46" s="199">
        <v>-0.85000022</v>
      </c>
      <c r="Z46" s="195">
        <f>9.46919836+156741.76/10000</f>
        <v>25.14337436</v>
      </c>
      <c r="AA46" s="195">
        <f>6.55450894+85115.99/10000</f>
        <v>15.06610794</v>
      </c>
      <c r="AB46" s="195">
        <f t="shared" si="3"/>
        <v>39.42072358</v>
      </c>
      <c r="AC46" s="155"/>
      <c r="AD46" s="198">
        <v>45139</v>
      </c>
      <c r="AE46" s="195">
        <f t="shared" si="4"/>
        <v>733.71663954</v>
      </c>
      <c r="AF46" s="195">
        <f t="shared" si="5"/>
        <v>241.778474</v>
      </c>
      <c r="AG46" s="195">
        <f t="shared" si="6"/>
        <v>1714.1113881</v>
      </c>
      <c r="AH46" s="195">
        <f t="shared" si="7"/>
        <v>1515.73677988</v>
      </c>
      <c r="AI46" s="195">
        <f t="shared" si="8"/>
        <v>4205.34328152</v>
      </c>
      <c r="AJ46" s="200">
        <f t="shared" si="9"/>
        <v>0</v>
      </c>
      <c r="AL46" s="201" t="s">
        <v>199</v>
      </c>
      <c r="AM46" s="202">
        <f>SUM(AE$39:AE46)</f>
        <v>5533.91302066</v>
      </c>
      <c r="AN46" s="202">
        <f>SUM(AF$39:AF46)</f>
        <v>1193.35486562</v>
      </c>
      <c r="AO46" s="202">
        <f>SUM(AG$39:AG46)</f>
        <v>15284.38650668</v>
      </c>
      <c r="AP46" s="202">
        <f>SUM(AH$39:AH46)</f>
        <v>7090.3565399</v>
      </c>
      <c r="AQ46" s="202">
        <f t="shared" si="10"/>
        <v>29102.01093286</v>
      </c>
      <c r="AR46" s="43"/>
      <c r="AS46" s="201" t="s">
        <v>199</v>
      </c>
      <c r="AT46" s="203">
        <f t="shared" si="11"/>
        <v>0.190155691763949</v>
      </c>
      <c r="AU46" s="203">
        <f t="shared" si="12"/>
        <v>0.0410059245862129</v>
      </c>
      <c r="AV46" s="203">
        <f t="shared" si="13"/>
        <v>0.525200356152087</v>
      </c>
      <c r="AW46" s="203">
        <f t="shared" si="14"/>
        <v>0.243638027497751</v>
      </c>
      <c r="AX46" s="201">
        <f t="shared" si="15"/>
        <v>1</v>
      </c>
      <c r="AZ46" s="143" t="s">
        <v>199</v>
      </c>
      <c r="BA46" s="204">
        <v>4201.73096098</v>
      </c>
      <c r="BB46" s="204">
        <v>1118.7706135</v>
      </c>
      <c r="BC46" s="204">
        <v>13228.9892577</v>
      </c>
      <c r="BD46" s="204">
        <v>6750.57218132</v>
      </c>
      <c r="BE46" s="204">
        <v>25300.0630135</v>
      </c>
      <c r="BF46" s="205"/>
    </row>
    <row r="47" s="1" customFormat="1" spans="1:58">
      <c r="A47" s="144">
        <v>45170</v>
      </c>
      <c r="B47" s="195">
        <v>436.93524784</v>
      </c>
      <c r="C47" s="195">
        <v>138.86158576</v>
      </c>
      <c r="D47" s="195">
        <f>1441.8020572+投资公司!L26*1.06</f>
        <v>1220.7178572</v>
      </c>
      <c r="E47" s="195">
        <v>527.79308742</v>
      </c>
      <c r="F47" s="195">
        <f t="shared" si="0"/>
        <v>2324.30777822</v>
      </c>
      <c r="G47" s="196"/>
      <c r="H47" s="196"/>
      <c r="I47" s="144">
        <v>45170</v>
      </c>
      <c r="J47" s="195">
        <v>61.25735654</v>
      </c>
      <c r="K47" s="195">
        <v>1.06971808</v>
      </c>
      <c r="L47" s="195">
        <f>706.4115176-4088074.8/10000</f>
        <v>297.6040376</v>
      </c>
      <c r="M47" s="195">
        <v>2.4515733</v>
      </c>
      <c r="N47" s="195">
        <f t="shared" si="1"/>
        <v>362.38268552</v>
      </c>
      <c r="O47" s="56"/>
      <c r="P47" s="144">
        <v>45170</v>
      </c>
      <c r="Q47" s="195">
        <v>37.16712026</v>
      </c>
      <c r="R47" s="195">
        <v>-0.371</v>
      </c>
      <c r="S47" s="195">
        <v>1.32177654</v>
      </c>
      <c r="T47" s="195">
        <v>160.02247282</v>
      </c>
      <c r="U47" s="195">
        <f t="shared" si="2"/>
        <v>198.14036962</v>
      </c>
      <c r="V47" s="56"/>
      <c r="W47" s="198">
        <v>45170</v>
      </c>
      <c r="X47" s="195">
        <v>0.04340276</v>
      </c>
      <c r="Y47" s="199">
        <v>0</v>
      </c>
      <c r="Z47" s="195">
        <f>32.168156-142504.63/10000</f>
        <v>17.917693</v>
      </c>
      <c r="AA47" s="195">
        <f>-56.88827822+68337.73/10000</f>
        <v>-50.05450522</v>
      </c>
      <c r="AB47" s="195">
        <f t="shared" si="3"/>
        <v>-32.09340946</v>
      </c>
      <c r="AC47" s="155"/>
      <c r="AD47" s="198">
        <v>45170</v>
      </c>
      <c r="AE47" s="195">
        <f t="shared" si="4"/>
        <v>535.4031274</v>
      </c>
      <c r="AF47" s="195">
        <f t="shared" si="5"/>
        <v>139.56030384</v>
      </c>
      <c r="AG47" s="195">
        <f t="shared" si="6"/>
        <v>1537.56136434</v>
      </c>
      <c r="AH47" s="195">
        <f t="shared" si="7"/>
        <v>640.21262832</v>
      </c>
      <c r="AI47" s="195">
        <f t="shared" si="8"/>
        <v>2852.7374239</v>
      </c>
      <c r="AJ47" s="200">
        <f t="shared" si="9"/>
        <v>0</v>
      </c>
      <c r="AL47" s="201" t="s">
        <v>200</v>
      </c>
      <c r="AM47" s="202">
        <f>SUM(AE$39:AE47)</f>
        <v>6069.31614806</v>
      </c>
      <c r="AN47" s="202">
        <f>SUM(AF$39:AF47)</f>
        <v>1332.91516946</v>
      </c>
      <c r="AO47" s="202">
        <f>SUM(AG$39:AG47)</f>
        <v>16821.94787102</v>
      </c>
      <c r="AP47" s="202">
        <f>SUM(AH$39:AH47)</f>
        <v>7730.56916822</v>
      </c>
      <c r="AQ47" s="202">
        <f t="shared" si="10"/>
        <v>31954.74835676</v>
      </c>
      <c r="AR47" s="43"/>
      <c r="AS47" s="201" t="s">
        <v>200</v>
      </c>
      <c r="AT47" s="203">
        <f t="shared" si="11"/>
        <v>0.189934718943767</v>
      </c>
      <c r="AU47" s="203">
        <f t="shared" si="12"/>
        <v>0.041712585390397</v>
      </c>
      <c r="AV47" s="203">
        <f t="shared" si="13"/>
        <v>0.526430303353064</v>
      </c>
      <c r="AW47" s="203">
        <f t="shared" si="14"/>
        <v>0.241922392312772</v>
      </c>
      <c r="AX47" s="201">
        <f t="shared" si="15"/>
        <v>1</v>
      </c>
      <c r="AZ47" s="143" t="s">
        <v>200</v>
      </c>
      <c r="BA47" s="204">
        <v>4638.66620882</v>
      </c>
      <c r="BB47" s="204">
        <v>1257.63219926</v>
      </c>
      <c r="BC47" s="204">
        <v>14449.7071149</v>
      </c>
      <c r="BD47" s="204">
        <v>7278.36526874</v>
      </c>
      <c r="BE47" s="204">
        <v>27624.37079172</v>
      </c>
      <c r="BF47" s="205"/>
    </row>
    <row r="48" s="1" customFormat="1" spans="1:58">
      <c r="A48" s="144">
        <v>45200</v>
      </c>
      <c r="B48" s="195">
        <v>170.46442152</v>
      </c>
      <c r="C48" s="195">
        <v>183.3374304</v>
      </c>
      <c r="D48" s="195">
        <f>1625.6893732+投资公司!M26*1.06</f>
        <v>1816.2317932</v>
      </c>
      <c r="E48" s="195">
        <v>581.80387904</v>
      </c>
      <c r="F48" s="195">
        <f t="shared" si="0"/>
        <v>2751.83752416</v>
      </c>
      <c r="G48" s="196"/>
      <c r="H48" s="196"/>
      <c r="I48" s="144">
        <v>45200</v>
      </c>
      <c r="J48" s="195">
        <v>291.49400146</v>
      </c>
      <c r="K48" s="195">
        <v>4.58556</v>
      </c>
      <c r="L48" s="195">
        <f>323.1437401-237559.95/10000</f>
        <v>299.3877451</v>
      </c>
      <c r="M48" s="195">
        <v>33.65208712</v>
      </c>
      <c r="N48" s="195">
        <f t="shared" si="1"/>
        <v>629.11939368</v>
      </c>
      <c r="O48" s="56"/>
      <c r="P48" s="144">
        <v>45200</v>
      </c>
      <c r="Q48" s="195">
        <v>15.27354848</v>
      </c>
      <c r="R48" s="195">
        <v>-24.90437246</v>
      </c>
      <c r="S48" s="195">
        <v>-51.2575455</v>
      </c>
      <c r="T48" s="195">
        <v>139.06962242</v>
      </c>
      <c r="U48" s="195">
        <f t="shared" si="2"/>
        <v>78.18125294</v>
      </c>
      <c r="V48" s="56"/>
      <c r="W48" s="198">
        <v>45200</v>
      </c>
      <c r="X48" s="195">
        <v>0</v>
      </c>
      <c r="Y48" s="199">
        <v>0</v>
      </c>
      <c r="Z48" s="195">
        <f>-48.20195452+226790.6/10000</f>
        <v>-25.52289452</v>
      </c>
      <c r="AA48" s="195">
        <f>-19.2811519599998+111991.95/10000+F161</f>
        <v>-4.1466709599998</v>
      </c>
      <c r="AB48" s="195">
        <f t="shared" si="3"/>
        <v>-29.6695654799998</v>
      </c>
      <c r="AC48" s="155"/>
      <c r="AD48" s="198">
        <v>45200</v>
      </c>
      <c r="AE48" s="195">
        <f t="shared" si="4"/>
        <v>477.23197146</v>
      </c>
      <c r="AF48" s="195">
        <f t="shared" si="5"/>
        <v>163.01861794</v>
      </c>
      <c r="AG48" s="195">
        <f t="shared" si="6"/>
        <v>2038.83909828</v>
      </c>
      <c r="AH48" s="195">
        <f t="shared" si="7"/>
        <v>750.37891762</v>
      </c>
      <c r="AI48" s="195">
        <f t="shared" si="8"/>
        <v>3429.4686053</v>
      </c>
      <c r="AJ48" s="200">
        <f t="shared" si="9"/>
        <v>0</v>
      </c>
      <c r="AL48" s="201" t="s">
        <v>201</v>
      </c>
      <c r="AM48" s="202">
        <f>SUM(AE$39:AE48)</f>
        <v>6546.54811952</v>
      </c>
      <c r="AN48" s="202">
        <f>SUM(AF$39:AF48)</f>
        <v>1495.9337874</v>
      </c>
      <c r="AO48" s="202">
        <f>SUM(AG$39:AG48)</f>
        <v>18860.7869693</v>
      </c>
      <c r="AP48" s="202">
        <f>SUM(AH$39:AH48)</f>
        <v>8480.94808584</v>
      </c>
      <c r="AQ48" s="202">
        <f t="shared" si="10"/>
        <v>35384.21696206</v>
      </c>
      <c r="AR48" s="43"/>
      <c r="AS48" s="201" t="s">
        <v>201</v>
      </c>
      <c r="AT48" s="203">
        <f t="shared" si="11"/>
        <v>0.185013225714148</v>
      </c>
      <c r="AU48" s="203">
        <f t="shared" si="12"/>
        <v>0.0422768656716068</v>
      </c>
      <c r="AV48" s="203">
        <f t="shared" si="13"/>
        <v>0.533028242211014</v>
      </c>
      <c r="AW48" s="203">
        <f t="shared" si="14"/>
        <v>0.239681666403231</v>
      </c>
      <c r="AX48" s="201">
        <f t="shared" si="15"/>
        <v>1</v>
      </c>
      <c r="AZ48" s="143" t="s">
        <v>201</v>
      </c>
      <c r="BA48" s="204">
        <v>4809.13063034</v>
      </c>
      <c r="BB48" s="204">
        <v>1440.96962966</v>
      </c>
      <c r="BC48" s="204">
        <v>16265.9389081</v>
      </c>
      <c r="BD48" s="204">
        <v>7860.16914778</v>
      </c>
      <c r="BE48" s="204">
        <v>30376.20831588</v>
      </c>
      <c r="BF48" s="205"/>
    </row>
    <row r="49" s="1" customFormat="1" spans="1:58">
      <c r="A49" s="144">
        <v>45231</v>
      </c>
      <c r="B49" s="195">
        <v>470.54314886</v>
      </c>
      <c r="C49" s="195">
        <v>143.56139362</v>
      </c>
      <c r="D49" s="195">
        <f>2317.27601488+投资公司!N26*1.06</f>
        <v>2374.49693488</v>
      </c>
      <c r="E49" s="195">
        <v>855.854204620003</v>
      </c>
      <c r="F49" s="195">
        <f t="shared" si="0"/>
        <v>3844.45568198</v>
      </c>
      <c r="G49" s="196"/>
      <c r="H49" s="196"/>
      <c r="I49" s="144">
        <v>45231</v>
      </c>
      <c r="J49" s="195">
        <v>87.95532956</v>
      </c>
      <c r="K49" s="195">
        <v>0.93555918</v>
      </c>
      <c r="L49" s="195">
        <f>1254.18243986-1814550.53/10000</f>
        <v>1072.72738686</v>
      </c>
      <c r="M49" s="195">
        <v>14.11451692</v>
      </c>
      <c r="N49" s="195">
        <f t="shared" si="1"/>
        <v>1175.73279252</v>
      </c>
      <c r="O49" s="56"/>
      <c r="P49" s="144">
        <v>45231</v>
      </c>
      <c r="Q49" s="195">
        <v>34.23286324</v>
      </c>
      <c r="R49" s="195">
        <v>35.44275042</v>
      </c>
      <c r="S49" s="195">
        <v>1.80769644</v>
      </c>
      <c r="T49" s="195">
        <v>8.58965806000005</v>
      </c>
      <c r="U49" s="195">
        <f t="shared" si="2"/>
        <v>80.0729681600001</v>
      </c>
      <c r="V49" s="56"/>
      <c r="W49" s="198">
        <v>45231</v>
      </c>
      <c r="X49" s="195">
        <v>0</v>
      </c>
      <c r="Y49" s="199">
        <v>0</v>
      </c>
      <c r="Z49" s="195">
        <f>-15.26904772+179664.82/10000</f>
        <v>2.69743428</v>
      </c>
      <c r="AA49" s="195">
        <f>-75.65547858+46128.65/10000+F162</f>
        <v>10.58672442</v>
      </c>
      <c r="AB49" s="195">
        <f t="shared" si="3"/>
        <v>13.2841587</v>
      </c>
      <c r="AC49" s="155"/>
      <c r="AD49" s="198">
        <v>45231</v>
      </c>
      <c r="AE49" s="195">
        <f t="shared" si="4"/>
        <v>592.73134166</v>
      </c>
      <c r="AF49" s="195">
        <f t="shared" si="5"/>
        <v>179.93970322</v>
      </c>
      <c r="AG49" s="195">
        <f t="shared" si="6"/>
        <v>3451.72945246</v>
      </c>
      <c r="AH49" s="195">
        <f t="shared" si="7"/>
        <v>889.145104020003</v>
      </c>
      <c r="AI49" s="195">
        <f t="shared" si="8"/>
        <v>5113.54560136</v>
      </c>
      <c r="AJ49" s="200">
        <f t="shared" si="9"/>
        <v>0</v>
      </c>
      <c r="AL49" s="201" t="s">
        <v>202</v>
      </c>
      <c r="AM49" s="202">
        <f>SUM(AE$39:AE49)</f>
        <v>7139.27946118</v>
      </c>
      <c r="AN49" s="202">
        <f>SUM(AF$39:AF49)</f>
        <v>1675.87349062</v>
      </c>
      <c r="AO49" s="202">
        <f>SUM(AG$39:AG49)</f>
        <v>22312.51642176</v>
      </c>
      <c r="AP49" s="202">
        <f>SUM(AH$39:AH49)</f>
        <v>9370.09318986</v>
      </c>
      <c r="AQ49" s="202">
        <f t="shared" si="10"/>
        <v>40497.76256342</v>
      </c>
      <c r="AR49" s="43"/>
      <c r="AS49" s="201" t="s">
        <v>202</v>
      </c>
      <c r="AT49" s="203">
        <f t="shared" si="11"/>
        <v>0.176288244319666</v>
      </c>
      <c r="AU49" s="203">
        <f t="shared" si="12"/>
        <v>0.0413818785172529</v>
      </c>
      <c r="AV49" s="203">
        <f t="shared" si="13"/>
        <v>0.550956769199738</v>
      </c>
      <c r="AW49" s="203">
        <f t="shared" si="14"/>
        <v>0.231373107963343</v>
      </c>
      <c r="AX49" s="201">
        <f t="shared" si="15"/>
        <v>1</v>
      </c>
      <c r="AZ49" s="143" t="s">
        <v>202</v>
      </c>
      <c r="BA49" s="204">
        <v>5279.6737792</v>
      </c>
      <c r="BB49" s="204">
        <v>1584.53102328</v>
      </c>
      <c r="BC49" s="204">
        <v>18640.43584298</v>
      </c>
      <c r="BD49" s="204">
        <v>8716.0233524</v>
      </c>
      <c r="BE49" s="204">
        <v>34220.66399786</v>
      </c>
      <c r="BF49" s="205"/>
    </row>
    <row r="50" s="1" customFormat="1" spans="1:58">
      <c r="A50" s="144">
        <v>45261</v>
      </c>
      <c r="B50" s="195">
        <f>889.92470872+(-14833.93-903525.66)*1.06/10000+61069.83*1.06/10000</f>
        <v>799.05199416</v>
      </c>
      <c r="C50" s="195">
        <f>175.89358252-31362.44*1.06/10000-61069.83*1.06/10000</f>
        <v>166.0957619</v>
      </c>
      <c r="D50" s="195">
        <f>2811.45318344+投资公司!O26*1.06</f>
        <v>2665.73922344</v>
      </c>
      <c r="E50" s="195">
        <f>753.4620874-(-5691959.03)*1.06/10000+9253417.11*1.06/10000</f>
        <v>2337.67195824</v>
      </c>
      <c r="F50" s="195">
        <f t="shared" si="0"/>
        <v>5968.55893774</v>
      </c>
      <c r="G50" s="196"/>
      <c r="H50" s="196"/>
      <c r="I50" s="144">
        <v>45261</v>
      </c>
      <c r="J50" s="195">
        <v>346.70524308</v>
      </c>
      <c r="K50" s="195">
        <v>-0.5182022</v>
      </c>
      <c r="L50" s="195">
        <f>939.90841512-2635285.85/10000-2647470.25/10000</f>
        <v>411.63280512</v>
      </c>
      <c r="M50" s="195">
        <v>27.2410301</v>
      </c>
      <c r="N50" s="195">
        <f t="shared" si="1"/>
        <v>785.0608761</v>
      </c>
      <c r="O50" s="56"/>
      <c r="P50" s="144">
        <v>45261</v>
      </c>
      <c r="Q50" s="195">
        <v>15.63772632</v>
      </c>
      <c r="R50" s="195">
        <v>1.64910030000008</v>
      </c>
      <c r="S50" s="195">
        <v>42.49583884</v>
      </c>
      <c r="T50" s="195">
        <v>-197.28397124</v>
      </c>
      <c r="U50" s="195">
        <f t="shared" si="2"/>
        <v>-137.50130578</v>
      </c>
      <c r="V50" s="56"/>
      <c r="W50" s="198">
        <v>45261</v>
      </c>
      <c r="X50" s="195">
        <v>-0.0151527</v>
      </c>
      <c r="Y50" s="199">
        <v>0</v>
      </c>
      <c r="Z50" s="195">
        <f>139.49471316-11090.41/10000+13476.26/10000</f>
        <v>139.73329816</v>
      </c>
      <c r="AA50" s="195">
        <f>-115.22401294+481285.77/10000-150010.53/10000+F163</f>
        <v>285.01851606</v>
      </c>
      <c r="AB50" s="195">
        <f t="shared" si="3"/>
        <v>424.73666152</v>
      </c>
      <c r="AC50" s="155"/>
      <c r="AD50" s="198">
        <v>45261</v>
      </c>
      <c r="AE50" s="195">
        <f t="shared" si="4"/>
        <v>1161.37981086</v>
      </c>
      <c r="AF50" s="195">
        <f t="shared" si="5"/>
        <v>167.22666</v>
      </c>
      <c r="AG50" s="195">
        <f t="shared" si="6"/>
        <v>3259.60116556</v>
      </c>
      <c r="AH50" s="195">
        <f t="shared" si="7"/>
        <v>2452.64753316</v>
      </c>
      <c r="AI50" s="195">
        <f t="shared" si="8"/>
        <v>7040.85516958</v>
      </c>
      <c r="AJ50" s="200">
        <f t="shared" si="9"/>
        <v>0</v>
      </c>
      <c r="AL50" s="201" t="s">
        <v>203</v>
      </c>
      <c r="AM50" s="202">
        <f>SUM(AE$39:AE50)</f>
        <v>8300.65927204</v>
      </c>
      <c r="AN50" s="202">
        <f>SUM(AF$39:AF50)</f>
        <v>1843.10015062</v>
      </c>
      <c r="AO50" s="202">
        <f>SUM(AG$39:AG50)</f>
        <v>25572.11758732</v>
      </c>
      <c r="AP50" s="202">
        <f>SUM(AH$39:AH50)</f>
        <v>11822.74072302</v>
      </c>
      <c r="AQ50" s="202">
        <f t="shared" si="10"/>
        <v>47538.617733</v>
      </c>
      <c r="AR50" s="43"/>
      <c r="AS50" s="201" t="s">
        <v>203</v>
      </c>
      <c r="AT50" s="203">
        <f t="shared" si="11"/>
        <v>0.174608763735213</v>
      </c>
      <c r="AU50" s="203">
        <f t="shared" si="12"/>
        <v>0.0387705877560796</v>
      </c>
      <c r="AV50" s="203">
        <f t="shared" si="13"/>
        <v>0.53792303619229</v>
      </c>
      <c r="AW50" s="203">
        <f t="shared" si="14"/>
        <v>0.248697612316417</v>
      </c>
      <c r="AX50" s="201">
        <f t="shared" si="15"/>
        <v>1</v>
      </c>
      <c r="AZ50" s="143" t="s">
        <v>203</v>
      </c>
      <c r="BA50" s="204">
        <v>6078.72577336</v>
      </c>
      <c r="BB50" s="204">
        <v>1750.62678518</v>
      </c>
      <c r="BC50" s="204">
        <v>21306.17506642</v>
      </c>
      <c r="BD50" s="204">
        <v>11053.69531064</v>
      </c>
      <c r="BE50" s="204">
        <v>40189.2229356</v>
      </c>
      <c r="BF50" s="205"/>
    </row>
    <row r="51" s="1" customFormat="1" spans="1:58">
      <c r="A51" s="146">
        <v>45292</v>
      </c>
      <c r="B51" s="179">
        <v>243.242540700001</v>
      </c>
      <c r="C51" s="206">
        <v>102.4770158</v>
      </c>
      <c r="D51" s="206">
        <f>1197.97700622+投资公司!D16*1.06-F131</f>
        <v>1233.83224104003</v>
      </c>
      <c r="E51" s="206">
        <f>551.800571620002+H98</f>
        <v>637.951681620002</v>
      </c>
      <c r="F51" s="179">
        <f t="shared" si="0"/>
        <v>2217.50347916003</v>
      </c>
      <c r="G51" s="207"/>
      <c r="H51" s="207"/>
      <c r="I51" s="146">
        <v>45292</v>
      </c>
      <c r="J51" s="179">
        <v>102.44421834</v>
      </c>
      <c r="K51" s="179">
        <v>1.40556</v>
      </c>
      <c r="L51" s="179">
        <v>406.91992532</v>
      </c>
      <c r="M51" s="179">
        <v>20.41860192</v>
      </c>
      <c r="N51" s="179">
        <f t="shared" si="1"/>
        <v>531.18830558</v>
      </c>
      <c r="O51" s="56"/>
      <c r="P51" s="146">
        <v>45292</v>
      </c>
      <c r="Q51" s="179">
        <v>44.59366258</v>
      </c>
      <c r="R51" s="179">
        <v>18.9208176800001</v>
      </c>
      <c r="S51" s="179">
        <v>0.537859900000002</v>
      </c>
      <c r="T51" s="179">
        <v>21.48884258</v>
      </c>
      <c r="U51" s="179">
        <f t="shared" si="2"/>
        <v>85.5411827400001</v>
      </c>
      <c r="V51" s="56"/>
      <c r="W51" s="180">
        <v>45292</v>
      </c>
      <c r="X51" s="179">
        <v>-0.273828739999998</v>
      </c>
      <c r="Y51" s="179">
        <v>0</v>
      </c>
      <c r="Z51" s="179">
        <f>37.54444422</f>
        <v>37.54444422</v>
      </c>
      <c r="AA51" s="179">
        <f>-85.2451830399996</f>
        <v>-85.2451830399996</v>
      </c>
      <c r="AB51" s="179">
        <f t="shared" si="3"/>
        <v>-47.9745675599996</v>
      </c>
      <c r="AC51" s="155"/>
      <c r="AD51" s="180">
        <v>45292</v>
      </c>
      <c r="AE51" s="179">
        <f t="shared" si="4"/>
        <v>390.006592880001</v>
      </c>
      <c r="AF51" s="179">
        <f t="shared" si="5"/>
        <v>122.80339348</v>
      </c>
      <c r="AG51" s="179">
        <f t="shared" si="6"/>
        <v>1678.83447048003</v>
      </c>
      <c r="AH51" s="179">
        <f t="shared" si="7"/>
        <v>594.613943080002</v>
      </c>
      <c r="AI51" s="179">
        <f t="shared" si="8"/>
        <v>2786.25839992003</v>
      </c>
      <c r="AJ51" s="181">
        <f t="shared" si="9"/>
        <v>0</v>
      </c>
      <c r="AL51" s="183" t="s">
        <v>204</v>
      </c>
      <c r="AM51" s="184">
        <f>AE51</f>
        <v>390.006592880001</v>
      </c>
      <c r="AN51" s="184">
        <f>AF51</f>
        <v>122.80339348</v>
      </c>
      <c r="AO51" s="184">
        <f>AG51</f>
        <v>1678.83447048003</v>
      </c>
      <c r="AP51" s="184">
        <f>AH51</f>
        <v>594.613943080002</v>
      </c>
      <c r="AQ51" s="184">
        <f t="shared" si="10"/>
        <v>2786.25839992003</v>
      </c>
      <c r="AR51" s="43"/>
      <c r="AS51" s="183" t="s">
        <v>204</v>
      </c>
      <c r="AT51" s="208">
        <f t="shared" si="11"/>
        <v>0.139975026326056</v>
      </c>
      <c r="AU51" s="208">
        <f t="shared" si="12"/>
        <v>0.0440746606572903</v>
      </c>
      <c r="AV51" s="208">
        <f t="shared" si="13"/>
        <v>0.602540837751521</v>
      </c>
      <c r="AW51" s="208">
        <f t="shared" si="14"/>
        <v>0.213409475265133</v>
      </c>
      <c r="AX51" s="183">
        <f t="shared" si="15"/>
        <v>1</v>
      </c>
      <c r="AZ51" s="143" t="s">
        <v>204</v>
      </c>
      <c r="BA51" s="204">
        <v>243.242540700001</v>
      </c>
      <c r="BB51" s="204">
        <v>102.4770158</v>
      </c>
      <c r="BC51" s="204">
        <v>1233.83224104003</v>
      </c>
      <c r="BD51" s="204">
        <v>637.951681620002</v>
      </c>
      <c r="BE51" s="204">
        <v>2217.50347916003</v>
      </c>
      <c r="BF51" s="205"/>
    </row>
    <row r="52" s="1" customFormat="1" spans="1:58">
      <c r="A52" s="146">
        <v>45323</v>
      </c>
      <c r="B52" s="179">
        <v>548.2907929</v>
      </c>
      <c r="C52" s="179">
        <v>96.17370566</v>
      </c>
      <c r="D52" s="206">
        <f>926.072444999999+投资公司!E16*1.06-F132</f>
        <v>614.731417679945</v>
      </c>
      <c r="E52" s="206">
        <f>212.07837958+H99</f>
        <v>249.89227958</v>
      </c>
      <c r="F52" s="179">
        <f t="shared" si="0"/>
        <v>1509.08819581994</v>
      </c>
      <c r="G52" s="207"/>
      <c r="H52" s="207"/>
      <c r="I52" s="146">
        <v>45323</v>
      </c>
      <c r="J52" s="179">
        <v>546.916957</v>
      </c>
      <c r="K52" s="179">
        <v>1</v>
      </c>
      <c r="L52" s="179">
        <f>328.590564-84.22</f>
        <v>244.370564</v>
      </c>
      <c r="M52" s="179">
        <v>182</v>
      </c>
      <c r="N52" s="179">
        <f t="shared" si="1"/>
        <v>974.287521</v>
      </c>
      <c r="O52" s="56"/>
      <c r="P52" s="146">
        <v>45323</v>
      </c>
      <c r="Q52" s="179">
        <v>122.821271</v>
      </c>
      <c r="R52" s="179">
        <v>9.201607</v>
      </c>
      <c r="S52" s="179">
        <v>0</v>
      </c>
      <c r="T52" s="179">
        <v>-73</v>
      </c>
      <c r="U52" s="179">
        <f t="shared" si="2"/>
        <v>59.022878</v>
      </c>
      <c r="V52" s="56"/>
      <c r="W52" s="180">
        <v>45323</v>
      </c>
      <c r="X52" s="179">
        <v>0.04</v>
      </c>
      <c r="Y52" s="179">
        <v>0</v>
      </c>
      <c r="Z52" s="179">
        <f>16.36</f>
        <v>16.36</v>
      </c>
      <c r="AA52" s="179">
        <f>-92+F164</f>
        <v>-88.249758</v>
      </c>
      <c r="AB52" s="179">
        <f t="shared" si="3"/>
        <v>-71.849758</v>
      </c>
      <c r="AC52" s="155"/>
      <c r="AD52" s="180">
        <v>45323</v>
      </c>
      <c r="AE52" s="179">
        <f t="shared" si="4"/>
        <v>1218.0690209</v>
      </c>
      <c r="AF52" s="179">
        <f t="shared" si="5"/>
        <v>106.37531266</v>
      </c>
      <c r="AG52" s="179">
        <f t="shared" si="6"/>
        <v>875.461981679945</v>
      </c>
      <c r="AH52" s="179">
        <f t="shared" si="7"/>
        <v>270.64252158</v>
      </c>
      <c r="AI52" s="179">
        <f t="shared" si="8"/>
        <v>2470.54883681994</v>
      </c>
      <c r="AJ52" s="181">
        <f t="shared" si="9"/>
        <v>0</v>
      </c>
      <c r="AL52" s="183" t="s">
        <v>205</v>
      </c>
      <c r="AM52" s="184">
        <f>SUM(AE$51:AE52)</f>
        <v>1608.07561378</v>
      </c>
      <c r="AN52" s="184">
        <f>SUM(AF$51:AF52)</f>
        <v>229.17870614</v>
      </c>
      <c r="AO52" s="184">
        <f>SUM(AG$51:AG52)</f>
        <v>2554.29645215997</v>
      </c>
      <c r="AP52" s="184">
        <f>SUM(AH$51:AH52)</f>
        <v>865.256464660002</v>
      </c>
      <c r="AQ52" s="184">
        <f t="shared" si="10"/>
        <v>5256.80723673997</v>
      </c>
      <c r="AR52" s="43"/>
      <c r="AS52" s="183" t="s">
        <v>205</v>
      </c>
      <c r="AT52" s="208">
        <f t="shared" si="11"/>
        <v>0.305903477407563</v>
      </c>
      <c r="AU52" s="208">
        <f t="shared" si="12"/>
        <v>0.0435965588652868</v>
      </c>
      <c r="AV52" s="208">
        <f t="shared" si="13"/>
        <v>0.48590262817855</v>
      </c>
      <c r="AW52" s="208">
        <f t="shared" si="14"/>
        <v>0.164597335548601</v>
      </c>
      <c r="AX52" s="183">
        <f t="shared" si="15"/>
        <v>1</v>
      </c>
      <c r="AZ52" s="143" t="s">
        <v>205</v>
      </c>
      <c r="BA52" s="204">
        <v>791.533333600001</v>
      </c>
      <c r="BB52" s="204">
        <v>198.65072146</v>
      </c>
      <c r="BC52" s="204">
        <v>1848.56365871998</v>
      </c>
      <c r="BD52" s="204">
        <v>887.843961200002</v>
      </c>
      <c r="BE52" s="204">
        <v>3726.59167497998</v>
      </c>
      <c r="BF52" s="205"/>
    </row>
    <row r="53" s="1" customFormat="1" spans="1:58">
      <c r="A53" s="146">
        <v>45352</v>
      </c>
      <c r="B53" s="179">
        <v>148.39</v>
      </c>
      <c r="C53" s="179">
        <f>68-36626/10000</f>
        <v>64.3374</v>
      </c>
      <c r="D53" s="206">
        <f>1278.89078823001+投资公司!F16*1.06-F133</f>
        <v>1316.88841677005</v>
      </c>
      <c r="E53" s="206">
        <f>387.26+H100</f>
        <v>673.173067</v>
      </c>
      <c r="F53" s="179">
        <f t="shared" si="0"/>
        <v>2202.78888377005</v>
      </c>
      <c r="G53" s="207"/>
      <c r="H53" s="207"/>
      <c r="I53" s="146">
        <v>45352</v>
      </c>
      <c r="J53" s="179">
        <v>207.579485</v>
      </c>
      <c r="K53" s="179">
        <v>-2</v>
      </c>
      <c r="L53" s="206">
        <f>968.96344506-7186337.99/10000</f>
        <v>250.32964606</v>
      </c>
      <c r="M53" s="179">
        <v>46</v>
      </c>
      <c r="N53" s="179">
        <f t="shared" si="1"/>
        <v>501.90913106</v>
      </c>
      <c r="O53" s="56"/>
      <c r="P53" s="146">
        <v>45352</v>
      </c>
      <c r="Q53" s="179">
        <v>22</v>
      </c>
      <c r="R53" s="179">
        <v>37</v>
      </c>
      <c r="S53" s="179">
        <v>-11</v>
      </c>
      <c r="T53" s="179">
        <v>13.58</v>
      </c>
      <c r="U53" s="179">
        <f t="shared" si="2"/>
        <v>61.58</v>
      </c>
      <c r="V53" s="56"/>
      <c r="W53" s="180">
        <v>45352</v>
      </c>
      <c r="X53" s="179">
        <v>0</v>
      </c>
      <c r="Y53" s="179">
        <v>0</v>
      </c>
      <c r="Z53" s="179">
        <f>29</f>
        <v>29</v>
      </c>
      <c r="AA53" s="179">
        <f>-78.74560842+F165</f>
        <v>369.25700658</v>
      </c>
      <c r="AB53" s="179">
        <f t="shared" si="3"/>
        <v>398.25700658</v>
      </c>
      <c r="AC53" s="155"/>
      <c r="AD53" s="180">
        <v>45352</v>
      </c>
      <c r="AE53" s="179">
        <f t="shared" si="4"/>
        <v>377.969485</v>
      </c>
      <c r="AF53" s="179">
        <f t="shared" si="5"/>
        <v>99.3374</v>
      </c>
      <c r="AG53" s="179">
        <f t="shared" si="6"/>
        <v>1585.21806283005</v>
      </c>
      <c r="AH53" s="179">
        <f t="shared" si="7"/>
        <v>1102.01007358</v>
      </c>
      <c r="AI53" s="179">
        <f t="shared" si="8"/>
        <v>3164.53502141005</v>
      </c>
      <c r="AJ53" s="181">
        <f t="shared" si="9"/>
        <v>0</v>
      </c>
      <c r="AL53" s="183" t="s">
        <v>206</v>
      </c>
      <c r="AM53" s="184">
        <f>SUM(AE$51:AE53)</f>
        <v>1986.04509878</v>
      </c>
      <c r="AN53" s="184">
        <f>SUM(AF$51:AF53)</f>
        <v>328.51610614</v>
      </c>
      <c r="AO53" s="184">
        <f>SUM(AG$51:AG53)</f>
        <v>4139.51451499003</v>
      </c>
      <c r="AP53" s="184">
        <f>SUM(AH$51:AH53)</f>
        <v>1967.26653824</v>
      </c>
      <c r="AQ53" s="184">
        <f t="shared" si="10"/>
        <v>8421.34225815003</v>
      </c>
      <c r="AR53" s="43"/>
      <c r="AS53" s="183" t="s">
        <v>206</v>
      </c>
      <c r="AT53" s="208">
        <f t="shared" si="11"/>
        <v>0.235834744379133</v>
      </c>
      <c r="AU53" s="208">
        <f t="shared" si="12"/>
        <v>0.0390099459289958</v>
      </c>
      <c r="AV53" s="208">
        <f t="shared" si="13"/>
        <v>0.491550442684345</v>
      </c>
      <c r="AW53" s="208">
        <f t="shared" si="14"/>
        <v>0.233604867007527</v>
      </c>
      <c r="AX53" s="183">
        <f t="shared" si="15"/>
        <v>1</v>
      </c>
      <c r="AZ53" s="143" t="s">
        <v>206</v>
      </c>
      <c r="BA53" s="204">
        <v>939.923333600001</v>
      </c>
      <c r="BB53" s="204">
        <v>262.98812146</v>
      </c>
      <c r="BC53" s="204">
        <v>3165.45207549003</v>
      </c>
      <c r="BD53" s="204">
        <v>1561.0170282</v>
      </c>
      <c r="BE53" s="204">
        <v>5929.38055875003</v>
      </c>
      <c r="BF53" s="205"/>
    </row>
    <row r="54" s="1" customFormat="1" spans="1:58">
      <c r="A54" s="146">
        <v>45383</v>
      </c>
      <c r="B54" s="179">
        <v>100.07576706</v>
      </c>
      <c r="C54" s="206">
        <v>15.757</v>
      </c>
      <c r="D54" s="206">
        <f>483.624753019999+投资公司!G16*1.06-F134</f>
        <v>156.422481060054</v>
      </c>
      <c r="E54" s="206">
        <f>142.441875680001+H101</f>
        <v>394.898998680001</v>
      </c>
      <c r="F54" s="179">
        <f t="shared" si="0"/>
        <v>667.154246800055</v>
      </c>
      <c r="G54" s="207"/>
      <c r="H54" s="207"/>
      <c r="I54" s="146">
        <v>45383</v>
      </c>
      <c r="J54" s="179">
        <v>285.7910679</v>
      </c>
      <c r="K54" s="179"/>
      <c r="L54" s="206">
        <f>496.130032-1581198.22/10000</f>
        <v>338.01021</v>
      </c>
      <c r="M54" s="179">
        <v>-5.9834827</v>
      </c>
      <c r="N54" s="179">
        <f t="shared" si="1"/>
        <v>617.8177952</v>
      </c>
      <c r="O54" s="56"/>
      <c r="P54" s="146">
        <v>45383</v>
      </c>
      <c r="Q54" s="179">
        <v>2.3407874</v>
      </c>
      <c r="R54" s="179">
        <v>-75.05133476</v>
      </c>
      <c r="S54" s="179">
        <v>4.32192528</v>
      </c>
      <c r="T54" s="179">
        <v>9.68520834</v>
      </c>
      <c r="U54" s="179">
        <f t="shared" si="2"/>
        <v>-58.70341374</v>
      </c>
      <c r="V54" s="56"/>
      <c r="W54" s="180">
        <v>45383</v>
      </c>
      <c r="X54" s="179">
        <v>0.01796488</v>
      </c>
      <c r="Y54" s="179"/>
      <c r="Z54" s="179">
        <f>18.45040876</f>
        <v>18.45040876</v>
      </c>
      <c r="AA54" s="179">
        <f>-66.04435364+F166</f>
        <v>54.47058236</v>
      </c>
      <c r="AB54" s="179">
        <f t="shared" si="3"/>
        <v>72.938956</v>
      </c>
      <c r="AC54" s="155"/>
      <c r="AD54" s="180">
        <v>45383</v>
      </c>
      <c r="AE54" s="179">
        <f t="shared" si="4"/>
        <v>388.22558724</v>
      </c>
      <c r="AF54" s="179">
        <f t="shared" si="5"/>
        <v>-59.29433476</v>
      </c>
      <c r="AG54" s="179">
        <f t="shared" si="6"/>
        <v>517.205025100053</v>
      </c>
      <c r="AH54" s="179">
        <f t="shared" si="7"/>
        <v>453.071306680001</v>
      </c>
      <c r="AI54" s="179">
        <f t="shared" si="8"/>
        <v>1299.20758426005</v>
      </c>
      <c r="AJ54" s="181">
        <f t="shared" si="9"/>
        <v>0</v>
      </c>
      <c r="AL54" s="183" t="s">
        <v>207</v>
      </c>
      <c r="AM54" s="184">
        <f>SUM(AE$51:AE54)</f>
        <v>2374.27068602</v>
      </c>
      <c r="AN54" s="184">
        <f>SUM(AF$51:AF54)</f>
        <v>269.22177138</v>
      </c>
      <c r="AO54" s="184">
        <f>SUM(AG$51:AG54)</f>
        <v>4656.71954009008</v>
      </c>
      <c r="AP54" s="184">
        <f>SUM(AH$51:AH54)</f>
        <v>2420.33784492</v>
      </c>
      <c r="AQ54" s="184">
        <f t="shared" si="10"/>
        <v>9720.54984241008</v>
      </c>
      <c r="AR54" s="43"/>
      <c r="AS54" s="183" t="s">
        <v>207</v>
      </c>
      <c r="AT54" s="208">
        <f t="shared" si="11"/>
        <v>0.244252714559543</v>
      </c>
      <c r="AU54" s="208">
        <f t="shared" si="12"/>
        <v>0.0276961463851977</v>
      </c>
      <c r="AV54" s="208">
        <f t="shared" si="13"/>
        <v>0.479059272940831</v>
      </c>
      <c r="AW54" s="208">
        <f t="shared" si="14"/>
        <v>0.248991866114429</v>
      </c>
      <c r="AX54" s="183">
        <f t="shared" si="15"/>
        <v>1</v>
      </c>
      <c r="AZ54" s="143" t="s">
        <v>207</v>
      </c>
      <c r="BA54" s="204">
        <v>1039.99910066</v>
      </c>
      <c r="BB54" s="204">
        <v>278.74512146</v>
      </c>
      <c r="BC54" s="204">
        <v>3321.87455655008</v>
      </c>
      <c r="BD54" s="204">
        <v>1955.91602688</v>
      </c>
      <c r="BE54" s="204">
        <v>6596.53480555009</v>
      </c>
      <c r="BF54" s="205"/>
    </row>
    <row r="55" s="1" customFormat="1" spans="1:58">
      <c r="A55" s="146">
        <v>45413</v>
      </c>
      <c r="B55" s="179">
        <v>393.46</v>
      </c>
      <c r="C55" s="179">
        <v>8.77</v>
      </c>
      <c r="D55" s="206">
        <f>512.05+投资公司!H16*1.06-F135</f>
        <v>571.268270000001</v>
      </c>
      <c r="E55" s="206">
        <f>10.15+H102</f>
        <v>233.1968</v>
      </c>
      <c r="F55" s="179">
        <f t="shared" si="0"/>
        <v>1206.69507</v>
      </c>
      <c r="G55" s="207"/>
      <c r="H55" s="207"/>
      <c r="I55" s="146">
        <v>45413</v>
      </c>
      <c r="J55" s="179">
        <v>168.00528194</v>
      </c>
      <c r="K55" s="179">
        <v>-5.4</v>
      </c>
      <c r="L55" s="206">
        <f>1126.63792714-3387367.57/10000</f>
        <v>787.90117014</v>
      </c>
      <c r="M55" s="179">
        <v>22.29</v>
      </c>
      <c r="N55" s="179">
        <f t="shared" si="1"/>
        <v>972.79645208</v>
      </c>
      <c r="O55" s="56"/>
      <c r="P55" s="146">
        <v>45413</v>
      </c>
      <c r="Q55" s="179">
        <v>5.8354219</v>
      </c>
      <c r="R55" s="179">
        <v>-13.26200238</v>
      </c>
      <c r="S55" s="179">
        <v>-1.06234366</v>
      </c>
      <c r="T55" s="179">
        <v>-47.11</v>
      </c>
      <c r="U55" s="179">
        <f t="shared" si="2"/>
        <v>-55.59892414</v>
      </c>
      <c r="V55" s="56"/>
      <c r="W55" s="180">
        <v>45413</v>
      </c>
      <c r="X55" s="179">
        <v>0</v>
      </c>
      <c r="Y55" s="179">
        <v>0</v>
      </c>
      <c r="Z55" s="209">
        <f>-13.90323666+477792.32/10000</f>
        <v>33.87599534</v>
      </c>
      <c r="AA55" s="179">
        <f>-60.02859394+F167</f>
        <v>70.64942806</v>
      </c>
      <c r="AB55" s="179">
        <f t="shared" si="3"/>
        <v>104.5254234</v>
      </c>
      <c r="AC55" s="155"/>
      <c r="AD55" s="180">
        <v>45413</v>
      </c>
      <c r="AE55" s="179">
        <f t="shared" si="4"/>
        <v>567.30070384</v>
      </c>
      <c r="AF55" s="179">
        <f t="shared" si="5"/>
        <v>-9.89200238</v>
      </c>
      <c r="AG55" s="179">
        <f t="shared" si="6"/>
        <v>1391.98309182</v>
      </c>
      <c r="AH55" s="179">
        <f t="shared" si="7"/>
        <v>279.02622806</v>
      </c>
      <c r="AI55" s="179">
        <f t="shared" si="8"/>
        <v>2228.41802134</v>
      </c>
      <c r="AJ55" s="181">
        <f t="shared" si="9"/>
        <v>0</v>
      </c>
      <c r="AL55" s="183" t="s">
        <v>208</v>
      </c>
      <c r="AM55" s="184">
        <f>SUM(AE$51:AE55)</f>
        <v>2941.57138986</v>
      </c>
      <c r="AN55" s="184">
        <f>SUM(AF$51:AF55)</f>
        <v>259.329769</v>
      </c>
      <c r="AO55" s="184">
        <f>SUM(AG$51:AG55)</f>
        <v>6048.70263191008</v>
      </c>
      <c r="AP55" s="184">
        <f>SUM(AH$51:AH55)</f>
        <v>2699.36407298</v>
      </c>
      <c r="AQ55" s="184">
        <f t="shared" si="10"/>
        <v>11948.9678637501</v>
      </c>
      <c r="AR55" s="43"/>
      <c r="AS55" s="183" t="s">
        <v>208</v>
      </c>
      <c r="AT55" s="208">
        <f t="shared" si="11"/>
        <v>0.246177864347926</v>
      </c>
      <c r="AU55" s="208">
        <f t="shared" si="12"/>
        <v>0.0217031104240171</v>
      </c>
      <c r="AV55" s="208">
        <f t="shared" si="13"/>
        <v>0.506211306355606</v>
      </c>
      <c r="AW55" s="208">
        <f t="shared" si="14"/>
        <v>0.225907718872451</v>
      </c>
      <c r="AX55" s="183">
        <f t="shared" si="15"/>
        <v>1</v>
      </c>
      <c r="AZ55" s="143" t="s">
        <v>208</v>
      </c>
      <c r="BA55" s="204">
        <v>1433.45910066</v>
      </c>
      <c r="BB55" s="204">
        <v>287.51512146</v>
      </c>
      <c r="BC55" s="204">
        <v>3893.14282655008</v>
      </c>
      <c r="BD55" s="204">
        <v>2189.11282688</v>
      </c>
      <c r="BE55" s="204">
        <v>7803.22987555009</v>
      </c>
      <c r="BF55" s="205"/>
    </row>
    <row r="56" s="1" customFormat="1" spans="1:58">
      <c r="A56" s="146">
        <v>45444</v>
      </c>
      <c r="B56" s="179">
        <v>178.1741598</v>
      </c>
      <c r="C56" s="179">
        <v>16.05416428</v>
      </c>
      <c r="D56" s="206">
        <f>895.47563616+投资公司!I16*1.06-F136</f>
        <v>468.63697316</v>
      </c>
      <c r="E56" s="206">
        <f>261.694455720001+H103</f>
        <v>513.468955720001</v>
      </c>
      <c r="F56" s="179">
        <f t="shared" si="0"/>
        <v>1176.33425296</v>
      </c>
      <c r="G56" s="207"/>
      <c r="H56" s="207"/>
      <c r="I56" s="146">
        <v>45444</v>
      </c>
      <c r="J56" s="179">
        <v>369.1885183</v>
      </c>
      <c r="K56" s="179">
        <v>0</v>
      </c>
      <c r="L56" s="206">
        <f>787.42428706-534.4</f>
        <v>253.02428706</v>
      </c>
      <c r="M56" s="179">
        <v>36.28287038</v>
      </c>
      <c r="N56" s="179">
        <f t="shared" si="1"/>
        <v>658.49567574</v>
      </c>
      <c r="O56" s="56"/>
      <c r="P56" s="146">
        <v>45444</v>
      </c>
      <c r="Q56" s="179">
        <v>25.28641024</v>
      </c>
      <c r="R56" s="179">
        <v>11.25573932</v>
      </c>
      <c r="S56" s="209">
        <v>0</v>
      </c>
      <c r="T56" s="179">
        <v>10.74215554</v>
      </c>
      <c r="U56" s="179">
        <f t="shared" si="2"/>
        <v>47.2843051</v>
      </c>
      <c r="V56" s="56"/>
      <c r="W56" s="180">
        <v>45444</v>
      </c>
      <c r="X56" s="179">
        <v>-7.41750052</v>
      </c>
      <c r="Y56" s="179"/>
      <c r="Z56" s="209">
        <f>-78.600166+1044685.19/10000</f>
        <v>25.868353</v>
      </c>
      <c r="AA56" s="179">
        <f>-110.89876986+F168</f>
        <v>70.85392714</v>
      </c>
      <c r="AB56" s="179">
        <f t="shared" si="3"/>
        <v>89.30477962</v>
      </c>
      <c r="AC56" s="155"/>
      <c r="AD56" s="180">
        <v>45444</v>
      </c>
      <c r="AE56" s="179">
        <f t="shared" si="4"/>
        <v>565.23158782</v>
      </c>
      <c r="AF56" s="179">
        <f t="shared" si="5"/>
        <v>27.3099036</v>
      </c>
      <c r="AG56" s="179">
        <f t="shared" si="6"/>
        <v>747.52961322</v>
      </c>
      <c r="AH56" s="179">
        <f t="shared" si="7"/>
        <v>631.347908780001</v>
      </c>
      <c r="AI56" s="179">
        <f t="shared" si="8"/>
        <v>1971.41901342</v>
      </c>
      <c r="AJ56" s="181">
        <f t="shared" si="9"/>
        <v>0</v>
      </c>
      <c r="AL56" s="183" t="s">
        <v>209</v>
      </c>
      <c r="AM56" s="184">
        <f>SUM(AE$51:AE56)</f>
        <v>3506.80297768</v>
      </c>
      <c r="AN56" s="184">
        <f>SUM(AF$51:AF56)</f>
        <v>286.6396726</v>
      </c>
      <c r="AO56" s="184">
        <f>SUM(AG$51:AG56)</f>
        <v>6796.23224513008</v>
      </c>
      <c r="AP56" s="184">
        <f>SUM(AH$51:AH56)</f>
        <v>3330.71198176</v>
      </c>
      <c r="AQ56" s="184">
        <f t="shared" si="10"/>
        <v>13920.3868771701</v>
      </c>
      <c r="AR56" s="43"/>
      <c r="AS56" s="183" t="s">
        <v>209</v>
      </c>
      <c r="AT56" s="208">
        <f t="shared" si="11"/>
        <v>0.251918499724406</v>
      </c>
      <c r="AU56" s="208">
        <f t="shared" si="12"/>
        <v>0.0205913582093109</v>
      </c>
      <c r="AV56" s="208">
        <f t="shared" si="13"/>
        <v>0.488221505989617</v>
      </c>
      <c r="AW56" s="208">
        <f t="shared" si="14"/>
        <v>0.239268636076666</v>
      </c>
      <c r="AX56" s="183">
        <f t="shared" si="15"/>
        <v>1</v>
      </c>
      <c r="AZ56" s="143" t="s">
        <v>209</v>
      </c>
      <c r="BA56" s="204">
        <v>1611.63326046</v>
      </c>
      <c r="BB56" s="204">
        <v>303.56928574</v>
      </c>
      <c r="BC56" s="204">
        <v>4361.77979971008</v>
      </c>
      <c r="BD56" s="204">
        <v>2702.5817826</v>
      </c>
      <c r="BE56" s="204">
        <v>8979.56412851009</v>
      </c>
      <c r="BF56" s="205"/>
    </row>
    <row r="57" s="1" customFormat="1" spans="1:58">
      <c r="A57" s="146">
        <v>45474</v>
      </c>
      <c r="B57" s="179">
        <v>376.62121922</v>
      </c>
      <c r="C57" s="179">
        <v>11.42143216</v>
      </c>
      <c r="D57" s="206">
        <f>860.481768180002+投资公司!J16*1.06-F137</f>
        <v>1031.77480418</v>
      </c>
      <c r="E57" s="206">
        <f>906.349292120003+H104</f>
        <v>1027.48609212</v>
      </c>
      <c r="F57" s="179">
        <f t="shared" si="0"/>
        <v>2447.30354768001</v>
      </c>
      <c r="G57" s="207"/>
      <c r="H57" s="207"/>
      <c r="I57" s="146">
        <v>45474</v>
      </c>
      <c r="J57" s="179">
        <v>106.10004598</v>
      </c>
      <c r="K57" s="179"/>
      <c r="L57" s="206">
        <f>255.00086842-101.98</f>
        <v>153.02086842</v>
      </c>
      <c r="M57" s="179">
        <v>101.24502974</v>
      </c>
      <c r="N57" s="179">
        <f t="shared" si="1"/>
        <v>360.36594414</v>
      </c>
      <c r="O57" s="56"/>
      <c r="P57" s="146">
        <v>45474</v>
      </c>
      <c r="Q57" s="179">
        <v>-0.963043920000001</v>
      </c>
      <c r="R57" s="179">
        <v>-24.49922668</v>
      </c>
      <c r="S57" s="179">
        <v>-36.2498217</v>
      </c>
      <c r="T57" s="179">
        <v>53.20090922</v>
      </c>
      <c r="U57" s="179">
        <f t="shared" si="2"/>
        <v>-8.51118307999999</v>
      </c>
      <c r="V57" s="56"/>
      <c r="W57" s="180">
        <v>45474</v>
      </c>
      <c r="X57" s="179">
        <v>-11.46392014</v>
      </c>
      <c r="Y57" s="179"/>
      <c r="Z57" s="179">
        <f>36.60677776</f>
        <v>36.60677776</v>
      </c>
      <c r="AA57" s="179">
        <f>-229.305812279998+F169</f>
        <v>115.919242720002</v>
      </c>
      <c r="AB57" s="179">
        <f t="shared" si="3"/>
        <v>141.062100340002</v>
      </c>
      <c r="AC57" s="155"/>
      <c r="AD57" s="180">
        <v>45474</v>
      </c>
      <c r="AE57" s="179">
        <f t="shared" si="4"/>
        <v>470.29430114</v>
      </c>
      <c r="AF57" s="179">
        <f t="shared" si="5"/>
        <v>-13.07779452</v>
      </c>
      <c r="AG57" s="179">
        <f t="shared" si="6"/>
        <v>1185.15262866</v>
      </c>
      <c r="AH57" s="179">
        <f t="shared" si="7"/>
        <v>1297.8512738</v>
      </c>
      <c r="AI57" s="179">
        <f t="shared" si="8"/>
        <v>2940.22040908001</v>
      </c>
      <c r="AJ57" s="181">
        <f t="shared" si="9"/>
        <v>0</v>
      </c>
      <c r="AL57" s="183" t="s">
        <v>210</v>
      </c>
      <c r="AM57" s="184">
        <f>SUM(AE$51:AE57)</f>
        <v>3977.09727882</v>
      </c>
      <c r="AN57" s="184">
        <f>SUM(AF$51:AF57)</f>
        <v>273.56187808</v>
      </c>
      <c r="AO57" s="184">
        <f>SUM(AG$51:AG57)</f>
        <v>7981.38487379008</v>
      </c>
      <c r="AP57" s="184">
        <f>SUM(AH$51:AH57)</f>
        <v>4628.56325556001</v>
      </c>
      <c r="AQ57" s="184">
        <f t="shared" si="10"/>
        <v>16860.6072862501</v>
      </c>
      <c r="AR57" s="43"/>
      <c r="AS57" s="183" t="s">
        <v>210</v>
      </c>
      <c r="AT57" s="208">
        <f t="shared" si="11"/>
        <v>0.235881022035508</v>
      </c>
      <c r="AU57" s="208">
        <f t="shared" si="12"/>
        <v>0.0162249125097108</v>
      </c>
      <c r="AV57" s="208">
        <f t="shared" si="13"/>
        <v>0.473374697499712</v>
      </c>
      <c r="AW57" s="208">
        <f t="shared" si="14"/>
        <v>0.274519367955069</v>
      </c>
      <c r="AX57" s="183">
        <f t="shared" si="15"/>
        <v>1</v>
      </c>
      <c r="AZ57" s="143" t="s">
        <v>210</v>
      </c>
      <c r="BA57" s="204">
        <v>1988.25447968</v>
      </c>
      <c r="BB57" s="204">
        <v>314.9907179</v>
      </c>
      <c r="BC57" s="204">
        <v>5393.55460389009</v>
      </c>
      <c r="BD57" s="204">
        <v>3730.06787472001</v>
      </c>
      <c r="BE57" s="204">
        <v>11426.8676761901</v>
      </c>
      <c r="BF57" s="205"/>
    </row>
    <row r="58" s="1" customFormat="1" spans="1:58">
      <c r="A58" s="146">
        <v>45505</v>
      </c>
      <c r="B58" s="179">
        <v>325.6544349</v>
      </c>
      <c r="C58" s="179">
        <v>17.09495602</v>
      </c>
      <c r="D58" s="206">
        <f>468.233164+投资公司!K16*1.06-F138</f>
        <v>517.548746</v>
      </c>
      <c r="E58" s="206">
        <f>571.643724979999+H105</f>
        <v>616.437465979999</v>
      </c>
      <c r="F58" s="179">
        <f t="shared" si="0"/>
        <v>1476.7356029</v>
      </c>
      <c r="G58" s="207"/>
      <c r="H58" s="207"/>
      <c r="I58" s="146">
        <v>45505</v>
      </c>
      <c r="J58" s="179">
        <v>263.78192326</v>
      </c>
      <c r="K58" s="179">
        <v>3.2979197</v>
      </c>
      <c r="L58" s="206">
        <f>331.9486672-155.96</f>
        <v>175.9886672</v>
      </c>
      <c r="M58" s="179">
        <v>74.9496214</v>
      </c>
      <c r="N58" s="179">
        <f t="shared" si="1"/>
        <v>518.01813156</v>
      </c>
      <c r="O58" s="56"/>
      <c r="P58" s="146">
        <v>45505</v>
      </c>
      <c r="Q58" s="179">
        <v>2.72848452</v>
      </c>
      <c r="R58" s="179">
        <v>-10.3109486</v>
      </c>
      <c r="S58" s="179">
        <v>-17.39973252</v>
      </c>
      <c r="T58" s="179">
        <v>32.75660548</v>
      </c>
      <c r="U58" s="179">
        <f t="shared" si="2"/>
        <v>7.77440888</v>
      </c>
      <c r="V58" s="56"/>
      <c r="W58" s="180">
        <v>45505</v>
      </c>
      <c r="X58" s="179">
        <v>-71.86816006</v>
      </c>
      <c r="Y58" s="179"/>
      <c r="Z58" s="209">
        <f>-656.33228612+F155</f>
        <v>684.774697879927</v>
      </c>
      <c r="AA58" s="179">
        <f>25.0927005399995</f>
        <v>25.0927005399995</v>
      </c>
      <c r="AB58" s="179">
        <f t="shared" si="3"/>
        <v>637.999238359926</v>
      </c>
      <c r="AC58" s="155"/>
      <c r="AD58" s="180">
        <v>45505</v>
      </c>
      <c r="AE58" s="179">
        <f t="shared" si="4"/>
        <v>520.29668262</v>
      </c>
      <c r="AF58" s="179">
        <f t="shared" si="5"/>
        <v>10.08192712</v>
      </c>
      <c r="AG58" s="179">
        <f t="shared" si="6"/>
        <v>1360.91237855993</v>
      </c>
      <c r="AH58" s="179">
        <f t="shared" si="7"/>
        <v>749.236393399998</v>
      </c>
      <c r="AI58" s="179">
        <f t="shared" si="8"/>
        <v>2640.52738169993</v>
      </c>
      <c r="AJ58" s="181">
        <f t="shared" si="9"/>
        <v>0</v>
      </c>
      <c r="AL58" s="183" t="s">
        <v>211</v>
      </c>
      <c r="AM58" s="184">
        <f>SUM(AE$51:AE58)</f>
        <v>4497.39396144</v>
      </c>
      <c r="AN58" s="184">
        <f>SUM(AF$51:AF58)</f>
        <v>283.6438052</v>
      </c>
      <c r="AO58" s="184">
        <f>SUM(AG$51:AG58)</f>
        <v>9342.29725235001</v>
      </c>
      <c r="AP58" s="184">
        <f>SUM(AH$51:AH58)</f>
        <v>5377.79964896001</v>
      </c>
      <c r="AQ58" s="184">
        <f t="shared" si="10"/>
        <v>19501.13466795</v>
      </c>
      <c r="AR58" s="43"/>
      <c r="AS58" s="183" t="s">
        <v>211</v>
      </c>
      <c r="AT58" s="208">
        <f t="shared" si="11"/>
        <v>0.230622168300362</v>
      </c>
      <c r="AU58" s="208">
        <f t="shared" si="12"/>
        <v>0.0145449898187805</v>
      </c>
      <c r="AV58" s="208">
        <f t="shared" si="13"/>
        <v>0.479064290946311</v>
      </c>
      <c r="AW58" s="208">
        <f t="shared" si="14"/>
        <v>0.275768550934546</v>
      </c>
      <c r="AX58" s="183">
        <f t="shared" si="15"/>
        <v>1</v>
      </c>
      <c r="AZ58" s="143" t="s">
        <v>211</v>
      </c>
      <c r="BA58" s="204">
        <v>2313.90891458</v>
      </c>
      <c r="BB58" s="204">
        <v>332.08567392</v>
      </c>
      <c r="BC58" s="204">
        <v>5911.10334989009</v>
      </c>
      <c r="BD58" s="204">
        <v>4346.50534070001</v>
      </c>
      <c r="BE58" s="204">
        <v>12903.6032790901</v>
      </c>
      <c r="BF58" s="205"/>
    </row>
    <row r="59" s="1" customFormat="1" spans="1:58">
      <c r="A59" s="146">
        <v>45536</v>
      </c>
      <c r="B59" s="179">
        <v>290.45958986</v>
      </c>
      <c r="C59" s="179">
        <v>51.91811312</v>
      </c>
      <c r="D59" s="206">
        <f>293.773055519999+投资公司!L16*1.06-F139</f>
        <v>304.299735519999</v>
      </c>
      <c r="E59" s="206">
        <f>600.23272528+H106</f>
        <v>518.03444728</v>
      </c>
      <c r="F59" s="179">
        <f t="shared" si="0"/>
        <v>1164.71188578</v>
      </c>
      <c r="G59" s="207"/>
      <c r="H59" s="207"/>
      <c r="I59" s="146">
        <v>45536</v>
      </c>
      <c r="J59" s="206">
        <v>101.26891258</v>
      </c>
      <c r="K59" s="179">
        <v>1.25820834</v>
      </c>
      <c r="L59" s="206">
        <f>374.1554446-1905287.72/10000</f>
        <v>183.6266726</v>
      </c>
      <c r="M59" s="179">
        <v>90.08626452</v>
      </c>
      <c r="N59" s="179">
        <f t="shared" si="1"/>
        <v>376.24005804</v>
      </c>
      <c r="O59" s="56"/>
      <c r="P59" s="146">
        <v>45536</v>
      </c>
      <c r="Q59" s="179">
        <v>2.086027</v>
      </c>
      <c r="R59" s="179">
        <v>89.41116324</v>
      </c>
      <c r="S59" s="179">
        <v>37.212148</v>
      </c>
      <c r="T59" s="179">
        <v>40.6372465</v>
      </c>
      <c r="U59" s="179">
        <f t="shared" si="2"/>
        <v>169.34658474</v>
      </c>
      <c r="V59" s="56"/>
      <c r="W59" s="180">
        <v>45536</v>
      </c>
      <c r="X59" s="179">
        <v>-3.26888312</v>
      </c>
      <c r="Y59" s="179"/>
      <c r="Z59" s="209">
        <f>40.37889906-45</f>
        <v>-4.62110094</v>
      </c>
      <c r="AA59" s="179">
        <f>25.86583592+F170</f>
        <v>14.51515892</v>
      </c>
      <c r="AB59" s="179">
        <f t="shared" si="3"/>
        <v>6.62517486</v>
      </c>
      <c r="AC59" s="155"/>
      <c r="AD59" s="180">
        <v>45536</v>
      </c>
      <c r="AE59" s="179">
        <f t="shared" si="4"/>
        <v>390.54564632</v>
      </c>
      <c r="AF59" s="179">
        <f t="shared" si="5"/>
        <v>142.5874847</v>
      </c>
      <c r="AG59" s="179">
        <f t="shared" si="6"/>
        <v>520.517455179999</v>
      </c>
      <c r="AH59" s="179">
        <f t="shared" si="7"/>
        <v>663.27311722</v>
      </c>
      <c r="AI59" s="179">
        <f t="shared" si="8"/>
        <v>1716.92370342</v>
      </c>
      <c r="AJ59" s="181">
        <f t="shared" si="9"/>
        <v>0</v>
      </c>
      <c r="AL59" s="183" t="s">
        <v>212</v>
      </c>
      <c r="AM59" s="184">
        <f>SUM(AE$51:AE59)</f>
        <v>4887.93960776</v>
      </c>
      <c r="AN59" s="184">
        <f>SUM(AF$51:AF59)</f>
        <v>426.2312899</v>
      </c>
      <c r="AO59" s="184">
        <f>SUM(AG$51:AG59)</f>
        <v>9862.81470753001</v>
      </c>
      <c r="AP59" s="184">
        <f>SUM(AH$51:AH59)</f>
        <v>6041.07276618001</v>
      </c>
      <c r="AQ59" s="184">
        <f t="shared" si="10"/>
        <v>21218.05837137</v>
      </c>
      <c r="AR59" s="43"/>
      <c r="AS59" s="183" t="s">
        <v>212</v>
      </c>
      <c r="AT59" s="208">
        <f t="shared" si="11"/>
        <v>0.230366960171785</v>
      </c>
      <c r="AU59" s="208">
        <f t="shared" si="12"/>
        <v>0.0200881382471415</v>
      </c>
      <c r="AV59" s="208">
        <f t="shared" si="13"/>
        <v>0.464831161028293</v>
      </c>
      <c r="AW59" s="208">
        <f t="shared" si="14"/>
        <v>0.284713740552781</v>
      </c>
      <c r="AX59" s="183">
        <f t="shared" si="15"/>
        <v>1</v>
      </c>
      <c r="AZ59" s="143" t="s">
        <v>212</v>
      </c>
      <c r="BA59" s="204">
        <v>2604.36850444</v>
      </c>
      <c r="BB59" s="204">
        <v>384.00378704</v>
      </c>
      <c r="BC59" s="204">
        <v>6215.40308541008</v>
      </c>
      <c r="BD59" s="204">
        <v>4864.53978798001</v>
      </c>
      <c r="BE59" s="204">
        <v>14068.3151648701</v>
      </c>
      <c r="BF59" s="205"/>
    </row>
    <row r="60" s="1" customFormat="1" spans="1:58">
      <c r="A60" s="146">
        <v>45566</v>
      </c>
      <c r="B60" s="179">
        <v>481.16857508</v>
      </c>
      <c r="C60" s="179">
        <v>-5.12177372000002</v>
      </c>
      <c r="D60" s="206">
        <f>94.8891446599999+投资公司!M16*1.06-F140</f>
        <v>145.78812866</v>
      </c>
      <c r="E60" s="206">
        <f>626.319999439999+H107</f>
        <v>682.384409439999</v>
      </c>
      <c r="F60" s="179">
        <f t="shared" si="0"/>
        <v>1304.21933946</v>
      </c>
      <c r="G60" s="207"/>
      <c r="H60" s="207"/>
      <c r="I60" s="146">
        <v>45566</v>
      </c>
      <c r="J60" s="206">
        <v>79.75371582</v>
      </c>
      <c r="K60" s="179"/>
      <c r="L60" s="179">
        <f>596.0891441-936963.3/10000</f>
        <v>502.3928141</v>
      </c>
      <c r="M60" s="179">
        <v>86.40651056</v>
      </c>
      <c r="N60" s="179">
        <f t="shared" si="1"/>
        <v>668.55304048</v>
      </c>
      <c r="O60" s="56"/>
      <c r="P60" s="146">
        <v>45566</v>
      </c>
      <c r="Q60" s="179">
        <v>10.15395094</v>
      </c>
      <c r="R60" s="179">
        <v>33.7552283</v>
      </c>
      <c r="S60" s="179">
        <v>-19.96938876</v>
      </c>
      <c r="T60" s="179">
        <v>-5.03622006</v>
      </c>
      <c r="U60" s="179">
        <f t="shared" si="2"/>
        <v>18.90357042</v>
      </c>
      <c r="V60" s="56"/>
      <c r="W60" s="180">
        <v>45566</v>
      </c>
      <c r="X60" s="179">
        <v>0.0111883</v>
      </c>
      <c r="Y60" s="179"/>
      <c r="Z60" s="179">
        <v>9.34398374</v>
      </c>
      <c r="AA60" s="179">
        <v>19.58251526</v>
      </c>
      <c r="AB60" s="179">
        <f t="shared" si="3"/>
        <v>28.9376873</v>
      </c>
      <c r="AC60" s="155"/>
      <c r="AD60" s="180">
        <v>45566</v>
      </c>
      <c r="AE60" s="179">
        <f t="shared" si="4"/>
        <v>571.08743014</v>
      </c>
      <c r="AF60" s="179">
        <f t="shared" si="5"/>
        <v>28.63345458</v>
      </c>
      <c r="AG60" s="179">
        <f t="shared" si="6"/>
        <v>637.55553774</v>
      </c>
      <c r="AH60" s="179">
        <f t="shared" si="7"/>
        <v>783.337215199999</v>
      </c>
      <c r="AI60" s="179">
        <f t="shared" si="8"/>
        <v>2020.61363766</v>
      </c>
      <c r="AJ60" s="181">
        <f t="shared" si="9"/>
        <v>0</v>
      </c>
      <c r="AL60" s="183" t="s">
        <v>213</v>
      </c>
      <c r="AM60" s="184">
        <f>SUM(AE$51:AE60)</f>
        <v>5459.0270379</v>
      </c>
      <c r="AN60" s="184">
        <f>SUM(AF$51:AF60)</f>
        <v>454.86474448</v>
      </c>
      <c r="AO60" s="184">
        <f>SUM(AG$51:AG60)</f>
        <v>10500.37024527</v>
      </c>
      <c r="AP60" s="184">
        <f>SUM(AH$51:AH60)</f>
        <v>6824.40998138001</v>
      </c>
      <c r="AQ60" s="184">
        <f t="shared" si="10"/>
        <v>23238.67200903</v>
      </c>
      <c r="AR60" s="43"/>
      <c r="AS60" s="183" t="s">
        <v>213</v>
      </c>
      <c r="AT60" s="208">
        <f t="shared" si="11"/>
        <v>0.234911316609604</v>
      </c>
      <c r="AU60" s="208">
        <f t="shared" si="12"/>
        <v>0.0195736117925865</v>
      </c>
      <c r="AV60" s="208">
        <f t="shared" si="13"/>
        <v>0.451848980061761</v>
      </c>
      <c r="AW60" s="208">
        <f t="shared" si="14"/>
        <v>0.293666091536048</v>
      </c>
      <c r="AX60" s="183">
        <f t="shared" si="15"/>
        <v>1</v>
      </c>
      <c r="AZ60" s="143" t="s">
        <v>213</v>
      </c>
      <c r="BA60" s="204">
        <v>3085.53707952</v>
      </c>
      <c r="BB60" s="204">
        <v>378.88201332</v>
      </c>
      <c r="BC60" s="204">
        <v>6361.19121407008</v>
      </c>
      <c r="BD60" s="204">
        <v>5546.92419742</v>
      </c>
      <c r="BE60" s="204">
        <v>15372.5345043301</v>
      </c>
      <c r="BF60" s="205"/>
    </row>
    <row r="61" s="1" customFormat="1" spans="1:58">
      <c r="A61" s="146">
        <v>45597</v>
      </c>
      <c r="B61" s="179">
        <v>291.726229149999</v>
      </c>
      <c r="C61" s="179">
        <v>21.5412709666667</v>
      </c>
      <c r="D61" s="206">
        <f>-24.480571950007+投资公司!N16*1.06-F141</f>
        <v>178.182507969993</v>
      </c>
      <c r="E61" s="206">
        <f>401.581264689999+H108</f>
        <v>464.965871689999</v>
      </c>
      <c r="F61" s="179">
        <f t="shared" si="0"/>
        <v>956.415879776658</v>
      </c>
      <c r="G61" s="56"/>
      <c r="H61" s="56"/>
      <c r="I61" s="146">
        <v>45597</v>
      </c>
      <c r="J61" s="179">
        <v>234.483605</v>
      </c>
      <c r="K61" s="179">
        <v>-6</v>
      </c>
      <c r="L61" s="179">
        <f>1002.69312856-195647.96/10000</f>
        <v>983.12833256</v>
      </c>
      <c r="M61" s="179">
        <v>54.723206</v>
      </c>
      <c r="N61" s="179">
        <f t="shared" si="1"/>
        <v>1266.33514356</v>
      </c>
      <c r="O61" s="56"/>
      <c r="P61" s="146">
        <v>45597</v>
      </c>
      <c r="Q61" s="179">
        <v>6.0811246</v>
      </c>
      <c r="R61" s="179">
        <v>71.1523092</v>
      </c>
      <c r="S61" s="179">
        <v>8.21462476</v>
      </c>
      <c r="T61" s="179">
        <v>36.36705558</v>
      </c>
      <c r="U61" s="179">
        <f t="shared" si="2"/>
        <v>121.81511414</v>
      </c>
      <c r="V61" s="56"/>
      <c r="W61" s="180">
        <v>45597</v>
      </c>
      <c r="X61" s="179"/>
      <c r="Y61" s="179"/>
      <c r="Z61" s="179">
        <v>-286.42707956</v>
      </c>
      <c r="AA61" s="179">
        <v>36.44736012</v>
      </c>
      <c r="AB61" s="179">
        <f t="shared" si="3"/>
        <v>-249.97971944</v>
      </c>
      <c r="AC61" s="155"/>
      <c r="AD61" s="180">
        <v>45597</v>
      </c>
      <c r="AE61" s="179">
        <f t="shared" si="4"/>
        <v>532.290958749999</v>
      </c>
      <c r="AF61" s="179">
        <f t="shared" si="5"/>
        <v>86.6935801666667</v>
      </c>
      <c r="AG61" s="179">
        <f t="shared" si="6"/>
        <v>883.098385729993</v>
      </c>
      <c r="AH61" s="179">
        <f t="shared" si="7"/>
        <v>592.503493389999</v>
      </c>
      <c r="AI61" s="179">
        <f t="shared" si="8"/>
        <v>2094.58641803666</v>
      </c>
      <c r="AJ61" s="181">
        <f t="shared" si="9"/>
        <v>0</v>
      </c>
      <c r="AL61" s="183" t="s">
        <v>214</v>
      </c>
      <c r="AM61" s="184">
        <f>SUM(AE$51:AE61)</f>
        <v>5991.31799665</v>
      </c>
      <c r="AN61" s="184">
        <f>SUM(AF$51:AF61)</f>
        <v>541.558324646667</v>
      </c>
      <c r="AO61" s="184">
        <f>SUM(AG$51:AG61)</f>
        <v>11383.468631</v>
      </c>
      <c r="AP61" s="184">
        <f>SUM(AH$51:AH61)</f>
        <v>7416.91347477001</v>
      </c>
      <c r="AQ61" s="184">
        <f t="shared" si="10"/>
        <v>25333.2584270667</v>
      </c>
      <c r="AR61" s="43"/>
      <c r="AS61" s="183" t="s">
        <v>214</v>
      </c>
      <c r="AT61" s="208">
        <f t="shared" si="11"/>
        <v>0.236500093894306</v>
      </c>
      <c r="AU61" s="208">
        <f t="shared" si="12"/>
        <v>0.0213773654978411</v>
      </c>
      <c r="AV61" s="208">
        <f t="shared" si="13"/>
        <v>0.449348774606808</v>
      </c>
      <c r="AW61" s="208">
        <f t="shared" si="14"/>
        <v>0.292773766001044</v>
      </c>
      <c r="AX61" s="183">
        <f t="shared" si="15"/>
        <v>1</v>
      </c>
      <c r="AZ61" s="143" t="s">
        <v>214</v>
      </c>
      <c r="BA61" s="204">
        <v>3377.26330867</v>
      </c>
      <c r="BB61" s="204">
        <v>400.423284286667</v>
      </c>
      <c r="BC61" s="204">
        <v>6539.37372204007</v>
      </c>
      <c r="BD61" s="204">
        <v>6011.89006911</v>
      </c>
      <c r="BE61" s="204">
        <v>16328.9503841067</v>
      </c>
      <c r="BF61" s="205"/>
    </row>
    <row r="62" s="1" customFormat="1" spans="1:58">
      <c r="A62" s="146">
        <v>45627</v>
      </c>
      <c r="B62" s="179">
        <f>371.8717705+346222.93/10000</f>
        <v>406.4940635</v>
      </c>
      <c r="C62" s="179">
        <v>2.45614119333334</v>
      </c>
      <c r="D62" s="179">
        <f>458.9408436+投资公司!O16*1.06-F142</f>
        <v>-46.4792534</v>
      </c>
      <c r="E62" s="179">
        <f>819.14869528+H109+4288989.56/10000-346222.93/10000</f>
        <v>1494.38451228</v>
      </c>
      <c r="F62" s="179">
        <f t="shared" si="0"/>
        <v>1856.85546357333</v>
      </c>
      <c r="G62" s="56"/>
      <c r="H62" s="56"/>
      <c r="I62" s="146">
        <v>45627</v>
      </c>
      <c r="J62" s="179">
        <v>619.93376126</v>
      </c>
      <c r="K62" s="179">
        <v>0</v>
      </c>
      <c r="L62" s="179">
        <f>378.36381046-2336511.59/10000</f>
        <v>144.71265146</v>
      </c>
      <c r="M62" s="179">
        <v>65.60041716</v>
      </c>
      <c r="N62" s="179">
        <f t="shared" si="1"/>
        <v>830.24682988</v>
      </c>
      <c r="O62" s="56"/>
      <c r="P62" s="146">
        <v>45627</v>
      </c>
      <c r="Q62" s="179">
        <v>17.67015654</v>
      </c>
      <c r="R62" s="179">
        <v>-1.51872772000001</v>
      </c>
      <c r="S62" s="179">
        <v>12.09957034</v>
      </c>
      <c r="T62" s="179">
        <v>-3.38498704</v>
      </c>
      <c r="U62" s="179">
        <f t="shared" si="2"/>
        <v>24.86601212</v>
      </c>
      <c r="V62" s="56"/>
      <c r="W62" s="180">
        <v>45627</v>
      </c>
      <c r="X62" s="179">
        <v>-10.61320018</v>
      </c>
      <c r="Y62" s="179">
        <v>0</v>
      </c>
      <c r="Z62" s="179">
        <f>-23.17473654+18.816861</f>
        <v>-4.35787554</v>
      </c>
      <c r="AA62" s="179">
        <f>475.38163334-4288989.56/10000</f>
        <v>46.4826773400001</v>
      </c>
      <c r="AB62" s="179">
        <f t="shared" si="3"/>
        <v>31.5116016200001</v>
      </c>
      <c r="AC62" s="155"/>
      <c r="AD62" s="180">
        <v>45627</v>
      </c>
      <c r="AE62" s="179">
        <f t="shared" si="4"/>
        <v>1033.48478112</v>
      </c>
      <c r="AF62" s="179">
        <f t="shared" si="5"/>
        <v>0.93741347333333</v>
      </c>
      <c r="AG62" s="179">
        <f t="shared" si="6"/>
        <v>105.97509286</v>
      </c>
      <c r="AH62" s="179">
        <f t="shared" si="7"/>
        <v>1603.08261974</v>
      </c>
      <c r="AI62" s="179">
        <f t="shared" si="8"/>
        <v>2743.47990719333</v>
      </c>
      <c r="AJ62" s="181">
        <f t="shared" si="9"/>
        <v>0</v>
      </c>
      <c r="AL62" s="183" t="s">
        <v>215</v>
      </c>
      <c r="AM62" s="184">
        <f>SUM(AE$51:AE62)</f>
        <v>7024.80277777</v>
      </c>
      <c r="AN62" s="184">
        <f>SUM(AF$51:AF62)</f>
        <v>542.49573812</v>
      </c>
      <c r="AO62" s="184">
        <f>SUM(AG$51:AG62)</f>
        <v>11489.44372386</v>
      </c>
      <c r="AP62" s="184">
        <f>SUM(AH$51:AH62)</f>
        <v>9019.99609451001</v>
      </c>
      <c r="AQ62" s="184">
        <f t="shared" si="10"/>
        <v>28076.73833426</v>
      </c>
      <c r="AR62" s="43"/>
      <c r="AS62" s="183" t="s">
        <v>215</v>
      </c>
      <c r="AT62" s="208">
        <f t="shared" si="11"/>
        <v>0.250200101384217</v>
      </c>
      <c r="AU62" s="208">
        <f t="shared" si="12"/>
        <v>0.0193218931508875</v>
      </c>
      <c r="AV62" s="208">
        <f t="shared" si="13"/>
        <v>0.409215756726281</v>
      </c>
      <c r="AW62" s="208">
        <f t="shared" si="14"/>
        <v>0.321262248738614</v>
      </c>
      <c r="AX62" s="183">
        <f t="shared" si="15"/>
        <v>1</v>
      </c>
      <c r="AZ62" s="143" t="s">
        <v>215</v>
      </c>
      <c r="BA62" s="204">
        <v>3783.75737217</v>
      </c>
      <c r="BB62" s="204">
        <v>402.87942548</v>
      </c>
      <c r="BC62" s="204">
        <v>6921.79342464007</v>
      </c>
      <c r="BD62" s="204">
        <v>7506.27458139</v>
      </c>
      <c r="BE62" s="204">
        <v>18614.7048036801</v>
      </c>
      <c r="BF62" s="210"/>
    </row>
    <row r="63" spans="1:58">
      <c r="A63" s="148">
        <v>45658</v>
      </c>
      <c r="B63" s="185">
        <v>525.500437899999</v>
      </c>
      <c r="C63" s="185">
        <v>4.85622546000005</v>
      </c>
      <c r="D63" s="185">
        <f>271.944822900301-8.788175+77.701*1.06+124800/10000</f>
        <v>357.999707900301</v>
      </c>
      <c r="E63" s="185">
        <f>408.2218100801+106.281902-182241.39/10000</f>
        <v>496.2795730801</v>
      </c>
      <c r="F63" s="185">
        <f t="shared" si="0"/>
        <v>1384.6359443404</v>
      </c>
      <c r="I63" s="148">
        <v>45658</v>
      </c>
      <c r="J63" s="185">
        <v>114.639176</v>
      </c>
      <c r="K63" s="185">
        <v>2.38</v>
      </c>
      <c r="L63" s="185">
        <f>257.251687-124800/10000</f>
        <v>244.771687</v>
      </c>
      <c r="M63" s="185">
        <v>217.93886</v>
      </c>
      <c r="N63" s="185">
        <f t="shared" si="1"/>
        <v>579.729723</v>
      </c>
      <c r="P63" s="148">
        <v>45658</v>
      </c>
      <c r="Q63" s="185">
        <v>-0.112906</v>
      </c>
      <c r="R63" s="185">
        <f>0.543231999999995+182241.39/10000</f>
        <v>18.767371</v>
      </c>
      <c r="S63" s="185">
        <v>19.154495</v>
      </c>
      <c r="T63" s="185">
        <v>18.907038</v>
      </c>
      <c r="U63" s="185">
        <f t="shared" si="2"/>
        <v>56.715998</v>
      </c>
      <c r="W63" s="186">
        <v>45658</v>
      </c>
      <c r="X63" s="185">
        <v>4.41</v>
      </c>
      <c r="Y63" s="185">
        <v>0</v>
      </c>
      <c r="Z63" s="185">
        <f>8.770525+8.788175</f>
        <v>17.5587</v>
      </c>
      <c r="AA63" s="185">
        <f>39.7792589999999+5.002708</f>
        <v>44.7819669999999</v>
      </c>
      <c r="AB63" s="185">
        <f t="shared" si="3"/>
        <v>66.7506669999999</v>
      </c>
      <c r="AD63" s="186">
        <v>45658</v>
      </c>
      <c r="AE63" s="185">
        <f t="shared" si="4"/>
        <v>644.436707899999</v>
      </c>
      <c r="AF63" s="185">
        <f t="shared" si="5"/>
        <v>26.00359646</v>
      </c>
      <c r="AG63" s="185">
        <f t="shared" si="6"/>
        <v>639.484589900301</v>
      </c>
      <c r="AH63" s="185">
        <f t="shared" si="7"/>
        <v>777.9074380801</v>
      </c>
      <c r="AI63" s="185">
        <f t="shared" ref="AI63:AI74" si="16">SUM(AE63:AH63)</f>
        <v>2087.8323323404</v>
      </c>
      <c r="AJ63" s="188">
        <f t="shared" ref="AJ63:AJ74" si="17">F63+N63+U63+AB63-AI63</f>
        <v>0</v>
      </c>
      <c r="AL63" s="194" t="s">
        <v>216</v>
      </c>
      <c r="AM63" s="211">
        <f>AE63</f>
        <v>644.436707899999</v>
      </c>
      <c r="AN63" s="211">
        <f>AF63</f>
        <v>26.00359646</v>
      </c>
      <c r="AO63" s="211">
        <f>AG63</f>
        <v>639.484589900301</v>
      </c>
      <c r="AP63" s="211">
        <f>AH63</f>
        <v>777.9074380801</v>
      </c>
      <c r="AQ63" s="211">
        <f t="shared" si="10"/>
        <v>2087.8323323404</v>
      </c>
      <c r="AS63" s="194" t="s">
        <v>216</v>
      </c>
      <c r="AT63" s="212">
        <f t="shared" si="11"/>
        <v>0.308663055896641</v>
      </c>
      <c r="AU63" s="212">
        <f t="shared" si="12"/>
        <v>0.0124548298525728</v>
      </c>
      <c r="AV63" s="212">
        <f t="shared" si="13"/>
        <v>0.306291161409239</v>
      </c>
      <c r="AW63" s="212">
        <f t="shared" si="14"/>
        <v>0.372590952841547</v>
      </c>
      <c r="AX63" s="194">
        <f t="shared" si="15"/>
        <v>1</v>
      </c>
      <c r="AZ63" s="143" t="s">
        <v>216</v>
      </c>
      <c r="BA63" s="157">
        <f>B63</f>
        <v>525.500437899999</v>
      </c>
      <c r="BB63" s="157">
        <f>C63</f>
        <v>4.85622546000005</v>
      </c>
      <c r="BC63" s="157">
        <f>D63</f>
        <v>357.999707900301</v>
      </c>
      <c r="BD63" s="157">
        <f>E63</f>
        <v>496.2795730801</v>
      </c>
      <c r="BE63" s="157">
        <f t="shared" ref="BE63:BE74" si="18">SUM(BA63:BD63)</f>
        <v>1384.6359443404</v>
      </c>
    </row>
    <row r="64" spans="1:58">
      <c r="A64" s="148">
        <v>45689</v>
      </c>
      <c r="B64" s="185">
        <v>211.1978169</v>
      </c>
      <c r="C64" s="185">
        <f>47.5098533799999-394814.55/10000</f>
        <v>8.02839837999991</v>
      </c>
      <c r="D64" s="185">
        <f>356.409380439999-5.868618+6.228*1.06+18136.92/10000</f>
        <v>358.956134439999</v>
      </c>
      <c r="E64" s="185">
        <f>1192.72900207999+75.323061</f>
        <v>1268.05206307999</v>
      </c>
      <c r="F64" s="185">
        <f t="shared" si="0"/>
        <v>1846.23441279999</v>
      </c>
      <c r="I64" s="148">
        <v>45689</v>
      </c>
      <c r="J64" s="185">
        <v>203.548134</v>
      </c>
      <c r="K64" s="185">
        <v>0</v>
      </c>
      <c r="L64" s="185">
        <f>236.011835-18136.92/10000</f>
        <v>234.198143</v>
      </c>
      <c r="M64" s="185">
        <v>285.843947</v>
      </c>
      <c r="N64" s="185">
        <f t="shared" si="1"/>
        <v>723.590224</v>
      </c>
      <c r="P64" s="148">
        <v>45689</v>
      </c>
      <c r="Q64" s="185">
        <v>33.092767</v>
      </c>
      <c r="R64" s="185">
        <f>-21.862648+394814.55/10000</f>
        <v>17.618807</v>
      </c>
      <c r="S64" s="185">
        <v>17.964645</v>
      </c>
      <c r="T64" s="185">
        <v>45.612115</v>
      </c>
      <c r="U64" s="185">
        <f t="shared" si="2"/>
        <v>114.288334</v>
      </c>
      <c r="W64" s="186">
        <v>45689</v>
      </c>
      <c r="X64" s="185">
        <v>0.005</v>
      </c>
      <c r="Y64" s="185">
        <v>-5.391768</v>
      </c>
      <c r="Z64" s="185">
        <f>73.49272206+5.868618</f>
        <v>79.36134006</v>
      </c>
      <c r="AA64" s="185">
        <v>28.5717929999999</v>
      </c>
      <c r="AB64" s="185">
        <f t="shared" si="3"/>
        <v>102.54636506</v>
      </c>
      <c r="AD64" s="186">
        <v>45689</v>
      </c>
      <c r="AE64" s="185">
        <f t="shared" si="4"/>
        <v>447.8437179</v>
      </c>
      <c r="AF64" s="185">
        <f t="shared" si="5"/>
        <v>20.2554373799999</v>
      </c>
      <c r="AG64" s="185">
        <f t="shared" si="6"/>
        <v>690.480262499999</v>
      </c>
      <c r="AH64" s="185">
        <f t="shared" si="7"/>
        <v>1628.07991807999</v>
      </c>
      <c r="AI64" s="185">
        <f t="shared" si="16"/>
        <v>2786.65933585999</v>
      </c>
      <c r="AJ64" s="188">
        <f t="shared" si="17"/>
        <v>0</v>
      </c>
      <c r="AL64" s="194" t="s">
        <v>217</v>
      </c>
      <c r="AM64" s="211">
        <f>SUM(AE$63:AE64)</f>
        <v>1092.2804258</v>
      </c>
      <c r="AN64" s="211">
        <f>SUM(AF$63:AF64)</f>
        <v>46.2590338399999</v>
      </c>
      <c r="AO64" s="211">
        <f>SUM(AG$63:AG64)</f>
        <v>1329.9648524003</v>
      </c>
      <c r="AP64" s="211">
        <f>SUM(AH$63:AH64)</f>
        <v>2405.98735616009</v>
      </c>
      <c r="AQ64" s="211">
        <f t="shared" si="10"/>
        <v>4874.49166820039</v>
      </c>
      <c r="AS64" s="194" t="s">
        <v>217</v>
      </c>
      <c r="AT64" s="212">
        <f t="shared" si="11"/>
        <v>0.224080888870051</v>
      </c>
      <c r="AU64" s="212">
        <f t="shared" si="12"/>
        <v>0.00949002213744233</v>
      </c>
      <c r="AV64" s="212">
        <f t="shared" si="13"/>
        <v>0.272841753136345</v>
      </c>
      <c r="AW64" s="212">
        <f t="shared" si="14"/>
        <v>0.493587335856162</v>
      </c>
      <c r="AX64" s="194">
        <f t="shared" si="15"/>
        <v>1</v>
      </c>
      <c r="AZ64" s="143" t="s">
        <v>217</v>
      </c>
      <c r="BA64" s="157">
        <f>SUM(B$63:B64)</f>
        <v>736.698254799999</v>
      </c>
      <c r="BB64" s="157">
        <f>SUM(C$63:C64)</f>
        <v>12.88462384</v>
      </c>
      <c r="BC64" s="157">
        <f>SUM(D$63:D64)</f>
        <v>716.9558423403</v>
      </c>
      <c r="BD64" s="157">
        <f>SUM(E$63:E64)</f>
        <v>1764.33163616009</v>
      </c>
      <c r="BE64" s="157">
        <f t="shared" si="18"/>
        <v>3230.87035714039</v>
      </c>
    </row>
    <row r="65" spans="1:57">
      <c r="A65" s="148">
        <v>45717</v>
      </c>
      <c r="B65" s="185">
        <v>168.2848631</v>
      </c>
      <c r="C65" s="185">
        <f>56.3907252888702-425994.61/10000</f>
        <v>13.7912642888702</v>
      </c>
      <c r="D65" s="185">
        <f>403.582820559998-1.629471+106.762*1.06+98335.39/10000</f>
        <v>524.954608559998</v>
      </c>
      <c r="E65" s="185">
        <f>835.010306639997+90.231406</f>
        <v>925.241712639997</v>
      </c>
      <c r="F65" s="185">
        <f t="shared" si="0"/>
        <v>1632.27244858887</v>
      </c>
      <c r="I65" s="148">
        <v>45717</v>
      </c>
      <c r="J65" s="185">
        <v>61.059851</v>
      </c>
      <c r="K65" s="185">
        <v>0</v>
      </c>
      <c r="L65" s="185">
        <f>303.407861-98335.39/10000</f>
        <v>293.574322</v>
      </c>
      <c r="M65" s="185">
        <v>108.659693</v>
      </c>
      <c r="N65" s="185">
        <f t="shared" si="1"/>
        <v>463.293866</v>
      </c>
      <c r="P65" s="148">
        <v>45717</v>
      </c>
      <c r="Q65" s="185">
        <v>20.552338</v>
      </c>
      <c r="R65" s="185">
        <f>-15.1281+425994.61/10000</f>
        <v>27.471361</v>
      </c>
      <c r="S65" s="185">
        <v>27.1996</v>
      </c>
      <c r="T65" s="185">
        <v>37.32281</v>
      </c>
      <c r="U65" s="185">
        <f t="shared" si="2"/>
        <v>112.546109</v>
      </c>
      <c r="W65" s="186">
        <v>45717</v>
      </c>
      <c r="X65" s="185">
        <v>-0.000193</v>
      </c>
      <c r="Y65" s="185">
        <v>4.669564</v>
      </c>
      <c r="Z65" s="185">
        <f>46.8907816799999+1.629471</f>
        <v>48.5202526799999</v>
      </c>
      <c r="AA65" s="185">
        <f>28.34331734+14.885774</f>
        <v>43.22909134</v>
      </c>
      <c r="AB65" s="185">
        <f t="shared" si="3"/>
        <v>96.4187150199999</v>
      </c>
      <c r="AD65" s="186">
        <v>45717</v>
      </c>
      <c r="AE65" s="185">
        <f t="shared" si="4"/>
        <v>249.8968591</v>
      </c>
      <c r="AF65" s="185">
        <f t="shared" si="5"/>
        <v>45.9321892888702</v>
      </c>
      <c r="AG65" s="185">
        <f t="shared" si="6"/>
        <v>894.248783239998</v>
      </c>
      <c r="AH65" s="185">
        <f t="shared" si="7"/>
        <v>1114.45330698</v>
      </c>
      <c r="AI65" s="185">
        <f t="shared" si="16"/>
        <v>2304.53113860887</v>
      </c>
      <c r="AJ65" s="188">
        <f t="shared" si="17"/>
        <v>0</v>
      </c>
      <c r="AL65" s="194" t="s">
        <v>218</v>
      </c>
      <c r="AM65" s="211">
        <f>SUM(AE$63:AE65)</f>
        <v>1342.1772849</v>
      </c>
      <c r="AN65" s="211">
        <f>SUM(AF$63:AF65)</f>
        <v>92.1912231288701</v>
      </c>
      <c r="AO65" s="211">
        <f>SUM(AG$63:AG65)</f>
        <v>2224.2136356403</v>
      </c>
      <c r="AP65" s="211">
        <f>SUM(AH$63:AH65)</f>
        <v>3520.44066314009</v>
      </c>
      <c r="AQ65" s="211">
        <f t="shared" si="10"/>
        <v>7179.02280680926</v>
      </c>
      <c r="AS65" s="194" t="s">
        <v>218</v>
      </c>
      <c r="AT65" s="212">
        <f t="shared" si="11"/>
        <v>0.186958214372429</v>
      </c>
      <c r="AU65" s="212">
        <f t="shared" si="12"/>
        <v>0.0128417509749972</v>
      </c>
      <c r="AV65" s="212">
        <f t="shared" si="13"/>
        <v>0.309821224349733</v>
      </c>
      <c r="AW65" s="212">
        <f t="shared" si="14"/>
        <v>0.490378810302841</v>
      </c>
      <c r="AX65" s="194">
        <f t="shared" si="15"/>
        <v>1</v>
      </c>
      <c r="AZ65" s="143" t="s">
        <v>218</v>
      </c>
      <c r="BA65" s="157">
        <f>SUM(B$63:B65)</f>
        <v>904.983117899999</v>
      </c>
      <c r="BB65" s="157">
        <f>SUM(C$63:C65)</f>
        <v>26.6758881288702</v>
      </c>
      <c r="BC65" s="157">
        <f>SUM(D$63:D65)</f>
        <v>1241.9104509003</v>
      </c>
      <c r="BD65" s="157">
        <f>SUM(E$63:E65)</f>
        <v>2689.57334880009</v>
      </c>
      <c r="BE65" s="157">
        <f t="shared" si="18"/>
        <v>4863.14280572926</v>
      </c>
    </row>
    <row r="66" spans="1:57">
      <c r="A66" s="148">
        <v>45748</v>
      </c>
      <c r="B66" s="185">
        <f>185.02463302-415382.39/10000</f>
        <v>143.48639402</v>
      </c>
      <c r="C66" s="185">
        <f>107.4860914-902752.18/10000</f>
        <v>17.2108734</v>
      </c>
      <c r="D66" s="185">
        <f>412.312319099998-19061.99/10000+78.746*1.06</f>
        <v>493.876880099998</v>
      </c>
      <c r="E66" s="185">
        <f>470.715836299999+157.848355</f>
        <v>628.564191299999</v>
      </c>
      <c r="F66" s="185">
        <f t="shared" si="0"/>
        <v>1283.13833882</v>
      </c>
      <c r="I66" s="148">
        <v>45748</v>
      </c>
      <c r="J66" s="185">
        <v>39.682316</v>
      </c>
      <c r="K66" s="185">
        <v>0</v>
      </c>
      <c r="L66" s="185">
        <v>161.511252</v>
      </c>
      <c r="M66" s="185">
        <v>131.032704</v>
      </c>
      <c r="N66" s="185">
        <f t="shared" si="1"/>
        <v>332.226272</v>
      </c>
      <c r="P66" s="148">
        <v>45748</v>
      </c>
      <c r="Q66" s="185">
        <v>28.17915024</v>
      </c>
      <c r="R66" s="185">
        <f>-71.658775+902752.18/10000</f>
        <v>18.616443</v>
      </c>
      <c r="S66" s="185">
        <v>28.14972</v>
      </c>
      <c r="T66" s="185">
        <v>32.427734</v>
      </c>
      <c r="U66" s="185">
        <f t="shared" si="2"/>
        <v>107.37304724</v>
      </c>
      <c r="W66" s="186">
        <v>45748</v>
      </c>
      <c r="X66" s="185">
        <f>-41.536697+415382.39/10000</f>
        <v>0.0015420000000077</v>
      </c>
      <c r="Y66" s="185">
        <v>-0.66146</v>
      </c>
      <c r="Z66" s="185">
        <f>33.6957195+19061.99/10000</f>
        <v>35.6019185</v>
      </c>
      <c r="AA66" s="185">
        <f>-0.178217999999986+27.716933</f>
        <v>27.538715</v>
      </c>
      <c r="AB66" s="185">
        <f t="shared" si="3"/>
        <v>62.4807155</v>
      </c>
      <c r="AD66" s="186">
        <v>45748</v>
      </c>
      <c r="AE66" s="185">
        <f t="shared" si="4"/>
        <v>211.34940226</v>
      </c>
      <c r="AF66" s="185">
        <f t="shared" si="5"/>
        <v>35.1658564</v>
      </c>
      <c r="AG66" s="185">
        <f t="shared" si="6"/>
        <v>719.139770599998</v>
      </c>
      <c r="AH66" s="185">
        <f t="shared" si="7"/>
        <v>819.563344299999</v>
      </c>
      <c r="AI66" s="185">
        <f t="shared" si="16"/>
        <v>1785.21837356</v>
      </c>
      <c r="AJ66" s="188">
        <f t="shared" si="17"/>
        <v>0</v>
      </c>
      <c r="AL66" s="194" t="s">
        <v>219</v>
      </c>
      <c r="AM66" s="211">
        <f>SUM(AE$63:AE66)</f>
        <v>1553.52668716</v>
      </c>
      <c r="AN66" s="211">
        <f>SUM(AF$63:AF66)</f>
        <v>127.35707952887</v>
      </c>
      <c r="AO66" s="211">
        <f>SUM(AG$63:AG66)</f>
        <v>2943.3534062403</v>
      </c>
      <c r="AP66" s="211">
        <f>SUM(AH$63:AH66)</f>
        <v>4340.00400744009</v>
      </c>
      <c r="AQ66" s="211">
        <f t="shared" si="10"/>
        <v>8964.24118036926</v>
      </c>
      <c r="AS66" s="194" t="s">
        <v>219</v>
      </c>
      <c r="AT66" s="212">
        <f t="shared" si="11"/>
        <v>0.173302642789449</v>
      </c>
      <c r="AU66" s="212">
        <f t="shared" si="12"/>
        <v>0.0142072348307371</v>
      </c>
      <c r="AV66" s="212">
        <f t="shared" si="13"/>
        <v>0.328343843836546</v>
      </c>
      <c r="AW66" s="212">
        <f t="shared" si="14"/>
        <v>0.484146278543268</v>
      </c>
      <c r="AX66" s="194">
        <f t="shared" si="15"/>
        <v>1</v>
      </c>
      <c r="AZ66" s="143" t="s">
        <v>219</v>
      </c>
      <c r="BA66" s="157">
        <f>SUM(B$63:B66)</f>
        <v>1048.46951192</v>
      </c>
      <c r="BB66" s="157">
        <f>SUM(C$63:C66)</f>
        <v>43.8867615288702</v>
      </c>
      <c r="BC66" s="157">
        <f>SUM(D$63:D66)</f>
        <v>1735.7873310003</v>
      </c>
      <c r="BD66" s="157">
        <f>SUM(E$63:E66)</f>
        <v>3318.13754010009</v>
      </c>
      <c r="BE66" s="157">
        <f t="shared" si="18"/>
        <v>6146.28114454926</v>
      </c>
    </row>
    <row r="67" spans="1:57">
      <c r="A67" s="148">
        <v>45778</v>
      </c>
      <c r="B67" s="185">
        <f>337.125527760007-167663.94/10000</f>
        <v>320.359133760007</v>
      </c>
      <c r="C67" s="185">
        <f>121.82181104-1042614.61/10000</f>
        <v>17.56035004</v>
      </c>
      <c r="D67" s="185">
        <f>463.452132820002-20988.87/10000+76.203*1.06</f>
        <v>542.128425820002</v>
      </c>
      <c r="E67" s="185">
        <f>379.751029177394+142.490671</f>
        <v>522.241700177394</v>
      </c>
      <c r="F67" s="185">
        <f t="shared" ref="F67:F74" si="19">SUM(B67:E67)</f>
        <v>1402.2896097974</v>
      </c>
      <c r="I67" s="148">
        <v>45778</v>
      </c>
      <c r="J67" s="185">
        <v>92.338256</v>
      </c>
      <c r="K67" s="185">
        <v>0</v>
      </c>
      <c r="L67" s="185">
        <v>451.37800638</v>
      </c>
      <c r="M67" s="185">
        <v>138.185756</v>
      </c>
      <c r="N67" s="185">
        <f t="shared" ref="N67:N74" si="20">SUM(J67:M67)</f>
        <v>681.90201838</v>
      </c>
      <c r="P67" s="148">
        <v>45778</v>
      </c>
      <c r="Q67" s="185">
        <v>24.088439</v>
      </c>
      <c r="R67" s="185">
        <f>-89.636541+1042614.61/10000</f>
        <v>14.62492</v>
      </c>
      <c r="S67" s="185">
        <v>38.219814</v>
      </c>
      <c r="T67" s="185">
        <v>47.769177</v>
      </c>
      <c r="U67" s="185">
        <f t="shared" ref="U67:U74" si="21">SUM(Q67:T67)</f>
        <v>124.70235</v>
      </c>
      <c r="W67" s="186">
        <v>45778</v>
      </c>
      <c r="X67" s="185">
        <f>-15.900041+167663.94/10000</f>
        <v>0.866353000000002</v>
      </c>
      <c r="Y67" s="185">
        <v>-0.756248</v>
      </c>
      <c r="Z67" s="185">
        <f>35.12088956+20988.87/10000</f>
        <v>37.21977656</v>
      </c>
      <c r="AA67" s="185">
        <f>-23.5137+30.013591</f>
        <v>6.499891</v>
      </c>
      <c r="AB67" s="185">
        <f t="shared" ref="AB67:AB74" si="22">SUM(X67:AA67)</f>
        <v>43.82977256</v>
      </c>
      <c r="AD67" s="186">
        <v>45778</v>
      </c>
      <c r="AE67" s="185">
        <f t="shared" ref="AE67:AE74" si="23">B67+J67+Q67+X67</f>
        <v>437.652181760007</v>
      </c>
      <c r="AF67" s="185">
        <f t="shared" ref="AF67:AF74" si="24">C67+K67+R67+Y67</f>
        <v>31.42902204</v>
      </c>
      <c r="AG67" s="185">
        <f t="shared" ref="AG67:AG74" si="25">D67+L67+S67+Z67</f>
        <v>1068.94602276</v>
      </c>
      <c r="AH67" s="185">
        <f t="shared" ref="AH67:AH74" si="26">E67+M67+T67+AA67</f>
        <v>714.696524177394</v>
      </c>
      <c r="AI67" s="185">
        <f t="shared" si="16"/>
        <v>2252.7237507374</v>
      </c>
      <c r="AJ67" s="188">
        <f t="shared" si="17"/>
        <v>0</v>
      </c>
      <c r="AL67" s="194" t="s">
        <v>220</v>
      </c>
      <c r="AM67" s="211">
        <f>SUM(AE$63:AE67)</f>
        <v>1991.17886892001</v>
      </c>
      <c r="AN67" s="211">
        <f>SUM(AF$63:AF67)</f>
        <v>158.78610156887</v>
      </c>
      <c r="AO67" s="211">
        <f>SUM(AG$63:AG67)</f>
        <v>4012.2994290003</v>
      </c>
      <c r="AP67" s="211">
        <f>SUM(AH$63:AH67)</f>
        <v>5054.70053161748</v>
      </c>
      <c r="AQ67" s="211">
        <f t="shared" ref="AQ67:AQ74" si="27">SUM(AM67:AP67)</f>
        <v>11216.9649311067</v>
      </c>
      <c r="AS67" s="194" t="s">
        <v>220</v>
      </c>
      <c r="AT67" s="212">
        <f t="shared" ref="AT67:AT74" si="28">AM67/$AQ67</f>
        <v>0.17751494108697</v>
      </c>
      <c r="AU67" s="212">
        <f t="shared" ref="AU67:AU74" si="29">AN67/$AQ67</f>
        <v>0.0141558882054207</v>
      </c>
      <c r="AV67" s="212">
        <f t="shared" ref="AV67:AV74" si="30">AO67/$AQ67</f>
        <v>0.357699204164709</v>
      </c>
      <c r="AW67" s="212">
        <f t="shared" ref="AW67:AW74" si="31">AP67/$AQ67</f>
        <v>0.450629966542901</v>
      </c>
      <c r="AX67" s="194">
        <f t="shared" ref="AX67:AX74" si="32">SUM(AT67:AW67)</f>
        <v>1</v>
      </c>
      <c r="AZ67" s="143" t="s">
        <v>220</v>
      </c>
      <c r="BA67" s="157">
        <f>SUM(B$63:B67)</f>
        <v>1368.82864568001</v>
      </c>
      <c r="BB67" s="157">
        <f>SUM(C$63:C67)</f>
        <v>61.4471115688702</v>
      </c>
      <c r="BC67" s="157">
        <f>SUM(D$63:D67)</f>
        <v>2277.9157568203</v>
      </c>
      <c r="BD67" s="157">
        <f>SUM(E$63:E67)</f>
        <v>3840.37924027748</v>
      </c>
      <c r="BE67" s="157">
        <f t="shared" si="18"/>
        <v>7548.57075434666</v>
      </c>
    </row>
    <row r="68" spans="1:57">
      <c r="A68" s="148">
        <v>45809</v>
      </c>
      <c r="B68" s="185">
        <f>252.6577417+7.059*1.06</f>
        <v>260.1402817</v>
      </c>
      <c r="C68" s="185">
        <f>120.06902722-1058035.87/10000</f>
        <v>14.26544022</v>
      </c>
      <c r="D68" s="185">
        <f>586.411139780003-26969.04/10000-146.863*1.06</f>
        <v>428.039455780003</v>
      </c>
      <c r="E68" s="185">
        <f>709.769105799993+111.519347+377.647*1.06</f>
        <v>1221.59427279999</v>
      </c>
      <c r="F68" s="185">
        <f t="shared" si="19"/>
        <v>1924.03945049999</v>
      </c>
      <c r="I68" s="148">
        <v>45809</v>
      </c>
      <c r="J68" s="185">
        <v>39.862036</v>
      </c>
      <c r="K68" s="185">
        <v>0</v>
      </c>
      <c r="L68" s="185">
        <v>863.80231594</v>
      </c>
      <c r="M68" s="185">
        <v>162.126459</v>
      </c>
      <c r="N68" s="185">
        <f t="shared" si="20"/>
        <v>1065.79081094</v>
      </c>
      <c r="P68" s="148">
        <v>45809</v>
      </c>
      <c r="Q68" s="185">
        <v>53.678596</v>
      </c>
      <c r="R68" s="185">
        <f>-88.567046+1058035.87/10000</f>
        <v>17.236541</v>
      </c>
      <c r="S68" s="185">
        <v>13.044635</v>
      </c>
      <c r="T68" s="185">
        <v>36.940669</v>
      </c>
      <c r="U68" s="185">
        <f t="shared" si="21"/>
        <v>120.900441</v>
      </c>
      <c r="W68" s="186">
        <v>45809</v>
      </c>
      <c r="X68" s="185">
        <v>0.391074999999999</v>
      </c>
      <c r="Y68" s="185">
        <v>0.3475802</v>
      </c>
      <c r="Z68" s="185">
        <f>31.98530504+26969.04/10000</f>
        <v>34.68220904</v>
      </c>
      <c r="AA68" s="185">
        <f>-11.726584+78.649476+38.674*1.06</f>
        <v>107.917332</v>
      </c>
      <c r="AB68" s="185">
        <f t="shared" si="22"/>
        <v>143.33819624</v>
      </c>
      <c r="AD68" s="186">
        <v>45809</v>
      </c>
      <c r="AE68" s="185">
        <f t="shared" si="23"/>
        <v>354.0719887</v>
      </c>
      <c r="AF68" s="185">
        <f t="shared" si="24"/>
        <v>31.84956142</v>
      </c>
      <c r="AG68" s="185">
        <f t="shared" si="25"/>
        <v>1339.56861576</v>
      </c>
      <c r="AH68" s="185">
        <f t="shared" si="26"/>
        <v>1528.57873279999</v>
      </c>
      <c r="AI68" s="185">
        <f t="shared" si="16"/>
        <v>3254.06889867999</v>
      </c>
      <c r="AJ68" s="188">
        <f t="shared" si="17"/>
        <v>0</v>
      </c>
      <c r="AL68" s="194" t="s">
        <v>221</v>
      </c>
      <c r="AM68" s="211">
        <f>SUM(AE$63:AE68)</f>
        <v>2345.25085762001</v>
      </c>
      <c r="AN68" s="211">
        <f>SUM(AF$63:AF68)</f>
        <v>190.63566298887</v>
      </c>
      <c r="AO68" s="211">
        <f>SUM(AG$63:AG68)</f>
        <v>5351.8680447603</v>
      </c>
      <c r="AP68" s="211">
        <f>SUM(AH$63:AH68)</f>
        <v>6583.27926441747</v>
      </c>
      <c r="AQ68" s="211">
        <f t="shared" si="27"/>
        <v>14471.0338297866</v>
      </c>
      <c r="AS68" s="194" t="s">
        <v>221</v>
      </c>
      <c r="AT68" s="212">
        <f t="shared" si="28"/>
        <v>0.162065190725533</v>
      </c>
      <c r="AU68" s="212">
        <f t="shared" si="29"/>
        <v>0.0131736035746439</v>
      </c>
      <c r="AV68" s="212">
        <f t="shared" si="30"/>
        <v>0.369833151363672</v>
      </c>
      <c r="AW68" s="212">
        <f t="shared" si="31"/>
        <v>0.454928054336152</v>
      </c>
      <c r="AX68" s="194">
        <f t="shared" si="32"/>
        <v>1</v>
      </c>
      <c r="AZ68" s="143" t="s">
        <v>221</v>
      </c>
      <c r="BA68" s="157">
        <f>SUM(B$63:B68)</f>
        <v>1628.96892738001</v>
      </c>
      <c r="BB68" s="157">
        <f>SUM(C$63:C68)</f>
        <v>75.7125517888702</v>
      </c>
      <c r="BC68" s="157">
        <f>SUM(D$63:D68)</f>
        <v>2705.9552126003</v>
      </c>
      <c r="BD68" s="157">
        <f>SUM(E$63:E68)</f>
        <v>5061.97351307747</v>
      </c>
      <c r="BE68" s="157">
        <f t="shared" si="18"/>
        <v>9472.61020484665</v>
      </c>
    </row>
    <row r="69" spans="1:57">
      <c r="A69" s="148">
        <v>45839</v>
      </c>
      <c r="B69" s="185">
        <f>301.497806749988-34.709*1.06</f>
        <v>264.706266749988</v>
      </c>
      <c r="C69" s="185">
        <f>171.21339278-1558835.58/10000</f>
        <v>15.32983478</v>
      </c>
      <c r="D69" s="185">
        <f>(224.704715980007+580624.2/10000)-4.518992+29.585013*1.06</f>
        <v>309.608257760007</v>
      </c>
      <c r="E69" s="185">
        <f>(778.079314845597-580624.2/10000)+164.754318+42.057*1.06</f>
        <v>929.351632845597</v>
      </c>
      <c r="F69" s="185">
        <f t="shared" si="19"/>
        <v>1518.99599213559</v>
      </c>
      <c r="I69" s="148">
        <v>45839</v>
      </c>
      <c r="J69" s="185">
        <v>44.674192</v>
      </c>
      <c r="K69" s="185">
        <v>0</v>
      </c>
      <c r="L69" s="185">
        <v>268.932996</v>
      </c>
      <c r="M69" s="185">
        <v>151.383505</v>
      </c>
      <c r="N69" s="185">
        <f t="shared" si="20"/>
        <v>464.990693</v>
      </c>
      <c r="P69" s="148">
        <v>45839</v>
      </c>
      <c r="Q69" s="185">
        <v>-1.094226</v>
      </c>
      <c r="R69" s="185">
        <f>-140.9378+1558835.58/10000</f>
        <v>14.945758</v>
      </c>
      <c r="S69" s="185">
        <v>18.211135</v>
      </c>
      <c r="T69" s="185">
        <v>46.41208</v>
      </c>
      <c r="U69" s="185">
        <f t="shared" si="21"/>
        <v>78.474747</v>
      </c>
      <c r="W69" s="186">
        <v>45839</v>
      </c>
      <c r="X69" s="185">
        <v>0</v>
      </c>
      <c r="Y69" s="185">
        <v>0</v>
      </c>
      <c r="Z69" s="185">
        <f>77.090649+4.518992</f>
        <v>81.609641</v>
      </c>
      <c r="AA69" s="185">
        <f>-26.304129+41.56+(2.672+247495.026/10000)*1.06</f>
        <v>44.322663756</v>
      </c>
      <c r="AB69" s="185">
        <f t="shared" si="22"/>
        <v>125.932304756</v>
      </c>
      <c r="AD69" s="186">
        <v>45839</v>
      </c>
      <c r="AE69" s="185">
        <f t="shared" si="23"/>
        <v>308.286232749988</v>
      </c>
      <c r="AF69" s="185">
        <f t="shared" si="24"/>
        <v>30.27559278</v>
      </c>
      <c r="AG69" s="185">
        <f t="shared" si="25"/>
        <v>678.362029760007</v>
      </c>
      <c r="AH69" s="185">
        <f t="shared" si="26"/>
        <v>1171.4698816016</v>
      </c>
      <c r="AI69" s="185">
        <f t="shared" si="16"/>
        <v>2188.39373689159</v>
      </c>
      <c r="AJ69" s="188">
        <f t="shared" si="17"/>
        <v>0</v>
      </c>
      <c r="AL69" s="194" t="s">
        <v>222</v>
      </c>
      <c r="AM69" s="211">
        <f>SUM(AE$63:AE69)</f>
        <v>2653.53709036999</v>
      </c>
      <c r="AN69" s="211">
        <f>SUM(AF$63:AF69)</f>
        <v>220.91125576887</v>
      </c>
      <c r="AO69" s="211">
        <f>SUM(AG$63:AG69)</f>
        <v>6030.23007452031</v>
      </c>
      <c r="AP69" s="211">
        <f>SUM(AH$63:AH69)</f>
        <v>7754.74914601907</v>
      </c>
      <c r="AQ69" s="211">
        <f t="shared" si="27"/>
        <v>16659.4275666782</v>
      </c>
      <c r="AS69" s="194" t="s">
        <v>222</v>
      </c>
      <c r="AT69" s="212">
        <f t="shared" si="28"/>
        <v>0.159281408664817</v>
      </c>
      <c r="AU69" s="212">
        <f t="shared" si="29"/>
        <v>0.0132604349630074</v>
      </c>
      <c r="AV69" s="212">
        <f t="shared" si="30"/>
        <v>0.361971025137852</v>
      </c>
      <c r="AW69" s="212">
        <f t="shared" si="31"/>
        <v>0.465487131234324</v>
      </c>
      <c r="AX69" s="194">
        <f t="shared" si="32"/>
        <v>1</v>
      </c>
      <c r="AZ69" s="143" t="s">
        <v>222</v>
      </c>
      <c r="BA69" s="157">
        <f>SUM(B$63:B69)</f>
        <v>1893.67519412999</v>
      </c>
      <c r="BB69" s="157">
        <f>SUM(C$63:C69)</f>
        <v>91.0423865688702</v>
      </c>
      <c r="BC69" s="157">
        <f>SUM(D$63:D69)</f>
        <v>3015.56347036031</v>
      </c>
      <c r="BD69" s="157">
        <f>SUM(E$63:E69)</f>
        <v>5991.32514592307</v>
      </c>
      <c r="BE69" s="157">
        <f t="shared" si="18"/>
        <v>10991.6061969822</v>
      </c>
    </row>
    <row r="70" spans="1:57">
      <c r="A70" s="148">
        <v>45870</v>
      </c>
      <c r="B70" s="185">
        <f>12.99285302-0.037*1.06</f>
        <v>12.95363302</v>
      </c>
      <c r="C70" s="185">
        <f>190.772073416591-1744661.36/10000</f>
        <v>16.305937416591</v>
      </c>
      <c r="D70" s="185">
        <f>210.858082659997-4.713276+132.251*1.06</f>
        <v>346.330866659997</v>
      </c>
      <c r="E70" s="185">
        <f>735.004758839992+416.828926+32.764*1.06</f>
        <v>1186.56352483999</v>
      </c>
      <c r="F70" s="185">
        <f t="shared" si="19"/>
        <v>1562.15396193658</v>
      </c>
      <c r="I70" s="148">
        <v>45870</v>
      </c>
      <c r="J70" s="185">
        <v>25.536627</v>
      </c>
      <c r="K70" s="185">
        <v>0</v>
      </c>
      <c r="L70" s="185">
        <v>472.629284</v>
      </c>
      <c r="M70" s="185">
        <v>85.380387</v>
      </c>
      <c r="N70" s="185">
        <f t="shared" si="20"/>
        <v>583.546298</v>
      </c>
      <c r="P70" s="148">
        <v>45870</v>
      </c>
      <c r="Q70" s="185">
        <v>-0.406563</v>
      </c>
      <c r="R70" s="185">
        <f>-153.005721+1744661.36/10000</f>
        <v>21.460415</v>
      </c>
      <c r="S70" s="185">
        <v>6.83417056</v>
      </c>
      <c r="T70" s="185">
        <v>46.17953</v>
      </c>
      <c r="U70" s="185">
        <f t="shared" si="21"/>
        <v>74.06755256</v>
      </c>
      <c r="W70" s="186">
        <v>45870</v>
      </c>
      <c r="X70" s="185">
        <v>0.441018</v>
      </c>
      <c r="Y70" s="185">
        <v>0</v>
      </c>
      <c r="Z70" s="185">
        <f>14.3374239+4.713276</f>
        <v>19.0506999</v>
      </c>
      <c r="AA70" s="185">
        <f>-47.314043+63.188793+7.030614*1.06</f>
        <v>23.32720084</v>
      </c>
      <c r="AB70" s="185">
        <f t="shared" si="22"/>
        <v>42.81891874</v>
      </c>
      <c r="AD70" s="186">
        <v>45870</v>
      </c>
      <c r="AE70" s="185">
        <f t="shared" si="23"/>
        <v>38.52471502</v>
      </c>
      <c r="AF70" s="185">
        <f t="shared" si="24"/>
        <v>37.766352416591</v>
      </c>
      <c r="AG70" s="185">
        <f t="shared" si="25"/>
        <v>844.845021119997</v>
      </c>
      <c r="AH70" s="185">
        <f t="shared" si="26"/>
        <v>1341.45064267999</v>
      </c>
      <c r="AI70" s="185">
        <f t="shared" si="16"/>
        <v>2262.58673123658</v>
      </c>
      <c r="AJ70" s="188">
        <f t="shared" si="17"/>
        <v>0</v>
      </c>
      <c r="AL70" s="194" t="s">
        <v>223</v>
      </c>
      <c r="AM70" s="211">
        <f>SUM(AE$63:AE70)</f>
        <v>2692.06180538999</v>
      </c>
      <c r="AN70" s="211">
        <f>SUM(AF$63:AF70)</f>
        <v>258.677608185461</v>
      </c>
      <c r="AO70" s="211">
        <f>SUM(AG$63:AG70)</f>
        <v>6875.07509564031</v>
      </c>
      <c r="AP70" s="211">
        <f>SUM(AH$63:AH70)</f>
        <v>9096.19978869906</v>
      </c>
      <c r="AQ70" s="211">
        <f t="shared" si="27"/>
        <v>18922.0142979148</v>
      </c>
      <c r="AS70" s="194" t="s">
        <v>223</v>
      </c>
      <c r="AT70" s="212">
        <f t="shared" si="28"/>
        <v>0.142271417989926</v>
      </c>
      <c r="AU70" s="212">
        <f t="shared" si="29"/>
        <v>0.0136707225833756</v>
      </c>
      <c r="AV70" s="212">
        <f t="shared" si="30"/>
        <v>0.363337379805168</v>
      </c>
      <c r="AW70" s="212">
        <f t="shared" si="31"/>
        <v>0.48072047962153</v>
      </c>
      <c r="AX70" s="194">
        <f t="shared" si="32"/>
        <v>1</v>
      </c>
      <c r="AZ70" s="143" t="s">
        <v>223</v>
      </c>
      <c r="BA70" s="157">
        <f>SUM(B$63:B70)</f>
        <v>1906.62882714999</v>
      </c>
      <c r="BB70" s="157">
        <f>SUM(C$63:C70)</f>
        <v>107.348323985461</v>
      </c>
      <c r="BC70" s="157">
        <f>SUM(D$63:D70)</f>
        <v>3361.8943370203</v>
      </c>
      <c r="BD70" s="157">
        <f>SUM(E$63:E70)</f>
        <v>7177.88867076306</v>
      </c>
      <c r="BE70" s="157">
        <f t="shared" si="18"/>
        <v>12553.7601589188</v>
      </c>
    </row>
    <row r="71" spans="1:57">
      <c r="A71" s="148">
        <v>45901</v>
      </c>
      <c r="B71" s="185">
        <f>227.66759131+31.138*1.06</f>
        <v>260.67387131</v>
      </c>
      <c r="C71" s="185">
        <f>141.5619807-1199958.67/10000</f>
        <v>21.5661137</v>
      </c>
      <c r="D71" s="185">
        <f>310.378328139997-5.41375+76.318*1.06</f>
        <v>385.861658139997</v>
      </c>
      <c r="E71" s="185">
        <f>1228.2811484504+546.279806+17.624*1.06</f>
        <v>1793.2423944504</v>
      </c>
      <c r="F71" s="185">
        <f t="shared" si="19"/>
        <v>2461.3440376004</v>
      </c>
      <c r="G71" s="196"/>
      <c r="I71" s="148">
        <v>45901</v>
      </c>
      <c r="J71" s="185">
        <v>196.855162</v>
      </c>
      <c r="K71" s="185">
        <v>0</v>
      </c>
      <c r="L71" s="185">
        <v>453.366506</v>
      </c>
      <c r="M71" s="185">
        <v>39.706168</v>
      </c>
      <c r="N71" s="185">
        <f t="shared" si="20"/>
        <v>689.927836</v>
      </c>
      <c r="P71" s="148">
        <v>45901</v>
      </c>
      <c r="Q71" s="185">
        <v>-1.464432</v>
      </c>
      <c r="R71" s="185">
        <f>-114.819525+1199958.67/10000</f>
        <v>5.17634199999999</v>
      </c>
      <c r="S71" s="185">
        <v>4.25752</v>
      </c>
      <c r="T71" s="185">
        <v>55.619706</v>
      </c>
      <c r="U71" s="185">
        <f t="shared" si="21"/>
        <v>63.589136</v>
      </c>
      <c r="W71" s="186">
        <v>45901</v>
      </c>
      <c r="X71" s="185">
        <v>1.90367</v>
      </c>
      <c r="Y71" s="185">
        <v>-19.78679952</v>
      </c>
      <c r="Z71" s="185">
        <f>24.49753854+5.41375</f>
        <v>29.91128854</v>
      </c>
      <c r="AA71" s="185">
        <f>-78.71411+114.690949+11.389872*1.06</f>
        <v>48.05010332</v>
      </c>
      <c r="AB71" s="185">
        <f t="shared" si="22"/>
        <v>60.07826234</v>
      </c>
      <c r="AD71" s="186">
        <v>45901</v>
      </c>
      <c r="AE71" s="185">
        <f t="shared" si="23"/>
        <v>457.96827131</v>
      </c>
      <c r="AF71" s="185">
        <f t="shared" si="24"/>
        <v>6.95565617999999</v>
      </c>
      <c r="AG71" s="185">
        <f t="shared" si="25"/>
        <v>873.396972679997</v>
      </c>
      <c r="AH71" s="185">
        <f t="shared" si="26"/>
        <v>1936.6183717704</v>
      </c>
      <c r="AI71" s="185">
        <f t="shared" si="16"/>
        <v>3274.9392719404</v>
      </c>
      <c r="AJ71" s="188">
        <f t="shared" si="17"/>
        <v>0</v>
      </c>
      <c r="AL71" s="194" t="s">
        <v>224</v>
      </c>
      <c r="AM71" s="211">
        <f>SUM(AE$63:AE71)</f>
        <v>3150.03007669999</v>
      </c>
      <c r="AN71" s="211">
        <f>SUM(AF$63:AF71)</f>
        <v>265.633264365461</v>
      </c>
      <c r="AO71" s="211">
        <f>SUM(AG$63:AG71)</f>
        <v>7748.4720683203</v>
      </c>
      <c r="AP71" s="211">
        <f>SUM(AH$63:AH71)</f>
        <v>11032.8181604695</v>
      </c>
      <c r="AQ71" s="211">
        <f t="shared" si="27"/>
        <v>22196.9535698553</v>
      </c>
      <c r="AS71" s="194" t="s">
        <v>224</v>
      </c>
      <c r="AT71" s="212">
        <f t="shared" si="28"/>
        <v>0.141912720895984</v>
      </c>
      <c r="AU71" s="212">
        <f t="shared" si="29"/>
        <v>0.0119671045636734</v>
      </c>
      <c r="AV71" s="212">
        <f t="shared" si="30"/>
        <v>0.349078176153108</v>
      </c>
      <c r="AW71" s="212">
        <f t="shared" si="31"/>
        <v>0.497041998387234</v>
      </c>
      <c r="AX71" s="194">
        <f t="shared" si="32"/>
        <v>1</v>
      </c>
      <c r="AZ71" s="143" t="s">
        <v>224</v>
      </c>
      <c r="BA71" s="157">
        <f>SUM(B$63:B71)</f>
        <v>2167.30269845999</v>
      </c>
      <c r="BB71" s="157">
        <f>SUM(C$63:C71)</f>
        <v>128.914437685461</v>
      </c>
      <c r="BC71" s="157">
        <f>SUM(D$63:D71)</f>
        <v>3747.7559951603</v>
      </c>
      <c r="BD71" s="157">
        <f>SUM(E$63:E71)</f>
        <v>8971.13106521346</v>
      </c>
      <c r="BE71" s="157">
        <f t="shared" si="18"/>
        <v>15015.1041965192</v>
      </c>
    </row>
    <row r="72" spans="1:57">
      <c r="A72" s="148">
        <v>45931</v>
      </c>
      <c r="B72" s="185">
        <f>302.2530116+2.012*1.06</f>
        <v>304.3857316</v>
      </c>
      <c r="C72" s="185">
        <f>175.01769136-1586841.79/10000</f>
        <v>16.33351236</v>
      </c>
      <c r="D72" s="185">
        <f>128.31994162-5.32808+1096371.35/10000+83.93*1.06</f>
        <v>321.59479662</v>
      </c>
      <c r="E72" s="185">
        <f>600.967717869972+175.722953+75.334*1.06</f>
        <v>856.544710869972</v>
      </c>
      <c r="F72" s="185">
        <f t="shared" si="19"/>
        <v>1498.85875144997</v>
      </c>
      <c r="G72" s="207"/>
      <c r="I72" s="148">
        <v>45931</v>
      </c>
      <c r="J72" s="185">
        <v>-8.22509</v>
      </c>
      <c r="K72" s="185">
        <v>0</v>
      </c>
      <c r="L72" s="185">
        <f>857.445415-1096371.35/10000</f>
        <v>747.80828</v>
      </c>
      <c r="M72" s="185">
        <v>56.50671</v>
      </c>
      <c r="N72" s="185">
        <f t="shared" si="20"/>
        <v>796.0899</v>
      </c>
      <c r="P72" s="148">
        <v>45931</v>
      </c>
      <c r="Q72" s="185">
        <v>0.596532</v>
      </c>
      <c r="R72" s="185">
        <f>-128.824132+1586841.79/10000</f>
        <v>29.860047</v>
      </c>
      <c r="S72" s="185">
        <v>-1.35098</v>
      </c>
      <c r="T72" s="185">
        <v>35.813878</v>
      </c>
      <c r="U72" s="185">
        <f t="shared" si="21"/>
        <v>64.919477</v>
      </c>
      <c r="W72" s="186">
        <v>45931</v>
      </c>
      <c r="X72" s="185">
        <v>-0.0998620000000112</v>
      </c>
      <c r="Y72" s="185">
        <v>0</v>
      </c>
      <c r="Z72" s="185">
        <f>16.5845269+5.32808</f>
        <v>21.9126069</v>
      </c>
      <c r="AA72" s="185">
        <f>-49.689764+69.999177+9.62248*1.06</f>
        <v>30.5092418</v>
      </c>
      <c r="AB72" s="185">
        <f t="shared" si="22"/>
        <v>52.3219867</v>
      </c>
      <c r="AD72" s="186">
        <v>45931</v>
      </c>
      <c r="AE72" s="185">
        <f t="shared" si="23"/>
        <v>296.6573116</v>
      </c>
      <c r="AF72" s="185">
        <f t="shared" si="24"/>
        <v>46.19355936</v>
      </c>
      <c r="AG72" s="185">
        <f t="shared" si="25"/>
        <v>1089.96470352</v>
      </c>
      <c r="AH72" s="185">
        <f t="shared" si="26"/>
        <v>979.374540669972</v>
      </c>
      <c r="AI72" s="185">
        <f t="shared" si="16"/>
        <v>2412.19011514997</v>
      </c>
      <c r="AJ72" s="188">
        <f t="shared" si="17"/>
        <v>0</v>
      </c>
      <c r="AL72" s="194" t="s">
        <v>225</v>
      </c>
      <c r="AM72" s="211">
        <f>SUM(AE$63:AE72)</f>
        <v>3446.68738829999</v>
      </c>
      <c r="AN72" s="211">
        <f>SUM(AF$63:AF72)</f>
        <v>311.826823725461</v>
      </c>
      <c r="AO72" s="211">
        <f>SUM(AG$63:AG72)</f>
        <v>8838.4367718403</v>
      </c>
      <c r="AP72" s="211">
        <f>SUM(AH$63:AH72)</f>
        <v>12012.1927011394</v>
      </c>
      <c r="AQ72" s="211">
        <f t="shared" si="27"/>
        <v>24609.1436850052</v>
      </c>
      <c r="AS72" s="194" t="s">
        <v>225</v>
      </c>
      <c r="AT72" s="212">
        <f t="shared" si="28"/>
        <v>0.140057184939764</v>
      </c>
      <c r="AU72" s="212">
        <f t="shared" si="29"/>
        <v>0.0126711773362298</v>
      </c>
      <c r="AV72" s="212">
        <f t="shared" si="30"/>
        <v>0.359152552602866</v>
      </c>
      <c r="AW72" s="212">
        <f t="shared" si="31"/>
        <v>0.48811908512114</v>
      </c>
      <c r="AX72" s="194">
        <f t="shared" si="32"/>
        <v>1</v>
      </c>
      <c r="AZ72" s="143" t="s">
        <v>225</v>
      </c>
      <c r="BA72" s="157">
        <f>SUM(B$63:B72)</f>
        <v>2471.68843005999</v>
      </c>
      <c r="BB72" s="157">
        <f>SUM(C$63:C72)</f>
        <v>145.247950045461</v>
      </c>
      <c r="BC72" s="157">
        <f>SUM(D$63:D72)</f>
        <v>4069.3507917803</v>
      </c>
      <c r="BD72" s="157">
        <f>SUM(E$63:E72)</f>
        <v>9827.67577608343</v>
      </c>
      <c r="BE72" s="157">
        <f t="shared" si="18"/>
        <v>16513.9629479692</v>
      </c>
    </row>
    <row r="73" spans="1:57">
      <c r="A73" s="148">
        <v>45962</v>
      </c>
      <c r="B73" s="185">
        <v>58.37930254</v>
      </c>
      <c r="C73" s="185">
        <f>122.6119023-999874.53/10000</f>
        <v>22.6244493</v>
      </c>
      <c r="D73" s="185">
        <f>140.170359-2.754273+1232784.41/10000-147.993*1.06</f>
        <v>103.821947</v>
      </c>
      <c r="E73" s="185">
        <f>1107.81413191998+267.715014+2.685333*1.06</f>
        <v>1378.37559889998</v>
      </c>
      <c r="F73" s="185">
        <f t="shared" si="19"/>
        <v>1563.20129773998</v>
      </c>
      <c r="I73" s="148">
        <v>45962</v>
      </c>
      <c r="J73" s="185">
        <v>85.405405</v>
      </c>
      <c r="K73" s="185">
        <v>0</v>
      </c>
      <c r="L73" s="185">
        <f>1235.898507-1232784.41/10000</f>
        <v>1112.620066</v>
      </c>
      <c r="M73" s="185">
        <v>99.564624</v>
      </c>
      <c r="N73" s="185">
        <f t="shared" si="20"/>
        <v>1297.590095</v>
      </c>
      <c r="P73" s="148">
        <v>45962</v>
      </c>
      <c r="Q73" s="185">
        <v>-0.76</v>
      </c>
      <c r="R73" s="185">
        <f>-77.862575+999874.53/10000</f>
        <v>22.124878</v>
      </c>
      <c r="S73" s="185">
        <v>25.569149</v>
      </c>
      <c r="T73" s="185">
        <v>31.951754</v>
      </c>
      <c r="U73" s="185">
        <f t="shared" si="21"/>
        <v>78.885781</v>
      </c>
      <c r="W73" s="186">
        <v>45962</v>
      </c>
      <c r="X73" s="185">
        <v>-0.0948</v>
      </c>
      <c r="Y73" s="185">
        <v>0</v>
      </c>
      <c r="Z73" s="185">
        <f>24.27538716+2.754273</f>
        <v>27.02966016</v>
      </c>
      <c r="AA73" s="185">
        <f>1.575782+30.880703+5.2979*1.06</f>
        <v>38.072259</v>
      </c>
      <c r="AB73" s="185">
        <f t="shared" si="22"/>
        <v>65.00711916</v>
      </c>
      <c r="AD73" s="186">
        <v>45962</v>
      </c>
      <c r="AE73" s="185">
        <f t="shared" si="23"/>
        <v>142.92990754</v>
      </c>
      <c r="AF73" s="185">
        <f t="shared" si="24"/>
        <v>44.7493273</v>
      </c>
      <c r="AG73" s="185">
        <f t="shared" si="25"/>
        <v>1269.04082216</v>
      </c>
      <c r="AH73" s="185">
        <f t="shared" si="26"/>
        <v>1547.96423589998</v>
      </c>
      <c r="AI73" s="185">
        <f t="shared" si="16"/>
        <v>3004.68429289998</v>
      </c>
      <c r="AJ73" s="188">
        <f t="shared" si="17"/>
        <v>0</v>
      </c>
      <c r="AL73" s="194" t="s">
        <v>226</v>
      </c>
      <c r="AM73" s="211">
        <f>SUM(AE$63:AE73)</f>
        <v>3589.61729583999</v>
      </c>
      <c r="AN73" s="211">
        <f>SUM(AF$63:AF73)</f>
        <v>356.576151025461</v>
      </c>
      <c r="AO73" s="211">
        <f>SUM(AG$63:AG73)</f>
        <v>10107.4775940003</v>
      </c>
      <c r="AP73" s="211">
        <f>SUM(AH$63:AH73)</f>
        <v>13560.1569370394</v>
      </c>
      <c r="AQ73" s="211">
        <f t="shared" si="27"/>
        <v>27613.8279779052</v>
      </c>
      <c r="AS73" s="194" t="s">
        <v>226</v>
      </c>
      <c r="AT73" s="212">
        <f t="shared" si="28"/>
        <v>0.129993469167411</v>
      </c>
      <c r="AU73" s="212">
        <f t="shared" si="29"/>
        <v>0.0129129561939319</v>
      </c>
      <c r="AV73" s="212">
        <f t="shared" si="30"/>
        <v>0.366029570477793</v>
      </c>
      <c r="AW73" s="212">
        <f t="shared" si="31"/>
        <v>0.491064004160864</v>
      </c>
      <c r="AX73" s="194">
        <f t="shared" si="32"/>
        <v>1</v>
      </c>
      <c r="AZ73" s="143" t="s">
        <v>226</v>
      </c>
      <c r="BA73" s="157">
        <f>SUM(B$63:B73)</f>
        <v>2530.06773259999</v>
      </c>
      <c r="BB73" s="157">
        <f>SUM(C$63:C73)</f>
        <v>167.872399345461</v>
      </c>
      <c r="BC73" s="157">
        <f>SUM(D$63:D73)</f>
        <v>4173.1727387803</v>
      </c>
      <c r="BD73" s="157">
        <f>SUM(E$63:E73)</f>
        <v>11206.0513749834</v>
      </c>
      <c r="BE73" s="157">
        <f t="shared" si="18"/>
        <v>18077.1642457092</v>
      </c>
    </row>
    <row r="74" spans="1:57">
      <c r="A74" s="148">
        <v>45992</v>
      </c>
      <c r="B74" s="185">
        <f>210.94068368+11608600.18/10000-11608600.18/10000</f>
        <v>210.94068368</v>
      </c>
      <c r="C74" s="185">
        <f>111.58658364-878094.55/10000</f>
        <v>23.77712864</v>
      </c>
      <c r="D74" s="185">
        <f>222.365293679999-2.631092+(156.3*1.06-1217774/10000)</f>
        <v>263.634801679999</v>
      </c>
      <c r="E74" s="185">
        <f>1556.30889475997-(388082.91+3000054.45)/10000+(669.859998-43.275411)+11.968*1.06</f>
        <v>1856.76582575997</v>
      </c>
      <c r="F74" s="185">
        <f t="shared" si="19"/>
        <v>2355.11843975997</v>
      </c>
      <c r="G74" s="207"/>
      <c r="I74" s="148">
        <v>45992</v>
      </c>
      <c r="J74" s="185">
        <v>260.668769</v>
      </c>
      <c r="K74" s="185">
        <v>0</v>
      </c>
      <c r="L74" s="185">
        <v>768.305237</v>
      </c>
      <c r="M74" s="185">
        <v>79.47496</v>
      </c>
      <c r="N74" s="185">
        <f t="shared" si="20"/>
        <v>1108.448966</v>
      </c>
      <c r="P74" s="148">
        <v>45992</v>
      </c>
      <c r="Q74" s="185">
        <v>-1.354212</v>
      </c>
      <c r="R74" s="185">
        <f>-56.11444+878094.55/10000</f>
        <v>31.695015</v>
      </c>
      <c r="S74" s="185">
        <v>10.807598</v>
      </c>
      <c r="T74" s="185">
        <v>31.377947</v>
      </c>
      <c r="U74" s="185">
        <f t="shared" si="21"/>
        <v>72.526348</v>
      </c>
      <c r="W74" s="186">
        <v>45992</v>
      </c>
      <c r="X74" s="185">
        <v>2.55256006000002</v>
      </c>
      <c r="Y74" s="185">
        <v>0</v>
      </c>
      <c r="Z74" s="185">
        <f>39.92382902+2.631092</f>
        <v>42.55492102</v>
      </c>
      <c r="AA74" s="185">
        <f>-491.974888-14.269933+(388082.91+3000054.45+1217774)/10000+12.21408*1.06</f>
        <v>-32.7067602</v>
      </c>
      <c r="AB74" s="185">
        <f t="shared" si="22"/>
        <v>12.40072088</v>
      </c>
      <c r="AD74" s="186">
        <v>45992</v>
      </c>
      <c r="AE74" s="185">
        <f t="shared" si="23"/>
        <v>472.80780074</v>
      </c>
      <c r="AF74" s="185">
        <f t="shared" si="24"/>
        <v>55.47214364</v>
      </c>
      <c r="AG74" s="185">
        <f t="shared" si="25"/>
        <v>1085.3025577</v>
      </c>
      <c r="AH74" s="185">
        <f t="shared" si="26"/>
        <v>1934.91197255997</v>
      </c>
      <c r="AI74" s="185">
        <f t="shared" si="16"/>
        <v>3548.49447463997</v>
      </c>
      <c r="AJ74" s="188">
        <f t="shared" si="17"/>
        <v>0</v>
      </c>
      <c r="AL74" s="194" t="s">
        <v>227</v>
      </c>
      <c r="AM74" s="211">
        <f>SUM(AE$63:AE74)</f>
        <v>4062.42509657999</v>
      </c>
      <c r="AN74" s="211">
        <f>SUM(AF$63:AF74)</f>
        <v>412.048294665461</v>
      </c>
      <c r="AO74" s="211">
        <f>SUM(AG$63:AG74)</f>
        <v>11192.7801517003</v>
      </c>
      <c r="AP74" s="211">
        <f>SUM(AH$63:AH74)</f>
        <v>15495.0689095994</v>
      </c>
      <c r="AQ74" s="211">
        <f t="shared" si="27"/>
        <v>31162.3224525452</v>
      </c>
      <c r="AS74" s="194" t="s">
        <v>227</v>
      </c>
      <c r="AT74" s="212">
        <f t="shared" si="28"/>
        <v>0.130363361163673</v>
      </c>
      <c r="AU74" s="212">
        <f t="shared" si="29"/>
        <v>0.0132226439570715</v>
      </c>
      <c r="AV74" s="212">
        <f t="shared" si="30"/>
        <v>0.359176700284293</v>
      </c>
      <c r="AW74" s="212">
        <f t="shared" si="31"/>
        <v>0.497237294594962</v>
      </c>
      <c r="AX74" s="194">
        <f t="shared" si="32"/>
        <v>1</v>
      </c>
      <c r="AZ74" s="143" t="s">
        <v>227</v>
      </c>
      <c r="BA74" s="157">
        <f>SUM(B$63:B74)</f>
        <v>2741.00841627999</v>
      </c>
      <c r="BB74" s="157">
        <f>SUM(C$63:C74)</f>
        <v>191.649527985461</v>
      </c>
      <c r="BC74" s="157">
        <f>SUM(D$63:D74)</f>
        <v>4436.8075404603</v>
      </c>
      <c r="BD74" s="157">
        <f>SUM(E$63:E74)</f>
        <v>13062.8172007434</v>
      </c>
      <c r="BE74" s="157">
        <f t="shared" si="18"/>
        <v>20432.2826854692</v>
      </c>
    </row>
    <row r="75" spans="1:57">
      <c r="B75" s="94"/>
      <c r="C75" s="94"/>
      <c r="D75" s="94"/>
      <c r="E75" s="94"/>
      <c r="F75" s="94"/>
      <c r="J75" s="94"/>
      <c r="K75" s="94"/>
      <c r="L75" s="94"/>
      <c r="M75" s="94"/>
      <c r="N75" s="94"/>
      <c r="Q75" s="94"/>
      <c r="R75" s="94"/>
      <c r="S75" s="94"/>
      <c r="T75" s="94"/>
      <c r="U75" s="94"/>
      <c r="Y75" s="57"/>
      <c r="AD75" s="126"/>
      <c r="AG75" s="57"/>
      <c r="AH75" s="57"/>
      <c r="AI75" s="57"/>
      <c r="AJ75" s="57"/>
    </row>
    <row r="76" spans="1:57">
      <c r="F76" s="57"/>
      <c r="G76" s="213"/>
      <c r="H76" s="213"/>
      <c r="N76" s="94"/>
      <c r="U76" s="94"/>
      <c r="V76" s="155"/>
      <c r="W76" s="117"/>
    </row>
    <row r="77" hidden="1" spans="1:57">
      <c r="A77" s="54" t="s">
        <v>228</v>
      </c>
      <c r="B77" s="94">
        <f>SUM(B3:B14)</f>
        <v>11016.1564315</v>
      </c>
      <c r="C77" s="94">
        <f>SUM(C3:C14)</f>
        <v>5016.42353264181</v>
      </c>
      <c r="D77" s="94">
        <f>SUM(D3:D14)</f>
        <v>15657.1634593403</v>
      </c>
      <c r="E77" s="94">
        <f>SUM(E3:E14)</f>
        <v>2569.45423738001</v>
      </c>
      <c r="F77" s="94">
        <f t="shared" ref="F77:F82" si="33">SUM(B77:E77)</f>
        <v>34259.1976608621</v>
      </c>
      <c r="G77" s="214">
        <f>F77/AQ14</f>
        <v>0.926060632754564</v>
      </c>
      <c r="H77" s="214"/>
      <c r="I77" s="54" t="s">
        <v>228</v>
      </c>
      <c r="J77" s="94">
        <f>SUM(J3:J14)</f>
        <v>8.58125438</v>
      </c>
      <c r="K77" s="94">
        <f>SUM(K3:K14)</f>
        <v>1.009014</v>
      </c>
      <c r="L77" s="94">
        <f>SUM(L3:L14)</f>
        <v>2110.70617228</v>
      </c>
      <c r="M77" s="94">
        <f>SUM(M3:M14)</f>
        <v>3.31298018</v>
      </c>
      <c r="N77" s="94">
        <f t="shared" ref="N77:N82" si="34">SUM(J77:M77)</f>
        <v>2123.60942084</v>
      </c>
      <c r="P77" s="54" t="s">
        <v>228</v>
      </c>
      <c r="Q77" s="94">
        <f>SUM(Q3:Q14)</f>
        <v>0</v>
      </c>
      <c r="R77" s="94">
        <f>SUM(R3:R14)</f>
        <v>0</v>
      </c>
      <c r="S77" s="94">
        <f>SUM(S3:S14)</f>
        <v>0</v>
      </c>
      <c r="T77" s="94">
        <f>SUM(T3:T14)</f>
        <v>163.55479774</v>
      </c>
      <c r="U77" s="94">
        <f>SUM(Q77:T77)</f>
        <v>163.55479774</v>
      </c>
      <c r="W77" s="126" t="s">
        <v>228</v>
      </c>
      <c r="X77" s="57">
        <f>SUM(X3:X14)</f>
        <v>448.1895021</v>
      </c>
      <c r="Y77" s="57">
        <f>SUM(Y3:Y14)</f>
        <v>0</v>
      </c>
      <c r="Z77" s="57">
        <f>SUM(Z3:Z14)</f>
        <v>0</v>
      </c>
      <c r="AA77" s="57">
        <f>SUM(AA3:AA14)</f>
        <v>0</v>
      </c>
      <c r="AB77" s="57">
        <f t="shared" ref="AB77:AB82" si="35">SUM(X77:AA77)</f>
        <v>448.1895021</v>
      </c>
    </row>
    <row r="78" hidden="1" spans="1:57">
      <c r="A78" s="54" t="s">
        <v>229</v>
      </c>
      <c r="B78" s="94">
        <f>SUM(B15:B26)</f>
        <v>3848.20067738</v>
      </c>
      <c r="C78" s="94">
        <f>SUM(C15:C26)</f>
        <v>8619.90948808049</v>
      </c>
      <c r="D78" s="94">
        <f>SUM(D15:D26)</f>
        <v>20521.3895454599</v>
      </c>
      <c r="E78" s="94">
        <f>SUM(E15:E26)</f>
        <v>3734.47541982</v>
      </c>
      <c r="F78" s="94">
        <f t="shared" si="33"/>
        <v>36723.9751307404</v>
      </c>
      <c r="G78" s="214">
        <f>F78/AQ26</f>
        <v>0.846112861603038</v>
      </c>
      <c r="H78" s="214"/>
      <c r="I78" s="54" t="s">
        <v>229</v>
      </c>
      <c r="J78" s="94">
        <f>SUM(J15:J26)</f>
        <v>2722.98372844</v>
      </c>
      <c r="K78" s="94">
        <f>SUM(K15:K26)</f>
        <v>0</v>
      </c>
      <c r="L78" s="94">
        <f>SUM(L15:L26)</f>
        <v>3137.18629896</v>
      </c>
      <c r="M78" s="94">
        <f>SUM(M15:M26)</f>
        <v>70.62352396</v>
      </c>
      <c r="N78" s="94">
        <f t="shared" si="34"/>
        <v>5930.79355136</v>
      </c>
      <c r="O78" s="215">
        <f>N78/AQ26</f>
        <v>0.136644268096063</v>
      </c>
      <c r="P78" s="54" t="s">
        <v>229</v>
      </c>
      <c r="Q78" s="94">
        <f>SUM(Q15:Q26)</f>
        <v>8.3293104</v>
      </c>
      <c r="R78" s="94">
        <f>SUM(R15:R26)</f>
        <v>0</v>
      </c>
      <c r="S78" s="94">
        <f>SUM(S15:S26)</f>
        <v>1.2940003</v>
      </c>
      <c r="T78" s="94">
        <f>SUM(T15:T26)</f>
        <v>434.565921</v>
      </c>
      <c r="U78" s="94">
        <f>SUM(Q78:T78)</f>
        <v>444.1892317</v>
      </c>
      <c r="W78" s="126" t="s">
        <v>229</v>
      </c>
      <c r="X78" s="94">
        <f>SUM(X15:X26)</f>
        <v>260.81847066</v>
      </c>
      <c r="Y78" s="94">
        <f>SUM(Y15:Y26)</f>
        <v>0</v>
      </c>
      <c r="Z78" s="94">
        <f>SUM(Z15:Z26)</f>
        <v>0</v>
      </c>
      <c r="AA78" s="94">
        <f>SUM(AA15:AA26)</f>
        <v>43.3874218</v>
      </c>
      <c r="AB78" s="94">
        <f t="shared" si="35"/>
        <v>304.20589246</v>
      </c>
    </row>
    <row r="79" hidden="1" spans="1:57">
      <c r="A79" s="54" t="s">
        <v>230</v>
      </c>
      <c r="B79" s="94">
        <f>SUM(B27:B38)</f>
        <v>5120.25547699995</v>
      </c>
      <c r="C79" s="94">
        <f>SUM(C27:C38)</f>
        <v>3161.85101725999</v>
      </c>
      <c r="D79" s="94">
        <f>SUM(D27:D38)</f>
        <v>24161.6966739002</v>
      </c>
      <c r="E79" s="94">
        <f>SUM(E27:E38)</f>
        <v>5295.18940154</v>
      </c>
      <c r="F79" s="94">
        <f t="shared" si="33"/>
        <v>37738.9925697001</v>
      </c>
      <c r="G79" s="214"/>
      <c r="H79" s="214"/>
      <c r="I79" s="54" t="s">
        <v>230</v>
      </c>
      <c r="J79" s="94">
        <f>SUM(J27:J38)</f>
        <v>1891.33500638</v>
      </c>
      <c r="K79" s="94">
        <f>SUM(K27:K38)</f>
        <v>56.53813796</v>
      </c>
      <c r="L79" s="94">
        <f>SUM(L27:L38)</f>
        <v>3540.64548278</v>
      </c>
      <c r="M79" s="94">
        <f>SUM(M27:M38)</f>
        <v>113.0574649</v>
      </c>
      <c r="N79" s="94">
        <f t="shared" si="34"/>
        <v>5601.57609202</v>
      </c>
      <c r="O79" s="215"/>
      <c r="P79" s="54" t="s">
        <v>230</v>
      </c>
      <c r="Q79" s="94">
        <f>SUM(Q27:Q38)</f>
        <v>-1.38957944</v>
      </c>
      <c r="R79" s="94">
        <f>SUM(R27:R38)</f>
        <v>0</v>
      </c>
      <c r="S79" s="94">
        <f>SUM(S27:S38)</f>
        <v>105.31838396</v>
      </c>
      <c r="T79" s="94">
        <f>SUM(T27:T38)</f>
        <v>-1.27178194000042</v>
      </c>
      <c r="U79" s="94">
        <f>SUM(U27:U38)</f>
        <v>102.65702258</v>
      </c>
      <c r="W79" s="126" t="s">
        <v>230</v>
      </c>
      <c r="X79" s="94">
        <f>SUM(X27:X38)</f>
        <v>89.64676566</v>
      </c>
      <c r="Y79" s="94">
        <f>SUM(Y27:Y38)</f>
        <v>-3</v>
      </c>
      <c r="Z79" s="94">
        <f>SUM(Z27:Z38)</f>
        <v>-33.37338674</v>
      </c>
      <c r="AA79" s="94">
        <f>SUM(AA27:AA38)</f>
        <v>23.62491918</v>
      </c>
      <c r="AB79" s="94">
        <f t="shared" si="35"/>
        <v>76.8982981</v>
      </c>
    </row>
    <row r="80" spans="1:57">
      <c r="A80" s="54" t="s">
        <v>231</v>
      </c>
      <c r="B80" s="94">
        <f>SUM(B39:B50)</f>
        <v>6078.72577336</v>
      </c>
      <c r="C80" s="94">
        <f>SUM(C39:C50)</f>
        <v>1750.62678518</v>
      </c>
      <c r="D80" s="94">
        <f>SUM(D39:D50)</f>
        <v>21306.17506642</v>
      </c>
      <c r="E80" s="94">
        <f>SUM(E39:E50)</f>
        <v>11053.69531064</v>
      </c>
      <c r="F80" s="94">
        <f t="shared" si="33"/>
        <v>40189.2229356</v>
      </c>
      <c r="G80" s="216">
        <f>F80+N80+U80+AB80</f>
        <v>47538.617733</v>
      </c>
      <c r="H80" s="214"/>
      <c r="I80" s="54" t="s">
        <v>231</v>
      </c>
      <c r="J80" s="94">
        <f>SUM(J39:J50)</f>
        <v>1941.73851104</v>
      </c>
      <c r="K80" s="94">
        <f>SUM(K39:K50)</f>
        <v>81.5068874</v>
      </c>
      <c r="L80" s="94">
        <f>SUM(L39:L50)</f>
        <v>4106.8386018</v>
      </c>
      <c r="M80" s="94">
        <f>SUM(M39:M50)</f>
        <v>283.7306823</v>
      </c>
      <c r="N80" s="94">
        <f t="shared" si="34"/>
        <v>6413.81468254</v>
      </c>
      <c r="O80" s="215"/>
      <c r="P80" s="54" t="s">
        <v>231</v>
      </c>
      <c r="Q80" s="94">
        <f>SUM(Q39:Q50)</f>
        <v>264.34900524</v>
      </c>
      <c r="R80" s="94">
        <f>SUM(R39:R50)</f>
        <v>11.8164782600001</v>
      </c>
      <c r="S80" s="94">
        <f>SUM(S39:S50)</f>
        <v>98.19838304</v>
      </c>
      <c r="T80" s="94">
        <f>SUM(T39:T50)</f>
        <v>127.23795668</v>
      </c>
      <c r="U80" s="94">
        <f>SUM(Q80:T80)</f>
        <v>501.60182322</v>
      </c>
      <c r="W80" s="126" t="s">
        <v>231</v>
      </c>
      <c r="X80" s="94">
        <f>SUM(X39:X50)</f>
        <v>15.8459824</v>
      </c>
      <c r="Y80" s="94">
        <f>SUM(Y39:Y50)</f>
        <v>-0.85000022</v>
      </c>
      <c r="Z80" s="94">
        <f>SUM(Z39:Z50)</f>
        <v>60.90553606</v>
      </c>
      <c r="AA80" s="94">
        <f>SUM(AA39:AA50)</f>
        <v>358.0767734</v>
      </c>
      <c r="AB80" s="94">
        <f t="shared" si="35"/>
        <v>433.97829164</v>
      </c>
    </row>
    <row r="81" spans="1:51">
      <c r="A81" s="54" t="s">
        <v>232</v>
      </c>
      <c r="B81" s="94">
        <f>SUM(B51:B62)</f>
        <v>3783.75737217</v>
      </c>
      <c r="C81" s="94">
        <f>SUM(C51:C62)</f>
        <v>402.87942548</v>
      </c>
      <c r="D81" s="94">
        <f>SUM(D51:D62)</f>
        <v>6492.89446864007</v>
      </c>
      <c r="E81" s="94">
        <f>SUM(E51:E62)</f>
        <v>7506.27458139</v>
      </c>
      <c r="F81" s="94">
        <f t="shared" si="33"/>
        <v>18185.8058476801</v>
      </c>
      <c r="G81" s="216">
        <f>F81+N81+U81+AB81</f>
        <v>28076.73833426</v>
      </c>
      <c r="H81" s="214"/>
      <c r="I81" s="54" t="s">
        <v>232</v>
      </c>
      <c r="J81" s="94">
        <f>SUM(J51:J62)</f>
        <v>3085.24749238</v>
      </c>
      <c r="K81" s="94">
        <f>SUM(K51:K62)</f>
        <v>-6.43831196</v>
      </c>
      <c r="L81" s="94">
        <f>SUM(L51:L62)</f>
        <v>4423.42580892</v>
      </c>
      <c r="M81" s="94">
        <f>SUM(M51:M62)</f>
        <v>774.01903898</v>
      </c>
      <c r="N81" s="94">
        <f t="shared" si="34"/>
        <v>8276.25402832</v>
      </c>
      <c r="O81" s="215"/>
      <c r="P81" s="54" t="s">
        <v>232</v>
      </c>
      <c r="Q81" s="94">
        <f>SUM(Q51:Q62)</f>
        <v>260.6342528</v>
      </c>
      <c r="R81" s="94">
        <f>SUM(R51:R62)</f>
        <v>146.0546246</v>
      </c>
      <c r="S81" s="94">
        <f>SUM(S51:S62)</f>
        <v>-23.29515836</v>
      </c>
      <c r="T81" s="94">
        <f>SUM(T51:T62)</f>
        <v>89.92681614</v>
      </c>
      <c r="U81" s="94">
        <f>SUM(Q81:T81)</f>
        <v>473.32053518</v>
      </c>
      <c r="W81" s="126" t="s">
        <v>232</v>
      </c>
      <c r="X81" s="94">
        <f>SUM(X51:X62)</f>
        <v>-104.83633958</v>
      </c>
      <c r="Y81" s="94">
        <f>SUM(Y51:Y62)</f>
        <v>0</v>
      </c>
      <c r="Z81" s="94">
        <f>SUM(Z51:Z62)</f>
        <v>596.418604659927</v>
      </c>
      <c r="AA81" s="94">
        <f>SUM(AA51:AA62)</f>
        <v>649.775658000002</v>
      </c>
      <c r="AB81" s="94">
        <f t="shared" si="35"/>
        <v>1141.35792307993</v>
      </c>
      <c r="AI81" s="157"/>
    </row>
    <row r="82" spans="1:51">
      <c r="A82" s="54" t="s">
        <v>233</v>
      </c>
      <c r="B82" s="94">
        <f>SUM(B63:B74)</f>
        <v>2741.00841627999</v>
      </c>
      <c r="C82" s="94">
        <f>SUM(C63:C74)</f>
        <v>191.649527985461</v>
      </c>
      <c r="D82" s="94">
        <f>SUM(D63:D74)</f>
        <v>4436.8075404603</v>
      </c>
      <c r="E82" s="94">
        <f>SUM(E63:E74)</f>
        <v>13062.8172007434</v>
      </c>
      <c r="F82" s="94">
        <f t="shared" si="33"/>
        <v>20432.2826854692</v>
      </c>
      <c r="G82" s="216">
        <f>F82+N82+U82+AB82</f>
        <v>31162.3224525452</v>
      </c>
      <c r="H82" s="214"/>
      <c r="I82" s="54" t="s">
        <v>233</v>
      </c>
      <c r="J82" s="94">
        <f>SUM(J63:J74)</f>
        <v>1156.044834</v>
      </c>
      <c r="K82" s="94">
        <f>SUM(K63:K74)</f>
        <v>2.38</v>
      </c>
      <c r="L82" s="94">
        <f>SUM(L63:L74)</f>
        <v>6072.89809532</v>
      </c>
      <c r="M82" s="94">
        <f>SUM(M63:M74)</f>
        <v>1555.803773</v>
      </c>
      <c r="N82" s="94">
        <f t="shared" si="34"/>
        <v>8787.12670232</v>
      </c>
      <c r="O82" s="215"/>
      <c r="P82" s="54" t="s">
        <v>233</v>
      </c>
      <c r="Q82" s="94">
        <f>SUM(Q63:Q74)</f>
        <v>154.99548324</v>
      </c>
      <c r="R82" s="94">
        <f>SUM(R63:R74)</f>
        <v>239.597898</v>
      </c>
      <c r="S82" s="94">
        <f>SUM(S63:S74)</f>
        <v>208.06150156</v>
      </c>
      <c r="T82" s="94">
        <f>SUM(T63:T74)</f>
        <v>466.334438</v>
      </c>
      <c r="U82" s="94">
        <f>SUM(Q82:T82)</f>
        <v>1068.9893208</v>
      </c>
      <c r="W82" s="54" t="s">
        <v>233</v>
      </c>
      <c r="X82" s="94">
        <f>SUM(X63:X74)</f>
        <v>10.37636306</v>
      </c>
      <c r="Y82" s="94">
        <f>SUM(Y63:Y74)</f>
        <v>-21.57913132</v>
      </c>
      <c r="Z82" s="94">
        <f>SUM(Z63:Z74)</f>
        <v>475.01301436</v>
      </c>
      <c r="AA82" s="94">
        <f>SUM(AA63:AA74)</f>
        <v>410.113497856</v>
      </c>
      <c r="AB82" s="94">
        <f t="shared" si="35"/>
        <v>873.923743956</v>
      </c>
      <c r="AI82" s="157"/>
      <c r="AL82" s="56" t="s">
        <v>64</v>
      </c>
      <c r="AM82" s="215">
        <f>AM74/$AQ$74</f>
        <v>0.130363361163673</v>
      </c>
      <c r="AN82" s="215">
        <f>AN74/$AQ$74</f>
        <v>0.0132226439570715</v>
      </c>
      <c r="AO82" s="215">
        <f>AO74/$AQ$74</f>
        <v>0.359176700284293</v>
      </c>
      <c r="AP82" s="215">
        <f>AP74/$AQ$74</f>
        <v>0.497237294594962</v>
      </c>
      <c r="AQ82" s="215">
        <f>AQ74/$AQ$74</f>
        <v>1</v>
      </c>
    </row>
    <row r="83" spans="1:51">
      <c r="A83" s="54" t="s">
        <v>64</v>
      </c>
      <c r="B83" s="65">
        <f>B82/F82</f>
        <v>0.134150865983727</v>
      </c>
      <c r="C83" s="65">
        <f>C82/F82</f>
        <v>0.00937974140900843</v>
      </c>
      <c r="D83" s="65">
        <f>D82/F82</f>
        <v>0.21714693403374</v>
      </c>
      <c r="E83" s="65">
        <f>E82/F82</f>
        <v>0.639322458573525</v>
      </c>
      <c r="I83" s="54" t="s">
        <v>64</v>
      </c>
      <c r="J83" s="65">
        <f>J82/N82</f>
        <v>0.131561188675563</v>
      </c>
      <c r="K83" s="65">
        <f>K82/N82</f>
        <v>0.000270850766197741</v>
      </c>
      <c r="L83" s="65">
        <f>L82/N82</f>
        <v>0.691113068133707</v>
      </c>
      <c r="M83" s="65">
        <f>M82/N82</f>
        <v>0.177054892424532</v>
      </c>
      <c r="P83" s="54" t="s">
        <v>64</v>
      </c>
      <c r="Q83" s="65">
        <f>Q82/U82</f>
        <v>0.144992545972308</v>
      </c>
      <c r="R83" s="65">
        <f>R82/U82</f>
        <v>0.224134978093787</v>
      </c>
      <c r="S83" s="65">
        <f>S82/U82</f>
        <v>0.194633844802391</v>
      </c>
      <c r="T83" s="65">
        <f>T82/U82</f>
        <v>0.436238631131515</v>
      </c>
      <c r="W83" s="126" t="s">
        <v>64</v>
      </c>
      <c r="X83" s="65">
        <f>X82/AB82</f>
        <v>0.0118733048870251</v>
      </c>
      <c r="Y83" s="65">
        <f>Y82/AB82</f>
        <v>-0.0246922359865376</v>
      </c>
      <c r="Z83" s="65">
        <f>Z82/AB82</f>
        <v>0.543540575073236</v>
      </c>
      <c r="AA83" s="65">
        <f>AA82/AB82</f>
        <v>0.469278356026276</v>
      </c>
      <c r="AB83" s="54"/>
      <c r="AL83" s="56" t="s">
        <v>240</v>
      </c>
      <c r="AM83" s="156">
        <f>AM74-AM62</f>
        <v>-2962.37768119001</v>
      </c>
      <c r="AN83" s="156">
        <f>AN74-AN62</f>
        <v>-130.447443454539</v>
      </c>
      <c r="AO83" s="156">
        <f>AO74-AO62</f>
        <v>-296.663572159699</v>
      </c>
      <c r="AP83" s="156">
        <f>AP74-AP62</f>
        <v>6475.07281508938</v>
      </c>
      <c r="AQ83" s="156">
        <f>AQ74-AQ62</f>
        <v>3085.58411828516</v>
      </c>
      <c r="AT83" s="43"/>
      <c r="AU83" s="43"/>
      <c r="AV83" s="43"/>
      <c r="AW83" s="43"/>
    </row>
    <row r="84" spans="1:51">
      <c r="A84" s="54" t="s">
        <v>240</v>
      </c>
      <c r="B84" s="94">
        <f>B82-B81</f>
        <v>-1042.74895589001</v>
      </c>
      <c r="C84" s="94">
        <f>C82-C81</f>
        <v>-211.229897494539</v>
      </c>
      <c r="D84" s="94">
        <f>D82-D81</f>
        <v>-2056.08692817977</v>
      </c>
      <c r="E84" s="94">
        <f>E82-E81</f>
        <v>5556.54261935338</v>
      </c>
      <c r="F84" s="94">
        <f>SUM(B84:E84)</f>
        <v>2246.47683778907</v>
      </c>
      <c r="G84" s="214"/>
      <c r="H84" s="214"/>
      <c r="I84" s="54" t="s">
        <v>240</v>
      </c>
      <c r="J84" s="94">
        <f>J82-J81</f>
        <v>-1929.20265838</v>
      </c>
      <c r="K84" s="94">
        <f>K82-K81</f>
        <v>8.81831196</v>
      </c>
      <c r="L84" s="94">
        <f>L82-L81</f>
        <v>1649.4722864</v>
      </c>
      <c r="M84" s="94">
        <f>M82-M81</f>
        <v>781.78473402</v>
      </c>
      <c r="N84" s="94">
        <f>N82-N81</f>
        <v>510.872673999998</v>
      </c>
      <c r="O84" s="197"/>
      <c r="P84" s="54" t="s">
        <v>240</v>
      </c>
      <c r="Q84" s="94">
        <f>Q82-Q81</f>
        <v>-105.63876956</v>
      </c>
      <c r="R84" s="94">
        <f>R82-R81</f>
        <v>93.5432734</v>
      </c>
      <c r="S84" s="94">
        <f>S82-S81</f>
        <v>231.35665992</v>
      </c>
      <c r="T84" s="94">
        <f>T82-T81</f>
        <v>376.40762186</v>
      </c>
      <c r="U84" s="94">
        <f>U82-U81</f>
        <v>595.66878562</v>
      </c>
      <c r="W84" s="126" t="s">
        <v>240</v>
      </c>
      <c r="X84" s="94">
        <f>X82-X81</f>
        <v>115.21270264</v>
      </c>
      <c r="Y84" s="94">
        <f>Y82-Y81</f>
        <v>-21.57913132</v>
      </c>
      <c r="Z84" s="94">
        <f>Z82-Z81</f>
        <v>-121.405590299927</v>
      </c>
      <c r="AA84" s="94">
        <f>AA82-AA81</f>
        <v>-239.662160144002</v>
      </c>
      <c r="AB84" s="94">
        <f>AB82-AB81</f>
        <v>-267.434179123929</v>
      </c>
      <c r="AG84" s="57"/>
      <c r="AH84" s="57"/>
      <c r="AI84" s="57"/>
      <c r="AL84" s="56" t="s">
        <v>241</v>
      </c>
      <c r="AM84" s="151">
        <f>AM83/AM62</f>
        <v>-0.421702612145135</v>
      </c>
      <c r="AN84" s="151">
        <f>AN83/AN62</f>
        <v>-0.240458006004987</v>
      </c>
      <c r="AO84" s="151">
        <f>AO83/AO62</f>
        <v>-0.0258205339866561</v>
      </c>
      <c r="AP84" s="151">
        <f>AP83/AP62</f>
        <v>0.717857607391916</v>
      </c>
      <c r="AQ84" s="151">
        <f>AQ83/AQ62</f>
        <v>0.109898239658417</v>
      </c>
      <c r="AR84" s="140"/>
    </row>
    <row r="85" spans="1:51">
      <c r="A85" s="54" t="s">
        <v>241</v>
      </c>
      <c r="B85" s="65">
        <f>B84/B81</f>
        <v>-0.275585576273879</v>
      </c>
      <c r="C85" s="65">
        <f>C84/C81</f>
        <v>-0.524300532951949</v>
      </c>
      <c r="D85" s="65">
        <f>D84/D81</f>
        <v>-0.316667233405753</v>
      </c>
      <c r="E85" s="65">
        <f>E84/E81</f>
        <v>0.740253045516012</v>
      </c>
      <c r="F85" s="65">
        <f>F84/F81</f>
        <v>0.123529133468432</v>
      </c>
      <c r="G85" s="215"/>
      <c r="H85" s="215"/>
      <c r="I85" s="65"/>
      <c r="J85" s="65">
        <f>J84/J81</f>
        <v>-0.625299157732007</v>
      </c>
      <c r="K85" s="65">
        <f>K84/K81</f>
        <v>-1.3696621124895</v>
      </c>
      <c r="L85" s="65">
        <f>L84/L81</f>
        <v>0.37289475570581</v>
      </c>
      <c r="M85" s="65">
        <f>M84/M81</f>
        <v>1.01003295093391</v>
      </c>
      <c r="N85" s="65">
        <f>N84/N81</f>
        <v>0.0617275245844164</v>
      </c>
      <c r="P85" s="54" t="s">
        <v>241</v>
      </c>
      <c r="Q85" s="65">
        <f>Q84/Q81</f>
        <v>-0.405314222613184</v>
      </c>
      <c r="R85" s="65">
        <f>R84/R81</f>
        <v>0.640467726757623</v>
      </c>
      <c r="S85" s="65">
        <f>S84/S81</f>
        <v>-9.93153411299669</v>
      </c>
      <c r="T85" s="65">
        <f>T84/T81</f>
        <v>4.18571053682142</v>
      </c>
      <c r="U85" s="65">
        <f>U84/U81</f>
        <v>1.25848920836167</v>
      </c>
      <c r="V85" s="215"/>
      <c r="W85" s="126" t="s">
        <v>241</v>
      </c>
      <c r="X85" s="65">
        <f>X84/X81</f>
        <v>-1.09897677753316</v>
      </c>
      <c r="Y85" s="65" t="e">
        <f>Y84/Y81</f>
        <v>#DIV/0!</v>
      </c>
      <c r="Z85" s="65">
        <f>Z84/Z81</f>
        <v>-0.203557684739146</v>
      </c>
      <c r="AA85" s="65">
        <f>AA84/AA81</f>
        <v>-0.36883831703034</v>
      </c>
      <c r="AB85" s="65">
        <f>AB84/AB81</f>
        <v>-0.234312281639281</v>
      </c>
      <c r="AL85" s="56"/>
      <c r="AM85" s="151"/>
      <c r="AN85" s="151"/>
      <c r="AO85" s="151"/>
      <c r="AP85" s="151"/>
      <c r="AQ85" s="43"/>
      <c r="AR85" s="140"/>
    </row>
    <row r="86" spans="1:51">
      <c r="J86" s="94"/>
      <c r="AL86" s="56"/>
      <c r="AM86" s="217"/>
      <c r="AN86" s="151"/>
      <c r="AO86" s="151"/>
      <c r="AP86" s="151"/>
      <c r="AQ86" s="43"/>
      <c r="AR86" s="140"/>
    </row>
    <row r="87" spans="1:51">
      <c r="B87" s="72"/>
      <c r="C87" s="62"/>
      <c r="D87" s="72"/>
      <c r="E87" s="218"/>
      <c r="F87" s="57"/>
      <c r="N87" s="66"/>
      <c r="O87" s="197"/>
      <c r="U87" s="66"/>
      <c r="AM87" s="140"/>
      <c r="AN87" s="140"/>
      <c r="AO87" s="140"/>
      <c r="AP87" s="140"/>
      <c r="AR87" s="140"/>
    </row>
    <row r="88" spans="1:51">
      <c r="C88" s="62"/>
      <c r="F88" s="57"/>
      <c r="N88" s="66"/>
      <c r="T88" s="155"/>
      <c r="U88" s="197"/>
      <c r="W88" s="219"/>
      <c r="X88" s="155"/>
      <c r="Y88" s="56"/>
      <c r="Z88" s="155"/>
      <c r="AA88" s="155"/>
      <c r="AB88" s="155"/>
      <c r="AM88" s="220"/>
      <c r="AN88" s="220"/>
      <c r="AO88" s="220"/>
      <c r="AP88" s="221" t="s">
        <v>297</v>
      </c>
      <c r="AQ88" s="156">
        <f>256891633.43*1.06/10000</f>
        <v>27230.51314358</v>
      </c>
      <c r="AR88" s="204"/>
      <c r="AS88" s="204"/>
    </row>
    <row r="89" ht="21" spans="1:51">
      <c r="A89" s="54" t="s">
        <v>53</v>
      </c>
      <c r="B89" s="222" t="s">
        <v>298</v>
      </c>
      <c r="C89" s="223" t="s">
        <v>299</v>
      </c>
      <c r="D89" s="223" t="s">
        <v>300</v>
      </c>
      <c r="E89" s="222" t="s">
        <v>301</v>
      </c>
      <c r="F89" s="54" t="s">
        <v>302</v>
      </c>
      <c r="G89" s="222" t="s">
        <v>303</v>
      </c>
      <c r="H89" s="54" t="s">
        <v>245</v>
      </c>
      <c r="I89" s="56"/>
      <c r="J89" s="155"/>
      <c r="K89" s="155" t="s">
        <v>125</v>
      </c>
      <c r="L89" s="155" t="s">
        <v>96</v>
      </c>
      <c r="M89" s="155"/>
      <c r="N89" s="66"/>
      <c r="T89" s="155"/>
      <c r="U89" s="224"/>
      <c r="V89" s="224"/>
      <c r="W89" s="225"/>
      <c r="X89" s="226"/>
      <c r="Y89" s="227"/>
      <c r="Z89" s="228"/>
      <c r="AA89" s="155"/>
      <c r="AB89" s="155"/>
      <c r="AM89" s="140"/>
      <c r="AN89" s="220"/>
      <c r="AO89" s="140"/>
      <c r="AP89" s="140"/>
      <c r="AR89" s="204"/>
    </row>
    <row r="90" spans="1:51">
      <c r="A90" s="229">
        <v>202301</v>
      </c>
      <c r="B90" s="230">
        <v>586787</v>
      </c>
      <c r="C90" s="230"/>
      <c r="D90" s="230"/>
      <c r="E90" s="230"/>
      <c r="F90" s="230"/>
      <c r="G90" s="181">
        <f t="shared" ref="G90:G122" si="36">SUM(B90:F90)</f>
        <v>586787</v>
      </c>
      <c r="H90" s="179">
        <f t="shared" ref="H90:H122" si="37">G90/10000</f>
        <v>58.6787</v>
      </c>
      <c r="I90" s="56" t="s">
        <v>304</v>
      </c>
      <c r="J90" s="155" t="s">
        <v>21</v>
      </c>
      <c r="K90" s="155" t="s">
        <v>8</v>
      </c>
      <c r="L90" s="155"/>
      <c r="M90" s="155"/>
      <c r="N90" s="58"/>
      <c r="T90" s="155"/>
      <c r="U90" s="231"/>
      <c r="V90" s="231"/>
      <c r="W90" s="232"/>
      <c r="X90" s="155"/>
      <c r="Y90" s="207"/>
      <c r="Z90" s="155"/>
      <c r="AA90" s="155"/>
      <c r="AB90" s="155"/>
      <c r="AM90" s="140"/>
      <c r="AN90" s="140"/>
      <c r="AO90" s="220"/>
      <c r="AP90" s="233" t="s">
        <v>305</v>
      </c>
      <c r="AQ90" s="234">
        <f>(AQ88+AQ91+AQ92+AQ93)-AQ74</f>
        <v>573.9013388108</v>
      </c>
    </row>
    <row r="91" spans="1:51">
      <c r="A91" s="229">
        <v>202304</v>
      </c>
      <c r="B91" s="230">
        <v>721128</v>
      </c>
      <c r="C91" s="230"/>
      <c r="D91" s="230"/>
      <c r="E91" s="230"/>
      <c r="F91" s="230"/>
      <c r="G91" s="181">
        <f t="shared" si="36"/>
        <v>721128</v>
      </c>
      <c r="H91" s="179">
        <f t="shared" si="37"/>
        <v>72.1128</v>
      </c>
      <c r="I91" s="56"/>
      <c r="J91" s="155" t="s">
        <v>21</v>
      </c>
      <c r="K91" s="155" t="s">
        <v>8</v>
      </c>
      <c r="L91" s="155"/>
      <c r="M91" s="155"/>
      <c r="N91" s="58"/>
      <c r="T91" s="155"/>
      <c r="U91" s="231"/>
      <c r="V91" s="231"/>
      <c r="W91" s="232"/>
      <c r="X91" s="155"/>
      <c r="Y91" s="207"/>
      <c r="Z91" s="155"/>
      <c r="AA91" s="155"/>
      <c r="AB91" s="155"/>
      <c r="AM91" s="140"/>
      <c r="AN91" s="140"/>
      <c r="AO91" s="220"/>
      <c r="AP91" s="140"/>
      <c r="AQ91" s="156">
        <f>投资公司!C9</f>
        <v>1161.812130776</v>
      </c>
      <c r="AR91" s="43" t="s">
        <v>306</v>
      </c>
    </row>
    <row r="92" spans="1:51">
      <c r="A92" s="229">
        <v>202306</v>
      </c>
      <c r="B92" s="230">
        <v>1024929</v>
      </c>
      <c r="C92" s="230"/>
      <c r="D92" s="230"/>
      <c r="E92" s="230"/>
      <c r="F92" s="230"/>
      <c r="G92" s="181">
        <f t="shared" si="36"/>
        <v>1024929</v>
      </c>
      <c r="H92" s="179">
        <f t="shared" si="37"/>
        <v>102.4929</v>
      </c>
      <c r="I92" s="56"/>
      <c r="J92" s="155" t="s">
        <v>307</v>
      </c>
      <c r="K92" s="155" t="s">
        <v>8</v>
      </c>
      <c r="L92" s="155"/>
      <c r="M92" s="155"/>
      <c r="N92" s="66"/>
      <c r="T92" s="155"/>
      <c r="U92" s="231"/>
      <c r="V92" s="231"/>
      <c r="W92" s="232"/>
      <c r="X92" s="155"/>
      <c r="Y92" s="207"/>
      <c r="Z92" s="155"/>
      <c r="AA92" s="155"/>
      <c r="AB92" s="155"/>
      <c r="AM92" s="43"/>
      <c r="AN92" s="43"/>
      <c r="AO92" s="43"/>
      <c r="AP92" s="43"/>
      <c r="AQ92" s="235">
        <f>H125</f>
        <v>2881.580346</v>
      </c>
      <c r="AR92" s="43" t="s">
        <v>308</v>
      </c>
    </row>
    <row r="93" spans="1:51">
      <c r="A93" s="229">
        <v>202307</v>
      </c>
      <c r="B93" s="230">
        <v>706329</v>
      </c>
      <c r="C93" s="230"/>
      <c r="D93" s="230"/>
      <c r="E93" s="230"/>
      <c r="F93" s="230"/>
      <c r="G93" s="181">
        <f t="shared" si="36"/>
        <v>706329</v>
      </c>
      <c r="H93" s="179">
        <f t="shared" si="37"/>
        <v>70.6329</v>
      </c>
      <c r="I93" s="56"/>
      <c r="J93" s="155" t="s">
        <v>58</v>
      </c>
      <c r="K93" s="155"/>
      <c r="L93" s="155"/>
      <c r="M93" s="155"/>
      <c r="T93" s="155"/>
      <c r="U93" s="231"/>
      <c r="V93" s="231"/>
      <c r="W93" s="232"/>
      <c r="X93" s="236"/>
      <c r="Y93" s="207"/>
      <c r="Z93" s="155"/>
      <c r="AA93" s="155"/>
      <c r="AB93" s="155"/>
      <c r="AM93" s="43"/>
      <c r="AN93" s="43"/>
      <c r="AO93" s="43"/>
      <c r="AQ93" s="156">
        <f>F185</f>
        <v>462.318171</v>
      </c>
      <c r="AR93" s="43" t="s">
        <v>309</v>
      </c>
    </row>
    <row r="94" spans="1:51">
      <c r="A94" s="229">
        <v>202309</v>
      </c>
      <c r="B94" s="230">
        <v>639143</v>
      </c>
      <c r="C94" s="230"/>
      <c r="D94" s="230"/>
      <c r="E94" s="230"/>
      <c r="F94" s="230"/>
      <c r="G94" s="181">
        <f t="shared" si="36"/>
        <v>639143</v>
      </c>
      <c r="H94" s="179">
        <f t="shared" si="37"/>
        <v>63.9143</v>
      </c>
      <c r="I94" s="56"/>
      <c r="J94" s="155" t="s">
        <v>310</v>
      </c>
      <c r="K94" s="155"/>
      <c r="L94" s="155"/>
      <c r="M94" s="155"/>
      <c r="O94" s="237"/>
      <c r="T94" s="155"/>
      <c r="U94" s="231"/>
      <c r="V94" s="231"/>
      <c r="W94" s="232"/>
      <c r="X94" s="236"/>
      <c r="Y94" s="207"/>
      <c r="Z94" s="155"/>
      <c r="AA94" s="155"/>
      <c r="AB94" s="155"/>
      <c r="AP94" s="43"/>
    </row>
    <row r="95" spans="1:51">
      <c r="A95" s="229">
        <v>202310</v>
      </c>
      <c r="B95" s="230">
        <v>2497463</v>
      </c>
      <c r="C95" s="230"/>
      <c r="D95" s="230"/>
      <c r="E95" s="230"/>
      <c r="F95" s="230"/>
      <c r="G95" s="181">
        <f t="shared" si="36"/>
        <v>2497463</v>
      </c>
      <c r="H95" s="179">
        <f t="shared" si="37"/>
        <v>249.7463</v>
      </c>
      <c r="I95" s="56"/>
      <c r="T95" s="155"/>
      <c r="U95" s="231"/>
      <c r="V95" s="231"/>
      <c r="W95" s="232"/>
      <c r="X95" s="236"/>
      <c r="Y95" s="207"/>
      <c r="Z95" s="155"/>
      <c r="AA95" s="155"/>
      <c r="AB95" s="155"/>
      <c r="AE95" s="54"/>
      <c r="AF95"/>
      <c r="AG95" s="53"/>
      <c r="AI95" s="1"/>
      <c r="AJ95" s="43"/>
      <c r="AK95" s="156"/>
      <c r="AY95" s="238"/>
    </row>
    <row r="96" spans="1:51">
      <c r="A96" s="229">
        <v>202311</v>
      </c>
      <c r="B96" s="230">
        <v>798212</v>
      </c>
      <c r="C96" s="230"/>
      <c r="D96" s="230"/>
      <c r="E96" s="230"/>
      <c r="F96" s="230"/>
      <c r="G96" s="181">
        <f t="shared" si="36"/>
        <v>798212</v>
      </c>
      <c r="H96" s="179">
        <f t="shared" si="37"/>
        <v>79.8212</v>
      </c>
      <c r="I96" s="56"/>
      <c r="J96" s="155"/>
      <c r="K96" s="155"/>
      <c r="L96" s="155"/>
      <c r="M96" s="155"/>
      <c r="T96" s="155"/>
      <c r="U96" s="231"/>
      <c r="V96" s="231"/>
      <c r="W96" s="232"/>
      <c r="X96" s="236"/>
      <c r="Y96" s="207"/>
      <c r="Z96" s="155"/>
      <c r="AA96" s="155"/>
      <c r="AB96" s="155"/>
      <c r="AE96" s="54"/>
      <c r="AF96"/>
      <c r="AG96" s="53"/>
      <c r="AI96" s="1"/>
      <c r="AJ96" s="43"/>
      <c r="AK96" s="156"/>
      <c r="AO96" s="239"/>
      <c r="AY96" s="238"/>
    </row>
    <row r="97" spans="1:51">
      <c r="A97" s="229">
        <v>202312</v>
      </c>
      <c r="B97" s="230">
        <v>3078965</v>
      </c>
      <c r="C97" s="230"/>
      <c r="D97" s="230"/>
      <c r="E97" s="230"/>
      <c r="F97" s="230"/>
      <c r="G97" s="181">
        <f t="shared" si="36"/>
        <v>3078965</v>
      </c>
      <c r="H97" s="179">
        <f t="shared" si="37"/>
        <v>307.8965</v>
      </c>
      <c r="I97" s="56"/>
      <c r="J97" s="155"/>
      <c r="K97" s="155" t="s">
        <v>125</v>
      </c>
      <c r="L97" s="155" t="s">
        <v>96</v>
      </c>
      <c r="M97" s="155"/>
      <c r="T97" s="155"/>
      <c r="U97" s="231"/>
      <c r="V97" s="231"/>
      <c r="W97" s="232"/>
      <c r="X97" s="236"/>
      <c r="Y97" s="207"/>
      <c r="Z97" s="155"/>
      <c r="AA97" s="155"/>
      <c r="AB97" s="155"/>
      <c r="AE97" s="54"/>
      <c r="AF97"/>
      <c r="AG97" s="53"/>
      <c r="AI97" s="1"/>
      <c r="AJ97" s="43"/>
      <c r="AK97" s="156"/>
      <c r="AY97" s="238"/>
    </row>
    <row r="98" spans="1:51">
      <c r="A98" s="240">
        <v>202401</v>
      </c>
      <c r="B98" s="200">
        <v>861511.1</v>
      </c>
      <c r="C98" s="200"/>
      <c r="D98" s="200"/>
      <c r="E98" s="200"/>
      <c r="F98" s="200"/>
      <c r="G98" s="200">
        <f t="shared" si="36"/>
        <v>861511.1</v>
      </c>
      <c r="H98" s="195">
        <f t="shared" si="37"/>
        <v>86.15111</v>
      </c>
      <c r="I98" s="56" t="s">
        <v>311</v>
      </c>
      <c r="J98" s="155" t="s">
        <v>21</v>
      </c>
      <c r="K98" s="155" t="s">
        <v>8</v>
      </c>
      <c r="L98" s="155"/>
      <c r="M98" s="155"/>
      <c r="T98" s="155"/>
      <c r="U98" s="231"/>
      <c r="V98" s="231"/>
      <c r="W98" s="232"/>
      <c r="X98" s="236"/>
      <c r="Y98" s="207"/>
      <c r="Z98" s="155"/>
      <c r="AA98" s="155"/>
      <c r="AB98" s="155"/>
      <c r="AE98" s="54"/>
      <c r="AF98"/>
      <c r="AG98" s="53"/>
      <c r="AI98" s="1"/>
      <c r="AJ98" s="43"/>
      <c r="AK98" s="156"/>
      <c r="AY98" s="238"/>
    </row>
    <row r="99" spans="1:51">
      <c r="A99" s="240">
        <v>202402</v>
      </c>
      <c r="B99" s="200">
        <v>378139</v>
      </c>
      <c r="C99" s="200"/>
      <c r="D99" s="200"/>
      <c r="E99" s="200"/>
      <c r="F99" s="200"/>
      <c r="G99" s="200">
        <f t="shared" si="36"/>
        <v>378139</v>
      </c>
      <c r="H99" s="195">
        <f t="shared" si="37"/>
        <v>37.8139</v>
      </c>
      <c r="I99" s="56"/>
      <c r="J99" s="155" t="s">
        <v>21</v>
      </c>
      <c r="K99" s="155" t="s">
        <v>8</v>
      </c>
      <c r="L99" s="155"/>
      <c r="M99" s="155"/>
      <c r="T99" s="155"/>
      <c r="U99" s="231"/>
      <c r="V99" s="231"/>
      <c r="W99" s="232"/>
      <c r="X99" s="236"/>
      <c r="Y99" s="207"/>
      <c r="Z99" s="155"/>
      <c r="AA99" s="155"/>
      <c r="AB99" s="155"/>
      <c r="AE99" s="54"/>
      <c r="AF99"/>
      <c r="AG99" s="53"/>
      <c r="AI99" s="1"/>
      <c r="AJ99" s="43"/>
      <c r="AK99" s="156"/>
      <c r="AL99" s="156"/>
      <c r="AP99" s="43"/>
      <c r="AQ99" s="51"/>
      <c r="AR99" s="143"/>
      <c r="AS99" s="143"/>
      <c r="AW99" s="1"/>
      <c r="AX99" s="1"/>
      <c r="AY99" s="238"/>
    </row>
    <row r="100" spans="1:51">
      <c r="A100" s="240">
        <v>202403</v>
      </c>
      <c r="B100" s="200">
        <v>2859130.67</v>
      </c>
      <c r="C100" s="200"/>
      <c r="D100" s="200"/>
      <c r="E100" s="200"/>
      <c r="F100" s="200"/>
      <c r="G100" s="200">
        <f t="shared" si="36"/>
        <v>2859130.67</v>
      </c>
      <c r="H100" s="195">
        <f t="shared" si="37"/>
        <v>285.913067</v>
      </c>
      <c r="I100" s="56"/>
      <c r="J100" s="155" t="s">
        <v>307</v>
      </c>
      <c r="K100" s="155" t="s">
        <v>8</v>
      </c>
      <c r="L100" s="155"/>
      <c r="M100" s="155"/>
      <c r="T100" s="155"/>
      <c r="U100" s="231"/>
      <c r="V100" s="231"/>
      <c r="W100" s="232"/>
      <c r="X100" s="236"/>
      <c r="Y100" s="207"/>
      <c r="Z100" s="155"/>
      <c r="AA100" s="155"/>
      <c r="AB100" s="155"/>
      <c r="AE100" s="54"/>
      <c r="AF100"/>
      <c r="AG100" s="53"/>
      <c r="AI100" s="1"/>
      <c r="AJ100" s="43"/>
      <c r="AK100" s="156"/>
      <c r="AL100" s="156"/>
      <c r="AP100" s="43"/>
      <c r="AQ100" s="51"/>
      <c r="AR100" s="143"/>
      <c r="AS100" s="143"/>
      <c r="AW100" s="1"/>
      <c r="AX100" s="1"/>
      <c r="AY100" s="238"/>
    </row>
    <row r="101" spans="1:51">
      <c r="A101" s="240">
        <v>202404</v>
      </c>
      <c r="B101" s="200">
        <v>2524571.23</v>
      </c>
      <c r="C101" s="200"/>
      <c r="D101" s="200"/>
      <c r="E101" s="200"/>
      <c r="F101" s="200"/>
      <c r="G101" s="200">
        <f t="shared" si="36"/>
        <v>2524571.23</v>
      </c>
      <c r="H101" s="195">
        <f t="shared" si="37"/>
        <v>252.457123</v>
      </c>
      <c r="I101" s="56"/>
      <c r="J101" s="155" t="s">
        <v>307</v>
      </c>
      <c r="K101" s="155" t="s">
        <v>312</v>
      </c>
      <c r="L101" s="155"/>
      <c r="M101" s="155"/>
      <c r="T101" s="155"/>
      <c r="U101" s="231"/>
      <c r="V101" s="231"/>
      <c r="W101" s="232"/>
      <c r="X101" s="236"/>
      <c r="Y101" s="207"/>
      <c r="Z101" s="155"/>
      <c r="AA101" s="155"/>
      <c r="AB101" s="155"/>
      <c r="AE101" s="54"/>
      <c r="AF101"/>
      <c r="AG101" s="53"/>
      <c r="AI101" s="1"/>
      <c r="AJ101" s="43"/>
      <c r="AK101" s="156"/>
      <c r="AL101" s="156"/>
      <c r="AP101" s="43"/>
      <c r="AQ101" s="51"/>
      <c r="AR101" s="143"/>
      <c r="AS101" s="143"/>
      <c r="AW101" s="1"/>
      <c r="AX101" s="1"/>
      <c r="AY101" s="238"/>
    </row>
    <row r="102" spans="1:51">
      <c r="A102" s="240">
        <v>202405</v>
      </c>
      <c r="B102" s="200">
        <v>2230468</v>
      </c>
      <c r="C102" s="200"/>
      <c r="D102" s="200"/>
      <c r="E102" s="200"/>
      <c r="F102" s="200"/>
      <c r="G102" s="200">
        <f t="shared" si="36"/>
        <v>2230468</v>
      </c>
      <c r="H102" s="195">
        <f t="shared" si="37"/>
        <v>223.0468</v>
      </c>
      <c r="I102" s="56"/>
      <c r="J102" s="155" t="s">
        <v>307</v>
      </c>
      <c r="K102" s="155" t="s">
        <v>8</v>
      </c>
      <c r="L102" s="155"/>
      <c r="M102" s="155"/>
      <c r="T102" s="155"/>
      <c r="U102" s="231"/>
      <c r="V102" s="155"/>
      <c r="W102" s="219"/>
      <c r="X102" s="56"/>
      <c r="Y102" s="56"/>
      <c r="Z102" s="155"/>
      <c r="AA102" s="155"/>
      <c r="AB102" s="155"/>
      <c r="AE102" s="54"/>
      <c r="AF102"/>
      <c r="AG102" s="53"/>
      <c r="AI102" s="1"/>
      <c r="AJ102" s="43"/>
      <c r="AK102" s="156"/>
      <c r="AL102" s="156"/>
      <c r="AP102" s="43"/>
      <c r="AQ102" s="51"/>
      <c r="AR102" s="143"/>
      <c r="AS102" s="143"/>
      <c r="AW102" s="1"/>
      <c r="AX102" s="1"/>
      <c r="AY102" s="238"/>
    </row>
    <row r="103" spans="1:51">
      <c r="A103" s="240">
        <v>202406</v>
      </c>
      <c r="B103" s="200">
        <v>2517745</v>
      </c>
      <c r="C103" s="200"/>
      <c r="D103" s="200"/>
      <c r="E103" s="200"/>
      <c r="F103" s="200"/>
      <c r="G103" s="200">
        <f t="shared" si="36"/>
        <v>2517745</v>
      </c>
      <c r="H103" s="195">
        <f t="shared" si="37"/>
        <v>251.7745</v>
      </c>
      <c r="I103" s="56"/>
      <c r="J103" s="155" t="s">
        <v>307</v>
      </c>
      <c r="K103" s="155" t="s">
        <v>312</v>
      </c>
      <c r="L103" s="155"/>
      <c r="M103" s="155"/>
      <c r="O103" s="197"/>
      <c r="T103" s="155"/>
      <c r="U103" s="231"/>
      <c r="V103" s="155"/>
      <c r="W103" s="219"/>
      <c r="X103" s="56"/>
      <c r="Y103" s="219"/>
      <c r="Z103" s="155"/>
      <c r="AA103" s="155"/>
      <c r="AB103" s="155"/>
      <c r="AE103" s="54"/>
      <c r="AF103"/>
      <c r="AG103" s="53"/>
      <c r="AI103" s="1"/>
      <c r="AJ103" s="43"/>
      <c r="AK103" s="156"/>
      <c r="AL103" s="156"/>
      <c r="AP103" s="43"/>
      <c r="AQ103" s="51"/>
      <c r="AR103" s="143"/>
      <c r="AS103" s="143"/>
      <c r="AW103" s="1"/>
      <c r="AX103" s="1"/>
      <c r="AY103" s="238"/>
    </row>
    <row r="104" spans="1:51">
      <c r="A104" s="240">
        <v>202407</v>
      </c>
      <c r="B104" s="200">
        <v>1211368</v>
      </c>
      <c r="C104" s="200"/>
      <c r="D104" s="200"/>
      <c r="E104" s="200"/>
      <c r="F104" s="200"/>
      <c r="G104" s="200">
        <f t="shared" si="36"/>
        <v>1211368</v>
      </c>
      <c r="H104" s="195">
        <f t="shared" si="37"/>
        <v>121.1368</v>
      </c>
      <c r="I104" s="56"/>
      <c r="J104" s="155" t="s">
        <v>307</v>
      </c>
      <c r="K104" s="155" t="s">
        <v>8</v>
      </c>
      <c r="L104" s="155"/>
      <c r="M104" s="155"/>
      <c r="O104" s="197"/>
      <c r="T104" s="155"/>
      <c r="U104" s="231"/>
      <c r="V104" s="155"/>
      <c r="W104" s="219"/>
      <c r="X104" s="56"/>
      <c r="Y104" s="219"/>
      <c r="Z104" s="155"/>
      <c r="AA104" s="155"/>
      <c r="AB104" s="155"/>
      <c r="AE104" s="54"/>
      <c r="AF104"/>
      <c r="AG104" s="53"/>
      <c r="AI104" s="1"/>
      <c r="AJ104" s="43"/>
      <c r="AK104" s="156"/>
      <c r="AL104" s="156"/>
      <c r="AP104" s="43"/>
      <c r="AQ104" s="51"/>
      <c r="AR104" s="143"/>
      <c r="AS104" s="143"/>
      <c r="AW104" s="1"/>
      <c r="AX104" s="1"/>
      <c r="AY104" s="238"/>
    </row>
    <row r="105" spans="1:51">
      <c r="A105" s="240">
        <v>202408</v>
      </c>
      <c r="B105" s="200"/>
      <c r="C105" s="200">
        <v>27847.8</v>
      </c>
      <c r="D105" s="200">
        <v>420089.61</v>
      </c>
      <c r="E105" s="200"/>
      <c r="F105" s="200"/>
      <c r="G105" s="200">
        <f t="shared" si="36"/>
        <v>447937.41</v>
      </c>
      <c r="H105" s="195">
        <f t="shared" si="37"/>
        <v>44.793741</v>
      </c>
      <c r="I105" s="56"/>
      <c r="J105" s="155" t="s">
        <v>58</v>
      </c>
      <c r="K105" s="155"/>
      <c r="L105" s="155"/>
      <c r="M105" s="155"/>
      <c r="T105" s="155"/>
      <c r="U105" s="155"/>
      <c r="V105" s="155"/>
      <c r="W105" s="241"/>
      <c r="X105" s="155"/>
      <c r="Y105" s="207"/>
      <c r="Z105" s="155"/>
      <c r="AA105" s="155"/>
      <c r="AB105" s="155"/>
      <c r="AE105" s="54"/>
      <c r="AF105"/>
      <c r="AG105" s="53"/>
      <c r="AI105" s="1"/>
      <c r="AJ105" s="43"/>
      <c r="AK105" s="156"/>
      <c r="AL105" s="156"/>
      <c r="AP105" s="43"/>
      <c r="AQ105" s="51"/>
      <c r="AR105" s="143"/>
      <c r="AS105" s="143"/>
      <c r="AW105" s="1"/>
      <c r="AX105" s="1"/>
      <c r="AY105" s="238"/>
    </row>
    <row r="106" spans="1:51">
      <c r="A106" s="240">
        <v>202409</v>
      </c>
      <c r="B106" s="200">
        <v>-1211368</v>
      </c>
      <c r="C106" s="200">
        <v>438807.53</v>
      </c>
      <c r="D106" s="200">
        <v>-49422.31</v>
      </c>
      <c r="E106" s="200"/>
      <c r="F106" s="200"/>
      <c r="G106" s="200">
        <f t="shared" si="36"/>
        <v>-821982.78</v>
      </c>
      <c r="H106" s="195">
        <f t="shared" si="37"/>
        <v>-82.198278</v>
      </c>
      <c r="I106" s="56"/>
      <c r="J106" s="155" t="s">
        <v>310</v>
      </c>
      <c r="K106" s="155"/>
      <c r="L106" s="155"/>
      <c r="M106" s="155"/>
      <c r="T106" s="155"/>
      <c r="U106" s="56"/>
      <c r="W106" s="219"/>
      <c r="X106" s="155"/>
      <c r="Y106" s="56"/>
      <c r="Z106" s="155"/>
      <c r="AA106" s="155"/>
      <c r="AB106" s="155"/>
      <c r="AE106" s="54"/>
      <c r="AF106"/>
      <c r="AG106" s="53"/>
      <c r="AI106" s="1"/>
      <c r="AJ106" s="43"/>
      <c r="AK106" s="156"/>
      <c r="AL106" s="156"/>
      <c r="AP106" s="43"/>
      <c r="AQ106" s="51"/>
      <c r="AR106" s="143"/>
      <c r="AS106" s="143"/>
      <c r="AW106" s="1"/>
      <c r="AX106" s="1"/>
      <c r="AY106" s="238"/>
    </row>
    <row r="107" spans="1:51">
      <c r="A107" s="240">
        <v>202410</v>
      </c>
      <c r="B107" s="200"/>
      <c r="C107" s="200">
        <v>414028.06</v>
      </c>
      <c r="D107" s="200">
        <v>146616.04</v>
      </c>
      <c r="E107" s="200"/>
      <c r="F107" s="200"/>
      <c r="G107" s="200">
        <f t="shared" si="36"/>
        <v>560644.1</v>
      </c>
      <c r="H107" s="195">
        <f t="shared" si="37"/>
        <v>56.06441</v>
      </c>
      <c r="I107" s="56"/>
      <c r="J107" s="155" t="s">
        <v>313</v>
      </c>
      <c r="K107" s="155"/>
      <c r="L107" s="155"/>
      <c r="M107" s="155"/>
      <c r="P107" s="66"/>
      <c r="Q107" s="58"/>
      <c r="R107" s="58"/>
      <c r="T107" s="155"/>
      <c r="U107" s="56"/>
      <c r="W107" s="219"/>
      <c r="X107" s="155"/>
      <c r="Y107" s="56"/>
      <c r="Z107" s="155"/>
      <c r="AA107" s="155"/>
      <c r="AB107" s="155"/>
      <c r="AE107" s="54"/>
      <c r="AF107"/>
      <c r="AG107" s="53"/>
      <c r="AI107" s="1"/>
      <c r="AJ107" s="43"/>
      <c r="AK107" s="156"/>
      <c r="AL107" s="156"/>
      <c r="AP107" s="43"/>
      <c r="AQ107" s="51"/>
      <c r="AR107" s="143"/>
      <c r="AS107" s="143"/>
      <c r="AW107" s="1"/>
      <c r="AX107" s="1"/>
      <c r="AY107" s="238"/>
    </row>
    <row r="108" spans="1:51">
      <c r="A108" s="240">
        <v>202411</v>
      </c>
      <c r="B108" s="200"/>
      <c r="C108" s="200">
        <v>279261.65</v>
      </c>
      <c r="D108" s="200">
        <v>354584.42</v>
      </c>
      <c r="E108" s="200"/>
      <c r="F108" s="200"/>
      <c r="G108" s="200">
        <f t="shared" si="36"/>
        <v>633846.07</v>
      </c>
      <c r="H108" s="195">
        <f t="shared" si="37"/>
        <v>63.384607</v>
      </c>
      <c r="I108" s="56"/>
      <c r="J108" s="155"/>
      <c r="K108" s="155"/>
      <c r="L108" s="155"/>
      <c r="M108" s="155"/>
      <c r="P108" s="66"/>
      <c r="Q108" s="66"/>
      <c r="R108" s="66"/>
      <c r="S108" s="58"/>
      <c r="T108" s="155"/>
      <c r="U108" s="56"/>
      <c r="W108" s="219"/>
      <c r="X108" s="155"/>
      <c r="Y108" s="56"/>
      <c r="Z108" s="155"/>
      <c r="AA108" s="155"/>
      <c r="AB108" s="155"/>
      <c r="AE108" s="54"/>
      <c r="AF108"/>
      <c r="AG108" s="53"/>
      <c r="AI108" s="1"/>
      <c r="AJ108" s="43"/>
      <c r="AK108" s="156"/>
      <c r="AL108" s="156"/>
      <c r="AP108" s="43"/>
      <c r="AQ108" s="51"/>
      <c r="AR108" s="143"/>
      <c r="AS108" s="143"/>
      <c r="AW108" s="1"/>
      <c r="AX108" s="1"/>
      <c r="AY108" s="238"/>
    </row>
    <row r="109" spans="1:51">
      <c r="A109" s="240">
        <v>202412</v>
      </c>
      <c r="B109" s="200">
        <v>1971656.46</v>
      </c>
      <c r="C109" s="200">
        <v>638404.83</v>
      </c>
      <c r="D109" s="200">
        <v>199530.25</v>
      </c>
      <c r="E109" s="200"/>
      <c r="F109" s="200"/>
      <c r="G109" s="200">
        <f t="shared" si="36"/>
        <v>2809591.54</v>
      </c>
      <c r="H109" s="195">
        <f t="shared" si="37"/>
        <v>280.959154</v>
      </c>
      <c r="I109" s="56"/>
      <c r="J109" s="155"/>
      <c r="K109" s="155"/>
      <c r="L109" s="155"/>
      <c r="M109" s="155"/>
      <c r="P109" s="66"/>
      <c r="Q109" s="66"/>
      <c r="R109" s="66"/>
      <c r="S109" s="58"/>
      <c r="T109" s="155"/>
      <c r="U109" s="56"/>
      <c r="W109" s="219"/>
      <c r="X109" s="155"/>
      <c r="Y109" s="56"/>
      <c r="Z109" s="155"/>
      <c r="AA109" s="155"/>
      <c r="AB109" s="155"/>
      <c r="AE109" s="54"/>
      <c r="AF109"/>
      <c r="AG109" s="53"/>
      <c r="AI109" s="1"/>
      <c r="AJ109" s="43"/>
      <c r="AK109" s="156"/>
      <c r="AL109" s="156"/>
      <c r="AP109" s="43"/>
      <c r="AQ109" s="51"/>
      <c r="AR109" s="143"/>
      <c r="AS109" s="143"/>
      <c r="AW109" s="1"/>
      <c r="AX109" s="1"/>
      <c r="AY109" s="238"/>
    </row>
    <row r="110" spans="1:51">
      <c r="A110" s="242" t="s">
        <v>314</v>
      </c>
      <c r="B110" s="188">
        <v>0</v>
      </c>
      <c r="C110" s="188">
        <v>901522.72</v>
      </c>
      <c r="D110" s="188">
        <v>161296.3</v>
      </c>
      <c r="E110" s="188"/>
      <c r="F110" s="188"/>
      <c r="G110" s="188">
        <f t="shared" si="36"/>
        <v>1062819.02</v>
      </c>
      <c r="H110" s="185">
        <f t="shared" si="37"/>
        <v>106.281902</v>
      </c>
      <c r="I110" s="56"/>
      <c r="J110" s="155"/>
      <c r="K110" s="155" t="s">
        <v>125</v>
      </c>
      <c r="L110" s="155" t="s">
        <v>96</v>
      </c>
      <c r="M110" s="155"/>
      <c r="P110" s="66"/>
      <c r="Q110" s="66"/>
      <c r="R110" s="66"/>
      <c r="S110" s="58"/>
      <c r="T110" s="155"/>
      <c r="U110" s="56"/>
      <c r="W110" s="219"/>
      <c r="X110" s="155"/>
      <c r="Y110" s="56"/>
      <c r="Z110" s="155"/>
      <c r="AA110" s="155"/>
      <c r="AB110" s="155"/>
      <c r="AE110" s="54"/>
      <c r="AF110"/>
      <c r="AG110" s="53"/>
      <c r="AI110" s="1"/>
      <c r="AJ110" s="43"/>
      <c r="AK110" s="156"/>
      <c r="AL110" s="156"/>
      <c r="AP110" s="43"/>
      <c r="AQ110" s="51"/>
      <c r="AR110" s="143"/>
      <c r="AS110" s="143"/>
      <c r="AW110" s="1"/>
      <c r="AX110" s="1"/>
      <c r="AY110" s="238"/>
    </row>
    <row r="111" spans="1:51">
      <c r="A111" s="242" t="s">
        <v>315</v>
      </c>
      <c r="B111" s="188"/>
      <c r="C111" s="188">
        <v>721741.1</v>
      </c>
      <c r="D111" s="188">
        <v>31489.51</v>
      </c>
      <c r="E111" s="188"/>
      <c r="F111" s="188"/>
      <c r="G111" s="188">
        <f t="shared" si="36"/>
        <v>753230.61</v>
      </c>
      <c r="H111" s="185">
        <f t="shared" si="37"/>
        <v>75.323061</v>
      </c>
      <c r="I111" s="56" t="s">
        <v>316</v>
      </c>
      <c r="J111" s="155" t="s">
        <v>21</v>
      </c>
      <c r="K111" s="155" t="s">
        <v>8</v>
      </c>
      <c r="L111" s="155"/>
      <c r="M111" s="155"/>
      <c r="P111" s="66"/>
      <c r="Q111" s="66"/>
      <c r="R111" s="66"/>
      <c r="S111" s="58"/>
      <c r="T111" s="155"/>
      <c r="U111" s="56"/>
      <c r="W111" s="219"/>
      <c r="X111" s="155"/>
      <c r="Y111" s="56"/>
      <c r="Z111" s="155"/>
      <c r="AA111" s="155"/>
      <c r="AB111" s="155"/>
      <c r="AE111" s="54"/>
      <c r="AF111"/>
      <c r="AG111" s="53"/>
      <c r="AI111" s="1"/>
      <c r="AJ111" s="43"/>
      <c r="AK111" s="156"/>
      <c r="AL111" s="156"/>
      <c r="AP111" s="43"/>
      <c r="AQ111" s="51"/>
      <c r="AR111" s="143"/>
      <c r="AS111" s="143"/>
      <c r="AW111" s="1"/>
      <c r="AX111" s="1"/>
      <c r="AY111" s="238"/>
    </row>
    <row r="112" spans="1:51">
      <c r="A112" s="242" t="s">
        <v>317</v>
      </c>
      <c r="B112" s="243">
        <v>160281</v>
      </c>
      <c r="C112" s="243">
        <v>743030.58</v>
      </c>
      <c r="D112" s="243">
        <v>-997.52</v>
      </c>
      <c r="E112" s="243"/>
      <c r="F112" s="243"/>
      <c r="G112" s="188">
        <f t="shared" si="36"/>
        <v>902314.06</v>
      </c>
      <c r="H112" s="185">
        <f t="shared" si="37"/>
        <v>90.231406</v>
      </c>
      <c r="I112" s="56"/>
      <c r="J112" s="155" t="s">
        <v>21</v>
      </c>
      <c r="K112" s="155" t="s">
        <v>8</v>
      </c>
      <c r="L112" s="155"/>
      <c r="M112" s="155"/>
      <c r="P112" s="66"/>
      <c r="Q112" s="66"/>
      <c r="R112" s="66"/>
      <c r="S112" s="58"/>
      <c r="T112" s="155"/>
      <c r="U112" s="56"/>
      <c r="W112" s="219"/>
      <c r="X112" s="155"/>
      <c r="Y112" s="56"/>
      <c r="Z112" s="155"/>
      <c r="AA112" s="155"/>
      <c r="AB112" s="155"/>
      <c r="AE112" s="54"/>
      <c r="AF112"/>
      <c r="AG112" s="53"/>
      <c r="AI112" s="1"/>
      <c r="AJ112" s="43"/>
      <c r="AK112" s="156"/>
      <c r="AL112" s="156"/>
      <c r="AP112" s="43"/>
      <c r="AQ112" s="51"/>
      <c r="AR112" s="143"/>
      <c r="AS112" s="143"/>
      <c r="AW112" s="1"/>
      <c r="AX112" s="1"/>
      <c r="AY112" s="238"/>
    </row>
    <row r="113" spans="1:51">
      <c r="A113" s="242" t="s">
        <v>318</v>
      </c>
      <c r="B113" s="243">
        <v>571795</v>
      </c>
      <c r="C113" s="243">
        <v>1007686.07</v>
      </c>
      <c r="D113" s="243">
        <v>-997.52</v>
      </c>
      <c r="E113" s="243"/>
      <c r="F113" s="243"/>
      <c r="G113" s="188">
        <f t="shared" si="36"/>
        <v>1578483.55</v>
      </c>
      <c r="H113" s="185">
        <f t="shared" si="37"/>
        <v>157.848355</v>
      </c>
      <c r="I113" s="56"/>
      <c r="J113" s="155" t="s">
        <v>307</v>
      </c>
      <c r="K113" s="155" t="s">
        <v>8</v>
      </c>
      <c r="L113" s="155"/>
      <c r="M113" s="155"/>
      <c r="N113" s="66"/>
      <c r="P113" s="66"/>
      <c r="Q113" s="66"/>
      <c r="R113" s="58"/>
      <c r="S113" s="58"/>
      <c r="W113" s="219"/>
      <c r="X113" s="155"/>
      <c r="Y113" s="56"/>
      <c r="Z113" s="155"/>
      <c r="AE113" s="54"/>
      <c r="AF113"/>
      <c r="AG113" s="53"/>
      <c r="AI113" s="1"/>
      <c r="AJ113" s="43"/>
      <c r="AK113" s="156"/>
      <c r="AL113" s="156"/>
      <c r="AP113" s="43"/>
      <c r="AQ113" s="51"/>
      <c r="AR113" s="143"/>
      <c r="AS113" s="143"/>
      <c r="AW113" s="1"/>
      <c r="AX113" s="1"/>
      <c r="AY113" s="238"/>
    </row>
    <row r="114" spans="1:51">
      <c r="A114" s="242" t="s">
        <v>319</v>
      </c>
      <c r="B114" s="243">
        <v>582451</v>
      </c>
      <c r="C114" s="243">
        <v>842879.24</v>
      </c>
      <c r="D114" s="243">
        <v>-423.53</v>
      </c>
      <c r="E114" s="243"/>
      <c r="F114" s="243"/>
      <c r="G114" s="188">
        <f t="shared" si="36"/>
        <v>1424906.71</v>
      </c>
      <c r="H114" s="185">
        <f t="shared" si="37"/>
        <v>142.490671</v>
      </c>
      <c r="I114" s="56"/>
      <c r="J114" s="155" t="s">
        <v>307</v>
      </c>
      <c r="K114" s="155" t="s">
        <v>312</v>
      </c>
      <c r="L114" s="155"/>
      <c r="M114" s="155"/>
      <c r="N114" s="66"/>
      <c r="P114" s="66"/>
      <c r="Q114" s="66"/>
      <c r="R114" s="58"/>
      <c r="S114" s="58"/>
      <c r="W114" s="219"/>
      <c r="X114" s="155"/>
      <c r="Y114" s="56"/>
      <c r="Z114" s="155"/>
      <c r="AE114" s="149"/>
      <c r="AF114" s="139"/>
      <c r="AG114" s="53"/>
      <c r="AI114" s="1"/>
      <c r="AJ114" s="43"/>
      <c r="AK114" s="156"/>
      <c r="AL114" s="156"/>
      <c r="AP114" s="43"/>
      <c r="AQ114" s="51"/>
      <c r="AR114" s="143"/>
      <c r="AS114" s="143"/>
      <c r="AW114" s="1"/>
      <c r="AX114" s="1"/>
      <c r="AY114" s="238"/>
    </row>
    <row r="115" spans="1:51">
      <c r="A115" s="242" t="s">
        <v>320</v>
      </c>
      <c r="B115" s="243">
        <v>320331</v>
      </c>
      <c r="C115" s="243">
        <v>738580.94</v>
      </c>
      <c r="D115" s="243">
        <v>56281.53</v>
      </c>
      <c r="E115" s="243"/>
      <c r="F115" s="243"/>
      <c r="G115" s="188">
        <f t="shared" si="36"/>
        <v>1115193.47</v>
      </c>
      <c r="H115" s="185">
        <f t="shared" si="37"/>
        <v>111.519347</v>
      </c>
      <c r="I115" s="56"/>
      <c r="J115" s="155" t="s">
        <v>307</v>
      </c>
      <c r="K115" s="155" t="s">
        <v>8</v>
      </c>
      <c r="L115" s="155"/>
      <c r="M115" s="155"/>
      <c r="N115" s="66"/>
      <c r="P115" s="66"/>
      <c r="Q115" s="66"/>
      <c r="R115" s="58"/>
      <c r="S115" s="58"/>
      <c r="W115" s="219"/>
      <c r="X115" s="155"/>
      <c r="Y115" s="56"/>
      <c r="Z115" s="155"/>
      <c r="AE115" s="149"/>
      <c r="AF115" s="139"/>
      <c r="AG115" s="53"/>
      <c r="AI115" s="1"/>
      <c r="AJ115" s="43"/>
      <c r="AK115" s="156"/>
      <c r="AL115" s="156"/>
      <c r="AP115" s="43"/>
      <c r="AQ115" s="51"/>
      <c r="AR115" s="143"/>
      <c r="AS115" s="143"/>
      <c r="AW115" s="1"/>
      <c r="AX115" s="1"/>
      <c r="AY115" s="238"/>
    </row>
    <row r="116" spans="1:51">
      <c r="A116" s="242" t="s">
        <v>321</v>
      </c>
      <c r="B116" s="243">
        <v>410261</v>
      </c>
      <c r="C116" s="243">
        <v>381336.4</v>
      </c>
      <c r="D116" s="243">
        <v>855945.78</v>
      </c>
      <c r="E116" s="243"/>
      <c r="F116" s="243"/>
      <c r="G116" s="188">
        <f t="shared" si="36"/>
        <v>1647543.18</v>
      </c>
      <c r="H116" s="185">
        <f t="shared" si="37"/>
        <v>164.754318</v>
      </c>
      <c r="I116" s="56"/>
      <c r="J116" s="155" t="s">
        <v>307</v>
      </c>
      <c r="K116" s="155" t="s">
        <v>312</v>
      </c>
      <c r="L116" s="155"/>
      <c r="M116" s="155"/>
      <c r="N116" s="66"/>
      <c r="P116" s="66"/>
      <c r="Q116" s="66"/>
      <c r="R116" s="58"/>
      <c r="S116" s="58"/>
      <c r="W116" s="219"/>
      <c r="X116" s="155"/>
      <c r="Y116" s="56"/>
      <c r="Z116" s="155"/>
      <c r="AE116" s="54"/>
      <c r="AF116"/>
      <c r="AG116" s="53"/>
      <c r="AI116" s="1"/>
      <c r="AJ116" s="43"/>
      <c r="AK116" s="156"/>
      <c r="AL116" s="156"/>
      <c r="AP116" s="43"/>
      <c r="AQ116" s="51"/>
      <c r="AR116" s="143"/>
      <c r="AS116" s="143"/>
      <c r="AW116" s="1"/>
      <c r="AX116" s="1"/>
      <c r="AY116" s="238"/>
    </row>
    <row r="117" spans="1:51">
      <c r="A117" s="242" t="s">
        <v>322</v>
      </c>
      <c r="B117" s="243">
        <v>113858</v>
      </c>
      <c r="C117" s="243">
        <v>520178.55</v>
      </c>
      <c r="D117" s="243">
        <v>2092030.43</v>
      </c>
      <c r="E117" s="243">
        <v>1442222.28</v>
      </c>
      <c r="F117" s="244"/>
      <c r="G117" s="188">
        <f t="shared" si="36"/>
        <v>4168289.26</v>
      </c>
      <c r="H117" s="185">
        <f t="shared" si="37"/>
        <v>416.828926</v>
      </c>
      <c r="I117" s="56"/>
      <c r="J117" s="155" t="s">
        <v>307</v>
      </c>
      <c r="K117" s="155" t="s">
        <v>8</v>
      </c>
      <c r="L117" s="155"/>
      <c r="M117" s="155"/>
      <c r="N117" s="66"/>
      <c r="P117" s="66"/>
      <c r="Q117" s="66"/>
      <c r="R117" s="58"/>
      <c r="S117" s="58"/>
      <c r="W117" s="219"/>
      <c r="X117" s="155"/>
      <c r="Y117" s="56"/>
      <c r="Z117" s="155"/>
      <c r="AE117" s="54"/>
      <c r="AF117"/>
      <c r="AG117" s="53"/>
      <c r="AI117" s="1"/>
      <c r="AJ117" s="43"/>
      <c r="AK117" s="156"/>
      <c r="AL117" s="156"/>
      <c r="AP117" s="43"/>
      <c r="AQ117" s="51"/>
      <c r="AR117" s="143"/>
      <c r="AS117" s="143"/>
      <c r="AW117" s="1"/>
      <c r="AX117" s="1"/>
      <c r="AY117" s="238"/>
    </row>
    <row r="118" spans="1:51">
      <c r="A118" s="242" t="s">
        <v>323</v>
      </c>
      <c r="B118" s="243">
        <v>-228416</v>
      </c>
      <c r="C118" s="243">
        <v>724064.68</v>
      </c>
      <c r="D118" s="243">
        <v>4019001.82</v>
      </c>
      <c r="E118" s="243">
        <v>130806.67</v>
      </c>
      <c r="F118" s="244">
        <v>817340.89</v>
      </c>
      <c r="G118" s="188">
        <f t="shared" si="36"/>
        <v>5462798.06</v>
      </c>
      <c r="H118" s="185">
        <f t="shared" si="37"/>
        <v>546.279806</v>
      </c>
      <c r="I118" s="56"/>
      <c r="J118" s="155" t="s">
        <v>58</v>
      </c>
      <c r="K118" s="155"/>
      <c r="L118" s="155"/>
      <c r="M118" s="155"/>
      <c r="N118" s="112"/>
      <c r="P118" s="66"/>
      <c r="Q118" s="66"/>
      <c r="R118" s="155"/>
      <c r="S118" s="58"/>
      <c r="W118" s="219"/>
      <c r="X118" s="155"/>
      <c r="Y118" s="56"/>
      <c r="Z118" s="155"/>
      <c r="AB118" s="155"/>
      <c r="AE118" s="54"/>
      <c r="AF118"/>
      <c r="AG118" s="53"/>
      <c r="AI118" s="1"/>
      <c r="AJ118" s="43"/>
      <c r="AK118" s="156"/>
      <c r="AL118" s="156"/>
      <c r="AP118" s="43"/>
      <c r="AQ118" s="51"/>
      <c r="AR118" s="143"/>
      <c r="AS118" s="143"/>
      <c r="AW118" s="1"/>
      <c r="AX118" s="1"/>
      <c r="AY118" s="238"/>
    </row>
    <row r="119" spans="1:51">
      <c r="A119" s="242" t="s">
        <v>324</v>
      </c>
      <c r="B119" s="243">
        <v>-1148485</v>
      </c>
      <c r="C119" s="243">
        <v>686152.2</v>
      </c>
      <c r="D119" s="243">
        <v>1265104.16</v>
      </c>
      <c r="E119" s="243">
        <v>-18974.38</v>
      </c>
      <c r="F119" s="244">
        <v>973432.55</v>
      </c>
      <c r="G119" s="188">
        <f t="shared" si="36"/>
        <v>1757229.53</v>
      </c>
      <c r="H119" s="185">
        <f t="shared" si="37"/>
        <v>175.722953</v>
      </c>
      <c r="I119" s="56"/>
      <c r="J119" s="155" t="s">
        <v>310</v>
      </c>
      <c r="K119" s="155"/>
      <c r="L119" s="155"/>
      <c r="M119" s="155"/>
      <c r="N119" s="137"/>
      <c r="O119" s="197"/>
      <c r="P119" s="66"/>
      <c r="Q119" s="66"/>
      <c r="R119" s="155"/>
      <c r="S119" s="155"/>
      <c r="T119" s="155"/>
      <c r="W119" s="219"/>
      <c r="X119" s="155"/>
      <c r="Y119" s="56"/>
      <c r="Z119" s="155"/>
      <c r="AB119" s="155"/>
      <c r="AE119" s="54"/>
      <c r="AF119"/>
      <c r="AG119" s="53"/>
      <c r="AI119" s="1"/>
      <c r="AJ119" s="43"/>
      <c r="AK119" s="156"/>
      <c r="AL119" s="156"/>
      <c r="AP119" s="43"/>
      <c r="AQ119" s="51"/>
      <c r="AR119" s="143"/>
      <c r="AS119" s="143"/>
      <c r="AW119" s="1"/>
      <c r="AX119" s="1"/>
      <c r="AY119" s="238"/>
    </row>
    <row r="120" spans="1:51">
      <c r="A120" s="242" t="s">
        <v>325</v>
      </c>
      <c r="B120" s="243"/>
      <c r="C120" s="243">
        <v>378150.14</v>
      </c>
      <c r="D120" s="243">
        <v>924000</v>
      </c>
      <c r="E120" s="243">
        <v>316000</v>
      </c>
      <c r="F120" s="244">
        <v>1059000</v>
      </c>
      <c r="G120" s="188">
        <f t="shared" si="36"/>
        <v>2677150.14</v>
      </c>
      <c r="H120" s="185">
        <f t="shared" si="37"/>
        <v>267.715014</v>
      </c>
      <c r="I120" s="56"/>
      <c r="J120" s="155" t="s">
        <v>313</v>
      </c>
      <c r="K120" s="155"/>
      <c r="L120" s="155"/>
      <c r="M120" s="155"/>
      <c r="N120" s="137"/>
      <c r="O120" s="197"/>
      <c r="P120" s="66"/>
      <c r="Q120" s="66"/>
      <c r="R120" s="155"/>
      <c r="S120" s="155"/>
      <c r="T120" s="155"/>
      <c r="U120" s="56"/>
      <c r="W120" s="219"/>
      <c r="X120" s="155"/>
      <c r="Y120" s="56"/>
      <c r="Z120" s="155"/>
      <c r="AB120" s="155"/>
      <c r="AE120" s="54"/>
      <c r="AF120"/>
      <c r="AG120" s="53"/>
      <c r="AI120" s="1"/>
      <c r="AJ120" s="43"/>
      <c r="AK120" s="156"/>
      <c r="AL120" s="156"/>
      <c r="AP120" s="43"/>
      <c r="AQ120" s="51"/>
      <c r="AR120" s="143"/>
      <c r="AS120" s="143"/>
      <c r="AW120" s="1"/>
      <c r="AX120" s="1"/>
      <c r="AY120" s="238"/>
    </row>
    <row r="121" spans="1:51">
      <c r="A121" s="242" t="s">
        <v>326</v>
      </c>
      <c r="B121" s="188">
        <v>678588</v>
      </c>
      <c r="C121" s="188">
        <v>465335.1</v>
      </c>
      <c r="D121" s="188">
        <v>3328004.89</v>
      </c>
      <c r="E121" s="188">
        <v>823445.43</v>
      </c>
      <c r="F121" s="244">
        <v>1403226.56</v>
      </c>
      <c r="G121" s="188">
        <f t="shared" si="36"/>
        <v>6698599.98</v>
      </c>
      <c r="H121" s="185">
        <f t="shared" si="37"/>
        <v>669.859998</v>
      </c>
      <c r="I121" s="56"/>
      <c r="J121" s="155"/>
      <c r="K121" s="155"/>
      <c r="L121" s="155"/>
      <c r="M121" s="155"/>
      <c r="N121" s="137"/>
      <c r="O121" s="197"/>
      <c r="P121" s="66"/>
      <c r="Q121" s="66"/>
      <c r="R121" s="245"/>
      <c r="S121" s="155"/>
      <c r="T121" s="155"/>
      <c r="U121" s="56"/>
      <c r="W121" s="219"/>
      <c r="X121" s="155"/>
      <c r="Y121" s="56"/>
      <c r="Z121" s="155"/>
      <c r="AA121" s="155"/>
      <c r="AB121" s="155"/>
      <c r="AD121" s="241"/>
      <c r="AL121" s="156"/>
      <c r="AP121" s="43"/>
      <c r="AQ121" s="51"/>
      <c r="AR121" s="143"/>
      <c r="AS121" s="143"/>
      <c r="AW121" s="1"/>
      <c r="AX121" s="1"/>
    </row>
    <row r="122" spans="1:51">
      <c r="A122" s="242" t="s">
        <v>326</v>
      </c>
      <c r="B122" s="188"/>
      <c r="C122" s="188">
        <v>-432754.11</v>
      </c>
      <c r="D122" s="188"/>
      <c r="E122" s="188"/>
      <c r="F122" s="244"/>
      <c r="G122" s="188">
        <f t="shared" si="36"/>
        <v>-432754.11</v>
      </c>
      <c r="H122" s="185">
        <f t="shared" si="37"/>
        <v>-43.275411</v>
      </c>
      <c r="I122" s="56"/>
      <c r="J122" s="155"/>
      <c r="K122" s="155"/>
      <c r="L122" s="155"/>
      <c r="M122" s="155"/>
      <c r="N122" s="137"/>
      <c r="O122" s="197"/>
      <c r="P122" s="66"/>
      <c r="Q122" s="66"/>
      <c r="R122" s="245"/>
      <c r="S122" s="155"/>
      <c r="T122" s="155"/>
      <c r="U122" s="56"/>
      <c r="W122" s="219"/>
      <c r="X122" s="155"/>
      <c r="Y122" s="56"/>
      <c r="Z122" s="155"/>
      <c r="AA122" s="155"/>
      <c r="AB122" s="155"/>
      <c r="AD122" s="241"/>
      <c r="AL122" s="156"/>
      <c r="AP122" s="43"/>
      <c r="AQ122" s="51"/>
      <c r="AR122" s="143"/>
      <c r="AS122" s="143"/>
      <c r="AW122" s="1"/>
      <c r="AX122" s="1"/>
    </row>
    <row r="123" spans="1:51">
      <c r="A123" s="124" t="s">
        <v>327</v>
      </c>
      <c r="B123" s="57">
        <f>SUM(B90:B97)</f>
        <v>10052956</v>
      </c>
      <c r="C123" s="57">
        <f>SUM(C90:C97)</f>
        <v>0</v>
      </c>
      <c r="D123" s="57">
        <f>SUM(D90:D97)</f>
        <v>0</v>
      </c>
      <c r="E123" s="57">
        <f>SUM(E90:E97)</f>
        <v>0</v>
      </c>
      <c r="G123" s="57">
        <f>SUM(G90:G97)</f>
        <v>10052956</v>
      </c>
      <c r="H123" s="94">
        <f>SUM(H90:H97)</f>
        <v>1005.2956</v>
      </c>
      <c r="I123" s="56"/>
      <c r="J123" s="155"/>
      <c r="K123" s="155" t="s">
        <v>125</v>
      </c>
      <c r="L123" s="155" t="s">
        <v>96</v>
      </c>
      <c r="M123" s="155"/>
      <c r="N123" s="137"/>
      <c r="O123" s="197"/>
      <c r="P123" s="66"/>
      <c r="Q123" s="66"/>
      <c r="R123" s="155"/>
      <c r="S123" s="155"/>
      <c r="T123" s="155"/>
      <c r="U123" s="56"/>
      <c r="W123" s="219"/>
      <c r="X123" s="155"/>
      <c r="Y123" s="56"/>
      <c r="Z123" s="155"/>
      <c r="AA123" s="155"/>
      <c r="AB123" s="155"/>
      <c r="AD123" s="241"/>
      <c r="AL123" s="156"/>
      <c r="AP123" s="43"/>
      <c r="AQ123" s="51"/>
      <c r="AR123" s="143"/>
      <c r="AS123" s="143"/>
      <c r="AW123" s="1"/>
      <c r="AX123" s="1"/>
    </row>
    <row r="124" spans="1:51">
      <c r="A124" s="124" t="s">
        <v>328</v>
      </c>
      <c r="B124" s="57">
        <f>SUM(B98:B109)</f>
        <v>13343221.46</v>
      </c>
      <c r="C124" s="57">
        <f>SUM(C98:C109)</f>
        <v>1798349.87</v>
      </c>
      <c r="D124" s="57">
        <f>SUM(D98:D109)</f>
        <v>1071398.01</v>
      </c>
      <c r="E124" s="57">
        <f>SUM(E98:E109)</f>
        <v>0</v>
      </c>
      <c r="G124" s="57">
        <f>SUM(G98:G109)</f>
        <v>16212969.34</v>
      </c>
      <c r="H124" s="94">
        <f>SUM(H98:H109)</f>
        <v>1621.296934</v>
      </c>
      <c r="I124" s="56" t="s">
        <v>329</v>
      </c>
      <c r="J124" s="155" t="s">
        <v>21</v>
      </c>
      <c r="K124" s="155" t="s">
        <v>8</v>
      </c>
      <c r="L124" s="155"/>
      <c r="M124" s="155"/>
      <c r="N124" s="137"/>
      <c r="O124" s="33"/>
      <c r="P124" s="66"/>
      <c r="Q124" s="66"/>
      <c r="R124" s="155"/>
      <c r="S124" s="155"/>
      <c r="T124" s="155"/>
      <c r="U124" s="56"/>
      <c r="W124" s="219"/>
      <c r="X124" s="155"/>
      <c r="Y124" s="56"/>
      <c r="Z124" s="155"/>
      <c r="AA124" s="155"/>
      <c r="AB124" s="155"/>
      <c r="AD124" s="241"/>
      <c r="AL124" s="156"/>
      <c r="AP124" s="43"/>
      <c r="AQ124" s="51"/>
      <c r="AR124" s="143"/>
      <c r="AS124" s="143"/>
      <c r="AW124" s="1"/>
      <c r="AX124" s="1"/>
    </row>
    <row r="125" spans="1:51">
      <c r="A125" s="124" t="s">
        <v>330</v>
      </c>
      <c r="B125" s="57">
        <f t="shared" ref="B125:H125" si="38">SUM(B110:B122)</f>
        <v>1460664</v>
      </c>
      <c r="C125" s="57">
        <f t="shared" si="38"/>
        <v>7677903.61</v>
      </c>
      <c r="D125" s="57">
        <f t="shared" si="38"/>
        <v>12730735.85</v>
      </c>
      <c r="E125" s="57">
        <f t="shared" si="38"/>
        <v>2693500</v>
      </c>
      <c r="F125" s="57">
        <f t="shared" si="38"/>
        <v>4253000</v>
      </c>
      <c r="G125" s="57">
        <f t="shared" si="38"/>
        <v>28815803.46</v>
      </c>
      <c r="H125" s="94">
        <f t="shared" si="38"/>
        <v>2881.580346</v>
      </c>
      <c r="I125" s="56"/>
      <c r="J125" s="155" t="s">
        <v>21</v>
      </c>
      <c r="K125" s="155" t="s">
        <v>8</v>
      </c>
      <c r="L125" s="155"/>
      <c r="M125" s="155"/>
      <c r="N125" s="137"/>
      <c r="O125" s="33"/>
      <c r="P125" s="66"/>
      <c r="Q125" s="66"/>
      <c r="R125" s="155"/>
      <c r="S125" s="155"/>
      <c r="T125" s="155"/>
      <c r="U125" s="56"/>
      <c r="W125" s="219"/>
      <c r="X125" s="155"/>
      <c r="Y125" s="56"/>
      <c r="Z125" s="155"/>
      <c r="AA125" s="155"/>
      <c r="AB125" s="155"/>
      <c r="AD125" s="241"/>
      <c r="AL125" s="156"/>
      <c r="AP125" s="43"/>
      <c r="AQ125" s="51"/>
      <c r="AR125" s="143"/>
      <c r="AS125" s="143"/>
      <c r="AW125" s="1"/>
      <c r="AX125" s="1"/>
    </row>
    <row r="126" spans="1:51">
      <c r="A126" s="57"/>
      <c r="F126" s="94"/>
      <c r="G126" s="207">
        <f>G125-'[33]2512成本费用（EAS）'!$BU$27</f>
        <v>0</v>
      </c>
      <c r="I126" s="56"/>
      <c r="J126" s="155" t="s">
        <v>21</v>
      </c>
      <c r="K126" s="155" t="s">
        <v>8</v>
      </c>
      <c r="L126" s="155"/>
      <c r="M126" s="155"/>
      <c r="N126" s="2"/>
      <c r="O126" s="33"/>
      <c r="P126"/>
      <c r="Q126"/>
      <c r="R126" s="155"/>
      <c r="S126" s="155"/>
      <c r="T126" s="155"/>
      <c r="U126" s="56"/>
      <c r="W126" s="219"/>
      <c r="X126" s="155"/>
      <c r="Y126" s="56"/>
      <c r="Z126" s="155"/>
      <c r="AA126" s="155"/>
      <c r="AB126" s="155"/>
      <c r="AD126" s="241"/>
    </row>
    <row r="127" spans="1:51">
      <c r="A127" s="57"/>
      <c r="B127" s="223" t="s">
        <v>331</v>
      </c>
      <c r="C127" s="223"/>
      <c r="I127" s="56"/>
      <c r="J127" s="155" t="s">
        <v>332</v>
      </c>
      <c r="K127" s="155" t="s">
        <v>129</v>
      </c>
      <c r="L127" s="155"/>
      <c r="M127" s="155"/>
      <c r="N127" s="2"/>
      <c r="O127" s="1"/>
      <c r="P127"/>
      <c r="Q127" s="155"/>
      <c r="R127" s="155"/>
      <c r="S127" s="155"/>
      <c r="T127" s="155"/>
      <c r="U127" s="56"/>
      <c r="W127" s="219"/>
      <c r="X127" s="155"/>
      <c r="Y127" s="56"/>
      <c r="Z127" s="155"/>
      <c r="AA127" s="155"/>
      <c r="AB127" s="155"/>
      <c r="AD127" s="241"/>
    </row>
    <row r="128" spans="1:51">
      <c r="A128" s="57" t="s">
        <v>53</v>
      </c>
      <c r="B128" s="57" t="s">
        <v>333</v>
      </c>
      <c r="C128" s="57" t="s">
        <v>334</v>
      </c>
      <c r="D128" s="57" t="s">
        <v>335</v>
      </c>
      <c r="E128" s="222" t="s">
        <v>336</v>
      </c>
      <c r="F128" s="55" t="s">
        <v>245</v>
      </c>
      <c r="I128" s="56"/>
      <c r="J128" s="155"/>
      <c r="K128" s="155" t="s">
        <v>129</v>
      </c>
      <c r="L128" s="155"/>
      <c r="M128" s="155"/>
      <c r="N128" s="2"/>
      <c r="O128" s="1"/>
      <c r="P128" s="105"/>
      <c r="Q128" s="245"/>
      <c r="R128" s="245"/>
      <c r="S128" s="155"/>
      <c r="T128" s="155"/>
      <c r="U128" s="56"/>
      <c r="W128" s="219"/>
      <c r="X128" s="155"/>
      <c r="Y128" s="56"/>
      <c r="Z128" s="155"/>
      <c r="AA128" s="155"/>
      <c r="AB128" s="155"/>
      <c r="AD128" s="241"/>
    </row>
    <row r="129" spans="1:30">
      <c r="A129" s="246">
        <v>202311</v>
      </c>
      <c r="B129" s="200"/>
      <c r="C129" s="200">
        <v>240148.759999521</v>
      </c>
      <c r="D129" s="200"/>
      <c r="E129" s="200">
        <f t="shared" ref="E129:E154" si="39">B129+C129+D129</f>
        <v>240148.759999521</v>
      </c>
      <c r="F129" s="200">
        <f t="shared" ref="F129:F154" si="40">E129/10000</f>
        <v>24.0148759999521</v>
      </c>
      <c r="I129" s="56"/>
      <c r="J129" s="155"/>
      <c r="K129" s="155" t="s">
        <v>129</v>
      </c>
      <c r="L129" s="155"/>
      <c r="M129" s="155"/>
      <c r="N129"/>
      <c r="O129" s="22"/>
      <c r="P129" s="2"/>
      <c r="Q129" s="247"/>
      <c r="R129" s="247"/>
      <c r="S129" s="245"/>
      <c r="T129" s="155"/>
      <c r="U129" s="56"/>
      <c r="W129" s="219"/>
      <c r="X129" s="155"/>
      <c r="Y129" s="56"/>
      <c r="Z129" s="155"/>
      <c r="AA129" s="155"/>
      <c r="AB129" s="155"/>
      <c r="AD129" s="241"/>
    </row>
    <row r="130" spans="1:30">
      <c r="A130" s="246">
        <v>202312</v>
      </c>
      <c r="B130" s="200"/>
      <c r="C130" s="200">
        <v>403878.859999333</v>
      </c>
      <c r="D130" s="200"/>
      <c r="E130" s="200">
        <f t="shared" si="39"/>
        <v>403878.859999333</v>
      </c>
      <c r="F130" s="200">
        <f t="shared" si="40"/>
        <v>40.3878859999333</v>
      </c>
      <c r="I130" s="56"/>
      <c r="J130" s="155"/>
      <c r="K130" s="155" t="s">
        <v>129</v>
      </c>
      <c r="L130" s="155"/>
      <c r="M130" s="155"/>
      <c r="N130"/>
      <c r="O130" s="22"/>
      <c r="P130" s="2"/>
      <c r="Q130" s="2"/>
      <c r="R130" s="2"/>
      <c r="S130" s="247"/>
      <c r="T130" s="155"/>
      <c r="U130" s="56"/>
      <c r="W130" s="219"/>
      <c r="X130" s="155"/>
      <c r="Y130" s="56"/>
      <c r="Z130" s="155"/>
      <c r="AA130" s="155"/>
      <c r="AB130" s="155"/>
      <c r="AD130" s="241"/>
    </row>
    <row r="131" spans="1:30">
      <c r="A131" s="248">
        <v>202401</v>
      </c>
      <c r="B131" s="181">
        <v>483812.06</v>
      </c>
      <c r="C131" s="181">
        <v>345275.989999727</v>
      </c>
      <c r="D131" s="181"/>
      <c r="E131" s="181">
        <f t="shared" si="39"/>
        <v>829088.049999727</v>
      </c>
      <c r="F131" s="181">
        <f t="shared" si="40"/>
        <v>82.9088049999727</v>
      </c>
      <c r="I131" s="56"/>
      <c r="J131" s="155" t="s">
        <v>58</v>
      </c>
      <c r="K131" s="155"/>
      <c r="L131" s="155"/>
      <c r="M131" s="155"/>
      <c r="N131"/>
      <c r="O131" s="22"/>
      <c r="P131" s="2"/>
      <c r="Q131" s="2"/>
      <c r="R131" s="2"/>
      <c r="S131" s="247"/>
      <c r="T131" s="155"/>
      <c r="U131" s="56"/>
      <c r="W131" s="219"/>
      <c r="X131" s="155"/>
      <c r="Y131" s="56"/>
      <c r="Z131" s="155"/>
      <c r="AA131" s="155"/>
      <c r="AB131" s="155"/>
      <c r="AD131" s="241"/>
    </row>
    <row r="132" spans="1:30">
      <c r="A132" s="248">
        <v>202402</v>
      </c>
      <c r="B132" s="181">
        <v>505332.9</v>
      </c>
      <c r="C132" s="181">
        <v>536575.850000541</v>
      </c>
      <c r="D132" s="181"/>
      <c r="E132" s="181">
        <f t="shared" si="39"/>
        <v>1041908.75000054</v>
      </c>
      <c r="F132" s="181">
        <f t="shared" si="40"/>
        <v>104.190875000054</v>
      </c>
      <c r="I132" s="56"/>
      <c r="J132" s="155" t="s">
        <v>313</v>
      </c>
      <c r="K132" s="155"/>
      <c r="L132" s="155"/>
      <c r="M132" s="155"/>
      <c r="N132" s="56"/>
      <c r="O132" s="22"/>
      <c r="P132" s="2"/>
      <c r="Q132" s="2"/>
      <c r="R132" s="2"/>
      <c r="S132" s="247"/>
      <c r="T132" s="155"/>
      <c r="U132" s="56"/>
      <c r="W132" s="219"/>
      <c r="X132" s="155"/>
      <c r="Y132" s="56"/>
      <c r="Z132" s="155"/>
      <c r="AA132" s="155"/>
      <c r="AB132" s="155"/>
      <c r="AD132" s="241"/>
    </row>
    <row r="133" spans="1:30">
      <c r="A133" s="248">
        <v>202403</v>
      </c>
      <c r="B133" s="181">
        <v>456310.35</v>
      </c>
      <c r="C133" s="181">
        <v>306494.689999558</v>
      </c>
      <c r="D133" s="181"/>
      <c r="E133" s="181">
        <f t="shared" si="39"/>
        <v>762805.039999558</v>
      </c>
      <c r="F133" s="181">
        <f t="shared" si="40"/>
        <v>76.2805039999558</v>
      </c>
      <c r="I133" s="56"/>
      <c r="J133" s="155"/>
      <c r="K133" s="155"/>
      <c r="L133" s="155"/>
      <c r="M133" s="155"/>
      <c r="N133" s="56"/>
      <c r="O133" s="1"/>
      <c r="P133" s="2"/>
      <c r="Q133" s="2"/>
      <c r="R133" s="2"/>
      <c r="S133" s="247"/>
      <c r="T133" s="155"/>
      <c r="U133" s="56"/>
      <c r="W133" s="219"/>
      <c r="X133" s="155"/>
      <c r="Y133" s="56"/>
      <c r="Z133" s="155"/>
      <c r="AA133" s="155"/>
      <c r="AB133" s="155"/>
      <c r="AD133" s="241"/>
    </row>
    <row r="134" spans="1:30">
      <c r="A134" s="248">
        <v>202404</v>
      </c>
      <c r="B134" s="181">
        <v>406199.1</v>
      </c>
      <c r="C134" s="181">
        <v>256632.389999454</v>
      </c>
      <c r="D134" s="181"/>
      <c r="E134" s="181">
        <f t="shared" si="39"/>
        <v>662831.489999454</v>
      </c>
      <c r="F134" s="181">
        <f t="shared" si="40"/>
        <v>66.2831489999454</v>
      </c>
      <c r="I134" s="56"/>
      <c r="J134" s="155"/>
      <c r="K134" s="155"/>
      <c r="L134" s="155"/>
      <c r="M134" s="155"/>
      <c r="N134" s="56"/>
      <c r="O134" s="1"/>
      <c r="P134" s="2"/>
      <c r="Q134" s="2"/>
      <c r="R134" s="2"/>
      <c r="S134" s="247"/>
      <c r="T134" s="155"/>
      <c r="U134" s="56"/>
      <c r="W134" s="219"/>
      <c r="X134" s="155"/>
      <c r="Y134" s="56"/>
      <c r="Z134" s="155"/>
      <c r="AA134" s="155"/>
      <c r="AB134" s="155"/>
      <c r="AD134" s="241"/>
    </row>
    <row r="135" spans="1:30">
      <c r="A135" s="248">
        <v>202405</v>
      </c>
      <c r="B135" s="181">
        <v>287505.68</v>
      </c>
      <c r="C135" s="181">
        <v>144377.619999993</v>
      </c>
      <c r="D135" s="181"/>
      <c r="E135" s="181">
        <f t="shared" si="39"/>
        <v>431883.299999993</v>
      </c>
      <c r="F135" s="181">
        <f t="shared" si="40"/>
        <v>43.1883299999993</v>
      </c>
      <c r="I135" s="56"/>
      <c r="J135" s="155"/>
      <c r="K135" s="155" t="s">
        <v>125</v>
      </c>
      <c r="L135" s="155" t="s">
        <v>96</v>
      </c>
      <c r="M135" s="155"/>
      <c r="N135" s="56"/>
      <c r="O135" s="1"/>
      <c r="P135" s="2"/>
      <c r="Q135" s="2"/>
      <c r="R135" s="247"/>
      <c r="S135" s="247"/>
      <c r="T135" s="155"/>
      <c r="U135" s="56"/>
      <c r="W135" s="219"/>
      <c r="X135" s="155"/>
      <c r="Y135" s="56"/>
      <c r="Z135" s="155"/>
      <c r="AA135" s="155"/>
      <c r="AB135" s="155"/>
      <c r="AD135" s="241"/>
    </row>
    <row r="136" spans="1:30">
      <c r="A136" s="248">
        <v>202406</v>
      </c>
      <c r="B136" s="181">
        <v>4171129.49</v>
      </c>
      <c r="C136" s="181">
        <v>60793.1399999969</v>
      </c>
      <c r="D136" s="181"/>
      <c r="E136" s="181">
        <f t="shared" si="39"/>
        <v>4231922.63</v>
      </c>
      <c r="F136" s="181">
        <f t="shared" si="40"/>
        <v>423.192263</v>
      </c>
      <c r="I136" s="56" t="s">
        <v>337</v>
      </c>
      <c r="J136" s="155" t="s">
        <v>21</v>
      </c>
      <c r="K136" s="155" t="s">
        <v>8</v>
      </c>
      <c r="L136" s="155"/>
      <c r="M136" s="155"/>
      <c r="N136" s="197"/>
      <c r="O136" s="1"/>
      <c r="P136" s="2"/>
      <c r="Q136" s="2"/>
      <c r="R136" s="247"/>
      <c r="S136" s="247"/>
      <c r="T136" s="155"/>
      <c r="U136" s="56"/>
      <c r="W136" s="219"/>
      <c r="X136" s="155"/>
      <c r="Y136" s="56"/>
      <c r="Z136" s="155"/>
      <c r="AA136" s="155"/>
      <c r="AB136" s="155"/>
      <c r="AD136" s="241"/>
    </row>
    <row r="137" spans="1:30">
      <c r="A137" s="248">
        <v>202407</v>
      </c>
      <c r="B137" s="181">
        <v>251490.89</v>
      </c>
      <c r="C137" s="181">
        <v>61132.749999997</v>
      </c>
      <c r="D137" s="181"/>
      <c r="E137" s="181">
        <f t="shared" si="39"/>
        <v>312623.639999997</v>
      </c>
      <c r="F137" s="181">
        <f t="shared" si="40"/>
        <v>31.2623639999997</v>
      </c>
      <c r="I137" s="56"/>
      <c r="J137" s="155" t="s">
        <v>21</v>
      </c>
      <c r="K137" s="155" t="s">
        <v>8</v>
      </c>
      <c r="L137" s="155"/>
      <c r="M137" s="155"/>
      <c r="N137" s="56"/>
      <c r="O137" s="1"/>
      <c r="P137" s="105"/>
      <c r="Q137" s="105"/>
      <c r="R137" s="245"/>
      <c r="S137" s="247"/>
      <c r="T137" s="155"/>
      <c r="U137" s="56"/>
      <c r="W137" s="219"/>
      <c r="X137" s="155"/>
      <c r="Y137" s="56"/>
      <c r="Z137" s="155"/>
      <c r="AA137" s="155"/>
      <c r="AB137" s="155"/>
      <c r="AD137" s="241"/>
    </row>
    <row r="138" spans="1:30">
      <c r="A138" s="248">
        <v>202408</v>
      </c>
      <c r="B138" s="181">
        <v>220156.83</v>
      </c>
      <c r="C138" s="181">
        <v>40877.3500000021</v>
      </c>
      <c r="D138" s="181"/>
      <c r="E138" s="181">
        <f t="shared" si="39"/>
        <v>261034.180000002</v>
      </c>
      <c r="F138" s="181">
        <f t="shared" si="40"/>
        <v>26.1034180000002</v>
      </c>
      <c r="I138" s="56"/>
      <c r="J138" s="155" t="s">
        <v>21</v>
      </c>
      <c r="K138" s="155" t="s">
        <v>8</v>
      </c>
      <c r="L138" s="155"/>
      <c r="M138" s="155"/>
      <c r="N138" s="56"/>
      <c r="O138" s="1"/>
      <c r="P138" s="105"/>
      <c r="Q138" s="105"/>
      <c r="R138" s="245"/>
      <c r="S138" s="245"/>
      <c r="T138" s="155"/>
      <c r="U138" s="56"/>
      <c r="W138" s="219"/>
      <c r="X138" s="155"/>
      <c r="Y138" s="56"/>
      <c r="Z138" s="155"/>
      <c r="AA138" s="155"/>
      <c r="AB138" s="155"/>
      <c r="AD138" s="241"/>
    </row>
    <row r="139" spans="1:30">
      <c r="A139" s="248">
        <v>202409</v>
      </c>
      <c r="B139" s="181">
        <v>108217.2</v>
      </c>
      <c r="C139" s="181"/>
      <c r="D139" s="181"/>
      <c r="E139" s="181">
        <f t="shared" si="39"/>
        <v>108217.2</v>
      </c>
      <c r="F139" s="181">
        <f t="shared" si="40"/>
        <v>10.82172</v>
      </c>
      <c r="I139" s="56"/>
      <c r="J139" s="155" t="s">
        <v>332</v>
      </c>
      <c r="K139" s="155" t="s">
        <v>129</v>
      </c>
      <c r="L139" s="155"/>
      <c r="M139" s="155"/>
      <c r="N139" s="56"/>
      <c r="P139" s="105"/>
      <c r="Q139" s="105"/>
      <c r="R139" s="245"/>
      <c r="S139" s="245"/>
      <c r="T139" s="155"/>
      <c r="U139" s="56"/>
      <c r="W139" s="219"/>
      <c r="X139" s="155"/>
      <c r="Y139" s="56"/>
      <c r="Z139" s="155"/>
      <c r="AA139" s="155"/>
      <c r="AB139" s="155"/>
      <c r="AD139" s="241"/>
    </row>
    <row r="140" spans="1:30">
      <c r="A140" s="248">
        <v>202410</v>
      </c>
      <c r="B140" s="181">
        <v>99768.16</v>
      </c>
      <c r="C140" s="181"/>
      <c r="D140" s="181"/>
      <c r="E140" s="181">
        <f t="shared" si="39"/>
        <v>99768.16</v>
      </c>
      <c r="F140" s="181">
        <f t="shared" si="40"/>
        <v>9.976816</v>
      </c>
      <c r="I140" s="56"/>
      <c r="J140" s="155" t="s">
        <v>332</v>
      </c>
      <c r="K140" s="155" t="s">
        <v>129</v>
      </c>
      <c r="L140" s="155"/>
      <c r="M140" s="155"/>
      <c r="N140" s="56"/>
      <c r="P140"/>
      <c r="Q140"/>
      <c r="R140" s="155"/>
      <c r="S140" s="245"/>
      <c r="T140" s="155"/>
      <c r="U140" s="56"/>
      <c r="W140" s="219"/>
      <c r="X140" s="155"/>
      <c r="Y140" s="56"/>
      <c r="Z140" s="155"/>
      <c r="AA140" s="155"/>
      <c r="AB140" s="155"/>
      <c r="AD140" s="241"/>
    </row>
    <row r="141" spans="1:30">
      <c r="A141" s="248">
        <v>202411</v>
      </c>
      <c r="B141" s="181">
        <v>125128.23</v>
      </c>
      <c r="C141" s="181">
        <v>66701</v>
      </c>
      <c r="D141" s="181"/>
      <c r="E141" s="181">
        <f t="shared" si="39"/>
        <v>191829.23</v>
      </c>
      <c r="F141" s="181">
        <f t="shared" si="40"/>
        <v>19.182923</v>
      </c>
      <c r="I141" s="56"/>
      <c r="J141" s="155" t="s">
        <v>332</v>
      </c>
      <c r="K141" s="155" t="s">
        <v>129</v>
      </c>
      <c r="L141" s="155"/>
      <c r="M141" s="155"/>
      <c r="N141" s="56"/>
      <c r="P141"/>
      <c r="Q141"/>
      <c r="R141" s="155"/>
      <c r="S141" s="155"/>
      <c r="T141" s="155"/>
      <c r="U141" s="56"/>
      <c r="W141" s="219"/>
      <c r="X141" s="155"/>
      <c r="Y141" s="56"/>
      <c r="Z141" s="155"/>
      <c r="AA141" s="155"/>
      <c r="AB141" s="155"/>
      <c r="AD141" s="241"/>
    </row>
    <row r="142" spans="1:30">
      <c r="A142" s="248">
        <v>202412</v>
      </c>
      <c r="B142" s="181">
        <f>148351.61+39817</f>
        <v>188168.61</v>
      </c>
      <c r="C142" s="181"/>
      <c r="D142" s="181">
        <v>4288989.56</v>
      </c>
      <c r="E142" s="181">
        <f t="shared" si="39"/>
        <v>4477158.17</v>
      </c>
      <c r="F142" s="181">
        <f t="shared" si="40"/>
        <v>447.715817</v>
      </c>
      <c r="I142" s="56"/>
      <c r="J142" s="155" t="s">
        <v>58</v>
      </c>
      <c r="K142" s="155"/>
      <c r="L142" s="155"/>
      <c r="M142" s="155"/>
      <c r="P142"/>
      <c r="Q142"/>
      <c r="R142" s="155"/>
      <c r="S142" s="155"/>
      <c r="T142" s="155"/>
      <c r="U142" s="56"/>
      <c r="W142" s="219"/>
      <c r="X142" s="155"/>
      <c r="Y142" s="56"/>
      <c r="Z142" s="155"/>
      <c r="AA142" s="155"/>
      <c r="AB142" s="155"/>
      <c r="AD142" s="241"/>
    </row>
    <row r="143" spans="1:30">
      <c r="A143" s="242" t="s">
        <v>314</v>
      </c>
      <c r="B143" s="188">
        <v>87881.75</v>
      </c>
      <c r="C143" s="188"/>
      <c r="D143" s="188"/>
      <c r="E143" s="188">
        <f t="shared" si="39"/>
        <v>87881.75</v>
      </c>
      <c r="F143" s="188">
        <f t="shared" si="40"/>
        <v>8.788175</v>
      </c>
      <c r="I143" s="56"/>
      <c r="J143" s="155" t="s">
        <v>313</v>
      </c>
      <c r="K143" s="155"/>
      <c r="L143" s="155"/>
      <c r="M143" s="155"/>
      <c r="N143" s="56"/>
      <c r="P143" s="66"/>
      <c r="Q143" s="66"/>
      <c r="R143" s="245"/>
      <c r="S143" s="155"/>
      <c r="T143" s="155"/>
      <c r="U143" s="56"/>
      <c r="W143" s="219"/>
      <c r="X143" s="155"/>
      <c r="Y143" s="56"/>
      <c r="Z143" s="155"/>
      <c r="AA143" s="155"/>
      <c r="AB143" s="155"/>
      <c r="AD143" s="241"/>
    </row>
    <row r="144" spans="1:30">
      <c r="A144" s="242" t="s">
        <v>315</v>
      </c>
      <c r="B144" s="188">
        <v>58686.18</v>
      </c>
      <c r="C144" s="188"/>
      <c r="D144" s="188"/>
      <c r="E144" s="188">
        <f t="shared" si="39"/>
        <v>58686.18</v>
      </c>
      <c r="F144" s="188">
        <f t="shared" si="40"/>
        <v>5.868618</v>
      </c>
      <c r="I144" s="56"/>
      <c r="N144" s="249"/>
      <c r="P144" s="66"/>
      <c r="Q144" s="66"/>
      <c r="R144" s="66"/>
      <c r="S144" s="155"/>
      <c r="T144" s="155"/>
      <c r="U144" s="56"/>
      <c r="W144" s="219"/>
      <c r="X144" s="155"/>
      <c r="Y144" s="56"/>
      <c r="Z144" s="155"/>
      <c r="AA144" s="155"/>
      <c r="AB144" s="155"/>
      <c r="AD144" s="241"/>
    </row>
    <row r="145" spans="1:58">
      <c r="A145" s="242" t="s">
        <v>317</v>
      </c>
      <c r="B145" s="188">
        <v>16294.71</v>
      </c>
      <c r="C145" s="188"/>
      <c r="D145" s="188"/>
      <c r="E145" s="188">
        <f t="shared" si="39"/>
        <v>16294.71</v>
      </c>
      <c r="F145" s="188">
        <f t="shared" si="40"/>
        <v>1.629471</v>
      </c>
      <c r="I145" s="56"/>
      <c r="J145" s="155"/>
      <c r="K145" s="155"/>
      <c r="L145" s="155"/>
      <c r="M145" s="155"/>
      <c r="N145" s="249"/>
      <c r="P145" s="66"/>
      <c r="Q145" s="66"/>
      <c r="R145" s="66"/>
      <c r="S145" s="249"/>
      <c r="T145" s="249"/>
      <c r="U145" s="155"/>
      <c r="W145" s="241"/>
      <c r="X145" s="155"/>
      <c r="Y145" s="155"/>
      <c r="Z145" s="155"/>
      <c r="AA145" s="155"/>
      <c r="AC145" s="57"/>
      <c r="AD145" s="126"/>
      <c r="AE145"/>
      <c r="AF145" s="53"/>
      <c r="AG145" s="42"/>
      <c r="AH145" s="1"/>
      <c r="AI145" s="143"/>
      <c r="AJ145" s="156"/>
      <c r="AK145" s="156"/>
      <c r="AY145" s="157"/>
      <c r="AZ145" s="157"/>
      <c r="BC145" s="158"/>
      <c r="BD145"/>
      <c r="BE145"/>
      <c r="BF145"/>
    </row>
    <row r="146" spans="1:58">
      <c r="A146" s="242" t="s">
        <v>318</v>
      </c>
      <c r="B146" s="188">
        <v>19061.99</v>
      </c>
      <c r="C146" s="188"/>
      <c r="D146" s="188"/>
      <c r="E146" s="188">
        <f t="shared" si="39"/>
        <v>19061.99</v>
      </c>
      <c r="F146" s="188">
        <f t="shared" si="40"/>
        <v>1.906199</v>
      </c>
      <c r="I146" s="56"/>
      <c r="J146" s="155"/>
      <c r="K146" s="155" t="s">
        <v>125</v>
      </c>
      <c r="L146" s="155" t="s">
        <v>96</v>
      </c>
      <c r="M146" s="155"/>
      <c r="N146" s="56"/>
      <c r="P146" s="66"/>
      <c r="Q146" s="66"/>
      <c r="R146" s="66"/>
      <c r="S146" s="249"/>
      <c r="T146" s="249"/>
      <c r="U146" s="155"/>
      <c r="W146" s="241"/>
      <c r="X146" s="155"/>
      <c r="Y146" s="155"/>
      <c r="Z146" s="155"/>
      <c r="AA146" s="155"/>
      <c r="AC146" s="57"/>
      <c r="AD146" s="126"/>
      <c r="AE146"/>
      <c r="AF146" s="53"/>
      <c r="AG146" s="42"/>
      <c r="AH146" s="1"/>
      <c r="AI146" s="143"/>
      <c r="AJ146" s="156"/>
      <c r="AK146" s="156"/>
      <c r="AY146" s="157"/>
      <c r="AZ146" s="157"/>
      <c r="BC146" s="158"/>
      <c r="BD146"/>
      <c r="BE146"/>
      <c r="BF146"/>
    </row>
    <row r="147" spans="1:58">
      <c r="A147" s="242" t="s">
        <v>319</v>
      </c>
      <c r="B147" s="188">
        <v>20988.87</v>
      </c>
      <c r="C147" s="188"/>
      <c r="D147" s="188"/>
      <c r="E147" s="188">
        <f t="shared" si="39"/>
        <v>20988.87</v>
      </c>
      <c r="F147" s="188">
        <f t="shared" si="40"/>
        <v>2.098887</v>
      </c>
      <c r="I147" s="56" t="s">
        <v>338</v>
      </c>
      <c r="J147" s="155" t="s">
        <v>21</v>
      </c>
      <c r="K147" s="155" t="s">
        <v>8</v>
      </c>
      <c r="L147" s="155"/>
      <c r="M147" s="155"/>
      <c r="N147" s="56"/>
      <c r="P147" s="66"/>
      <c r="Q147" s="66"/>
      <c r="R147" s="66"/>
      <c r="S147" s="56"/>
      <c r="T147" s="56"/>
      <c r="U147" s="155"/>
      <c r="W147" s="241"/>
      <c r="X147" s="155"/>
      <c r="Y147" s="155"/>
      <c r="Z147" s="155"/>
      <c r="AA147" s="155"/>
      <c r="AC147" s="57"/>
      <c r="AD147" s="126"/>
      <c r="AE147"/>
      <c r="AF147" s="53"/>
      <c r="AG147" s="42"/>
      <c r="AH147" s="1"/>
      <c r="AI147" s="143"/>
      <c r="AJ147" s="156"/>
      <c r="AK147" s="156"/>
      <c r="AY147" s="157"/>
      <c r="AZ147" s="157"/>
      <c r="BC147" s="158"/>
      <c r="BD147"/>
      <c r="BE147"/>
      <c r="BF147"/>
    </row>
    <row r="148" spans="1:58">
      <c r="A148" s="242" t="s">
        <v>320</v>
      </c>
      <c r="B148" s="188">
        <v>26969.04</v>
      </c>
      <c r="C148" s="188"/>
      <c r="D148" s="188"/>
      <c r="E148" s="188">
        <f t="shared" si="39"/>
        <v>26969.04</v>
      </c>
      <c r="F148" s="188">
        <f t="shared" si="40"/>
        <v>2.696904</v>
      </c>
      <c r="I148" s="56" t="s">
        <v>339</v>
      </c>
      <c r="J148" s="155" t="s">
        <v>21</v>
      </c>
      <c r="K148" s="155" t="s">
        <v>8</v>
      </c>
      <c r="L148" s="155"/>
      <c r="M148" s="155"/>
      <c r="N148" s="56"/>
      <c r="P148" s="66"/>
      <c r="Q148" s="66"/>
      <c r="R148" s="66"/>
      <c r="S148" s="56"/>
      <c r="T148" s="56"/>
      <c r="U148" s="155"/>
      <c r="W148" s="241"/>
      <c r="X148" s="155"/>
      <c r="Y148" s="155"/>
      <c r="Z148" s="155"/>
      <c r="AA148" s="155"/>
      <c r="AC148" s="57"/>
      <c r="AD148" s="126"/>
      <c r="AE148"/>
      <c r="AF148" s="53"/>
      <c r="AG148" s="42"/>
      <c r="AH148" s="1"/>
      <c r="AI148" s="143"/>
      <c r="AJ148" s="156"/>
      <c r="AK148" s="156"/>
      <c r="AY148" s="157"/>
      <c r="AZ148" s="157"/>
      <c r="BC148" s="158"/>
      <c r="BD148"/>
      <c r="BE148"/>
      <c r="BF148"/>
    </row>
    <row r="149" spans="1:58">
      <c r="A149" s="242" t="s">
        <v>321</v>
      </c>
      <c r="B149" s="188">
        <v>45189.92</v>
      </c>
      <c r="C149" s="188"/>
      <c r="D149" s="188"/>
      <c r="E149" s="188">
        <f t="shared" si="39"/>
        <v>45189.92</v>
      </c>
      <c r="F149" s="188">
        <f t="shared" si="40"/>
        <v>4.518992</v>
      </c>
      <c r="I149" s="56"/>
      <c r="J149" s="155"/>
      <c r="K149" s="155"/>
      <c r="L149" s="155"/>
      <c r="M149" s="155"/>
      <c r="N149" s="56"/>
      <c r="P149" s="66"/>
      <c r="Q149" s="66"/>
      <c r="R149" s="245"/>
      <c r="S149" s="56"/>
      <c r="T149" s="56"/>
      <c r="U149" s="155"/>
      <c r="W149" s="241"/>
      <c r="X149" s="155"/>
      <c r="Y149" s="155"/>
      <c r="Z149" s="155"/>
      <c r="AA149" s="155"/>
      <c r="AC149" s="57"/>
      <c r="AD149" s="126"/>
      <c r="AE149"/>
      <c r="AF149" s="53"/>
      <c r="AG149" s="42"/>
      <c r="AH149" s="1"/>
      <c r="AI149" s="143"/>
      <c r="AJ149" s="156"/>
      <c r="AK149" s="156"/>
      <c r="AL149" s="156"/>
      <c r="AO149" s="43"/>
      <c r="AP149" s="51"/>
      <c r="AQ149" s="143"/>
      <c r="AR149" s="143"/>
      <c r="AS149" s="143"/>
      <c r="AV149" s="1"/>
      <c r="AW149" s="137"/>
      <c r="AX149" s="157"/>
      <c r="AY149" s="157"/>
      <c r="AZ149" s="157"/>
      <c r="BC149" s="158"/>
      <c r="BD149"/>
      <c r="BE149"/>
      <c r="BF149"/>
    </row>
    <row r="150" spans="1:58">
      <c r="A150" s="242" t="s">
        <v>322</v>
      </c>
      <c r="B150" s="188">
        <v>47132.76</v>
      </c>
      <c r="C150" s="188"/>
      <c r="D150" s="188"/>
      <c r="E150" s="188">
        <f t="shared" si="39"/>
        <v>47132.76</v>
      </c>
      <c r="F150" s="188">
        <f t="shared" si="40"/>
        <v>4.713276</v>
      </c>
      <c r="I150" s="56"/>
      <c r="J150" s="155"/>
      <c r="K150" s="155"/>
      <c r="L150" s="155"/>
      <c r="M150" s="155"/>
      <c r="N150" s="56"/>
      <c r="P150" s="66"/>
      <c r="Q150" s="66"/>
      <c r="R150" s="245"/>
      <c r="S150" s="155"/>
      <c r="T150" s="155"/>
      <c r="U150" s="56"/>
      <c r="W150" s="219"/>
      <c r="X150" s="155"/>
      <c r="Y150" s="56"/>
      <c r="Z150" s="155"/>
      <c r="AA150" s="155"/>
      <c r="AB150" s="155"/>
      <c r="AD150" s="241"/>
      <c r="AL150" s="156"/>
      <c r="AO150" s="43"/>
      <c r="AP150" s="51"/>
      <c r="AQ150" s="143"/>
      <c r="AR150" s="143"/>
      <c r="AS150" s="143"/>
      <c r="AV150" s="1"/>
      <c r="AW150" s="137"/>
      <c r="AX150" s="157"/>
    </row>
    <row r="151" spans="1:58">
      <c r="A151" s="242" t="s">
        <v>323</v>
      </c>
      <c r="B151" s="188">
        <v>54137.5</v>
      </c>
      <c r="C151" s="188"/>
      <c r="D151" s="188"/>
      <c r="E151" s="188">
        <f t="shared" si="39"/>
        <v>54137.5</v>
      </c>
      <c r="F151" s="188">
        <f t="shared" si="40"/>
        <v>5.41375</v>
      </c>
      <c r="I151" s="56"/>
      <c r="J151" s="155"/>
      <c r="K151" s="155"/>
      <c r="L151" s="155"/>
      <c r="M151" s="155"/>
      <c r="N151" s="56"/>
      <c r="O151" s="1"/>
      <c r="P151" s="66"/>
      <c r="Q151" s="66"/>
      <c r="R151" s="245"/>
      <c r="S151" s="155"/>
      <c r="T151" s="155"/>
      <c r="U151" s="56"/>
      <c r="W151" s="219"/>
      <c r="X151" s="155"/>
      <c r="Y151" s="56"/>
      <c r="Z151" s="155"/>
      <c r="AA151" s="155"/>
      <c r="AB151" s="155"/>
      <c r="AD151" s="241"/>
      <c r="AL151" s="156"/>
      <c r="AO151" s="43"/>
      <c r="AP151" s="51"/>
      <c r="AQ151" s="143"/>
      <c r="AR151" s="143"/>
      <c r="AS151" s="143"/>
      <c r="AV151" s="1"/>
      <c r="AW151" s="137"/>
      <c r="AX151" s="157"/>
    </row>
    <row r="152" spans="1:58">
      <c r="A152" s="242" t="s">
        <v>324</v>
      </c>
      <c r="B152" s="188">
        <v>53280.8</v>
      </c>
      <c r="C152" s="188"/>
      <c r="D152" s="188"/>
      <c r="E152" s="188">
        <f t="shared" si="39"/>
        <v>53280.8</v>
      </c>
      <c r="F152" s="188">
        <f t="shared" si="40"/>
        <v>5.32808</v>
      </c>
      <c r="I152" s="56"/>
      <c r="J152" s="155"/>
      <c r="K152" s="155"/>
      <c r="L152" s="155"/>
      <c r="M152" s="155"/>
      <c r="N152" s="197"/>
      <c r="O152" s="1"/>
      <c r="P152" s="66"/>
      <c r="Q152" s="66"/>
      <c r="R152" s="245"/>
      <c r="S152" s="155"/>
      <c r="T152" s="155"/>
      <c r="U152" s="56"/>
      <c r="W152" s="219"/>
      <c r="X152" s="155"/>
      <c r="Y152" s="56"/>
      <c r="Z152" s="155"/>
      <c r="AA152" s="155"/>
      <c r="AB152" s="155"/>
      <c r="AD152" s="241"/>
      <c r="AL152" s="156"/>
      <c r="AO152" s="43"/>
      <c r="AP152" s="51"/>
      <c r="AQ152" s="143"/>
      <c r="AR152" s="143"/>
      <c r="AS152" s="143"/>
      <c r="AV152" s="1"/>
      <c r="AW152" s="137"/>
      <c r="AX152" s="157"/>
    </row>
    <row r="153" spans="1:58">
      <c r="A153" s="242" t="s">
        <v>325</v>
      </c>
      <c r="B153" s="188">
        <v>27542.73</v>
      </c>
      <c r="C153" s="188"/>
      <c r="D153" s="188"/>
      <c r="E153" s="188">
        <f t="shared" si="39"/>
        <v>27542.73</v>
      </c>
      <c r="F153" s="188">
        <f t="shared" si="40"/>
        <v>2.754273</v>
      </c>
      <c r="I153" s="56"/>
      <c r="J153" s="155"/>
      <c r="K153" s="155"/>
      <c r="L153" s="155"/>
      <c r="M153" s="155"/>
      <c r="N153" s="197"/>
      <c r="O153" s="1"/>
      <c r="P153"/>
      <c r="Q153"/>
      <c r="R153" s="155"/>
      <c r="S153" s="155"/>
      <c r="T153" s="155"/>
      <c r="U153" s="249"/>
      <c r="W153" s="219"/>
      <c r="X153" s="155"/>
      <c r="Y153" s="56"/>
      <c r="Z153" s="155"/>
      <c r="AA153" s="155"/>
      <c r="AB153" s="155"/>
      <c r="AD153" s="241"/>
      <c r="AL153" s="156"/>
      <c r="AO153" s="43"/>
      <c r="AP153" s="51"/>
      <c r="AQ153" s="143"/>
      <c r="AR153" s="143"/>
      <c r="AS153" s="143"/>
      <c r="AV153" s="1"/>
      <c r="AW153" s="137"/>
      <c r="AX153" s="157"/>
    </row>
    <row r="154" spans="1:58">
      <c r="A154" s="242" t="s">
        <v>326</v>
      </c>
      <c r="B154" s="188">
        <v>26310.92</v>
      </c>
      <c r="C154" s="188"/>
      <c r="D154" s="188"/>
      <c r="E154" s="188">
        <f t="shared" si="39"/>
        <v>26310.92</v>
      </c>
      <c r="F154" s="188">
        <f t="shared" si="40"/>
        <v>2.631092</v>
      </c>
      <c r="I154" s="56"/>
      <c r="J154" s="155"/>
      <c r="K154" s="155"/>
      <c r="L154" s="155"/>
      <c r="M154" s="155"/>
      <c r="N154" s="197"/>
      <c r="O154" s="22"/>
      <c r="P154"/>
      <c r="Q154"/>
      <c r="R154" s="155"/>
      <c r="S154" s="155"/>
      <c r="T154" s="155"/>
      <c r="U154" s="56"/>
      <c r="W154" s="219"/>
      <c r="X154" s="155"/>
      <c r="Y154" s="56"/>
      <c r="Z154" s="155"/>
      <c r="AA154" s="155"/>
      <c r="AB154" s="155"/>
      <c r="AD154" s="241"/>
    </row>
    <row r="155" spans="1:58">
      <c r="A155" s="54" t="s">
        <v>340</v>
      </c>
      <c r="B155" s="57">
        <f>SUM(B131:B142)</f>
        <v>7303219.5</v>
      </c>
      <c r="C155" s="57">
        <f>SUM(C131:C142)</f>
        <v>1818860.77999927</v>
      </c>
      <c r="D155" s="57">
        <f>SUM(D131:D142)</f>
        <v>4288989.56</v>
      </c>
      <c r="E155" s="57">
        <f>SUM(E131:E142)</f>
        <v>13411069.8399993</v>
      </c>
      <c r="F155" s="57">
        <f>SUM(F131:F142)</f>
        <v>1341.10698399993</v>
      </c>
      <c r="I155" s="56"/>
      <c r="J155" s="155"/>
      <c r="K155" s="155"/>
      <c r="L155" s="155"/>
      <c r="M155" s="155"/>
      <c r="N155" s="56"/>
      <c r="O155" s="22"/>
      <c r="P155"/>
      <c r="Q155"/>
      <c r="R155" s="155"/>
      <c r="S155" s="155"/>
      <c r="T155" s="155"/>
      <c r="U155" s="56"/>
      <c r="W155" s="219"/>
      <c r="X155" s="155"/>
      <c r="Y155" s="56"/>
      <c r="Z155" s="155"/>
      <c r="AA155" s="155"/>
      <c r="AB155" s="155"/>
      <c r="AD155" s="241"/>
    </row>
    <row r="156" spans="1:58">
      <c r="A156" s="54" t="s">
        <v>341</v>
      </c>
      <c r="B156" s="57">
        <f>SUM(B143:B154)</f>
        <v>483477.17</v>
      </c>
      <c r="C156" s="57">
        <f>SUM(C143:C154)</f>
        <v>0</v>
      </c>
      <c r="D156" s="57">
        <f>SUM(D143:D154)</f>
        <v>0</v>
      </c>
      <c r="E156" s="57">
        <f>SUM(E143:E154)</f>
        <v>483477.17</v>
      </c>
      <c r="F156" s="57">
        <f>SUM(F143:F154)</f>
        <v>48.347717</v>
      </c>
      <c r="I156" s="56"/>
      <c r="J156" s="155"/>
      <c r="K156" s="155"/>
      <c r="L156" s="155"/>
      <c r="M156" s="155"/>
      <c r="N156" s="56"/>
      <c r="O156" s="22"/>
      <c r="P156" s="2"/>
      <c r="Q156" s="2"/>
      <c r="R156" s="247"/>
      <c r="S156" s="155"/>
      <c r="T156" s="155"/>
      <c r="U156" s="56"/>
      <c r="W156" s="219"/>
      <c r="X156" s="155"/>
      <c r="Y156" s="56"/>
      <c r="Z156" s="155"/>
      <c r="AA156" s="155"/>
      <c r="AB156" s="155"/>
      <c r="AD156" s="241"/>
    </row>
    <row r="157" spans="1:58">
      <c r="I157" s="56"/>
      <c r="J157" s="155"/>
      <c r="K157" s="155"/>
      <c r="L157" s="155"/>
      <c r="M157" s="155"/>
      <c r="N157" s="56"/>
      <c r="O157" s="22"/>
      <c r="P157" s="2"/>
      <c r="Q157" s="2"/>
      <c r="R157" s="247"/>
      <c r="S157" s="247"/>
      <c r="T157" s="155"/>
      <c r="U157" s="56"/>
      <c r="W157" s="219"/>
      <c r="X157" s="155"/>
      <c r="Y157" s="56"/>
      <c r="Z157" s="155"/>
      <c r="AA157" s="155"/>
      <c r="AB157" s="155"/>
      <c r="AD157" s="241"/>
    </row>
    <row r="158" spans="1:58">
      <c r="I158" s="56"/>
      <c r="J158" s="155"/>
      <c r="K158" s="155"/>
      <c r="L158" s="155"/>
      <c r="M158" s="155"/>
      <c r="N158" s="197"/>
      <c r="O158" s="22"/>
      <c r="P158" s="2"/>
      <c r="Q158" s="2"/>
      <c r="R158" s="2"/>
      <c r="S158" s="247"/>
      <c r="T158" s="155"/>
      <c r="U158" s="56"/>
      <c r="W158" s="219"/>
      <c r="X158" s="155"/>
      <c r="Y158" s="56"/>
      <c r="Z158" s="155"/>
      <c r="AA158" s="155"/>
      <c r="AB158" s="155"/>
      <c r="AD158" s="241"/>
    </row>
    <row r="159" spans="1:58">
      <c r="A159" s="54" t="s">
        <v>342</v>
      </c>
      <c r="E159" s="250"/>
      <c r="I159" s="56"/>
      <c r="J159" s="155"/>
      <c r="K159" s="155"/>
      <c r="L159" s="155"/>
      <c r="M159" s="155"/>
      <c r="N159" s="249"/>
      <c r="O159" s="22"/>
      <c r="P159" s="2"/>
      <c r="Q159" s="2"/>
      <c r="R159" s="2"/>
      <c r="S159" s="247"/>
      <c r="T159" s="155"/>
      <c r="U159" s="56"/>
      <c r="W159" s="219"/>
      <c r="X159" s="155"/>
      <c r="Y159" s="56"/>
      <c r="Z159" s="155"/>
      <c r="AA159" s="155"/>
      <c r="AB159" s="155"/>
      <c r="AD159" s="241"/>
    </row>
    <row r="160" spans="1:58">
      <c r="A160" s="251" t="s">
        <v>343</v>
      </c>
      <c r="B160" s="251" t="s">
        <v>344</v>
      </c>
      <c r="C160" s="252" t="s">
        <v>345</v>
      </c>
      <c r="D160" s="252" t="s">
        <v>346</v>
      </c>
      <c r="E160" s="252" t="s">
        <v>347</v>
      </c>
      <c r="F160" s="252" t="s">
        <v>245</v>
      </c>
      <c r="I160" s="56"/>
      <c r="J160" s="155"/>
      <c r="K160" s="155"/>
      <c r="L160" s="155"/>
      <c r="M160" s="155"/>
      <c r="N160" s="56"/>
      <c r="O160" s="22"/>
      <c r="P160" s="2"/>
      <c r="Q160" s="2"/>
      <c r="R160" s="2"/>
      <c r="S160" s="247"/>
      <c r="T160" s="155"/>
      <c r="U160" s="56"/>
      <c r="W160" s="219"/>
      <c r="X160" s="155"/>
      <c r="Y160" s="56"/>
      <c r="Z160" s="155"/>
      <c r="AA160" s="155"/>
      <c r="AB160" s="155"/>
      <c r="AD160" s="241"/>
    </row>
    <row r="161" spans="1:30">
      <c r="A161" s="253">
        <v>45230</v>
      </c>
      <c r="B161" s="254" t="s">
        <v>348</v>
      </c>
      <c r="C161" s="255">
        <v>39352.86</v>
      </c>
      <c r="D161" s="256"/>
      <c r="E161" s="257">
        <f t="shared" ref="E161:E182" si="41">SUM(C161:D161)</f>
        <v>39352.86</v>
      </c>
      <c r="F161" s="175">
        <f t="shared" ref="F161:F182" si="42">E161/10000</f>
        <v>3.935286</v>
      </c>
      <c r="I161" s="56"/>
      <c r="J161" s="155"/>
      <c r="K161" s="155"/>
      <c r="L161" s="155"/>
      <c r="M161" s="155"/>
      <c r="N161" s="197"/>
      <c r="O161" s="22"/>
      <c r="P161" s="2"/>
      <c r="Q161" s="2"/>
      <c r="R161" s="2"/>
      <c r="S161" s="247"/>
      <c r="T161" s="155"/>
      <c r="U161" s="56"/>
      <c r="W161" s="219"/>
      <c r="X161" s="155"/>
      <c r="Y161" s="56"/>
      <c r="Z161" s="155"/>
      <c r="AA161" s="155"/>
      <c r="AB161" s="155"/>
      <c r="AD161" s="241"/>
    </row>
    <row r="162" spans="1:30">
      <c r="A162" s="253">
        <v>45260</v>
      </c>
      <c r="B162" s="254" t="s">
        <v>348</v>
      </c>
      <c r="C162" s="255">
        <v>816293.38</v>
      </c>
      <c r="D162" s="256"/>
      <c r="E162" s="257">
        <f t="shared" si="41"/>
        <v>816293.38</v>
      </c>
      <c r="F162" s="175">
        <f t="shared" si="42"/>
        <v>81.629338</v>
      </c>
      <c r="I162" s="56"/>
      <c r="J162" s="155"/>
      <c r="K162" s="155"/>
      <c r="L162" s="155"/>
      <c r="M162" s="155"/>
      <c r="N162" s="197"/>
      <c r="O162" s="22"/>
      <c r="P162" s="2"/>
      <c r="Q162" s="2"/>
      <c r="R162" s="2"/>
      <c r="S162" s="247"/>
      <c r="T162" s="155"/>
      <c r="U162" s="56"/>
      <c r="W162" s="219"/>
      <c r="X162" s="155"/>
      <c r="Y162" s="56"/>
      <c r="Z162" s="155"/>
      <c r="AA162" s="155"/>
      <c r="AB162" s="155"/>
      <c r="AD162" s="241"/>
    </row>
    <row r="163" spans="1:30">
      <c r="A163" s="253">
        <v>45291</v>
      </c>
      <c r="B163" s="254" t="s">
        <v>348</v>
      </c>
      <c r="C163" s="255">
        <v>3671150.05</v>
      </c>
      <c r="D163" s="256"/>
      <c r="E163" s="257">
        <f t="shared" si="41"/>
        <v>3671150.05</v>
      </c>
      <c r="F163" s="175">
        <f t="shared" si="42"/>
        <v>367.115005</v>
      </c>
      <c r="I163" s="56"/>
      <c r="J163" s="155"/>
      <c r="K163" s="155"/>
      <c r="L163" s="155"/>
      <c r="M163" s="155"/>
      <c r="N163" s="56"/>
      <c r="O163" s="1"/>
      <c r="P163" s="2"/>
      <c r="Q163" s="2"/>
      <c r="R163" s="247"/>
      <c r="S163" s="247"/>
      <c r="T163" s="155"/>
      <c r="U163" s="56"/>
      <c r="W163" s="219"/>
      <c r="X163" s="155"/>
      <c r="Y163" s="56"/>
      <c r="Z163" s="155"/>
      <c r="AA163" s="155"/>
      <c r="AB163" s="155"/>
      <c r="AD163" s="241"/>
    </row>
    <row r="164" spans="1:30">
      <c r="A164" s="258">
        <v>45351</v>
      </c>
      <c r="B164" s="259" t="s">
        <v>348</v>
      </c>
      <c r="C164" s="260">
        <v>37502.42</v>
      </c>
      <c r="D164" s="260">
        <v>0</v>
      </c>
      <c r="E164" s="261">
        <f t="shared" si="41"/>
        <v>37502.42</v>
      </c>
      <c r="F164" s="179">
        <f t="shared" si="42"/>
        <v>3.750242</v>
      </c>
      <c r="I164" s="56"/>
      <c r="J164" s="155"/>
      <c r="K164" s="155"/>
      <c r="L164" s="155"/>
      <c r="M164" s="155"/>
      <c r="N164" s="56"/>
      <c r="O164" s="1"/>
      <c r="P164" s="2"/>
      <c r="Q164" s="2"/>
      <c r="R164" s="247"/>
      <c r="S164" s="247"/>
      <c r="T164" s="155"/>
      <c r="U164" s="56"/>
      <c r="W164" s="219"/>
      <c r="X164" s="155"/>
      <c r="Y164" s="56"/>
      <c r="Z164" s="155"/>
      <c r="AA164" s="155"/>
      <c r="AB164" s="155"/>
      <c r="AD164" s="241"/>
    </row>
    <row r="165" spans="1:30">
      <c r="A165" s="258">
        <v>45382</v>
      </c>
      <c r="B165" s="259" t="s">
        <v>348</v>
      </c>
      <c r="C165" s="260">
        <v>1952035.22</v>
      </c>
      <c r="D165" s="260">
        <v>2527990.93</v>
      </c>
      <c r="E165" s="261">
        <f t="shared" si="41"/>
        <v>4480026.15</v>
      </c>
      <c r="F165" s="179">
        <f t="shared" si="42"/>
        <v>448.002615</v>
      </c>
      <c r="I165" s="56"/>
      <c r="J165" s="155"/>
      <c r="K165" s="155"/>
      <c r="L165" s="155"/>
      <c r="M165" s="155"/>
      <c r="N165" s="56"/>
      <c r="O165" s="1"/>
      <c r="P165"/>
      <c r="Q165"/>
      <c r="R165"/>
      <c r="S165" s="247"/>
      <c r="T165" s="155"/>
      <c r="U165" s="56"/>
      <c r="W165" s="219"/>
      <c r="X165" s="155"/>
      <c r="Y165" s="56"/>
      <c r="Z165" s="155"/>
      <c r="AA165" s="155"/>
      <c r="AB165" s="155"/>
      <c r="AD165" s="241"/>
    </row>
    <row r="166" spans="1:30">
      <c r="A166" s="258">
        <v>45412</v>
      </c>
      <c r="B166" s="259" t="s">
        <v>348</v>
      </c>
      <c r="C166" s="260">
        <v>301279.46</v>
      </c>
      <c r="D166" s="260">
        <v>903869.9</v>
      </c>
      <c r="E166" s="261">
        <f t="shared" si="41"/>
        <v>1205149.36</v>
      </c>
      <c r="F166" s="179">
        <f t="shared" si="42"/>
        <v>120.514936</v>
      </c>
      <c r="I166" s="56"/>
      <c r="J166" s="155"/>
      <c r="K166" s="56"/>
      <c r="L166" s="155"/>
      <c r="M166" s="155"/>
      <c r="N166" s="56"/>
      <c r="O166" s="1"/>
      <c r="P166"/>
      <c r="Q166"/>
      <c r="R166"/>
      <c r="S166" s="247"/>
      <c r="T166" s="155"/>
      <c r="U166" s="56"/>
      <c r="W166" s="219"/>
      <c r="X166" s="155"/>
      <c r="Y166" s="56"/>
      <c r="Z166" s="155"/>
      <c r="AA166" s="155"/>
      <c r="AB166" s="155"/>
      <c r="AD166" s="241"/>
    </row>
    <row r="167" spans="1:30">
      <c r="A167" s="258">
        <v>45443</v>
      </c>
      <c r="B167" s="259" t="s">
        <v>348</v>
      </c>
      <c r="C167" s="260">
        <v>445947.05</v>
      </c>
      <c r="D167" s="260">
        <v>860833.17</v>
      </c>
      <c r="E167" s="261">
        <f t="shared" si="41"/>
        <v>1306780.22</v>
      </c>
      <c r="F167" s="179">
        <f t="shared" si="42"/>
        <v>130.678022</v>
      </c>
      <c r="I167" s="56"/>
      <c r="J167" s="155"/>
      <c r="K167" s="155"/>
      <c r="L167" s="155"/>
      <c r="M167" s="155"/>
      <c r="N167" s="249"/>
      <c r="O167" s="1"/>
      <c r="P167"/>
      <c r="Q167"/>
      <c r="R167"/>
      <c r="S167" s="245"/>
      <c r="T167" s="155"/>
      <c r="U167" s="56"/>
      <c r="W167" s="219"/>
      <c r="X167" s="155"/>
      <c r="Y167" s="56"/>
      <c r="Z167" s="155"/>
      <c r="AA167" s="155"/>
      <c r="AB167" s="155"/>
      <c r="AD167" s="241"/>
    </row>
    <row r="168" spans="1:30">
      <c r="A168" s="258">
        <v>45473</v>
      </c>
      <c r="B168" s="259" t="s">
        <v>348</v>
      </c>
      <c r="C168" s="260">
        <v>475177.75</v>
      </c>
      <c r="D168" s="260">
        <v>1342349.22</v>
      </c>
      <c r="E168" s="261">
        <f t="shared" si="41"/>
        <v>1817526.97</v>
      </c>
      <c r="F168" s="179">
        <f t="shared" si="42"/>
        <v>181.752697</v>
      </c>
      <c r="I168" s="56"/>
      <c r="J168" s="155"/>
      <c r="K168" s="155"/>
      <c r="L168" s="155"/>
      <c r="M168" s="155"/>
      <c r="N168" s="249"/>
      <c r="O168" s="1"/>
      <c r="P168"/>
      <c r="Q168"/>
      <c r="R168"/>
      <c r="S168" s="245"/>
      <c r="T168" s="155"/>
      <c r="U168" s="249"/>
      <c r="W168" s="219"/>
      <c r="X168" s="155"/>
      <c r="Y168" s="56"/>
      <c r="Z168" s="155"/>
      <c r="AA168" s="155"/>
      <c r="AB168" s="155"/>
      <c r="AD168" s="241"/>
    </row>
    <row r="169" spans="1:30">
      <c r="A169" s="258">
        <v>45504</v>
      </c>
      <c r="B169" s="259" t="s">
        <v>348</v>
      </c>
      <c r="C169" s="260">
        <v>2181765.17</v>
      </c>
      <c r="D169" s="260">
        <v>1270485.38</v>
      </c>
      <c r="E169" s="261">
        <f t="shared" si="41"/>
        <v>3452250.55</v>
      </c>
      <c r="F169" s="179">
        <f t="shared" si="42"/>
        <v>345.225055</v>
      </c>
      <c r="I169" s="56"/>
      <c r="J169" s="155"/>
      <c r="K169" s="239"/>
      <c r="L169" s="155"/>
      <c r="M169" s="155"/>
      <c r="N169" s="249"/>
      <c r="O169" s="1"/>
      <c r="P169"/>
      <c r="Q169"/>
      <c r="R169"/>
      <c r="S169" s="245"/>
      <c r="T169" s="155"/>
      <c r="U169" s="249"/>
      <c r="W169" s="219"/>
      <c r="X169" s="155"/>
      <c r="Y169" s="56"/>
      <c r="Z169" s="155"/>
      <c r="AA169" s="155"/>
      <c r="AB169" s="155"/>
      <c r="AD169" s="241"/>
    </row>
    <row r="170" spans="1:30">
      <c r="A170" s="258">
        <v>45565</v>
      </c>
      <c r="B170" s="259" t="s">
        <v>348</v>
      </c>
      <c r="C170" s="260">
        <v>-119123.77</v>
      </c>
      <c r="D170" s="260">
        <v>5617</v>
      </c>
      <c r="E170" s="261">
        <f t="shared" si="41"/>
        <v>-113506.77</v>
      </c>
      <c r="F170" s="179">
        <f t="shared" si="42"/>
        <v>-11.350677</v>
      </c>
      <c r="I170" s="56"/>
      <c r="J170" s="155"/>
      <c r="K170" s="155"/>
      <c r="L170" s="155"/>
      <c r="M170" s="155"/>
      <c r="N170" s="249"/>
      <c r="O170" s="1"/>
      <c r="P170"/>
      <c r="Q170"/>
      <c r="R170" s="245"/>
      <c r="S170" s="245"/>
      <c r="T170" s="155"/>
      <c r="U170" s="249"/>
      <c r="W170" s="219"/>
      <c r="X170" s="155"/>
      <c r="Y170" s="56"/>
      <c r="Z170" s="155"/>
      <c r="AA170" s="155"/>
      <c r="AB170" s="155"/>
      <c r="AD170" s="241"/>
    </row>
    <row r="171" spans="1:30">
      <c r="A171" s="608" t="s">
        <v>349</v>
      </c>
      <c r="B171" s="263" t="s">
        <v>348</v>
      </c>
      <c r="C171" s="264">
        <v>50027.08</v>
      </c>
      <c r="D171" s="264"/>
      <c r="E171" s="265">
        <f t="shared" si="41"/>
        <v>50027.08</v>
      </c>
      <c r="F171" s="185">
        <f t="shared" si="42"/>
        <v>5.002708</v>
      </c>
      <c r="I171" s="56"/>
      <c r="J171" s="155"/>
      <c r="K171" s="155"/>
      <c r="L171" s="155"/>
      <c r="M171" s="266"/>
      <c r="N171" s="249"/>
      <c r="O171" s="1"/>
      <c r="P171"/>
      <c r="Q171"/>
      <c r="R171" s="155"/>
      <c r="S171" s="245"/>
      <c r="T171" s="155"/>
      <c r="U171" s="249"/>
      <c r="W171" s="219"/>
      <c r="X171" s="155"/>
      <c r="Y171" s="56"/>
      <c r="Z171" s="155"/>
      <c r="AA171" s="155"/>
      <c r="AB171" s="155"/>
      <c r="AD171" s="241"/>
    </row>
    <row r="172" spans="1:30">
      <c r="A172" s="608" t="s">
        <v>350</v>
      </c>
      <c r="B172" s="263" t="s">
        <v>348</v>
      </c>
      <c r="C172" s="264"/>
      <c r="D172" s="264"/>
      <c r="E172" s="265">
        <f t="shared" si="41"/>
        <v>0</v>
      </c>
      <c r="F172" s="185">
        <f t="shared" si="42"/>
        <v>0</v>
      </c>
      <c r="I172" s="56"/>
      <c r="J172" s="155"/>
      <c r="K172" s="155"/>
      <c r="L172" s="155"/>
      <c r="M172" s="266"/>
      <c r="N172" s="249"/>
      <c r="O172" s="143"/>
      <c r="P172"/>
      <c r="Q172"/>
      <c r="R172" s="155"/>
      <c r="S172" s="155"/>
      <c r="T172" s="155"/>
      <c r="U172" s="249"/>
      <c r="W172" s="219"/>
      <c r="X172" s="155"/>
      <c r="Y172" s="56"/>
      <c r="Z172" s="155"/>
      <c r="AA172" s="155"/>
      <c r="AB172" s="155"/>
      <c r="AD172" s="241"/>
    </row>
    <row r="173" spans="1:30">
      <c r="A173" s="608" t="s">
        <v>351</v>
      </c>
      <c r="B173" s="263" t="s">
        <v>348</v>
      </c>
      <c r="C173" s="264"/>
      <c r="D173" s="265">
        <v>148857.74</v>
      </c>
      <c r="E173" s="265">
        <f t="shared" si="41"/>
        <v>148857.74</v>
      </c>
      <c r="F173" s="185">
        <f t="shared" si="42"/>
        <v>14.885774</v>
      </c>
      <c r="I173" s="56"/>
      <c r="J173" s="155"/>
      <c r="K173" s="241"/>
      <c r="L173" s="155"/>
      <c r="M173" s="266"/>
      <c r="N173" s="249"/>
      <c r="O173" s="143"/>
      <c r="P173"/>
      <c r="Q173"/>
      <c r="R173" s="155"/>
      <c r="S173" s="155"/>
      <c r="T173" s="155"/>
      <c r="U173" s="249"/>
      <c r="W173" s="219"/>
      <c r="X173" s="155"/>
      <c r="Y173" s="56"/>
      <c r="Z173" s="155"/>
      <c r="AA173" s="155"/>
      <c r="AB173" s="155"/>
      <c r="AD173" s="241"/>
    </row>
    <row r="174" spans="1:30">
      <c r="A174" s="608" t="s">
        <v>352</v>
      </c>
      <c r="B174" s="263" t="s">
        <v>348</v>
      </c>
      <c r="C174" s="264"/>
      <c r="D174" s="265">
        <v>277169.33</v>
      </c>
      <c r="E174" s="265">
        <f t="shared" si="41"/>
        <v>277169.33</v>
      </c>
      <c r="F174" s="185">
        <f t="shared" si="42"/>
        <v>27.716933</v>
      </c>
      <c r="I174" s="56"/>
      <c r="J174" s="155"/>
      <c r="K174" s="155"/>
      <c r="L174" s="155"/>
      <c r="M174" s="155"/>
      <c r="N174" s="249"/>
      <c r="O174" s="143"/>
      <c r="P174" s="112"/>
      <c r="Q174" s="112"/>
      <c r="R174" s="239"/>
      <c r="S174" s="155"/>
      <c r="T174" s="155"/>
      <c r="U174" s="249"/>
      <c r="W174" s="219"/>
      <c r="X174" s="155"/>
      <c r="Y174" s="56"/>
      <c r="Z174" s="155"/>
      <c r="AA174" s="155"/>
      <c r="AB174" s="155"/>
      <c r="AD174" s="241"/>
    </row>
    <row r="175" spans="1:30">
      <c r="A175" s="608" t="s">
        <v>353</v>
      </c>
      <c r="B175" s="263" t="s">
        <v>348</v>
      </c>
      <c r="C175" s="264"/>
      <c r="D175" s="265">
        <v>300135.91</v>
      </c>
      <c r="E175" s="265">
        <f t="shared" si="41"/>
        <v>300135.91</v>
      </c>
      <c r="F175" s="185">
        <f t="shared" si="42"/>
        <v>30.013591</v>
      </c>
      <c r="I175" s="56"/>
      <c r="J175" s="155"/>
      <c r="K175" s="155"/>
      <c r="L175" s="155"/>
      <c r="M175" s="155"/>
      <c r="N175" s="249"/>
      <c r="O175" s="143"/>
      <c r="P175" s="112"/>
      <c r="Q175" s="112"/>
      <c r="R175" s="112"/>
      <c r="S175" s="239"/>
      <c r="T175" s="155"/>
      <c r="U175" s="249"/>
      <c r="W175" s="219"/>
      <c r="X175" s="155"/>
      <c r="Y175" s="56"/>
      <c r="Z175" s="155"/>
      <c r="AA175" s="155"/>
      <c r="AB175" s="155"/>
      <c r="AD175" s="241"/>
    </row>
    <row r="176" spans="1:30">
      <c r="A176" s="608" t="s">
        <v>354</v>
      </c>
      <c r="B176" s="263" t="s">
        <v>348</v>
      </c>
      <c r="C176" s="264"/>
      <c r="D176" s="265">
        <v>786494.76</v>
      </c>
      <c r="E176" s="265">
        <f t="shared" si="41"/>
        <v>786494.76</v>
      </c>
      <c r="F176" s="185">
        <f t="shared" si="42"/>
        <v>78.649476</v>
      </c>
      <c r="I176" s="56"/>
      <c r="J176" s="56"/>
      <c r="K176" s="197"/>
      <c r="L176" s="197"/>
      <c r="M176" s="197"/>
      <c r="N176" s="56"/>
      <c r="O176" s="143"/>
      <c r="P176" s="112"/>
      <c r="Q176" s="112"/>
      <c r="R176" s="112"/>
      <c r="S176" s="239"/>
      <c r="T176" s="155"/>
      <c r="U176" s="249"/>
      <c r="V176" s="249"/>
      <c r="W176" s="219"/>
      <c r="X176" s="155"/>
      <c r="Y176" s="56"/>
      <c r="Z176" s="155"/>
      <c r="AA176" s="155"/>
      <c r="AB176" s="155"/>
      <c r="AD176" s="241"/>
    </row>
    <row r="177" spans="1:30">
      <c r="A177" s="608" t="s">
        <v>355</v>
      </c>
      <c r="B177" s="263" t="s">
        <v>348</v>
      </c>
      <c r="C177" s="264"/>
      <c r="D177" s="265">
        <v>415600</v>
      </c>
      <c r="E177" s="265">
        <f t="shared" si="41"/>
        <v>415600</v>
      </c>
      <c r="F177" s="185">
        <f t="shared" si="42"/>
        <v>41.56</v>
      </c>
      <c r="I177" s="56"/>
      <c r="J177" s="56"/>
      <c r="K177" s="197"/>
      <c r="L177" s="197"/>
      <c r="M177" s="197"/>
      <c r="N177" s="56"/>
      <c r="O177" s="143"/>
      <c r="P177" s="267"/>
      <c r="Q177" s="112"/>
      <c r="R177" s="112"/>
      <c r="S177" s="239"/>
      <c r="T177" s="155"/>
      <c r="U177" s="249"/>
      <c r="V177" s="249"/>
      <c r="W177" s="219"/>
      <c r="X177" s="155"/>
      <c r="Y177" s="56"/>
      <c r="Z177" s="155"/>
      <c r="AA177" s="155"/>
      <c r="AB177" s="155"/>
      <c r="AD177" s="241"/>
    </row>
    <row r="178" spans="1:30">
      <c r="A178" s="608" t="s">
        <v>356</v>
      </c>
      <c r="B178" s="263" t="s">
        <v>348</v>
      </c>
      <c r="C178" s="264"/>
      <c r="D178" s="265">
        <v>631887.93</v>
      </c>
      <c r="E178" s="265">
        <f t="shared" si="41"/>
        <v>631887.93</v>
      </c>
      <c r="F178" s="185">
        <f t="shared" si="42"/>
        <v>63.188793</v>
      </c>
      <c r="I178" s="56"/>
      <c r="J178" s="155"/>
      <c r="K178" s="155"/>
      <c r="L178" s="155"/>
      <c r="M178" s="155"/>
      <c r="N178" s="249"/>
      <c r="O178" s="143"/>
      <c r="P178" s="267"/>
      <c r="Q178" s="112"/>
      <c r="R178" s="112"/>
      <c r="S178" s="239"/>
      <c r="T178" s="155"/>
      <c r="U178" s="249"/>
      <c r="V178" s="249"/>
      <c r="W178" s="219"/>
      <c r="X178" s="155"/>
      <c r="Y178" s="56"/>
      <c r="Z178" s="155"/>
      <c r="AA178" s="155"/>
      <c r="AB178" s="155"/>
      <c r="AD178" s="241"/>
    </row>
    <row r="179" spans="1:30">
      <c r="A179" s="608" t="s">
        <v>357</v>
      </c>
      <c r="B179" s="263" t="s">
        <v>348</v>
      </c>
      <c r="C179" s="264"/>
      <c r="D179" s="265">
        <v>1146909.49</v>
      </c>
      <c r="E179" s="265">
        <f t="shared" si="41"/>
        <v>1146909.49</v>
      </c>
      <c r="F179" s="185">
        <f t="shared" si="42"/>
        <v>114.690949</v>
      </c>
      <c r="I179" s="56"/>
      <c r="J179" s="155"/>
      <c r="K179" s="155"/>
      <c r="L179" s="155"/>
      <c r="M179" s="266"/>
      <c r="N179" s="56"/>
      <c r="O179" s="143"/>
      <c r="P179" s="267"/>
      <c r="Q179" s="112"/>
      <c r="R179" s="112"/>
      <c r="S179" s="239"/>
      <c r="T179" s="155"/>
      <c r="U179" s="249"/>
      <c r="V179" s="249"/>
      <c r="W179" s="219"/>
      <c r="X179" s="155"/>
      <c r="Y179" s="56"/>
      <c r="Z179" s="155"/>
      <c r="AA179" s="155"/>
      <c r="AB179" s="155"/>
      <c r="AD179" s="241"/>
    </row>
    <row r="180" spans="1:30">
      <c r="A180" s="608" t="s">
        <v>358</v>
      </c>
      <c r="B180" s="263" t="s">
        <v>348</v>
      </c>
      <c r="C180" s="264"/>
      <c r="D180" s="265">
        <v>699991.77</v>
      </c>
      <c r="E180" s="265">
        <f t="shared" si="41"/>
        <v>699991.77</v>
      </c>
      <c r="F180" s="185">
        <f t="shared" si="42"/>
        <v>69.999177</v>
      </c>
      <c r="I180" s="56"/>
      <c r="J180" s="155"/>
      <c r="K180" s="155"/>
      <c r="L180" s="155"/>
      <c r="M180" s="266"/>
      <c r="N180" s="56"/>
      <c r="O180" s="143"/>
      <c r="P180" s="267"/>
      <c r="Q180" s="112"/>
      <c r="R180" s="239"/>
      <c r="S180" s="239"/>
      <c r="T180" s="155"/>
      <c r="U180" s="249"/>
      <c r="V180" s="249"/>
      <c r="W180" s="219"/>
      <c r="X180" s="155"/>
      <c r="Y180" s="56"/>
      <c r="Z180" s="155"/>
      <c r="AA180" s="155"/>
      <c r="AB180" s="155"/>
      <c r="AD180" s="241"/>
    </row>
    <row r="181" spans="1:30">
      <c r="A181" s="608" t="s">
        <v>359</v>
      </c>
      <c r="B181" s="263" t="s">
        <v>348</v>
      </c>
      <c r="C181" s="264"/>
      <c r="D181" s="265">
        <v>308807.03</v>
      </c>
      <c r="E181" s="265">
        <f t="shared" si="41"/>
        <v>308807.03</v>
      </c>
      <c r="F181" s="185">
        <f t="shared" si="42"/>
        <v>30.880703</v>
      </c>
      <c r="I181" s="56"/>
      <c r="J181" s="155"/>
      <c r="K181" s="155"/>
      <c r="L181" s="155"/>
      <c r="M181" s="266"/>
      <c r="N181" s="56"/>
      <c r="O181" s="143"/>
      <c r="P181" s="267"/>
      <c r="Q181" s="112"/>
      <c r="R181" s="239"/>
      <c r="S181" s="239"/>
      <c r="T181" s="155"/>
      <c r="U181" s="249"/>
      <c r="V181" s="249"/>
      <c r="W181" s="219"/>
      <c r="X181" s="155"/>
      <c r="Y181" s="56"/>
      <c r="Z181" s="155"/>
      <c r="AA181" s="155"/>
      <c r="AB181" s="155"/>
      <c r="AD181" s="241"/>
    </row>
    <row r="182" spans="1:30">
      <c r="A182" s="608" t="s">
        <v>360</v>
      </c>
      <c r="B182" s="263" t="s">
        <v>348</v>
      </c>
      <c r="C182" s="264"/>
      <c r="D182" s="265">
        <v>-142699.33</v>
      </c>
      <c r="E182" s="265">
        <f t="shared" si="41"/>
        <v>-142699.33</v>
      </c>
      <c r="F182" s="185">
        <f t="shared" si="42"/>
        <v>-14.269933</v>
      </c>
      <c r="I182" s="56"/>
      <c r="J182" s="155"/>
      <c r="K182" s="155"/>
      <c r="L182" s="155"/>
      <c r="M182" s="266"/>
      <c r="N182" s="268"/>
      <c r="O182" s="1"/>
      <c r="P182" s="267"/>
      <c r="Q182" s="112"/>
      <c r="R182" s="239"/>
      <c r="S182" s="239"/>
      <c r="T182" s="155"/>
      <c r="U182" s="249"/>
      <c r="V182" s="249"/>
      <c r="W182" s="219"/>
      <c r="X182" s="155"/>
      <c r="Y182" s="56"/>
      <c r="Z182" s="155"/>
      <c r="AA182" s="155"/>
      <c r="AB182" s="155"/>
      <c r="AD182" s="241"/>
    </row>
    <row r="183" spans="1:30">
      <c r="A183" s="54" t="s">
        <v>327</v>
      </c>
      <c r="C183" s="57">
        <f>SUM(C161:C163)</f>
        <v>4526796.29</v>
      </c>
      <c r="D183" s="57">
        <f>SUM(D161:D163)</f>
        <v>0</v>
      </c>
      <c r="E183" s="57">
        <f>SUM(E161:E163)</f>
        <v>4526796.29</v>
      </c>
      <c r="F183" s="94">
        <f>SUM(F161:F163)</f>
        <v>452.679629</v>
      </c>
      <c r="I183" s="56"/>
      <c r="J183" s="155"/>
      <c r="K183" s="241"/>
      <c r="L183" s="155"/>
      <c r="M183" s="266"/>
      <c r="N183" s="268"/>
      <c r="O183" s="1"/>
      <c r="P183" s="267"/>
      <c r="Q183" s="137"/>
      <c r="R183" s="43"/>
      <c r="S183" s="239"/>
      <c r="T183" s="155"/>
      <c r="U183" s="249"/>
      <c r="V183" s="249"/>
      <c r="W183" s="219"/>
      <c r="X183" s="155"/>
      <c r="Y183" s="56"/>
      <c r="Z183" s="155"/>
      <c r="AA183" s="155"/>
      <c r="AB183" s="155"/>
      <c r="AD183" s="241"/>
    </row>
    <row r="184" spans="1:30">
      <c r="A184" s="54" t="s">
        <v>328</v>
      </c>
      <c r="C184" s="57">
        <f>SUM(C164:C170)</f>
        <v>5274583.3</v>
      </c>
      <c r="D184" s="57">
        <f>SUM(D164:D170)</f>
        <v>6911145.6</v>
      </c>
      <c r="E184" s="57">
        <f>SUM(E164:E170)</f>
        <v>12185728.9</v>
      </c>
      <c r="F184" s="94">
        <f>SUM(F164:F170)</f>
        <v>1218.57289</v>
      </c>
      <c r="I184" s="56"/>
      <c r="J184" s="155"/>
      <c r="K184" s="241"/>
      <c r="L184" s="155"/>
      <c r="M184" s="266"/>
      <c r="N184" s="197"/>
      <c r="O184" s="1"/>
      <c r="P184" s="269"/>
      <c r="Q184"/>
      <c r="R184" s="155"/>
      <c r="S184" s="43"/>
      <c r="T184" s="155"/>
      <c r="U184" s="249"/>
      <c r="V184" s="249"/>
      <c r="W184" s="219"/>
      <c r="X184" s="155"/>
      <c r="Y184" s="56"/>
      <c r="Z184" s="155"/>
      <c r="AA184" s="155"/>
      <c r="AB184" s="155"/>
      <c r="AD184" s="241"/>
    </row>
    <row r="185" spans="1:30">
      <c r="A185" s="54" t="s">
        <v>330</v>
      </c>
      <c r="C185" s="57">
        <f>SUM(C171:C182)</f>
        <v>50027.08</v>
      </c>
      <c r="D185" s="57">
        <f>SUM(D171:D182)</f>
        <v>4573154.63</v>
      </c>
      <c r="E185" s="57">
        <f>SUM(E171:E182)</f>
        <v>4623181.71</v>
      </c>
      <c r="F185" s="94">
        <f>SUM(F171:F182)</f>
        <v>462.318171</v>
      </c>
      <c r="I185" s="56"/>
      <c r="J185" s="155"/>
      <c r="K185" s="241"/>
      <c r="L185" s="155"/>
      <c r="M185" s="266"/>
      <c r="N185" s="197"/>
      <c r="O185" s="1"/>
      <c r="P185" s="269"/>
      <c r="Q185"/>
      <c r="R185" s="155"/>
      <c r="S185" s="155"/>
      <c r="T185" s="155"/>
      <c r="U185" s="249"/>
      <c r="V185" s="249"/>
      <c r="W185" s="219"/>
      <c r="X185" s="155"/>
      <c r="Y185" s="56"/>
      <c r="Z185" s="155"/>
      <c r="AA185" s="155"/>
      <c r="AB185" s="155"/>
      <c r="AD185" s="241"/>
    </row>
    <row r="186" spans="1:30">
      <c r="F186" s="94"/>
      <c r="I186" s="56"/>
      <c r="J186" s="155"/>
      <c r="K186" s="155"/>
      <c r="L186" s="155"/>
      <c r="M186" s="155"/>
      <c r="N186" s="197"/>
      <c r="O186" s="1"/>
      <c r="P186" s="269"/>
      <c r="Q186"/>
      <c r="R186" s="155"/>
      <c r="S186" s="155"/>
      <c r="T186" s="155"/>
      <c r="U186" s="249"/>
      <c r="V186" s="249"/>
      <c r="W186" s="219"/>
      <c r="X186" s="155"/>
      <c r="Y186" s="56"/>
      <c r="Z186" s="155"/>
      <c r="AA186" s="155"/>
      <c r="AB186" s="155"/>
      <c r="AD186" s="241"/>
    </row>
    <row r="187" spans="1:30">
      <c r="F187" s="57"/>
      <c r="I187" s="56"/>
      <c r="J187" s="155"/>
      <c r="K187" s="155"/>
      <c r="L187" s="155"/>
      <c r="M187" s="155"/>
      <c r="N187" s="197"/>
      <c r="O187" s="22"/>
      <c r="P187" s="269"/>
      <c r="Q187"/>
      <c r="R187" s="155"/>
      <c r="S187" s="155"/>
      <c r="T187" s="155"/>
      <c r="U187" s="249"/>
      <c r="V187" s="249"/>
      <c r="W187" s="237"/>
      <c r="X187" s="155"/>
      <c r="Y187" s="56"/>
      <c r="Z187" s="155"/>
      <c r="AA187" s="155"/>
      <c r="AB187" s="155"/>
      <c r="AD187" s="241"/>
    </row>
    <row r="188" spans="1:30">
      <c r="I188" s="56"/>
      <c r="J188" s="155"/>
      <c r="K188" s="155"/>
      <c r="L188" s="155"/>
      <c r="M188" s="155"/>
      <c r="N188" s="197"/>
      <c r="O188" s="22"/>
      <c r="P188" s="269"/>
      <c r="Q188"/>
      <c r="R188" s="155"/>
      <c r="S188" s="155"/>
      <c r="T188" s="155"/>
      <c r="U188" s="249"/>
      <c r="V188" s="249"/>
      <c r="W188" s="237"/>
      <c r="X188" s="155"/>
      <c r="Y188" s="56"/>
      <c r="Z188" s="155"/>
      <c r="AA188" s="155"/>
      <c r="AB188" s="155"/>
      <c r="AD188" s="241"/>
    </row>
    <row r="189" spans="1:30">
      <c r="A189" s="54" t="s">
        <v>361</v>
      </c>
      <c r="B189" s="57" t="s">
        <v>362</v>
      </c>
      <c r="I189" s="56"/>
      <c r="J189" s="155"/>
      <c r="K189" s="155"/>
      <c r="L189" s="155"/>
      <c r="M189" s="155"/>
      <c r="N189" s="197"/>
      <c r="O189" s="22"/>
      <c r="P189" s="270"/>
      <c r="Q189" s="2"/>
      <c r="R189" s="247"/>
      <c r="S189" s="155"/>
      <c r="T189" s="155"/>
      <c r="U189" s="249"/>
      <c r="V189" s="249"/>
      <c r="W189" s="237"/>
      <c r="X189" s="155"/>
      <c r="Y189" s="56"/>
      <c r="Z189" s="155"/>
      <c r="AA189" s="155"/>
      <c r="AB189" s="155"/>
      <c r="AD189" s="241"/>
    </row>
    <row r="190" spans="1:30">
      <c r="A190" s="271">
        <v>45688</v>
      </c>
      <c r="B190" s="57">
        <v>182241.39</v>
      </c>
      <c r="F190" s="57"/>
      <c r="I190" s="56"/>
      <c r="J190" s="155"/>
      <c r="K190" s="155"/>
      <c r="L190" s="155"/>
      <c r="M190" s="155"/>
      <c r="N190" s="197"/>
      <c r="O190" s="22"/>
      <c r="P190" s="270"/>
      <c r="Q190" s="2"/>
      <c r="R190" s="2"/>
      <c r="S190" s="247"/>
      <c r="T190" s="155"/>
      <c r="U190" s="249"/>
      <c r="V190" s="249"/>
      <c r="W190" s="237"/>
      <c r="X190" s="155"/>
      <c r="Y190" s="56"/>
      <c r="Z190" s="155"/>
      <c r="AA190" s="155"/>
      <c r="AB190" s="155"/>
      <c r="AD190" s="241"/>
    </row>
    <row r="191" spans="1:30">
      <c r="A191" s="272">
        <v>45716</v>
      </c>
      <c r="B191" s="57">
        <v>394814.55</v>
      </c>
      <c r="F191" s="57"/>
      <c r="I191" s="56"/>
      <c r="J191" s="155"/>
      <c r="K191" s="241"/>
      <c r="L191" s="155"/>
      <c r="M191" s="266"/>
      <c r="N191" s="197"/>
      <c r="O191" s="22"/>
      <c r="P191" s="2"/>
      <c r="Q191" s="2"/>
      <c r="R191" s="2"/>
      <c r="S191" s="247"/>
      <c r="T191" s="155"/>
      <c r="U191" s="249"/>
      <c r="V191" s="249"/>
      <c r="W191" s="237"/>
      <c r="X191" s="155"/>
      <c r="Y191" s="56"/>
      <c r="Z191" s="155"/>
      <c r="AA191" s="155"/>
      <c r="AB191" s="155"/>
      <c r="AD191" s="241"/>
    </row>
    <row r="192" spans="1:30">
      <c r="A192" s="272">
        <v>45747</v>
      </c>
      <c r="B192" s="57">
        <v>425994.61</v>
      </c>
      <c r="F192" s="57"/>
      <c r="I192" s="56"/>
      <c r="J192" s="155"/>
      <c r="K192" s="155"/>
      <c r="L192" s="155"/>
      <c r="M192" s="266"/>
      <c r="N192" s="197"/>
      <c r="O192" s="22"/>
      <c r="P192" s="2"/>
      <c r="Q192" s="2"/>
      <c r="R192" s="2"/>
      <c r="S192" s="247"/>
      <c r="T192" s="155"/>
      <c r="U192" s="249"/>
      <c r="W192" s="237"/>
      <c r="X192" s="155"/>
      <c r="Y192" s="56"/>
      <c r="Z192" s="155"/>
      <c r="AA192" s="155"/>
      <c r="AB192" s="155"/>
      <c r="AD192" s="241"/>
    </row>
    <row r="193" spans="1:58">
      <c r="A193" s="272">
        <v>45777</v>
      </c>
      <c r="B193" s="57">
        <v>902752.18</v>
      </c>
      <c r="F193" s="57"/>
      <c r="I193" s="56"/>
      <c r="J193" s="155"/>
      <c r="K193" s="241"/>
      <c r="L193" s="155"/>
      <c r="M193" s="266"/>
      <c r="N193" s="197"/>
      <c r="O193" s="22"/>
      <c r="P193" s="2"/>
      <c r="Q193" s="2"/>
      <c r="R193" s="2"/>
      <c r="S193" s="247"/>
      <c r="T193" s="155"/>
      <c r="U193" s="249"/>
      <c r="W193" s="237"/>
      <c r="X193" s="155"/>
      <c r="Y193" s="56"/>
      <c r="Z193" s="155"/>
      <c r="AA193" s="155"/>
      <c r="AB193" s="155"/>
      <c r="AD193" s="241"/>
    </row>
    <row r="194" spans="1:58">
      <c r="A194" s="272">
        <v>45808</v>
      </c>
      <c r="B194" s="57">
        <v>1042614.61</v>
      </c>
      <c r="F194" s="273"/>
      <c r="I194" s="56"/>
      <c r="J194" s="155"/>
      <c r="K194" s="241"/>
      <c r="L194" s="155"/>
      <c r="M194" s="266"/>
      <c r="N194" s="197"/>
      <c r="O194" s="22"/>
      <c r="P194" s="2"/>
      <c r="Q194" s="2"/>
      <c r="R194" s="2"/>
      <c r="S194" s="247"/>
      <c r="T194" s="155"/>
      <c r="U194" s="249"/>
      <c r="V194" s="249"/>
      <c r="W194" s="237"/>
      <c r="X194" s="155"/>
      <c r="Y194" s="56"/>
      <c r="Z194" s="155"/>
      <c r="AA194" s="155"/>
      <c r="AB194" s="155"/>
      <c r="AD194" s="241"/>
    </row>
    <row r="195" spans="1:58">
      <c r="A195" s="272">
        <v>45838</v>
      </c>
      <c r="B195" s="57">
        <v>1058035.87</v>
      </c>
      <c r="F195" s="273"/>
      <c r="I195" s="56"/>
      <c r="J195" s="155"/>
      <c r="K195" s="241"/>
      <c r="L195" s="155"/>
      <c r="M195" s="266"/>
      <c r="N195" s="197"/>
      <c r="O195" s="22"/>
      <c r="P195" s="2"/>
      <c r="Q195" s="2"/>
      <c r="R195" s="247"/>
      <c r="S195" s="247"/>
      <c r="T195" s="155"/>
      <c r="U195" s="249"/>
      <c r="V195" s="249"/>
      <c r="W195" s="219"/>
      <c r="X195" s="155"/>
      <c r="Y195" s="56"/>
      <c r="Z195" s="155"/>
      <c r="AA195" s="155"/>
      <c r="AB195" s="155"/>
      <c r="AD195" s="241"/>
    </row>
    <row r="196" spans="1:58">
      <c r="A196" s="272">
        <v>45869</v>
      </c>
      <c r="B196" s="57">
        <v>1558835.58</v>
      </c>
      <c r="F196" s="273"/>
      <c r="I196" s="56"/>
      <c r="J196" s="155"/>
      <c r="K196" s="241"/>
      <c r="L196" s="155"/>
      <c r="M196" s="266"/>
      <c r="N196" s="197"/>
      <c r="O196" s="22"/>
      <c r="P196" s="2"/>
      <c r="Q196" s="2"/>
      <c r="R196" s="247"/>
      <c r="S196" s="247"/>
      <c r="T196" s="155"/>
      <c r="U196" s="249"/>
      <c r="W196" s="219"/>
      <c r="X196" s="155"/>
      <c r="Y196" s="56"/>
      <c r="Z196" s="155"/>
      <c r="AA196" s="155"/>
      <c r="AB196" s="155"/>
      <c r="AD196" s="241"/>
    </row>
    <row r="197" spans="1:58">
      <c r="A197" s="272">
        <v>45900</v>
      </c>
      <c r="B197" s="57">
        <v>1744661.36</v>
      </c>
      <c r="F197" s="273"/>
      <c r="I197" s="56"/>
      <c r="J197" s="155"/>
      <c r="K197" s="241"/>
      <c r="L197" s="155"/>
      <c r="M197" s="266"/>
      <c r="N197" s="197"/>
      <c r="O197" s="22"/>
      <c r="P197" s="2"/>
      <c r="Q197" s="2"/>
      <c r="R197" s="247"/>
      <c r="S197" s="247"/>
      <c r="T197" s="155"/>
      <c r="U197" s="56"/>
      <c r="W197" s="219"/>
      <c r="X197" s="155"/>
      <c r="Y197" s="56"/>
      <c r="Z197" s="155"/>
      <c r="AA197" s="155"/>
      <c r="AB197" s="155"/>
      <c r="AD197" s="241"/>
    </row>
    <row r="198" spans="1:58">
      <c r="A198" s="272">
        <v>45930</v>
      </c>
      <c r="B198" s="57">
        <v>1199958.67</v>
      </c>
      <c r="F198" s="273"/>
      <c r="I198" s="56"/>
      <c r="J198" s="155"/>
      <c r="K198" s="155"/>
      <c r="L198" s="155"/>
      <c r="M198" s="155"/>
      <c r="N198" s="197"/>
      <c r="O198" s="1"/>
      <c r="P198" s="2"/>
      <c r="Q198" s="2"/>
      <c r="R198" s="247"/>
      <c r="S198" s="247"/>
      <c r="T198" s="155"/>
      <c r="U198" s="56"/>
      <c r="W198" s="219"/>
      <c r="X198" s="155"/>
      <c r="Y198" s="56"/>
      <c r="Z198" s="155"/>
      <c r="AA198" s="155"/>
      <c r="AB198" s="155"/>
      <c r="AD198" s="241"/>
    </row>
    <row r="199" spans="1:58">
      <c r="A199" s="272">
        <v>45961</v>
      </c>
      <c r="B199" s="57">
        <v>1586841.79</v>
      </c>
      <c r="D199" s="274"/>
      <c r="F199" s="273"/>
      <c r="I199" s="56"/>
      <c r="J199" s="155"/>
      <c r="K199" s="155"/>
      <c r="L199" s="155"/>
      <c r="M199" s="155"/>
      <c r="N199" s="197"/>
      <c r="O199" s="1"/>
      <c r="P199" s="11"/>
      <c r="Q199" s="11"/>
      <c r="R199" s="35"/>
      <c r="S199" s="247"/>
      <c r="T199" s="155"/>
      <c r="U199" s="56"/>
      <c r="W199" s="219"/>
      <c r="X199" s="155"/>
      <c r="Y199" s="56"/>
      <c r="Z199" s="155"/>
      <c r="AA199" s="155"/>
      <c r="AB199" s="155"/>
      <c r="AD199" s="241"/>
    </row>
    <row r="200" spans="1:58">
      <c r="A200" s="272">
        <v>45991</v>
      </c>
      <c r="B200" s="57">
        <v>999874.53</v>
      </c>
      <c r="D200" s="275"/>
      <c r="F200" s="273"/>
      <c r="I200" s="56"/>
      <c r="J200" s="155"/>
      <c r="K200" s="155"/>
      <c r="L200" s="155"/>
      <c r="M200" s="155"/>
      <c r="N200" s="197"/>
      <c r="O200" s="1"/>
      <c r="P200"/>
      <c r="Q200"/>
      <c r="R200" s="155"/>
      <c r="S200" s="35"/>
      <c r="T200" s="155"/>
      <c r="U200" s="56"/>
      <c r="W200" s="219"/>
      <c r="X200" s="155"/>
      <c r="Y200" s="56"/>
      <c r="Z200" s="155"/>
      <c r="AA200" s="155"/>
      <c r="AB200" s="155"/>
      <c r="AD200" s="241"/>
    </row>
    <row r="201" spans="1:58">
      <c r="A201" s="272">
        <v>46022</v>
      </c>
      <c r="B201" s="57">
        <v>878094.55</v>
      </c>
      <c r="D201" s="155"/>
      <c r="F201" s="273"/>
      <c r="I201" s="56"/>
      <c r="J201" s="155"/>
      <c r="K201" s="155"/>
      <c r="L201" s="155"/>
      <c r="M201" s="155"/>
      <c r="N201" s="197"/>
      <c r="O201" s="1"/>
      <c r="P201"/>
      <c r="Q201"/>
      <c r="R201" s="155"/>
      <c r="S201" s="155"/>
      <c r="T201" s="155"/>
      <c r="U201" s="56"/>
      <c r="W201" s="219"/>
      <c r="X201" s="155"/>
      <c r="Y201" s="56"/>
      <c r="Z201" s="155"/>
      <c r="AA201" s="155"/>
      <c r="AB201" s="155"/>
      <c r="AD201" s="241"/>
    </row>
    <row r="202" spans="1:58">
      <c r="A202" s="54" t="s">
        <v>330</v>
      </c>
      <c r="B202" s="57">
        <f>SUM(B190:B201)</f>
        <v>11974719.69</v>
      </c>
      <c r="D202" s="276"/>
      <c r="F202" s="273"/>
      <c r="I202" s="56"/>
      <c r="J202" s="155"/>
      <c r="K202" s="155"/>
      <c r="L202" s="155"/>
      <c r="M202" s="155"/>
      <c r="N202" s="197"/>
      <c r="O202" s="22"/>
      <c r="P202"/>
      <c r="Q202"/>
      <c r="R202" s="155"/>
      <c r="S202" s="155"/>
      <c r="T202" s="155"/>
      <c r="U202" s="56"/>
      <c r="W202" s="219"/>
      <c r="X202" s="155"/>
      <c r="Y202" s="56"/>
      <c r="Z202" s="155"/>
      <c r="AA202" s="155"/>
      <c r="AB202" s="155"/>
      <c r="AD202" s="241"/>
    </row>
    <row r="203" spans="1:58">
      <c r="A203" s="273"/>
      <c r="D203" s="155"/>
      <c r="F203" s="273"/>
      <c r="I203" s="197"/>
      <c r="J203" s="22"/>
      <c r="K203" s="1"/>
      <c r="L203" s="33"/>
      <c r="M203" s="247"/>
      <c r="N203" s="155"/>
      <c r="O203" s="155"/>
      <c r="P203" s="56"/>
      <c r="Q203"/>
      <c r="R203" s="155"/>
      <c r="S203" s="155"/>
      <c r="T203" s="155"/>
      <c r="U203" s="56"/>
      <c r="W203" s="219"/>
      <c r="X203" s="155"/>
      <c r="Y203" s="56"/>
      <c r="Z203" s="155"/>
      <c r="AA203" s="155"/>
      <c r="AB203" s="155"/>
      <c r="AD203" s="241"/>
    </row>
    <row r="204" spans="1:58">
      <c r="I204" s="56"/>
      <c r="J204" s="155"/>
      <c r="K204" s="219"/>
      <c r="L204" s="155"/>
      <c r="M204" s="266"/>
      <c r="O204" s="1"/>
      <c r="P204"/>
      <c r="T204" s="54"/>
      <c r="U204" s="56"/>
      <c r="V204" s="126"/>
      <c r="W204" s="57"/>
      <c r="X204" s="54"/>
      <c r="Y204" s="57"/>
      <c r="AB204" s="155"/>
      <c r="AC204" s="117"/>
      <c r="AD204" s="57"/>
      <c r="AF204" s="54"/>
      <c r="AG204"/>
      <c r="AH204" s="53"/>
      <c r="AI204" s="42"/>
      <c r="AJ204" s="1"/>
      <c r="AK204" s="143"/>
      <c r="AL204" s="156"/>
      <c r="AQ204" s="43"/>
      <c r="AR204" s="51"/>
      <c r="AS204" s="143"/>
      <c r="AX204" s="1"/>
      <c r="AY204" s="137"/>
      <c r="AZ204" s="157"/>
      <c r="BE204" s="158"/>
      <c r="BF204"/>
    </row>
    <row r="205" spans="1:58">
      <c r="I205" s="56"/>
      <c r="J205" s="155"/>
      <c r="K205" s="219"/>
      <c r="L205" s="155"/>
      <c r="M205" s="266"/>
      <c r="O205" s="22"/>
      <c r="P205"/>
      <c r="Q205"/>
    </row>
    <row r="206" spans="1:58">
      <c r="I206" s="56"/>
      <c r="J206" s="155"/>
      <c r="K206" s="241"/>
      <c r="L206" s="155"/>
      <c r="M206" s="266"/>
      <c r="P206"/>
      <c r="Q206"/>
    </row>
    <row r="207" spans="1:58">
      <c r="I207" s="56"/>
      <c r="J207" s="155"/>
      <c r="K207" s="241"/>
      <c r="L207" s="155"/>
      <c r="M207" s="266"/>
      <c r="P207" s="11"/>
      <c r="Q207" s="11"/>
      <c r="R207" s="18"/>
    </row>
    <row r="208" spans="1:58">
      <c r="I208" s="56"/>
      <c r="J208" s="155"/>
      <c r="K208" s="241"/>
      <c r="L208" s="155"/>
      <c r="M208" s="266"/>
      <c r="S208" s="18"/>
      <c r="T208" s="18"/>
    </row>
    <row r="209" spans="9:13">
      <c r="I209" s="56"/>
      <c r="J209" s="155"/>
      <c r="K209" s="241"/>
      <c r="L209" s="155"/>
      <c r="M209" s="266"/>
    </row>
    <row r="210" spans="9:13">
      <c r="I210" s="56"/>
      <c r="J210" s="155"/>
      <c r="K210" s="241"/>
      <c r="L210" s="155"/>
      <c r="M210" s="266"/>
    </row>
    <row r="211" spans="9:13">
      <c r="I211" s="56"/>
      <c r="J211" s="155"/>
      <c r="K211" s="155"/>
      <c r="L211" s="155"/>
      <c r="M211" s="155"/>
    </row>
    <row r="212" spans="9:13">
      <c r="I212" s="56"/>
      <c r="J212" s="155"/>
      <c r="K212" s="155"/>
      <c r="L212" s="155"/>
      <c r="M212" s="155"/>
    </row>
    <row r="213" spans="9:13">
      <c r="I213" s="56"/>
      <c r="J213" s="155"/>
      <c r="K213" s="155"/>
      <c r="L213" s="155"/>
      <c r="M213" s="155"/>
    </row>
  </sheetData>
  <autoFilter xmlns:etc="http://www.wps.cn/officeDocument/2017/etCustomData" ref="A2:AQ74" etc:filterBottomFollowUsedRange="0">
    <extLst/>
  </autoFilter>
  <mergeCells count="1">
    <mergeCell ref="B127:C127"/>
  </mergeCells>
  <pageMargins left="0.75" right="0.75" top="1" bottom="1" header="0.5" footer="0.5"/>
  <headerFooter/>
  <ignoredErrors>
    <ignoredError sqref="N3:AB29 O30 Q30:T30 V30 X30:AA30 F3:F28" formulaRange="1"/>
  </ignoredErrors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AB62"/>
  <sheetViews>
    <sheetView topLeftCell="H1" workbookViewId="0">
      <pane ySplit="2" topLeftCell="A3" activePane="bottomLeft" state="frozen"/>
      <selection/>
      <selection pane="bottomLeft" activeCell="Y8" sqref="Y8"/>
    </sheetView>
  </sheetViews>
  <sheetFormatPr defaultColWidth="8.89166666666667" defaultRowHeight="13.5"/>
  <cols>
    <col min="1" max="1" width="8.89166666666667" style="54"/>
    <col min="2" max="6" width="9.63333333333333" style="62"/>
    <col min="7" max="8" width="8.89166666666667" style="54"/>
    <col min="9" max="9" width="9.63333333333333" style="62"/>
    <col min="10" max="13" width="8.89166666666667" style="62"/>
    <col min="14" max="14" width="11.2583333333333" style="54" customWidth="1"/>
    <col min="15" max="15" width="12.6333333333333" style="1"/>
    <col min="16" max="19" width="10.5" style="140" customWidth="1"/>
    <col min="20" max="20" width="11.5" style="140" customWidth="1"/>
    <col min="21" max="21" width="8.89166666666667" style="1"/>
    <col min="22" max="22" width="11.275" customWidth="1"/>
    <col min="23" max="23" width="12.8166666666667"/>
    <col min="24" max="24" width="10.5416666666667"/>
  </cols>
  <sheetData>
    <row r="1" spans="1:28">
      <c r="A1" s="54" t="s">
        <v>363</v>
      </c>
      <c r="H1" s="54" t="s">
        <v>267</v>
      </c>
      <c r="O1" s="141" t="s">
        <v>363</v>
      </c>
      <c r="V1" s="56" t="s">
        <v>364</v>
      </c>
    </row>
    <row r="2" spans="1:28">
      <c r="A2" s="54" t="s">
        <v>53</v>
      </c>
      <c r="B2" s="62" t="s">
        <v>6</v>
      </c>
      <c r="C2" s="62" t="s">
        <v>7</v>
      </c>
      <c r="D2" s="62" t="s">
        <v>8</v>
      </c>
      <c r="E2" s="62" t="s">
        <v>14</v>
      </c>
      <c r="F2" s="62" t="s">
        <v>178</v>
      </c>
      <c r="H2" s="54" t="s">
        <v>53</v>
      </c>
      <c r="I2" s="62" t="s">
        <v>6</v>
      </c>
      <c r="J2" s="62" t="s">
        <v>7</v>
      </c>
      <c r="K2" s="62" t="s">
        <v>8</v>
      </c>
      <c r="L2" s="62" t="s">
        <v>14</v>
      </c>
      <c r="M2" s="62" t="s">
        <v>178</v>
      </c>
      <c r="O2" s="56" t="s">
        <v>36</v>
      </c>
      <c r="P2" s="140" t="s">
        <v>6</v>
      </c>
      <c r="Q2" s="140" t="s">
        <v>7</v>
      </c>
      <c r="R2" s="140" t="s">
        <v>8</v>
      </c>
      <c r="S2" s="140" t="s">
        <v>14</v>
      </c>
      <c r="T2" s="140" t="s">
        <v>178</v>
      </c>
      <c r="V2" s="56" t="s">
        <v>36</v>
      </c>
      <c r="W2" s="140" t="s">
        <v>6</v>
      </c>
      <c r="X2" s="140" t="s">
        <v>7</v>
      </c>
      <c r="Y2" s="140" t="s">
        <v>8</v>
      </c>
      <c r="Z2" s="140" t="s">
        <v>14</v>
      </c>
      <c r="AA2" s="140" t="s">
        <v>178</v>
      </c>
    </row>
    <row r="3" spans="1:28">
      <c r="A3" s="142">
        <v>44562</v>
      </c>
      <c r="B3" s="62">
        <f>'毛利-收入组成'!B27/'GMV表-商品大类'!B6</f>
        <v>0.0267135765203584</v>
      </c>
      <c r="C3" s="62">
        <f>'毛利-收入组成'!C27/'GMV表-商品大类'!C6</f>
        <v>0.00423235148782408</v>
      </c>
      <c r="D3" s="62">
        <f>'毛利-收入组成'!D27/'GMV表-商品大类'!D6</f>
        <v>0.0448139613805786</v>
      </c>
      <c r="E3" s="62">
        <f>'毛利-收入组成'!E27/'GMV表-商品大类'!E6</f>
        <v>0.0211085737500742</v>
      </c>
      <c r="F3" s="62">
        <f>'毛利-收入组成'!F27/'GMV表-商品大类'!F6</f>
        <v>0.0226206864012264</v>
      </c>
      <c r="H3" s="110">
        <v>44562</v>
      </c>
      <c r="I3" s="62">
        <f>'毛利-收入组成'!J27/'GMV表-商品大类'!I6</f>
        <v>-0.0116624664328804</v>
      </c>
      <c r="J3" s="62">
        <f>IFERROR('毛利-收入组成'!K27/'GMV表-商品大类'!J6,0)</f>
        <v>0</v>
      </c>
      <c r="K3" s="62">
        <f>'毛利-收入组成'!L27/'GMV表-商品大类'!K6</f>
        <v>0.0648618196626654</v>
      </c>
      <c r="L3" s="62">
        <f>IFERROR('毛利-收入组成'!M27/'GMV表-商品大类'!L6,0)</f>
        <v>2.03647385441107</v>
      </c>
      <c r="M3" s="62">
        <f>'毛利-收入组成'!N27/'GMV表-商品大类'!M6</f>
        <v>0.0215181726868893</v>
      </c>
      <c r="O3" s="143" t="s">
        <v>180</v>
      </c>
      <c r="P3" s="140">
        <f>'毛利-收入组成'!BA27/'GMV表-商品大类'!P6</f>
        <v>0.0267135765203584</v>
      </c>
      <c r="Q3" s="140">
        <f>'毛利-收入组成'!BB27/'GMV表-商品大类'!Q6</f>
        <v>0.00423235148782408</v>
      </c>
      <c r="R3" s="140">
        <f>'毛利-收入组成'!BC27/'GMV表-商品大类'!R6</f>
        <v>0.0448139613805786</v>
      </c>
      <c r="S3" s="140">
        <f>'毛利-收入组成'!BD27/'GMV表-商品大类'!S6</f>
        <v>0.0211085737500742</v>
      </c>
      <c r="T3" s="140">
        <f>'毛利-收入组成'!BE27/'GMV表-商品大类'!T6</f>
        <v>0.0226206864012264</v>
      </c>
      <c r="V3" s="143" t="s">
        <v>180</v>
      </c>
    </row>
    <row r="4" spans="1:28">
      <c r="A4" s="142">
        <v>44593</v>
      </c>
      <c r="B4" s="62">
        <f>'毛利-收入组成'!B28/'GMV表-商品大类'!B7</f>
        <v>0.0157035622030685</v>
      </c>
      <c r="C4" s="62">
        <f>'毛利-收入组成'!C28/'GMV表-商品大类'!C7</f>
        <v>0.00895043863551908</v>
      </c>
      <c r="D4" s="62">
        <f>'毛利-收入组成'!D28/'GMV表-商品大类'!D7</f>
        <v>0.025662263006762</v>
      </c>
      <c r="E4" s="62">
        <f>'毛利-收入组成'!E28/'GMV表-商品大类'!E7</f>
        <v>0.017399694394404</v>
      </c>
      <c r="F4" s="62">
        <f>'毛利-收入组成'!F28/'GMV表-商品大类'!F7</f>
        <v>0.0164810505001001</v>
      </c>
      <c r="H4" s="110">
        <v>44593</v>
      </c>
      <c r="I4" s="62">
        <f>'毛利-收入组成'!J28/'GMV表-商品大类'!I7</f>
        <v>0.083859974795641</v>
      </c>
      <c r="J4" s="62">
        <f>IFERROR('毛利-收入组成'!K28/'GMV表-商品大类'!J7,0)</f>
        <v>0</v>
      </c>
      <c r="K4" s="62">
        <f>'毛利-收入组成'!L28/'GMV表-商品大类'!K7</f>
        <v>0.0417488982637649</v>
      </c>
      <c r="L4" s="62">
        <f>IFERROR('毛利-收入组成'!M28/'GMV表-商品大类'!L7,0)</f>
        <v>0.677874305346823</v>
      </c>
      <c r="M4" s="62">
        <f>'毛利-收入组成'!N28/'GMV表-商品大类'!M7</f>
        <v>0.0658118671009499</v>
      </c>
      <c r="O4" s="143" t="s">
        <v>181</v>
      </c>
      <c r="P4" s="140">
        <f>'毛利-收入组成'!BA28/'GMV表-商品大类'!P7</f>
        <v>0.0214845043239555</v>
      </c>
      <c r="Q4" s="140">
        <f>'毛利-收入组成'!BB28/'GMV表-商品大类'!Q7</f>
        <v>0.00626519510731182</v>
      </c>
      <c r="R4" s="140">
        <f>'毛利-收入组成'!BC28/'GMV表-商品大类'!R7</f>
        <v>0.0364334345435165</v>
      </c>
      <c r="S4" s="140">
        <f>'毛利-收入组成'!BD28/'GMV表-商品大类'!S7</f>
        <v>0.0194025012201622</v>
      </c>
      <c r="T4" s="140">
        <f>'毛利-收入组成'!BE28/'GMV表-商品大类'!T7</f>
        <v>0.0198907952694237</v>
      </c>
      <c r="V4" s="143" t="s">
        <v>181</v>
      </c>
    </row>
    <row r="5" spans="1:28">
      <c r="A5" s="142">
        <v>44621</v>
      </c>
      <c r="B5" s="62">
        <f>'毛利-收入组成'!B29/'GMV表-商品大类'!B8</f>
        <v>0.0381414400166555</v>
      </c>
      <c r="C5" s="62">
        <f>'毛利-收入组成'!C29/'GMV表-商品大类'!C8</f>
        <v>0.00516520491279466</v>
      </c>
      <c r="D5" s="62">
        <f>'毛利-收入组成'!D29/'GMV表-商品大类'!D8</f>
        <v>0.0429272737059344</v>
      </c>
      <c r="E5" s="62">
        <f>'毛利-收入组成'!E29/'GMV表-商品大类'!E8</f>
        <v>0.0138985226571849</v>
      </c>
      <c r="F5" s="62">
        <f>'毛利-收入组成'!F29/'GMV表-商品大类'!F8</f>
        <v>0.0230518471728961</v>
      </c>
      <c r="H5" s="110">
        <v>44621</v>
      </c>
      <c r="I5" s="62">
        <f>'毛利-收入组成'!J29/'GMV表-商品大类'!I8</f>
        <v>0.0113500071284854</v>
      </c>
      <c r="J5" s="62">
        <f>IFERROR('毛利-收入组成'!K29/'GMV表-商品大类'!J8,0)</f>
        <v>0</v>
      </c>
      <c r="K5" s="62">
        <f>'毛利-收入组成'!L29/'GMV表-商品大类'!K8</f>
        <v>0.0666924250740601</v>
      </c>
      <c r="L5" s="62">
        <f>IFERROR('毛利-收入组成'!M29/'GMV表-商品大类'!L8,0)</f>
        <v>0.985354603665149</v>
      </c>
      <c r="M5" s="62">
        <f>'毛利-收入组成'!N29/'GMV表-商品大类'!M8</f>
        <v>0.0516716223230949</v>
      </c>
      <c r="O5" s="143" t="s">
        <v>182</v>
      </c>
      <c r="P5" s="140">
        <f>'毛利-收入组成'!BA29/'GMV表-商品大类'!P8</f>
        <v>0.0263175638364415</v>
      </c>
      <c r="Q5" s="140">
        <f>'毛利-收入组成'!BB29/'GMV表-商品大类'!Q8</f>
        <v>0.00585606618218347</v>
      </c>
      <c r="R5" s="140">
        <f>'毛利-收入组成'!BC29/'GMV表-商品大类'!R8</f>
        <v>0.0392576382929767</v>
      </c>
      <c r="S5" s="140">
        <f>'毛利-收入组成'!BD29/'GMV表-商品大类'!S8</f>
        <v>0.0166562938237463</v>
      </c>
      <c r="T5" s="140">
        <f>'毛利-收入组成'!BE29/'GMV表-商品大类'!T8</f>
        <v>0.0211768854871356</v>
      </c>
      <c r="V5" s="143" t="s">
        <v>182</v>
      </c>
    </row>
    <row r="6" spans="1:28">
      <c r="A6" s="142">
        <v>44652</v>
      </c>
      <c r="B6" s="62">
        <f>'毛利-收入组成'!B30/'GMV表-商品大类'!B9</f>
        <v>0.0340231923387213</v>
      </c>
      <c r="C6" s="62">
        <f>'毛利-收入组成'!C30/'GMV表-商品大类'!C9</f>
        <v>0.00520531094181127</v>
      </c>
      <c r="D6" s="62">
        <f>'毛利-收入组成'!D30/'GMV表-商品大类'!D9</f>
        <v>0.0362144388473175</v>
      </c>
      <c r="E6" s="62">
        <f>'毛利-收入组成'!E30/'GMV表-商品大类'!E9</f>
        <v>0.0183195643850277</v>
      </c>
      <c r="F6" s="62">
        <f>'毛利-收入组成'!F30/'GMV表-商品大类'!F9</f>
        <v>0.0204320153935587</v>
      </c>
      <c r="H6" s="110">
        <v>44652</v>
      </c>
      <c r="I6" s="62">
        <f>'毛利-收入组成'!J30/'GMV表-商品大类'!I9</f>
        <v>0.00449084572746247</v>
      </c>
      <c r="J6" s="62">
        <f>IFERROR('毛利-收入组成'!K30/'GMV表-商品大类'!J9,0)</f>
        <v>0</v>
      </c>
      <c r="K6" s="62">
        <f>'毛利-收入组成'!L30/'GMV表-商品大类'!K9</f>
        <v>0.0726273588887614</v>
      </c>
      <c r="L6" s="62">
        <f>IFERROR('毛利-收入组成'!M30/'GMV表-商品大类'!L9,0)</f>
        <v>0.0786976168028989</v>
      </c>
      <c r="M6" s="62">
        <f>'毛利-收入组成'!N30/'GMV表-商品大类'!M9</f>
        <v>0.0397637715857389</v>
      </c>
      <c r="O6" s="143" t="s">
        <v>183</v>
      </c>
      <c r="P6" s="140">
        <f>'毛利-收入组成'!BA30/'GMV表-商品大类'!P9</f>
        <v>0.0282737576173289</v>
      </c>
      <c r="Q6" s="140">
        <f>'毛利-收入组成'!BB30/'GMV表-商品大类'!Q9</f>
        <v>0.00567231934848849</v>
      </c>
      <c r="R6" s="140">
        <f>'毛利-收入组成'!BC30/'GMV表-商品大类'!R9</f>
        <v>0.038480981084371</v>
      </c>
      <c r="S6" s="140">
        <f>'毛利-收入组成'!BD30/'GMV表-商品大类'!S9</f>
        <v>0.0171311407698863</v>
      </c>
      <c r="T6" s="140">
        <f>'毛利-收入组成'!BE30/'GMV表-商品大类'!T9</f>
        <v>0.0209749791187346</v>
      </c>
      <c r="V6" s="143" t="s">
        <v>183</v>
      </c>
    </row>
    <row r="7" spans="1:28">
      <c r="A7" s="142">
        <v>44682</v>
      </c>
      <c r="B7" s="62">
        <f>'毛利-收入组成'!B31/'GMV表-商品大类'!B10</f>
        <v>0.0277579212396696</v>
      </c>
      <c r="C7" s="62">
        <f>'毛利-收入组成'!C31/'GMV表-商品大类'!C10</f>
        <v>0.00491797517105981</v>
      </c>
      <c r="D7" s="62">
        <f>'毛利-收入组成'!D31/'GMV表-商品大类'!D10</f>
        <v>0.0512396323325647</v>
      </c>
      <c r="E7" s="62">
        <f>'毛利-收入组成'!E31/'GMV表-商品大类'!E10</f>
        <v>-0.002286218161713</v>
      </c>
      <c r="F7" s="62">
        <f>'毛利-收入组成'!F31/'GMV表-商品大类'!F10</f>
        <v>0.0182633788092805</v>
      </c>
      <c r="H7" s="110">
        <v>44682</v>
      </c>
      <c r="I7" s="62">
        <f>'毛利-收入组成'!J31/'GMV表-商品大类'!I10</f>
        <v>-0.00377745137435903</v>
      </c>
      <c r="J7" s="62">
        <f>IFERROR('毛利-收入组成'!K31/'GMV表-商品大类'!J10,0)</f>
        <v>0</v>
      </c>
      <c r="K7" s="62">
        <f>'毛利-收入组成'!L31/'GMV表-商品大类'!K10</f>
        <v>0.0559616216938684</v>
      </c>
      <c r="L7" s="62">
        <f>IFERROR('毛利-收入组成'!M31/'GMV表-商品大类'!L10,0)</f>
        <v>0.10319045944798</v>
      </c>
      <c r="M7" s="62">
        <f>'毛利-收入组成'!N31/'GMV表-商品大类'!M10</f>
        <v>0.014340356161206</v>
      </c>
      <c r="O7" s="143" t="s">
        <v>184</v>
      </c>
      <c r="P7" s="140">
        <f>'毛利-收入组成'!BA31/'GMV表-商品大类'!P10</f>
        <v>0.0282007959035296</v>
      </c>
      <c r="Q7" s="140">
        <f>'毛利-收入组成'!BB31/'GMV表-商品大类'!Q10</f>
        <v>0.00548468819540112</v>
      </c>
      <c r="R7" s="140">
        <f>'毛利-收入组成'!BC31/'GMV表-商品大类'!R10</f>
        <v>0.0413125765717862</v>
      </c>
      <c r="S7" s="140">
        <f>'毛利-收入组成'!BD31/'GMV表-商品大类'!S10</f>
        <v>0.0120494617785545</v>
      </c>
      <c r="T7" s="140">
        <f>'毛利-收入组成'!BE31/'GMV表-商品大类'!T10</f>
        <v>0.0203478279333463</v>
      </c>
      <c r="V7" s="143" t="s">
        <v>184</v>
      </c>
    </row>
    <row r="8" spans="1:28">
      <c r="A8" s="142">
        <v>44713</v>
      </c>
      <c r="B8" s="62">
        <f>'毛利-收入组成'!B32/'GMV表-商品大类'!B11</f>
        <v>0.0430699033223161</v>
      </c>
      <c r="C8" s="62">
        <f>'毛利-收入组成'!C32/'GMV表-商品大类'!C11</f>
        <v>0.00657713700288338</v>
      </c>
      <c r="D8" s="62">
        <f>'毛利-收入组成'!D32/'GMV表-商品大类'!D11</f>
        <v>0.0417206053599967</v>
      </c>
      <c r="E8" s="62">
        <f>'毛利-收入组成'!E32/'GMV表-商品大类'!E11</f>
        <v>0.00613392782372596</v>
      </c>
      <c r="F8" s="62">
        <f>'毛利-收入组成'!F32/'GMV表-商品大类'!F11</f>
        <v>0.0215131670734359</v>
      </c>
      <c r="H8" s="110">
        <v>44713</v>
      </c>
      <c r="I8" s="62">
        <f>'毛利-收入组成'!J32/'GMV表-商品大类'!I11</f>
        <v>0.0651219646096814</v>
      </c>
      <c r="J8" s="62">
        <f>IFERROR('毛利-收入组成'!K32/'GMV表-商品大类'!J11,0)</f>
        <v>0</v>
      </c>
      <c r="K8" s="62">
        <f>'毛利-收入组成'!L32/'GMV表-商品大类'!K11</f>
        <v>0.0743930938961237</v>
      </c>
      <c r="L8" s="62">
        <f>IFERROR('毛利-收入组成'!M32/'GMV表-商品大类'!L11,0)</f>
        <v>0.0812087066881259</v>
      </c>
      <c r="M8" s="62">
        <f>'毛利-收入组成'!N32/'GMV表-商品大类'!M11</f>
        <v>0.0685425843834776</v>
      </c>
      <c r="O8" s="143" t="s">
        <v>185</v>
      </c>
      <c r="P8" s="140">
        <f>'毛利-收入组成'!BA32/'GMV表-商品大类'!P11</f>
        <v>0.0302987553118375</v>
      </c>
      <c r="Q8" s="140">
        <f>'毛利-收入组成'!BB32/'GMV表-商品大类'!Q11</f>
        <v>0.00568643789746502</v>
      </c>
      <c r="R8" s="140">
        <f>'毛利-收入组成'!BC32/'GMV表-商品大类'!R11</f>
        <v>0.0414032681612764</v>
      </c>
      <c r="S8" s="140">
        <f>'毛利-收入组成'!BD32/'GMV表-商品大类'!S11</f>
        <v>0.010772693003404</v>
      </c>
      <c r="T8" s="140">
        <f>'毛利-收入组成'!BE32/'GMV表-商品大类'!T11</f>
        <v>0.0205793874418094</v>
      </c>
      <c r="V8" s="143" t="s">
        <v>185</v>
      </c>
    </row>
    <row r="9" spans="1:28">
      <c r="A9" s="142">
        <v>44743</v>
      </c>
      <c r="B9" s="62">
        <f>'毛利-收入组成'!B33/'GMV表-商品大类'!B12</f>
        <v>0.0282284876966114</v>
      </c>
      <c r="C9" s="62">
        <f>'毛利-收入组成'!C33/'GMV表-商品大类'!C12</f>
        <v>0.00798345896061206</v>
      </c>
      <c r="D9" s="62">
        <f>'毛利-收入组成'!D33/'GMV表-商品大类'!D12</f>
        <v>0.0364240428318294</v>
      </c>
      <c r="E9" s="62">
        <f>'毛利-收入组成'!E33/'GMV表-商品大类'!E12</f>
        <v>0.0157387089866331</v>
      </c>
      <c r="F9" s="62">
        <f>'毛利-收入组成'!F33/'GMV表-商品大类'!F12</f>
        <v>0.0211199379967372</v>
      </c>
      <c r="H9" s="110">
        <v>44743</v>
      </c>
      <c r="I9" s="62">
        <f>'毛利-收入组成'!J33/'GMV表-商品大类'!I12</f>
        <v>0.0322476395373629</v>
      </c>
      <c r="J9" s="62">
        <f>IFERROR('毛利-收入组成'!K33/'GMV表-商品大类'!J12,0)</f>
        <v>0</v>
      </c>
      <c r="K9" s="62">
        <f>'毛利-收入组成'!L33/'GMV表-商品大类'!K12</f>
        <v>0.0537930433712966</v>
      </c>
      <c r="L9" s="62">
        <f>IFERROR('毛利-收入组成'!M33/'GMV表-商品大类'!L12,0)</f>
        <v>0.166100583701477</v>
      </c>
      <c r="M9" s="62">
        <f>'毛利-收入组成'!N33/'GMV表-商品大类'!M12</f>
        <v>0.0376811974418511</v>
      </c>
      <c r="O9" s="143" t="s">
        <v>186</v>
      </c>
      <c r="P9" s="140">
        <f>'毛利-收入组成'!BA33/'GMV表-商品大类'!P12</f>
        <v>0.0300025316101962</v>
      </c>
      <c r="Q9" s="140">
        <f>'毛利-收入组成'!BB33/'GMV表-商品大类'!Q12</f>
        <v>0.00599854466204346</v>
      </c>
      <c r="R9" s="140">
        <f>'毛利-收入组成'!BC33/'GMV表-商品大类'!R12</f>
        <v>0.0406700416470512</v>
      </c>
      <c r="S9" s="140">
        <f>'毛利-收入组成'!BD33/'GMV表-商品大类'!S12</f>
        <v>0.0115057729603368</v>
      </c>
      <c r="T9" s="140">
        <f>'毛利-收入组成'!BE33/'GMV表-商品大类'!T12</f>
        <v>0.0206565810896354</v>
      </c>
      <c r="V9" s="143" t="s">
        <v>186</v>
      </c>
    </row>
    <row r="10" spans="1:28">
      <c r="A10" s="142">
        <v>44774</v>
      </c>
      <c r="B10" s="62">
        <f>'毛利-收入组成'!B34/'GMV表-商品大类'!B13</f>
        <v>0.0545291734584572</v>
      </c>
      <c r="C10" s="62">
        <f>'毛利-收入组成'!C34/'GMV表-商品大类'!C13</f>
        <v>0.00207300048594946</v>
      </c>
      <c r="D10" s="62">
        <f>'毛利-收入组成'!D34/'GMV表-商品大类'!D13</f>
        <v>0.0533609562333291</v>
      </c>
      <c r="E10" s="62">
        <f>'毛利-收入组成'!E34/'GMV表-商品大类'!E13</f>
        <v>0.0422754803229258</v>
      </c>
      <c r="F10" s="62">
        <f>'毛利-收入组成'!F34/'GMV表-商品大类'!F13</f>
        <v>0.0357453883356082</v>
      </c>
      <c r="H10" s="110">
        <v>44774</v>
      </c>
      <c r="I10" s="62">
        <f>'毛利-收入组成'!J34/'GMV表-商品大类'!I13</f>
        <v>0.0256647039897752</v>
      </c>
      <c r="J10" s="62">
        <f>IFERROR('毛利-收入组成'!K34/'GMV表-商品大类'!J13,0)</f>
        <v>1.01072210196501</v>
      </c>
      <c r="K10" s="62">
        <f>'毛利-收入组成'!L34/'GMV表-商品大类'!K13</f>
        <v>0.0586991213239728</v>
      </c>
      <c r="L10" s="62">
        <f>IFERROR('毛利-收入组成'!M34/'GMV表-商品大类'!L13,0)</f>
        <v>0.164596127577487</v>
      </c>
      <c r="M10" s="62">
        <f>'毛利-收入组成'!N34/'GMV表-商品大类'!M13</f>
        <v>0.0334913140763582</v>
      </c>
      <c r="O10" s="143" t="s">
        <v>187</v>
      </c>
      <c r="P10" s="140">
        <f>'毛利-收入组成'!BA34/'GMV表-商品大类'!P13</f>
        <v>0.0323498743380485</v>
      </c>
      <c r="Q10" s="140">
        <f>'毛利-收入组成'!BB34/'GMV表-商品大类'!Q13</f>
        <v>0.00555450259547402</v>
      </c>
      <c r="R10" s="140">
        <f>'毛利-收入组成'!BC34/'GMV表-商品大类'!R13</f>
        <v>0.0427222577230562</v>
      </c>
      <c r="S10" s="140">
        <f>'毛利-收入组成'!BD34/'GMV表-商品大类'!S13</f>
        <v>0.016290464675855</v>
      </c>
      <c r="T10" s="140">
        <f>'毛利-收入组成'!BE34/'GMV表-商品大类'!T13</f>
        <v>0.0227189279939649</v>
      </c>
      <c r="V10" s="143" t="s">
        <v>187</v>
      </c>
    </row>
    <row r="11" spans="1:28">
      <c r="A11" s="142">
        <v>44805</v>
      </c>
      <c r="B11" s="62">
        <f>'毛利-收入组成'!B35/'GMV表-商品大类'!B14</f>
        <v>0.0276046343819703</v>
      </c>
      <c r="C11" s="62">
        <f>'毛利-收入组成'!C35/'GMV表-商品大类'!C14</f>
        <v>0.00792982328669238</v>
      </c>
      <c r="D11" s="62">
        <f>'毛利-收入组成'!D35/'GMV表-商品大类'!D14</f>
        <v>0.0297744943132804</v>
      </c>
      <c r="E11" s="62">
        <f>'毛利-收入组成'!E35/'GMV表-商品大类'!E14</f>
        <v>0.0134195932886304</v>
      </c>
      <c r="F11" s="62">
        <f>'毛利-收入组成'!F35/'GMV表-商品大类'!F14</f>
        <v>0.0192608878674895</v>
      </c>
      <c r="H11" s="110">
        <v>44805</v>
      </c>
      <c r="I11" s="62">
        <f>'毛利-收入组成'!J35/'GMV表-商品大类'!I14</f>
        <v>0.0065866071628606</v>
      </c>
      <c r="J11" s="62">
        <f>IFERROR('毛利-收入组成'!K35/'GMV表-商品大类'!J14,0)</f>
        <v>1.5392802177096</v>
      </c>
      <c r="K11" s="62">
        <f>'毛利-收入组成'!L35/'GMV表-商品大类'!K14</f>
        <v>0.0480103123731632</v>
      </c>
      <c r="L11" s="62">
        <f>IFERROR('毛利-收入组成'!M35/'GMV表-商品大类'!L14,0)</f>
        <v>0.0660524403341039</v>
      </c>
      <c r="M11" s="62">
        <f>'毛利-收入组成'!N35/'GMV表-商品大类'!M14</f>
        <v>0.0220792398851209</v>
      </c>
      <c r="O11" s="143" t="s">
        <v>188</v>
      </c>
      <c r="P11" s="140">
        <f>'毛利-收入组成'!BA35/'GMV表-商品大类'!P14</f>
        <v>0.031886162738018</v>
      </c>
      <c r="Q11" s="140">
        <f>'毛利-收入组成'!BB35/'GMV表-商品大类'!Q14</f>
        <v>0.00585407480303169</v>
      </c>
      <c r="R11" s="140">
        <f>'毛利-收入组成'!BC35/'GMV表-商品大类'!R14</f>
        <v>0.0406460843009619</v>
      </c>
      <c r="S11" s="140">
        <f>'毛利-收入组成'!BD35/'GMV表-商品大类'!S14</f>
        <v>0.0159625438795368</v>
      </c>
      <c r="T11" s="140">
        <f>'毛利-收入组成'!BE35/'GMV表-商品大类'!T14</f>
        <v>0.0222616637135932</v>
      </c>
      <c r="V11" s="143" t="s">
        <v>188</v>
      </c>
    </row>
    <row r="12" spans="1:28">
      <c r="A12" s="142">
        <v>44835</v>
      </c>
      <c r="B12" s="62">
        <f>'毛利-收入组成'!B36/'GMV表-商品大类'!B15</f>
        <v>0.0337713326785625</v>
      </c>
      <c r="C12" s="62">
        <f>'毛利-收入组成'!C36/'GMV表-商品大类'!C15</f>
        <v>0.00627731869213799</v>
      </c>
      <c r="D12" s="62">
        <f>'毛利-收入组成'!D36/'GMV表-商品大类'!D15</f>
        <v>0.0275723564758605</v>
      </c>
      <c r="E12" s="62">
        <f>'毛利-收入组成'!E36/'GMV表-商品大类'!E15</f>
        <v>0.0203506595331044</v>
      </c>
      <c r="F12" s="62">
        <f>'毛利-收入组成'!F36/'GMV表-商品大类'!F15</f>
        <v>0.0198537106312491</v>
      </c>
      <c r="H12" s="110">
        <v>44835</v>
      </c>
      <c r="I12" s="62">
        <f>'毛利-收入组成'!J36/'GMV表-商品大类'!I15</f>
        <v>0.0102352530425655</v>
      </c>
      <c r="J12" s="62">
        <f>IFERROR('毛利-收入组成'!K36/'GMV表-商品大类'!J15,0)</f>
        <v>1.00258552723312</v>
      </c>
      <c r="K12" s="62">
        <f>'毛利-收入组成'!L36/'GMV表-商品大类'!K15</f>
        <v>0.0647568972149484</v>
      </c>
      <c r="L12" s="62">
        <f>IFERROR('毛利-收入组成'!M36/'GMV表-商品大类'!L15,0)</f>
        <v>0.097223117397555</v>
      </c>
      <c r="M12" s="62">
        <f>'毛利-收入组成'!N36/'GMV表-商品大类'!M15</f>
        <v>0.0441016630175405</v>
      </c>
      <c r="O12" s="143" t="s">
        <v>189</v>
      </c>
      <c r="P12" s="140">
        <f>'毛利-收入组成'!BA36/'GMV表-商品大类'!P15</f>
        <v>0.0320885890759647</v>
      </c>
      <c r="Q12" s="140">
        <f>'毛利-收入组成'!BB36/'GMV表-商品大类'!Q15</f>
        <v>0.00589678256070798</v>
      </c>
      <c r="R12" s="140">
        <f>'毛利-收入组成'!BC36/'GMV表-商品大类'!R15</f>
        <v>0.03907787539563</v>
      </c>
      <c r="S12" s="140">
        <f>'毛利-收入组成'!BD36/'GMV表-商品大类'!S15</f>
        <v>0.0165006902797048</v>
      </c>
      <c r="T12" s="140">
        <f>'毛利-收入组成'!BE36/'GMV表-商品大类'!T15</f>
        <v>0.0219900156345279</v>
      </c>
      <c r="V12" s="143" t="s">
        <v>189</v>
      </c>
    </row>
    <row r="13" spans="1:28">
      <c r="A13" s="142">
        <v>44866</v>
      </c>
      <c r="B13" s="62">
        <f>'毛利-收入组成'!B37/'GMV表-商品大类'!B16</f>
        <v>0.0323369782813199</v>
      </c>
      <c r="C13" s="62">
        <f>'毛利-收入组成'!C37/'GMV表-商品大类'!C16</f>
        <v>0.00539686123623598</v>
      </c>
      <c r="D13" s="62">
        <f>'毛利-收入组成'!D37/'GMV表-商品大类'!D16</f>
        <v>0.0317531861691658</v>
      </c>
      <c r="E13" s="62">
        <f>'毛利-收入组成'!E37/'GMV表-商品大类'!E16</f>
        <v>-0.00186756301684262</v>
      </c>
      <c r="F13" s="62">
        <f>'毛利-收入组成'!F37/'GMV表-商品大类'!F16</f>
        <v>0.0169218732232748</v>
      </c>
      <c r="H13" s="110">
        <v>44866</v>
      </c>
      <c r="I13" s="62">
        <f>'毛利-收入组成'!J37/'GMV表-商品大类'!I16</f>
        <v>0.0194930456454004</v>
      </c>
      <c r="J13" s="62">
        <f>IFERROR('毛利-收入组成'!K37/'GMV表-商品大类'!J16,0)</f>
        <v>0.989603344242424</v>
      </c>
      <c r="K13" s="62">
        <f>'毛利-收入组成'!L37/'GMV表-商品大类'!K16</f>
        <v>0.0787904123584031</v>
      </c>
      <c r="L13" s="62">
        <f>IFERROR('毛利-收入组成'!M37/'GMV表-商品大类'!L16,0)</f>
        <v>0.0903147391164534</v>
      </c>
      <c r="M13" s="62">
        <f>'毛利-收入组成'!N37/'GMV表-商品大类'!M16</f>
        <v>0.0702534273572834</v>
      </c>
      <c r="O13" s="143" t="s">
        <v>190</v>
      </c>
      <c r="P13" s="140">
        <f>'毛利-收入组成'!BA37/'GMV表-商品大类'!P16</f>
        <v>0.0321197883447792</v>
      </c>
      <c r="Q13" s="140">
        <f>'毛利-收入组成'!BB37/'GMV表-商品大类'!Q16</f>
        <v>0.00584906737871026</v>
      </c>
      <c r="R13" s="140">
        <f>'毛利-收入组成'!BC37/'GMV表-商品大类'!R16</f>
        <v>0.0380491322069373</v>
      </c>
      <c r="S13" s="140">
        <f>'毛利-收入组成'!BD37/'GMV表-商品大类'!S16</f>
        <v>0.014152831528064</v>
      </c>
      <c r="T13" s="140">
        <f>'毛利-收入组成'!BE37/'GMV表-商品大类'!T16</f>
        <v>0.0213758391438677</v>
      </c>
      <c r="V13" s="143" t="s">
        <v>190</v>
      </c>
    </row>
    <row r="14" spans="1:28">
      <c r="A14" s="142">
        <v>44896</v>
      </c>
      <c r="B14" s="62">
        <f>'毛利-收入组成'!B38/'GMV表-商品大类'!B17</f>
        <v>0.0400490865814055</v>
      </c>
      <c r="C14" s="62">
        <f>'毛利-收入组成'!C38/'GMV表-商品大类'!C17</f>
        <v>0.00970579611751945</v>
      </c>
      <c r="D14" s="62">
        <f>'毛利-收入组成'!D38/'GMV表-商品大类'!D17</f>
        <v>0.0667512167290415</v>
      </c>
      <c r="E14" s="62">
        <f>'毛利-收入组成'!E38/'GMV表-商品大类'!E17</f>
        <v>0.0170729055318516</v>
      </c>
      <c r="F14" s="62">
        <f>'毛利-收入组成'!F38/'GMV表-商品大类'!F17</f>
        <v>0.0402536494058458</v>
      </c>
      <c r="H14" s="110">
        <v>44896</v>
      </c>
      <c r="I14" s="62">
        <f>'毛利-收入组成'!J38/'GMV表-商品大类'!I17</f>
        <v>0.0428139321044267</v>
      </c>
      <c r="J14" s="62">
        <f>IFERROR('毛利-收入组成'!K38/'GMV表-商品大类'!J17,0)</f>
        <v>0.71290224763407</v>
      </c>
      <c r="K14" s="62">
        <f>'毛利-收入组成'!L38/'GMV表-商品大类'!K17</f>
        <v>0.0694869995286365</v>
      </c>
      <c r="L14" s="62">
        <f>IFERROR('毛利-收入组成'!M38/'GMV表-商品大类'!L17,0)</f>
        <v>0.180449138311964</v>
      </c>
      <c r="M14" s="62">
        <f>'毛利-收入组成'!N38/'GMV表-商品大类'!M17</f>
        <v>0.0541759147123925</v>
      </c>
      <c r="O14" s="143" t="s">
        <v>191</v>
      </c>
      <c r="P14" s="140">
        <f>'毛利-收入组成'!BA38/'GMV表-商品大类'!P17</f>
        <v>0.0329527468984134</v>
      </c>
      <c r="Q14" s="140">
        <f>'毛利-收入组成'!BB38/'GMV表-商品大类'!Q17</f>
        <v>0.00611777861323507</v>
      </c>
      <c r="R14" s="140">
        <f>'毛利-收入组成'!BC38/'GMV表-商品大类'!R17</f>
        <v>0.0419186800853717</v>
      </c>
      <c r="S14" s="140">
        <f>'毛利-收入组成'!BD38/'GMV表-商品大类'!S17</f>
        <v>0.0144821019871353</v>
      </c>
      <c r="T14" s="140">
        <f>'毛利-收入组成'!BE38/'GMV表-商品大类'!T17</f>
        <v>0.0233787560827186</v>
      </c>
      <c r="V14" s="143" t="s">
        <v>191</v>
      </c>
    </row>
    <row r="15" spans="1:28">
      <c r="A15" s="144">
        <v>44927</v>
      </c>
      <c r="B15" s="62">
        <f>'毛利-收入组成'!B39/'GMV表-商品大类'!B18</f>
        <v>0.035561155252905</v>
      </c>
      <c r="C15" s="62">
        <f>'毛利-收入组成'!C39/'GMV表-商品大类'!C18</f>
        <v>0.00303779392845535</v>
      </c>
      <c r="D15" s="62">
        <f>'毛利-收入组成'!D39/'GMV表-商品大类'!D18</f>
        <v>0.0462512869287598</v>
      </c>
      <c r="E15" s="62">
        <f>'毛利-收入组成'!E39/'GMV表-商品大类'!E18</f>
        <v>0.0168322150715325</v>
      </c>
      <c r="F15" s="62">
        <f>'毛利-收入组成'!F39/'GMV表-商品大类'!F18</f>
        <v>0.0277056043564497</v>
      </c>
      <c r="H15" s="110">
        <v>44927</v>
      </c>
      <c r="I15" s="62">
        <f>'毛利-收入组成'!J39/'GMV表-商品大类'!I18</f>
        <v>0.0375863337705503</v>
      </c>
      <c r="J15" s="62">
        <f>IFERROR('毛利-收入组成'!K39/'GMV表-商品大类'!J18,0)</f>
        <v>0.999999975535166</v>
      </c>
      <c r="K15" s="62">
        <f>'毛利-收入组成'!L39/'GMV表-商品大类'!K18</f>
        <v>0.0729682465285617</v>
      </c>
      <c r="L15" s="62">
        <f>IFERROR('毛利-收入组成'!M39/'GMV表-商品大类'!L18,0)</f>
        <v>0.0393442833587423</v>
      </c>
      <c r="M15" s="62">
        <f>'毛利-收入组成'!N39/'GMV表-商品大类'!M18</f>
        <v>0.0488817442605397</v>
      </c>
      <c r="O15" s="143" t="s">
        <v>192</v>
      </c>
      <c r="P15" s="140">
        <f>'毛利-收入组成'!BA39/'GMV表-商品大类'!P18</f>
        <v>0.035561155252905</v>
      </c>
      <c r="Q15" s="140">
        <f>'毛利-收入组成'!BB39/'GMV表-商品大类'!Q18</f>
        <v>0.00303779392845535</v>
      </c>
      <c r="R15" s="140">
        <f>'毛利-收入组成'!BC39/'GMV表-商品大类'!R18</f>
        <v>0.0462512869287598</v>
      </c>
      <c r="S15" s="140">
        <f>'毛利-收入组成'!BD39/'GMV表-商品大类'!S18</f>
        <v>0.0168322150715325</v>
      </c>
      <c r="T15" s="140">
        <f>'毛利-收入组成'!BE39/'GMV表-商品大类'!T18</f>
        <v>0.0277056043564497</v>
      </c>
      <c r="V15" s="143" t="s">
        <v>192</v>
      </c>
      <c r="W15" s="145">
        <f>'毛利-收入组成'!AM39/'GMV表-商品大类'!P18</f>
        <v>0.0504698293290795</v>
      </c>
      <c r="X15" s="145">
        <f>'毛利-收入组成'!AN39/'GMV表-商品大类'!Q18</f>
        <v>0.00345661299527928</v>
      </c>
      <c r="Y15" s="145">
        <f>'毛利-收入组成'!AO39/'GMV表-商品大类'!R18</f>
        <v>0.0517440753303882</v>
      </c>
      <c r="Z15" s="145">
        <f>'毛利-收入组成'!AP39/'GMV表-商品大类'!S18</f>
        <v>0.0165758062622978</v>
      </c>
      <c r="AA15" s="145">
        <f>'毛利-收入组成'!AQ39/'GMV表-商品大类'!T18</f>
        <v>0.0322724946295252</v>
      </c>
      <c r="AB15" s="137"/>
    </row>
    <row r="16" spans="1:28">
      <c r="A16" s="144">
        <v>44958</v>
      </c>
      <c r="B16" s="62">
        <f>'毛利-收入组成'!B40/'GMV表-商品大类'!B19</f>
        <v>0.0228822666285956</v>
      </c>
      <c r="C16" s="62">
        <f>'毛利-收入组成'!C40/'GMV表-商品大类'!C19</f>
        <v>0.00139441477479098</v>
      </c>
      <c r="D16" s="62">
        <f>'毛利-收入组成'!D40/'GMV表-商品大类'!D19</f>
        <v>0.0398789625230598</v>
      </c>
      <c r="E16" s="62">
        <f>'毛利-收入组成'!E40/'GMV表-商品大类'!E19</f>
        <v>0.0206613613055238</v>
      </c>
      <c r="F16" s="62">
        <f>'毛利-收入组成'!F40/'GMV表-商品大类'!F19</f>
        <v>0.021835305523839</v>
      </c>
      <c r="H16" s="110">
        <v>44958</v>
      </c>
      <c r="I16" s="62">
        <f>'毛利-收入组成'!J40/'GMV表-商品大类'!I19</f>
        <v>0.015661216460565</v>
      </c>
      <c r="J16" s="62">
        <f>IFERROR('毛利-收入组成'!K40/'GMV表-商品大类'!J19,0)</f>
        <v>0.90917492364532</v>
      </c>
      <c r="K16" s="62">
        <f>'毛利-收入组成'!L40/'GMV表-商品大类'!K19</f>
        <v>0.0611041220625077</v>
      </c>
      <c r="L16" s="62">
        <f>IFERROR('毛利-收入组成'!M40/'GMV表-商品大类'!L19,0)</f>
        <v>0.0433212075776495</v>
      </c>
      <c r="M16" s="62">
        <f>'毛利-收入组成'!N40/'GMV表-商品大类'!M19</f>
        <v>0.0447308681118977</v>
      </c>
      <c r="O16" s="143" t="s">
        <v>193</v>
      </c>
      <c r="P16" s="140">
        <f>'毛利-收入组成'!BA40/'GMV表-商品大类'!P19</f>
        <v>0.0308789408304449</v>
      </c>
      <c r="Q16" s="140">
        <f>'毛利-收入组成'!BB40/'GMV表-商品大类'!Q19</f>
        <v>0.00210518047223853</v>
      </c>
      <c r="R16" s="140">
        <f>'毛利-收入组成'!BC40/'GMV表-商品大类'!R19</f>
        <v>0.0431947717577603</v>
      </c>
      <c r="S16" s="140">
        <f>'毛利-收入组成'!BD40/'GMV表-商品大类'!S19</f>
        <v>0.0187894264802969</v>
      </c>
      <c r="T16" s="140">
        <f>'毛利-收入组成'!BE40/'GMV表-商品大类'!T19</f>
        <v>0.0248000003884826</v>
      </c>
      <c r="V16" s="143" t="s">
        <v>193</v>
      </c>
      <c r="W16" s="145">
        <f>'毛利-收入组成'!AM40/'GMV表-商品大类'!P19</f>
        <v>0.0420484081980281</v>
      </c>
      <c r="X16" s="145">
        <f>'毛利-收入组成'!AN40/'GMV表-商品大类'!Q19</f>
        <v>0.00239537429905187</v>
      </c>
      <c r="Y16" s="145">
        <f>'毛利-收入组成'!AO40/'GMV表-商品大类'!R19</f>
        <v>0.0480468639329939</v>
      </c>
      <c r="Z16" s="145">
        <f>'毛利-收入组成'!AP40/'GMV表-商品大类'!S19</f>
        <v>0.0184451149355626</v>
      </c>
      <c r="AA16" s="145">
        <f>'毛利-收入组成'!AQ40/'GMV表-商品大类'!T19</f>
        <v>0.0280217174532182</v>
      </c>
      <c r="AB16" s="137"/>
    </row>
    <row r="17" spans="1:28">
      <c r="A17" s="144">
        <v>44986</v>
      </c>
      <c r="B17" s="62">
        <f>'毛利-收入组成'!B41/'GMV表-商品大类'!B20</f>
        <v>0.0146694202883836</v>
      </c>
      <c r="C17" s="62">
        <f>'毛利-收入组成'!C41/'GMV表-商品大类'!C20</f>
        <v>0.00272966606147483</v>
      </c>
      <c r="D17" s="62">
        <f>'毛利-收入组成'!D41/'GMV表-商品大类'!D20</f>
        <v>0.0286686473186707</v>
      </c>
      <c r="E17" s="62">
        <f>'毛利-收入组成'!E41/'GMV表-商品大类'!E20</f>
        <v>0.01883164387243</v>
      </c>
      <c r="F17" s="62">
        <f>'毛利-收入组成'!F41/'GMV表-商品大类'!F20</f>
        <v>0.0170773572501943</v>
      </c>
      <c r="H17" s="110">
        <v>44986</v>
      </c>
      <c r="I17" s="62">
        <f>'毛利-收入组成'!J41/'GMV表-商品大类'!I20</f>
        <v>0.0203567977462516</v>
      </c>
      <c r="J17" s="62">
        <f>IFERROR('毛利-收入组成'!K41/'GMV表-商品大类'!J20,0)</f>
        <v>1.21599114950166</v>
      </c>
      <c r="K17" s="62">
        <f>'毛利-收入组成'!L41/'GMV表-商品大类'!K20</f>
        <v>0.0688577193495939</v>
      </c>
      <c r="L17" s="62">
        <f>IFERROR('毛利-收入组成'!M41/'GMV表-商品大类'!L20,0)</f>
        <v>0.0539252396688388</v>
      </c>
      <c r="M17" s="62">
        <f>'毛利-收入组成'!N41/'GMV表-商品大类'!M20</f>
        <v>0.051055538158536</v>
      </c>
      <c r="O17" s="143" t="s">
        <v>194</v>
      </c>
      <c r="P17" s="140">
        <f>'毛利-收入组成'!BA41/'GMV表-商品大类'!P20</f>
        <v>0.0255846649411016</v>
      </c>
      <c r="Q17" s="140">
        <f>'毛利-收入组成'!BB41/'GMV表-商品大类'!Q20</f>
        <v>0.00233964465271907</v>
      </c>
      <c r="R17" s="140">
        <f>'毛利-收入组成'!BC41/'GMV表-商品大类'!R20</f>
        <v>0.0383647307401088</v>
      </c>
      <c r="S17" s="140">
        <f>'毛利-收入组成'!BD41/'GMV表-商品大类'!S20</f>
        <v>0.0188068621649077</v>
      </c>
      <c r="T17" s="140">
        <f>'毛利-收入组成'!BE41/'GMV表-商品大类'!T20</f>
        <v>0.0219796439616214</v>
      </c>
      <c r="V17" s="143" t="s">
        <v>194</v>
      </c>
      <c r="W17" s="145">
        <f>'毛利-收入组成'!AM41/'GMV表-商品大类'!P20</f>
        <v>0.0342730403627564</v>
      </c>
      <c r="X17" s="145">
        <f>'毛利-收入组成'!AN41/'GMV表-商品大类'!Q20</f>
        <v>0.00262218725469916</v>
      </c>
      <c r="Y17" s="145">
        <f>'毛利-收入组成'!AO41/'GMV表-商品大类'!R20</f>
        <v>0.0433845554915513</v>
      </c>
      <c r="Z17" s="145">
        <f>'毛利-收入组成'!AP41/'GMV表-商品大类'!S20</f>
        <v>0.0186316625649064</v>
      </c>
      <c r="AA17" s="145">
        <f>'毛利-收入组成'!AQ41/'GMV表-商品大类'!T20</f>
        <v>0.0248054377272677</v>
      </c>
      <c r="AB17" s="137"/>
    </row>
    <row r="18" spans="1:28">
      <c r="A18" s="144">
        <v>45017</v>
      </c>
      <c r="B18" s="62">
        <f>'毛利-收入组成'!B42/'GMV表-商品大类'!B21</f>
        <v>0.0182347871286907</v>
      </c>
      <c r="C18" s="62">
        <f>'毛利-收入组成'!C42/'GMV表-商品大类'!C21</f>
        <v>0.00740859307817854</v>
      </c>
      <c r="D18" s="62">
        <f>'毛利-收入组成'!D42/'GMV表-商品大类'!D21</f>
        <v>0.0174911142460135</v>
      </c>
      <c r="E18" s="62">
        <f>'毛利-收入组成'!E42/'GMV表-商品大类'!E21</f>
        <v>0.0116850128187347</v>
      </c>
      <c r="F18" s="62">
        <f>'毛利-收入组成'!F42/'GMV表-商品大类'!F21</f>
        <v>0.0142790752367562</v>
      </c>
      <c r="H18" s="110">
        <v>45017</v>
      </c>
      <c r="I18" s="62">
        <f>'毛利-收入组成'!J42/'GMV表-商品大类'!I21</f>
        <v>0.0239298020516931</v>
      </c>
      <c r="J18" s="62">
        <f>IFERROR('毛利-收入组成'!K42/'GMV表-商品大类'!J21,0)</f>
        <v>0.812223614379085</v>
      </c>
      <c r="K18" s="62">
        <f>'毛利-收入组成'!L42/'GMV表-商品大类'!K21</f>
        <v>0.0907473898460908</v>
      </c>
      <c r="L18" s="62">
        <f>IFERROR('毛利-收入组成'!M42/'GMV表-商品大类'!L21,0)</f>
        <v>0.00524226513209083</v>
      </c>
      <c r="M18" s="62">
        <f>'毛利-收入组成'!N42/'GMV表-商品大类'!M21</f>
        <v>0.0456924619420697</v>
      </c>
      <c r="O18" s="143" t="s">
        <v>195</v>
      </c>
      <c r="P18" s="140">
        <f>'毛利-收入组成'!BA42/'GMV表-商品大类'!P21</f>
        <v>0.023255968661754</v>
      </c>
      <c r="Q18" s="140">
        <f>'毛利-收入组成'!BB42/'GMV表-商品大类'!Q21</f>
        <v>0.0029525567488334</v>
      </c>
      <c r="R18" s="140">
        <f>'毛利-收入组成'!BC42/'GMV表-商品大类'!R21</f>
        <v>0.0338662768005103</v>
      </c>
      <c r="S18" s="140">
        <f>'毛利-收入组成'!BD42/'GMV表-商品大类'!S21</f>
        <v>0.016773614060389</v>
      </c>
      <c r="T18" s="140">
        <f>'毛利-收入组成'!BE42/'GMV表-商品大类'!T21</f>
        <v>0.0202100233123167</v>
      </c>
      <c r="V18" s="143" t="s">
        <v>195</v>
      </c>
      <c r="W18" s="145">
        <f>'毛利-收入组成'!AM42/'GMV表-商品大类'!P21</f>
        <v>0.0312803485053549</v>
      </c>
      <c r="X18" s="145">
        <f>'毛利-收入组成'!AN42/'GMV表-商品大类'!Q21</f>
        <v>0.00326140728249923</v>
      </c>
      <c r="Y18" s="145">
        <f>'毛利-收入组成'!AO42/'GMV表-商品大类'!R21</f>
        <v>0.0390347557398669</v>
      </c>
      <c r="Z18" s="145">
        <f>'毛利-收入组成'!AP42/'GMV表-商品大类'!S21</f>
        <v>0.0167321517827994</v>
      </c>
      <c r="AA18" s="145">
        <f>'毛利-收入组成'!AQ42/'GMV表-商品大类'!T21</f>
        <v>0.0231334372719779</v>
      </c>
      <c r="AB18" s="137"/>
    </row>
    <row r="19" spans="1:28">
      <c r="A19" s="144">
        <v>45047</v>
      </c>
      <c r="B19" s="62">
        <f>'毛利-收入组成'!B43/'GMV表-商品大类'!B22</f>
        <v>0.0183144803100863</v>
      </c>
      <c r="C19" s="62">
        <f>'毛利-收入组成'!C43/'GMV表-商品大类'!C22</f>
        <v>0.0106825854718512</v>
      </c>
      <c r="D19" s="62">
        <f>'毛利-收入组成'!D43/'GMV表-商品大类'!D22</f>
        <v>0.0447228967850733</v>
      </c>
      <c r="E19" s="62">
        <f>'毛利-收入组成'!E43/'GMV表-商品大类'!E22</f>
        <v>0.0149992996312263</v>
      </c>
      <c r="F19" s="62">
        <f>'毛利-收入组成'!F43/'GMV表-商品大类'!F22</f>
        <v>0.0225559414714102</v>
      </c>
      <c r="H19" s="110">
        <v>45047</v>
      </c>
      <c r="I19" s="62">
        <f>'毛利-收入组成'!J43/'GMV表-商品大类'!I22</f>
        <v>0.0149591318184898</v>
      </c>
      <c r="J19" s="62">
        <f>IFERROR('毛利-收入组成'!K43/'GMV表-商品大类'!J22,0)</f>
        <v>1.02572901515152</v>
      </c>
      <c r="K19" s="62">
        <f>'毛利-收入组成'!L43/'GMV表-商品大类'!K22</f>
        <v>0.0550019286152828</v>
      </c>
      <c r="L19" s="62">
        <f>IFERROR('毛利-收入组成'!M43/'GMV表-商品大类'!L22,0)</f>
        <v>0.0495570711459888</v>
      </c>
      <c r="M19" s="62">
        <f>'毛利-收入组成'!N43/'GMV表-商品大类'!M22</f>
        <v>0.0368193610881794</v>
      </c>
      <c r="O19" s="143" t="s">
        <v>196</v>
      </c>
      <c r="P19" s="140">
        <f>'毛利-收入组成'!BA43/'GMV表-商品大类'!P22</f>
        <v>0.0214931318663288</v>
      </c>
      <c r="Q19" s="140">
        <f>'毛利-收入组成'!BB43/'GMV表-商品大类'!Q22</f>
        <v>0.00376869291804115</v>
      </c>
      <c r="R19" s="140">
        <f>'毛利-收入组成'!BC43/'GMV表-商品大类'!R22</f>
        <v>0.0356317513837411</v>
      </c>
      <c r="S19" s="140">
        <f>'毛利-收入组成'!BD43/'GMV表-商品大类'!S22</f>
        <v>0.0163291465222753</v>
      </c>
      <c r="T19" s="140">
        <f>'毛利-收入组成'!BE43/'GMV表-商品大类'!T22</f>
        <v>0.0207106531534449</v>
      </c>
      <c r="V19" s="143" t="s">
        <v>196</v>
      </c>
      <c r="W19" s="145">
        <f>'毛利-收入组成'!AM43/'GMV表-商品大类'!P22</f>
        <v>0.0270033242297161</v>
      </c>
      <c r="X19" s="145">
        <f>'毛利-收入组成'!AN43/'GMV表-商品大类'!Q22</f>
        <v>0.00414904371450117</v>
      </c>
      <c r="Y19" s="145">
        <f>'毛利-收入组成'!AO43/'GMV表-商品大类'!R22</f>
        <v>0.0406100497773265</v>
      </c>
      <c r="Z19" s="145">
        <f>'毛利-收入组成'!AP43/'GMV表-商品大类'!S22</f>
        <v>0.0167405620335558</v>
      </c>
      <c r="AA19" s="145">
        <f>'毛利-收入组成'!AQ43/'GMV表-商品大类'!T22</f>
        <v>0.0234328449231162</v>
      </c>
      <c r="AB19" s="137"/>
    </row>
    <row r="20" spans="1:28">
      <c r="A20" s="144">
        <v>45078</v>
      </c>
      <c r="B20" s="62">
        <f>'毛利-收入组成'!B44/'GMV表-商品大类'!B23</f>
        <v>0.0180409209868745</v>
      </c>
      <c r="C20" s="62">
        <f>'毛利-收入组成'!C44/'GMV表-商品大类'!C23</f>
        <v>0.0118873135708116</v>
      </c>
      <c r="D20" s="62">
        <f>'毛利-收入组成'!D44/'GMV表-商品大类'!D23</f>
        <v>0.0629502390469946</v>
      </c>
      <c r="E20" s="62">
        <f>'毛利-收入组成'!E44/'GMV表-商品大类'!E23</f>
        <v>0.0152382171269443</v>
      </c>
      <c r="F20" s="62">
        <f>'毛利-收入组成'!F44/'GMV表-商品大类'!F23</f>
        <v>0.0277204432872874</v>
      </c>
      <c r="H20" s="110">
        <v>45078</v>
      </c>
      <c r="I20" s="62">
        <f>'毛利-收入组成'!J44/'GMV表-商品大类'!I23</f>
        <v>0.0412480280382936</v>
      </c>
      <c r="J20" s="62">
        <f>IFERROR('毛利-收入组成'!K44/'GMV表-商品大类'!J23,0)</f>
        <v>1.00000001406887</v>
      </c>
      <c r="K20" s="62">
        <f>'毛利-收入组成'!L44/'GMV表-商品大类'!K23</f>
        <v>0.0703563009385649</v>
      </c>
      <c r="L20" s="62">
        <f>IFERROR('毛利-收入组成'!M44/'GMV表-商品大类'!L23,0)</f>
        <v>0.21727225804279</v>
      </c>
      <c r="M20" s="62">
        <f>'毛利-收入组成'!N44/'GMV表-商品大类'!M23</f>
        <v>0.0594747314211903</v>
      </c>
      <c r="O20" s="143" t="s">
        <v>197</v>
      </c>
      <c r="P20" s="140">
        <f>'毛利-收入组成'!BA44/'GMV表-商品大类'!P23</f>
        <v>0.0207750886791012</v>
      </c>
      <c r="Q20" s="140">
        <f>'毛利-收入组成'!BB44/'GMV表-商品大类'!Q23</f>
        <v>0.0047382667132415</v>
      </c>
      <c r="R20" s="140">
        <f>'毛利-收入组成'!BC44/'GMV表-商品大类'!R23</f>
        <v>0.0399858546452826</v>
      </c>
      <c r="S20" s="140">
        <f>'毛利-收入组成'!BD44/'GMV表-商品大类'!S23</f>
        <v>0.0160762512592601</v>
      </c>
      <c r="T20" s="140">
        <f>'毛利-收入组成'!BE44/'GMV表-商品大类'!T23</f>
        <v>0.0220079970531079</v>
      </c>
      <c r="V20" s="143" t="s">
        <v>197</v>
      </c>
      <c r="W20" s="145">
        <f>'毛利-收入组成'!AM44/'GMV表-商品大类'!P23</f>
        <v>0.026939399635231</v>
      </c>
      <c r="X20" s="145">
        <f>'毛利-收入组成'!AN44/'GMV表-商品大类'!Q23</f>
        <v>0.00516399909720739</v>
      </c>
      <c r="Y20" s="145">
        <f>'毛利-收入组成'!AO44/'GMV表-商品大类'!R23</f>
        <v>0.0463304473933565</v>
      </c>
      <c r="Z20" s="145">
        <f>'毛利-收入组成'!AP44/'GMV表-商品大类'!S23</f>
        <v>0.0165211273179808</v>
      </c>
      <c r="AA20" s="145">
        <f>'毛利-收入组成'!AQ44/'GMV表-商品大类'!T23</f>
        <v>0.0252620481633319</v>
      </c>
      <c r="AB20" s="137"/>
    </row>
    <row r="21" spans="1:28">
      <c r="A21" s="144">
        <v>45108</v>
      </c>
      <c r="B21" s="62">
        <f>'毛利-收入组成'!B45/'GMV表-商品大类'!B24</f>
        <v>0.0120047285886773</v>
      </c>
      <c r="C21" s="62">
        <f>'毛利-收入组成'!C45/'GMV表-商品大类'!C24</f>
        <v>0.0110976326796447</v>
      </c>
      <c r="D21" s="62">
        <f>'毛利-收入组成'!D45/'GMV表-商品大类'!D24</f>
        <v>0.0467578329547289</v>
      </c>
      <c r="E21" s="62">
        <f>'毛利-收入组成'!E45/'GMV表-商品大类'!E24</f>
        <v>0.0145646362448162</v>
      </c>
      <c r="F21" s="62">
        <f>'毛利-收入组成'!F45/'GMV表-商品大类'!F24</f>
        <v>0.0223612674211796</v>
      </c>
      <c r="H21" s="110">
        <v>45108</v>
      </c>
      <c r="I21" s="62">
        <f>'毛利-收入组成'!J45/'GMV表-商品大类'!I24</f>
        <v>0.0594822763392704</v>
      </c>
      <c r="J21" s="62">
        <f>IFERROR('毛利-收入组成'!K45/'GMV表-商品大类'!J24,0)</f>
        <v>0.74130374479889</v>
      </c>
      <c r="K21" s="62">
        <f>'毛利-收入组成'!L45/'GMV表-商品大类'!K24</f>
        <v>0.114724281087463</v>
      </c>
      <c r="L21" s="62">
        <f>IFERROR('毛利-收入组成'!M45/'GMV表-商品大类'!L24,0)</f>
        <v>0.341267705694259</v>
      </c>
      <c r="M21" s="62">
        <f>'毛利-收入组成'!N45/'GMV表-商品大类'!M24</f>
        <v>0.0797023846323347</v>
      </c>
      <c r="O21" s="143" t="s">
        <v>198</v>
      </c>
      <c r="P21" s="140">
        <f>'毛利-收入组成'!BA45/'GMV表-商品大类'!P24</f>
        <v>0.0194319903697911</v>
      </c>
      <c r="Q21" s="140">
        <f>'毛利-收入组成'!BB45/'GMV表-商品大类'!Q24</f>
        <v>0.0052116902785379</v>
      </c>
      <c r="R21" s="140">
        <f>'毛利-收入组成'!BC45/'GMV表-商品大类'!R24</f>
        <v>0.0408128043666795</v>
      </c>
      <c r="S21" s="140">
        <f>'毛利-收入组成'!BD45/'GMV表-商品大类'!S24</f>
        <v>0.0158296580127222</v>
      </c>
      <c r="T21" s="140">
        <f>'毛利-收入组成'!BE45/'GMV表-商品大类'!T24</f>
        <v>0.0220552871458549</v>
      </c>
      <c r="V21" s="143" t="s">
        <v>198</v>
      </c>
      <c r="W21" s="145">
        <f>'毛利-收入组成'!AM45/'GMV表-商品大类'!P24</f>
        <v>0.0261419522584253</v>
      </c>
      <c r="X21" s="145">
        <f>'毛利-收入组成'!AN45/'GMV表-商品大类'!Q24</f>
        <v>0.00562582597623444</v>
      </c>
      <c r="Y21" s="145">
        <f>'毛利-收入组成'!AO45/'GMV表-商品大类'!R24</f>
        <v>0.0467871395070754</v>
      </c>
      <c r="Z21" s="145">
        <f>'毛利-收入组成'!AP45/'GMV表-商品大类'!S24</f>
        <v>0.016449714089253</v>
      </c>
      <c r="AA21" s="145">
        <f>'毛利-收入组成'!AQ45/'GMV表-商品大类'!T24</f>
        <v>0.0253608699544236</v>
      </c>
      <c r="AB21" s="137"/>
    </row>
    <row r="22" spans="1:28">
      <c r="A22" s="144">
        <v>45139</v>
      </c>
      <c r="B22" s="62">
        <f>'毛利-收入组成'!B46/'GMV表-商品大类'!B25</f>
        <v>0.0198351944773066</v>
      </c>
      <c r="C22" s="62">
        <f>'毛利-收入组成'!C46/'GMV表-商品大类'!C25</f>
        <v>0.0192221233538192</v>
      </c>
      <c r="D22" s="62">
        <f>'毛利-收入组成'!D46/'GMV表-商品大类'!D25</f>
        <v>0.0332714869404527</v>
      </c>
      <c r="E22" s="62">
        <f>'毛利-收入组成'!E46/'GMV表-商品大类'!E25</f>
        <v>0.0226846469364323</v>
      </c>
      <c r="F22" s="62">
        <f>'毛利-收入组成'!F46/'GMV表-商品大类'!F25</f>
        <v>0.024783789130379</v>
      </c>
      <c r="H22" s="110">
        <v>45139</v>
      </c>
      <c r="I22" s="62">
        <f>'毛利-收入组成'!J46/'GMV表-商品大类'!I25</f>
        <v>0.0158495462865723</v>
      </c>
      <c r="J22" s="62">
        <f>IFERROR('毛利-收入组成'!K46/'GMV表-商品大类'!J25,0)</f>
        <v>1.00000000371363</v>
      </c>
      <c r="K22" s="62">
        <f>'毛利-收入组成'!L46/'GMV表-商品大类'!K25</f>
        <v>0.0729304508612449</v>
      </c>
      <c r="L22" s="62">
        <f>IFERROR('毛利-收入组成'!M46/'GMV表-商品大类'!L25,0)</f>
        <v>0.523240701528729</v>
      </c>
      <c r="M22" s="62">
        <f>'毛利-收入组成'!N46/'GMV表-商品大类'!M25</f>
        <v>0.0558707183640428</v>
      </c>
      <c r="O22" s="143" t="s">
        <v>199</v>
      </c>
      <c r="P22" s="140">
        <f>'毛利-收入组成'!BA46/'GMV表-商品大类'!P25</f>
        <v>0.0194917406821103</v>
      </c>
      <c r="Q22" s="140">
        <f>'毛利-收入组成'!BB46/'GMV表-商品大类'!Q25</f>
        <v>0.00616448463014485</v>
      </c>
      <c r="R22" s="140">
        <f>'毛利-收入组成'!BC46/'GMV表-商品大类'!R25</f>
        <v>0.0398624104719672</v>
      </c>
      <c r="S22" s="140">
        <f>'毛利-收入组成'!BD46/'GMV表-商品大类'!S25</f>
        <v>0.0168768198031619</v>
      </c>
      <c r="T22" s="140">
        <f>'毛利-收入组成'!BE46/'GMV表-商品大类'!T25</f>
        <v>0.0224110897305251</v>
      </c>
      <c r="V22" s="143" t="s">
        <v>199</v>
      </c>
      <c r="W22" s="145">
        <f>'毛利-收入组成'!AM46/'GMV表-商品大类'!P25</f>
        <v>0.0256717049610668</v>
      </c>
      <c r="X22" s="145">
        <f>'毛利-收入组成'!AN46/'GMV表-商品大类'!Q25</f>
        <v>0.00657544776261954</v>
      </c>
      <c r="Y22" s="145">
        <f>'毛利-收入组成'!AO46/'GMV表-商品大类'!R25</f>
        <v>0.0460558608728815</v>
      </c>
      <c r="Z22" s="145">
        <f>'毛利-收入组成'!AP46/'GMV表-商品大类'!S25</f>
        <v>0.0177263002972089</v>
      </c>
      <c r="AA22" s="145">
        <f>'毛利-收入组成'!AQ46/'GMV表-商品大类'!T25</f>
        <v>0.0257788993650741</v>
      </c>
      <c r="AB22" s="137"/>
    </row>
    <row r="23" spans="1:28">
      <c r="A23" s="144">
        <v>45170</v>
      </c>
      <c r="B23" s="62">
        <f>'毛利-收入组成'!B47/'GMV表-商品大类'!B26</f>
        <v>0.0164566739393168</v>
      </c>
      <c r="C23" s="62">
        <f>'毛利-收入组成'!C47/'GMV表-商品大类'!C26</f>
        <v>0.0141941889514415</v>
      </c>
      <c r="D23" s="62">
        <f>'毛利-收入组成'!D47/'GMV表-商品大类'!D26</f>
        <v>0.0307430114290455</v>
      </c>
      <c r="E23" s="62">
        <f>'毛利-收入组成'!E47/'GMV表-商品大类'!E26</f>
        <v>0.0105692674137996</v>
      </c>
      <c r="F23" s="62">
        <f>'毛利-收入组成'!F47/'GMV表-商品大类'!F26</f>
        <v>0.0184501997319155</v>
      </c>
      <c r="H23" s="110">
        <v>45170</v>
      </c>
      <c r="I23" s="62">
        <f>'毛利-收入组成'!J47/'GMV表-商品大类'!I26</f>
        <v>0.0274161028967467</v>
      </c>
      <c r="J23" s="62">
        <f>IFERROR('毛利-收入组成'!K47/'GMV表-商品大类'!J26,0)</f>
        <v>0.233279704114656</v>
      </c>
      <c r="K23" s="62">
        <f>'毛利-收入组成'!L47/'GMV表-商品大类'!K26</f>
        <v>0.128822133014779</v>
      </c>
      <c r="L23" s="62">
        <f>IFERROR('毛利-收入组成'!M47/'GMV表-商品大类'!L26,0)</f>
        <v>0.00502715791904253</v>
      </c>
      <c r="M23" s="62">
        <f>'毛利-收入组成'!N47/'GMV表-商品大类'!M26</f>
        <v>0.071946984076709</v>
      </c>
      <c r="O23" s="143" t="s">
        <v>200</v>
      </c>
      <c r="P23" s="140">
        <f>'毛利-收入组成'!BA47/'GMV表-商品大类'!P26</f>
        <v>0.0191589118213143</v>
      </c>
      <c r="Q23" s="140">
        <f>'毛利-收入组成'!BB47/'GMV表-商品大类'!Q26</f>
        <v>0.00657518532920016</v>
      </c>
      <c r="R23" s="140">
        <f>'毛利-收入组成'!BC47/'GMV表-商品大类'!R26</f>
        <v>0.0388878911397642</v>
      </c>
      <c r="S23" s="140">
        <f>'毛利-收入组成'!BD47/'GMV表-商品大类'!S26</f>
        <v>0.0161767565517103</v>
      </c>
      <c r="T23" s="140">
        <f>'毛利-收入组成'!BE47/'GMV表-商品大类'!T26</f>
        <v>0.0220134578324123</v>
      </c>
      <c r="V23" s="143" t="s">
        <v>200</v>
      </c>
      <c r="W23" s="145">
        <f>'毛利-收入组成'!AM47/'GMV表-商品大类'!P26</f>
        <v>0.0250678724576607</v>
      </c>
      <c r="X23" s="145">
        <f>'毛利-收入组成'!AN47/'GMV表-商品大类'!Q26</f>
        <v>0.00696878170935718</v>
      </c>
      <c r="Y23" s="145">
        <f>'毛利-收入组成'!AO47/'GMV表-商品大类'!R26</f>
        <v>0.0452722032609546</v>
      </c>
      <c r="Z23" s="145">
        <f>'毛利-收入组成'!AP47/'GMV表-商品大类'!S26</f>
        <v>0.0171818163588953</v>
      </c>
      <c r="AA23" s="145">
        <f>'毛利-收入组成'!AQ47/'GMV表-商品大类'!T26</f>
        <v>0.0254642725005605</v>
      </c>
      <c r="AB23" s="137"/>
    </row>
    <row r="24" spans="1:28">
      <c r="A24" s="144">
        <v>45200</v>
      </c>
      <c r="B24" s="62">
        <f>'毛利-收入组成'!B48/'GMV表-商品大类'!B27</f>
        <v>0.0135894087158479</v>
      </c>
      <c r="C24" s="62">
        <f>'毛利-收入组成'!C48/'GMV表-商品大类'!C27</f>
        <v>0.0253540612696943</v>
      </c>
      <c r="D24" s="62">
        <f>'毛利-收入组成'!D48/'GMV表-商品大类'!D27</f>
        <v>0.0454554529327438</v>
      </c>
      <c r="E24" s="62">
        <f>'毛利-收入组成'!E48/'GMV表-商品大类'!E27</f>
        <v>0.0159000587428811</v>
      </c>
      <c r="F24" s="62">
        <f>'毛利-收入组成'!F48/'GMV表-商品大类'!F27</f>
        <v>0.028568967520598</v>
      </c>
      <c r="H24" s="110">
        <v>45200</v>
      </c>
      <c r="I24" s="62">
        <f>'毛利-收入组成'!J48/'GMV表-商品大类'!I27</f>
        <v>0.0462758821703502</v>
      </c>
      <c r="J24" s="62">
        <f>IFERROR('毛利-收入组成'!K48/'GMV表-商品大类'!J27,0)</f>
        <v>1</v>
      </c>
      <c r="K24" s="62">
        <f>'毛利-收入组成'!L48/'GMV表-商品大类'!K27</f>
        <v>0.0515522286675516</v>
      </c>
      <c r="L24" s="62">
        <f>IFERROR('毛利-收入组成'!M48/'GMV表-商品大类'!L27,0)</f>
        <v>0.110798408658189</v>
      </c>
      <c r="M24" s="62">
        <f>'毛利-收入组成'!N48/'GMV表-商品大类'!M27</f>
        <v>0.0506748632855882</v>
      </c>
      <c r="O24" s="143" t="s">
        <v>201</v>
      </c>
      <c r="P24" s="140">
        <f>'毛利-收入组成'!BA48/'GMV表-商品大类'!P27</f>
        <v>0.0188845711533406</v>
      </c>
      <c r="Q24" s="140">
        <f>'毛利-收入组成'!BB48/'GMV表-商品大类'!Q27</f>
        <v>0.00725927254068717</v>
      </c>
      <c r="R24" s="140">
        <f>'毛利-收入组成'!BC48/'GMV表-商品大类'!R27</f>
        <v>0.0395255497587253</v>
      </c>
      <c r="S24" s="140">
        <f>'毛利-收入组成'!BD48/'GMV表-商品大类'!S27</f>
        <v>0.0161559459755665</v>
      </c>
      <c r="T24" s="140">
        <f>'毛利-收入组成'!BE48/'GMV表-商品大类'!T27</f>
        <v>0.0224807757553682</v>
      </c>
      <c r="V24" s="143" t="s">
        <v>201</v>
      </c>
      <c r="W24" s="145">
        <f>'毛利-收入组成'!AM48/'GMV表-商品大类'!P27</f>
        <v>0.025707089965885</v>
      </c>
      <c r="X24" s="145">
        <f>'毛利-收入组成'!AN48/'GMV表-商品大类'!Q27</f>
        <v>0.0075361692863168</v>
      </c>
      <c r="Y24" s="145">
        <f>'毛利-收入组成'!AO48/'GMV表-商品大类'!R27</f>
        <v>0.0458309217842048</v>
      </c>
      <c r="Z24" s="145">
        <f>'毛利-收入组成'!AP48/'GMV表-商品大类'!S27</f>
        <v>0.0174319071918591</v>
      </c>
      <c r="AA24" s="145">
        <f>'毛利-收入组成'!AQ48/'GMV表-商品大类'!T27</f>
        <v>0.026187094799041</v>
      </c>
      <c r="AB24" s="137"/>
    </row>
    <row r="25" spans="1:28">
      <c r="A25" s="144">
        <v>45231</v>
      </c>
      <c r="B25" s="62">
        <f>'毛利-收入组成'!B49/'GMV表-商品大类'!B28</f>
        <v>0.0235950242169897</v>
      </c>
      <c r="C25" s="62">
        <f>'毛利-收入组成'!C49/'GMV表-商品大类'!C28</f>
        <v>0.0178909047460795</v>
      </c>
      <c r="D25" s="62">
        <f>'毛利-收入组成'!D49/'GMV表-商品大类'!D28</f>
        <v>0.0454756414971619</v>
      </c>
      <c r="E25" s="62">
        <f>'毛利-收入组成'!E49/'GMV表-商品大类'!E28</f>
        <v>0.024925637270355</v>
      </c>
      <c r="F25" s="62">
        <f>'毛利-收入组成'!F49/'GMV表-商品大类'!F28</f>
        <v>0.0335708304750061</v>
      </c>
      <c r="H25" s="110">
        <v>45231</v>
      </c>
      <c r="I25" s="62">
        <f>'毛利-收入组成'!J49/'GMV表-商品大类'!I28</f>
        <v>0.0261354955734717</v>
      </c>
      <c r="J25" s="62">
        <f>IFERROR('毛利-收入组成'!K49/'GMV表-商品大类'!J28,0)</f>
        <v>0.204022884882108</v>
      </c>
      <c r="K25" s="62">
        <f>'毛利-收入组成'!L49/'GMV表-商品大类'!K28</f>
        <v>0.0614747173096823</v>
      </c>
      <c r="L25" s="62">
        <f>IFERROR('毛利-收入组成'!M49/'GMV表-商品大类'!L28,0)</f>
        <v>0.0550400611185124</v>
      </c>
      <c r="M25" s="62">
        <f>'毛利-收入组成'!N49/'GMV表-商品大类'!M28</f>
        <v>0.0557846423208419</v>
      </c>
      <c r="O25" s="143" t="s">
        <v>202</v>
      </c>
      <c r="P25" s="140">
        <f>'毛利-收入组成'!BA49/'GMV表-商品大类'!P28</f>
        <v>0.0192266596392414</v>
      </c>
      <c r="Q25" s="140">
        <f>'毛利-收入组成'!BB49/'GMV表-商品大类'!Q28</f>
        <v>0.00767235147656556</v>
      </c>
      <c r="R25" s="140">
        <f>'毛利-收入组成'!BC49/'GMV表-商品大类'!R28</f>
        <v>0.040195492573113</v>
      </c>
      <c r="S25" s="140">
        <f>'毛利-收入组成'!BD49/'GMV表-商品大类'!S28</f>
        <v>0.0167340700038019</v>
      </c>
      <c r="T25" s="140">
        <f>'毛利-收入组成'!BE49/'GMV表-商品大类'!T28</f>
        <v>0.0233472460763823</v>
      </c>
      <c r="V25" s="143" t="s">
        <v>202</v>
      </c>
      <c r="W25" s="145">
        <f>'毛利-收入组成'!AM49/'GMV表-商品大类'!P28</f>
        <v>0.0259986699955415</v>
      </c>
      <c r="X25" s="145">
        <f>'毛利-收入组成'!AN49/'GMV表-商品大类'!Q28</f>
        <v>0.00811463471613161</v>
      </c>
      <c r="Y25" s="145">
        <f>'毛利-收入组成'!AO49/'GMV表-商品大类'!R28</f>
        <v>0.048113820710693</v>
      </c>
      <c r="Z25" s="145">
        <f>'毛利-收入组成'!AP49/'GMV表-商品大类'!S28</f>
        <v>0.0179898319499211</v>
      </c>
      <c r="AA25" s="145">
        <f>'毛利-收入组成'!AQ49/'GMV表-商品大类'!T28</f>
        <v>0.0276298329035987</v>
      </c>
      <c r="AB25" s="137"/>
    </row>
    <row r="26" spans="1:28">
      <c r="A26" s="144">
        <v>45261</v>
      </c>
      <c r="B26" s="62">
        <f>'毛利-收入组成'!B50/'GMV表-商品大类'!B29</f>
        <v>0.0586348945469849</v>
      </c>
      <c r="C26" s="62">
        <f>'毛利-收入组成'!C50/'GMV表-商品大类'!C29</f>
        <v>0.0285485415814757</v>
      </c>
      <c r="D26" s="62">
        <f>'毛利-收入组成'!D50/'GMV表-商品大类'!D29</f>
        <v>0.063683529740975</v>
      </c>
      <c r="E26" s="62">
        <f>'毛利-收入组成'!E50/'GMV表-商品大类'!E29</f>
        <v>0.0699422519867355</v>
      </c>
      <c r="F26" s="62">
        <f>'毛利-收入组成'!F50/'GMV表-商品大类'!F29</f>
        <v>0.063007571552337</v>
      </c>
      <c r="H26" s="110">
        <v>45261</v>
      </c>
      <c r="I26" s="62">
        <f>'毛利-收入组成'!J50/'GMV表-商品大类'!I29</f>
        <v>0.113923884242909</v>
      </c>
      <c r="J26" s="62">
        <f>IFERROR('毛利-收入组成'!K50/'GMV表-商品大类'!J29,0)</f>
        <v>-0.3686802413273</v>
      </c>
      <c r="K26" s="62">
        <f>'毛利-收入组成'!L50/'GMV表-商品大类'!K29</f>
        <v>0.0629715704719164</v>
      </c>
      <c r="L26" s="62">
        <f>IFERROR('毛利-收入组成'!M50/'GMV表-商品大类'!L29,0)</f>
        <v>0.0499797767526877</v>
      </c>
      <c r="M26" s="62">
        <f>'毛利-收入组成'!N50/'GMV表-商品大类'!M29</f>
        <v>0.0775249588796612</v>
      </c>
      <c r="O26" s="143" t="s">
        <v>203</v>
      </c>
      <c r="P26" s="140">
        <f>'毛利-收入组成'!BA50/'GMV表-商品大类'!P29</f>
        <v>0.0210898951066318</v>
      </c>
      <c r="Q26" s="140">
        <f>'毛利-收入组成'!BB50/'GMV表-商品大类'!Q29</f>
        <v>0.00824434124124982</v>
      </c>
      <c r="R26" s="140">
        <f>'毛利-收入组成'!BC50/'GMV表-商品大类'!R29</f>
        <v>0.042140078366987</v>
      </c>
      <c r="S26" s="140">
        <f>'毛利-收入组成'!BD50/'GMV表-商品大类'!S29</f>
        <v>0.0199425168983453</v>
      </c>
      <c r="T26" s="140">
        <f>'毛利-收入组成'!BE50/'GMV表-商品大类'!T29</f>
        <v>0.0257548340554589</v>
      </c>
      <c r="V26" s="143" t="s">
        <v>203</v>
      </c>
      <c r="W26" s="145">
        <f>'毛利-收入组成'!AM50/'GMV表-商品大类'!P29</f>
        <v>0.0287988042050546</v>
      </c>
      <c r="X26" s="145">
        <f>'毛利-收入组成'!AN50/'GMV表-商品大类'!Q29</f>
        <v>0.00867983211050198</v>
      </c>
      <c r="Y26" s="145">
        <f>'毛利-收入组成'!AO50/'GMV表-商品大类'!R29</f>
        <v>0.0505774047092037</v>
      </c>
      <c r="Z26" s="145">
        <f>'毛利-收入组成'!AP50/'GMV表-商品大类'!S29</f>
        <v>0.0213299896575428</v>
      </c>
      <c r="AA26" s="145">
        <f>'毛利-收入组成'!AQ50/'GMV表-商品大类'!T29</f>
        <v>0.0304646151755965</v>
      </c>
      <c r="AB26" s="137"/>
    </row>
    <row r="27" spans="1:28">
      <c r="A27" s="146">
        <v>45292</v>
      </c>
      <c r="B27" s="62">
        <f>'毛利-收入组成'!B51/'GMV表-商品大类'!B30</f>
        <v>0.0103063266147617</v>
      </c>
      <c r="C27" s="62">
        <f>'毛利-收入组成'!C51/'GMV表-商品大类'!C30</f>
        <v>0.0177753579451683</v>
      </c>
      <c r="D27" s="62">
        <f>'毛利-收入组成'!D51/'GMV表-商品大类'!D30</f>
        <v>0.0559863151897772</v>
      </c>
      <c r="E27" s="62">
        <f>'毛利-收入组成'!E51/'GMV表-商品大类'!E30</f>
        <v>0.0196673114675027</v>
      </c>
      <c r="F27" s="62">
        <f>'毛利-收入组成'!F51/'GMV表-商品大类'!F30</f>
        <v>0.026448705976689</v>
      </c>
      <c r="H27" s="147">
        <v>45292</v>
      </c>
      <c r="I27" s="62">
        <f>'毛利-收入组成'!J51/'GMV表-商品大类'!I30</f>
        <v>0.0392996664371365</v>
      </c>
      <c r="J27" s="62">
        <f>IFERROR('毛利-收入组成'!K51/'GMV表-商品大类'!J30,0)</f>
        <v>1</v>
      </c>
      <c r="K27" s="62">
        <f>'毛利-收入组成'!L51/'GMV表-商品大类'!K30</f>
        <v>0.0981417204351664</v>
      </c>
      <c r="L27" s="62">
        <f>IFERROR('毛利-收入组成'!M51/'GMV表-商品大类'!L30,0)</f>
        <v>0.0499530072460591</v>
      </c>
      <c r="M27" s="62">
        <f>'毛利-收入组成'!N51/'GMV表-商品大类'!M30</f>
        <v>0.074155633233643</v>
      </c>
      <c r="O27" s="143" t="s">
        <v>204</v>
      </c>
      <c r="P27" s="140">
        <f>'毛利-收入组成'!BA51/'GMV表-商品大类'!P30</f>
        <v>0.0103063266147617</v>
      </c>
      <c r="Q27" s="140">
        <f>'毛利-收入组成'!BB51/'GMV表-商品大类'!Q30</f>
        <v>0.0177753579451683</v>
      </c>
      <c r="R27" s="140">
        <f>'毛利-收入组成'!BC51/'GMV表-商品大类'!R30</f>
        <v>0.0559863151897772</v>
      </c>
      <c r="S27" s="140">
        <f>'毛利-收入组成'!BD51/'GMV表-商品大类'!S30</f>
        <v>0.0196673114675027</v>
      </c>
      <c r="T27" s="140">
        <f>'毛利-收入组成'!BE51/'GMV表-商品大类'!T30</f>
        <v>0.026448705976689</v>
      </c>
      <c r="V27" s="143" t="s">
        <v>204</v>
      </c>
      <c r="W27" s="145">
        <f>'毛利-收入组成'!AM51/'GMV表-商品大类'!P30</f>
        <v>0.0165248040764758</v>
      </c>
      <c r="X27" s="145">
        <f>'毛利-收入组成'!AN51/'GMV表-商品大类'!Q30</f>
        <v>0.0213011108778632</v>
      </c>
      <c r="Y27" s="145">
        <f>'毛利-收入组成'!AO51/'GMV表-商品大类'!R30</f>
        <v>0.0761787159464477</v>
      </c>
      <c r="Z27" s="145">
        <f>'毛利-收入组成'!AP51/'GMV表-商品大类'!S30</f>
        <v>0.0183312591821651</v>
      </c>
      <c r="AA27" s="145">
        <f>'毛利-收入组成'!AQ51/'GMV表-商品大类'!T30</f>
        <v>0.0332323849261689</v>
      </c>
      <c r="AB27" s="137"/>
    </row>
    <row r="28" spans="1:28">
      <c r="A28" s="146">
        <v>45323</v>
      </c>
      <c r="B28" s="62">
        <f>'毛利-收入组成'!B52/'GMV表-商品大类'!B31</f>
        <v>0.0263992863575773</v>
      </c>
      <c r="C28" s="62">
        <f>'毛利-收入组成'!C52/'GMV表-商品大类'!C31</f>
        <v>0.0185415880091344</v>
      </c>
      <c r="D28" s="62">
        <f>'毛利-收入组成'!D52/'GMV表-商品大类'!D31</f>
        <v>0.0297970353999552</v>
      </c>
      <c r="E28" s="62">
        <f>'毛利-收入组成'!E52/'GMV表-商品大类'!E31</f>
        <v>0.00843337321760957</v>
      </c>
      <c r="F28" s="62">
        <f>'毛利-收入组成'!F52/'GMV表-商品大类'!F31</f>
        <v>0.0197996170980148</v>
      </c>
      <c r="H28" s="147">
        <v>45323</v>
      </c>
      <c r="I28" s="62">
        <f>'毛利-收入组成'!J52/'GMV表-商品大类'!I31</f>
        <v>0.0534489088078312</v>
      </c>
      <c r="J28" s="62">
        <f>IFERROR('毛利-收入组成'!K52/'GMV表-商品大类'!J31,0)</f>
        <v>0</v>
      </c>
      <c r="K28" s="62">
        <f>'毛利-收入组成'!L52/'GMV表-商品大类'!K31</f>
        <v>0.0783439397757198</v>
      </c>
      <c r="L28" s="62">
        <f>IFERROR('毛利-收入组成'!M52/'GMV表-商品大类'!L31,0)</f>
        <v>0.0895571492022668</v>
      </c>
      <c r="M28" s="62">
        <f>'毛利-收入组成'!N52/'GMV表-商品大类'!M31</f>
        <v>0.0633314590593336</v>
      </c>
      <c r="O28" s="143" t="s">
        <v>205</v>
      </c>
      <c r="P28" s="140">
        <f>'毛利-收入组成'!BA52/'GMV表-商品大类'!P31</f>
        <v>0.0178392056732965</v>
      </c>
      <c r="Q28" s="140">
        <f>'毛利-收入组成'!BB52/'GMV表-商品大类'!Q31</f>
        <v>0.0181382469204685</v>
      </c>
      <c r="R28" s="140">
        <f>'毛利-收入组成'!BC52/'GMV表-商品大类'!R31</f>
        <v>0.0433236181450157</v>
      </c>
      <c r="S28" s="140">
        <f>'毛利-收入组成'!BD52/'GMV表-商品大类'!S31</f>
        <v>0.0143042569794532</v>
      </c>
      <c r="T28" s="140">
        <f>'毛利-收入组成'!BE52/'GMV表-商品大类'!T31</f>
        <v>0.0232825089429812</v>
      </c>
      <c r="V28" s="143" t="s">
        <v>205</v>
      </c>
      <c r="W28" s="145">
        <f>'毛利-收入组成'!AM52/'GMV表-商品大类'!P31</f>
        <v>0.0362420512121234</v>
      </c>
      <c r="X28" s="145">
        <f>'毛利-收入组成'!AN52/'GMV表-商品大类'!Q31</f>
        <v>0.0209256726093383</v>
      </c>
      <c r="Y28" s="145">
        <f>'毛利-收入组成'!AO52/'GMV表-商品大类'!R31</f>
        <v>0.0598634315894608</v>
      </c>
      <c r="Z28" s="145">
        <f>'毛利-收入组成'!AP52/'GMV表-商品大类'!S31</f>
        <v>0.0139403446602277</v>
      </c>
      <c r="AA28" s="145">
        <f>'毛利-收入组成'!AQ52/'GMV表-商品大类'!T31</f>
        <v>0.0328427883104698</v>
      </c>
      <c r="AB28" s="137"/>
    </row>
    <row r="29" spans="1:28">
      <c r="A29" s="146">
        <v>45352</v>
      </c>
      <c r="B29" s="62">
        <f>'毛利-收入组成'!B53/'GMV表-商品大类'!B32</f>
        <v>0.0182786449275625</v>
      </c>
      <c r="C29" s="62">
        <f>'毛利-收入组成'!C53/'GMV表-商品大类'!C32</f>
        <v>0.0104479331466462</v>
      </c>
      <c r="D29" s="62">
        <f>'毛利-收入组成'!D53/'GMV表-商品大类'!D32</f>
        <v>0.0548530373528423</v>
      </c>
      <c r="E29" s="62">
        <f>'毛利-收入组成'!E53/'GMV表-商品大类'!E32</f>
        <v>0.0235794100314381</v>
      </c>
      <c r="F29" s="62">
        <f>'毛利-收入组成'!F53/'GMV表-商品大类'!F32</f>
        <v>0.0329596537064343</v>
      </c>
      <c r="H29" s="147">
        <v>45352</v>
      </c>
      <c r="I29" s="62">
        <f>'毛利-收入组成'!J53/'GMV表-商品大类'!I32</f>
        <v>0.0654257044128436</v>
      </c>
      <c r="J29" s="62">
        <f>IFERROR('毛利-收入组成'!K53/'GMV表-商品大类'!J32,0)</f>
        <v>0</v>
      </c>
      <c r="K29" s="62">
        <f>'毛利-收入组成'!L53/'GMV表-商品大类'!K32</f>
        <v>0.0832957662707259</v>
      </c>
      <c r="L29" s="62">
        <f>IFERROR('毛利-收入组成'!M53/'GMV表-商品大类'!L32,0)</f>
        <v>0.106692530172995</v>
      </c>
      <c r="M29" s="62">
        <f>'毛利-收入组成'!N53/'GMV表-商品大类'!M32</f>
        <v>0.0759408974498156</v>
      </c>
      <c r="O29" s="143" t="s">
        <v>206</v>
      </c>
      <c r="P29" s="140">
        <f>'毛利-收入组成'!BA53/'GMV表-商品大类'!P32</f>
        <v>0.0179071720412433</v>
      </c>
      <c r="Q29" s="140">
        <f>'毛利-收入组成'!BB53/'GMV表-商品大类'!Q32</f>
        <v>0.015370485595463</v>
      </c>
      <c r="R29" s="140">
        <f>'毛利-收入组成'!BC53/'GMV表-商品大类'!R32</f>
        <v>0.0474749190861161</v>
      </c>
      <c r="S29" s="140">
        <f>'毛利-收入组成'!BD53/'GMV表-商品大类'!S32</f>
        <v>0.0172264024375781</v>
      </c>
      <c r="T29" s="140">
        <f>'毛利-收入组成'!BE53/'GMV表-商品大类'!T32</f>
        <v>0.0261329833099856</v>
      </c>
      <c r="V29" s="143" t="s">
        <v>206</v>
      </c>
      <c r="W29" s="145">
        <f>'毛利-收入组成'!AM53/'GMV表-商品大类'!P32</f>
        <v>0.0378376086582572</v>
      </c>
      <c r="X29" s="145">
        <f>'毛利-收入组成'!AN53/'GMV表-商品大类'!Q32</f>
        <v>0.0192003047486328</v>
      </c>
      <c r="Y29" s="145">
        <f>'毛利-收入组成'!AO53/'GMV表-商品大类'!R32</f>
        <v>0.0620837441124525</v>
      </c>
      <c r="Z29" s="145">
        <f>'毛利-收入组成'!AP53/'GMV表-商品大类'!S32</f>
        <v>0.0217095166019941</v>
      </c>
      <c r="AA29" s="145">
        <f>'毛利-收入组成'!AQ53/'GMV表-商品大类'!T32</f>
        <v>0.037115984460661</v>
      </c>
      <c r="AB29" s="137"/>
    </row>
    <row r="30" spans="1:28">
      <c r="A30" s="146">
        <v>45383</v>
      </c>
      <c r="B30" s="62">
        <f>'毛利-收入组成'!B54/'GMV表-商品大类'!B33</f>
        <v>0.0147618642857651</v>
      </c>
      <c r="C30" s="62">
        <f>'毛利-收入组成'!C54/'GMV表-商品大类'!C33</f>
        <v>0.00507241825802231</v>
      </c>
      <c r="D30" s="62">
        <f>'毛利-收入组成'!D54/'GMV表-商品大类'!D33</f>
        <v>0.00655535062467775</v>
      </c>
      <c r="E30" s="62">
        <f>'毛利-收入组成'!E54/'GMV表-商品大类'!E33</f>
        <v>0.0237923327388499</v>
      </c>
      <c r="F30" s="62">
        <f>'毛利-收入组成'!F54/'GMV表-商品大类'!F33</f>
        <v>0.0132515704092645</v>
      </c>
      <c r="H30" s="147">
        <v>45383</v>
      </c>
      <c r="I30" s="62">
        <f>'毛利-收入组成'!J54/'GMV表-商品大类'!I33</f>
        <v>0.0565157787949739</v>
      </c>
      <c r="J30" s="62">
        <f>IFERROR('毛利-收入组成'!K54/'GMV表-商品大类'!J33,0)</f>
        <v>0</v>
      </c>
      <c r="K30" s="62">
        <f>'毛利-收入组成'!L54/'GMV表-商品大类'!K33</f>
        <v>0.0969703287895912</v>
      </c>
      <c r="L30" s="62">
        <f>IFERROR('毛利-收入组成'!M54/'GMV表-商品大类'!L33,0)</f>
        <v>-0.0153657062002944</v>
      </c>
      <c r="M30" s="62">
        <f>'毛利-收入组成'!N54/'GMV表-商品大类'!M33</f>
        <v>0.0691694245116505</v>
      </c>
      <c r="O30" s="143" t="s">
        <v>207</v>
      </c>
      <c r="P30" s="140">
        <f>'毛利-收入组成'!BA54/'GMV表-商品大类'!P33</f>
        <v>0.0175473973478044</v>
      </c>
      <c r="Q30" s="140">
        <f>'毛利-收入组成'!BB54/'GMV表-商品大类'!Q33</f>
        <v>0.0137881031584607</v>
      </c>
      <c r="R30" s="140">
        <f>'毛利-收入组成'!BC54/'GMV表-商品大类'!R33</f>
        <v>0.0366903477178827</v>
      </c>
      <c r="S30" s="140">
        <f>'毛利-收入组成'!BD54/'GMV表-商品大类'!S33</f>
        <v>0.0182428568881626</v>
      </c>
      <c r="T30" s="140">
        <f>'毛利-收入组成'!BE54/'GMV表-商品大类'!T33</f>
        <v>0.0237937700866636</v>
      </c>
      <c r="V30" s="143" t="s">
        <v>207</v>
      </c>
      <c r="W30" s="145">
        <f>'毛利-收入组成'!AM54/'GMV表-商品大类'!P33</f>
        <v>0.0400599107368434</v>
      </c>
      <c r="X30" s="145">
        <f>'毛利-收入组成'!AN54/'GMV表-商品大类'!Q33</f>
        <v>0.0133170314760958</v>
      </c>
      <c r="Y30" s="145">
        <f>'毛利-收入组成'!AO54/'GMV表-商品大类'!R33</f>
        <v>0.0514338083037086</v>
      </c>
      <c r="Z30" s="145">
        <f>'毛利-收入组成'!AP54/'GMV表-商品大类'!S33</f>
        <v>0.0225745258585114</v>
      </c>
      <c r="AA30" s="145">
        <f>'毛利-收入组成'!AQ54/'GMV表-商品大类'!T33</f>
        <v>0.0350621250223165</v>
      </c>
      <c r="AB30" s="137"/>
    </row>
    <row r="31" spans="1:28">
      <c r="A31" s="146">
        <v>45413</v>
      </c>
      <c r="B31" s="62">
        <f>'毛利-收入组成'!B55/'GMV表-商品大类'!B34</f>
        <v>0.0335411564833696</v>
      </c>
      <c r="C31" s="62">
        <f>'毛利-收入组成'!C55/'GMV表-商品大类'!C34</f>
        <v>0.00378624838962948</v>
      </c>
      <c r="D31" s="62">
        <f>'毛利-收入组成'!D55/'GMV表-商品大类'!D34</f>
        <v>0.0190750148616894</v>
      </c>
      <c r="E31" s="62">
        <f>'毛利-收入组成'!E55/'GMV表-商品大类'!E34</f>
        <v>0.00878082117297387</v>
      </c>
      <c r="F31" s="62">
        <f>'毛利-收入组成'!F55/'GMV表-商品大类'!F34</f>
        <v>0.0171033925436988</v>
      </c>
      <c r="H31" s="147">
        <v>45413</v>
      </c>
      <c r="I31" s="62">
        <f>'毛利-收入组成'!J55/'GMV表-商品大类'!I34</f>
        <v>0.0338218047325304</v>
      </c>
      <c r="J31" s="62">
        <f>IFERROR('毛利-收入组成'!K55/'GMV表-商品大类'!J34,0)</f>
        <v>0</v>
      </c>
      <c r="K31" s="62">
        <f>'毛利-收入组成'!L55/'GMV表-商品大类'!K34</f>
        <v>0.118501964630761</v>
      </c>
      <c r="L31" s="62">
        <f>IFERROR('毛利-收入组成'!M55/'GMV表-商品大类'!L34,0)</f>
        <v>0.0419481717070967</v>
      </c>
      <c r="M31" s="62">
        <f>'毛利-收入组成'!N55/'GMV表-商品大类'!M34</f>
        <v>0.080081496977826</v>
      </c>
      <c r="O31" s="143" t="s">
        <v>208</v>
      </c>
      <c r="P31" s="140">
        <f>'毛利-收入组成'!BA55/'GMV表-商品大类'!P34</f>
        <v>0.0201899457578179</v>
      </c>
      <c r="Q31" s="140">
        <f>'毛利-收入组成'!BB55/'GMV表-商品大类'!Q34</f>
        <v>0.012759946705537</v>
      </c>
      <c r="R31" s="140">
        <f>'毛利-收入组成'!BC55/'GMV表-商品大类'!R34</f>
        <v>0.032311828414322</v>
      </c>
      <c r="S31" s="140">
        <f>'毛利-收入组成'!BD55/'GMV表-商品大类'!S34</f>
        <v>0.0163643893467057</v>
      </c>
      <c r="T31" s="140">
        <f>'毛利-收入组成'!BE55/'GMV表-商品大类'!T34</f>
        <v>0.0224365579592373</v>
      </c>
      <c r="V31" s="143" t="s">
        <v>208</v>
      </c>
      <c r="W31" s="145">
        <f>'毛利-收入组成'!AM55/'GMV表-商品大类'!P34</f>
        <v>0.0414313647153782</v>
      </c>
      <c r="X31" s="145">
        <f>'毛利-收入组成'!AN55/'GMV表-商品大类'!Q34</f>
        <v>0.011509078252288</v>
      </c>
      <c r="Y31" s="145">
        <f>'毛利-收入组成'!AO55/'GMV表-商品大类'!R34</f>
        <v>0.0502022787961083</v>
      </c>
      <c r="Z31" s="145">
        <f>'毛利-收入组成'!AP55/'GMV表-商品大类'!S34</f>
        <v>0.0201786971125246</v>
      </c>
      <c r="AA31" s="145">
        <f>'毛利-收入组成'!AQ55/'GMV表-商品大类'!T34</f>
        <v>0.0343567617901547</v>
      </c>
      <c r="AB31" s="137"/>
    </row>
    <row r="32" spans="1:28">
      <c r="A32" s="146">
        <v>45444</v>
      </c>
      <c r="B32" s="62">
        <f>'毛利-收入组成'!B56/'GMV表-商品大类'!B35</f>
        <v>0.0104931404384548</v>
      </c>
      <c r="C32" s="62">
        <f>'毛利-收入组成'!C56/'GMV表-商品大类'!C35</f>
        <v>0.0113307824457086</v>
      </c>
      <c r="D32" s="62">
        <f>'毛利-收入组成'!D56/'GMV表-商品大类'!D35</f>
        <v>0.0134432091893734</v>
      </c>
      <c r="E32" s="62">
        <f>'毛利-收入组成'!E56/'GMV表-商品大类'!E35</f>
        <v>0.0168100663963608</v>
      </c>
      <c r="F32" s="62">
        <f>'毛利-收入组成'!F56/'GMV表-商品大类'!F35</f>
        <v>0.014036941340558</v>
      </c>
      <c r="H32" s="147">
        <v>45444</v>
      </c>
      <c r="I32" s="62">
        <f>'毛利-收入组成'!J56/'GMV表-商品大类'!I35</f>
        <v>0.0335642089456965</v>
      </c>
      <c r="J32" s="62">
        <f>IFERROR('毛利-收入组成'!K56/'GMV表-商品大类'!J35,0)</f>
        <v>0</v>
      </c>
      <c r="K32" s="62">
        <f>'毛利-收入组成'!L56/'GMV表-商品大类'!K35</f>
        <v>0.033644863256185</v>
      </c>
      <c r="L32" s="62">
        <f>IFERROR('毛利-收入组成'!M56/'GMV表-商品大类'!L35,0)</f>
        <v>0.0501629619521637</v>
      </c>
      <c r="M32" s="62">
        <f>'毛利-收入组成'!N56/'GMV表-商品大类'!M35</f>
        <v>0.0342196313970923</v>
      </c>
      <c r="O32" s="143" t="s">
        <v>209</v>
      </c>
      <c r="P32" s="140">
        <f>'毛利-收入组成'!BA56/'GMV表-商品大类'!P35</f>
        <v>0.018318443879968</v>
      </c>
      <c r="Q32" s="140">
        <f>'毛利-收入组成'!BB56/'GMV表-商品大类'!Q35</f>
        <v>0.0126753966923156</v>
      </c>
      <c r="R32" s="140">
        <f>'毛利-收入组成'!BC56/'GMV表-商品大类'!R35</f>
        <v>0.0280776366282125</v>
      </c>
      <c r="S32" s="140">
        <f>'毛利-收入组成'!BD56/'GMV表-商品大类'!S35</f>
        <v>0.0164472367943191</v>
      </c>
      <c r="T32" s="140">
        <f>'毛利-收入组成'!BE56/'GMV表-商品大类'!T35</f>
        <v>0.0208056001947424</v>
      </c>
      <c r="V32" s="143" t="s">
        <v>209</v>
      </c>
      <c r="W32" s="145">
        <f>'毛利-收入组成'!AM56/'GMV表-商品大类'!P35</f>
        <v>0.0398596722472707</v>
      </c>
      <c r="X32" s="145">
        <f>'毛利-收入组成'!AN56/'GMV表-商品大类'!Q35</f>
        <v>0.0119685084382096</v>
      </c>
      <c r="Y32" s="145">
        <f>'毛利-收入组成'!AO56/'GMV表-商品大类'!R35</f>
        <v>0.0437486870456842</v>
      </c>
      <c r="Z32" s="145">
        <f>'毛利-收入组成'!AP56/'GMV表-商品大类'!S35</f>
        <v>0.0202698800866559</v>
      </c>
      <c r="AA32" s="145">
        <f>'毛利-收入组成'!AQ56/'GMV表-商品大类'!T35</f>
        <v>0.03225345905187</v>
      </c>
      <c r="AB32" s="137"/>
    </row>
    <row r="33" spans="1:28">
      <c r="A33" s="146">
        <v>45474</v>
      </c>
      <c r="B33" s="62">
        <f>'毛利-收入组成'!B57/'GMV表-商品大类'!B36</f>
        <v>0.0174687651000563</v>
      </c>
      <c r="C33" s="62">
        <f>'毛利-收入组成'!C57/'GMV表-商品大类'!C36</f>
        <v>0.00765845266245582</v>
      </c>
      <c r="D33" s="62">
        <f>'毛利-收入组成'!D57/'GMV表-商品大类'!D36</f>
        <v>0.0420341504254117</v>
      </c>
      <c r="E33" s="62">
        <f>'毛利-收入组成'!E57/'GMV表-商品大类'!E36</f>
        <v>0.0298619880528469</v>
      </c>
      <c r="F33" s="62">
        <f>'毛利-收入组成'!F57/'GMV表-商品大类'!F36</f>
        <v>0.0298433536811909</v>
      </c>
      <c r="H33" s="147">
        <v>45474</v>
      </c>
      <c r="I33" s="62">
        <f>'毛利-收入组成'!J57/'GMV表-商品大类'!I36</f>
        <v>0.0240770559213102</v>
      </c>
      <c r="J33" s="62">
        <f>IFERROR('毛利-收入组成'!K57/'GMV表-商品大类'!J36,0)</f>
        <v>0</v>
      </c>
      <c r="K33" s="62">
        <f>'毛利-收入组成'!L57/'GMV表-商品大类'!K36</f>
        <v>0.0765507542194792</v>
      </c>
      <c r="L33" s="62">
        <f>IFERROR('毛利-收入组成'!M57/'GMV表-商品大类'!L36,0)</f>
        <v>0.0826958569792134</v>
      </c>
      <c r="M33" s="62">
        <f>'毛利-收入组成'!N57/'GMV表-商品大类'!M36</f>
        <v>0.047230512016628</v>
      </c>
      <c r="O33" s="143" t="s">
        <v>210</v>
      </c>
      <c r="P33" s="140">
        <f>'毛利-收入组成'!BA57/'GMV表-商品大类'!P36</f>
        <v>0.0181512074443011</v>
      </c>
      <c r="Q33" s="140">
        <f>'毛利-收入组成'!BB57/'GMV表-商品大类'!Q36</f>
        <v>0.0123813018927189</v>
      </c>
      <c r="R33" s="140">
        <f>'毛利-收入组成'!BC57/'GMV表-商品大类'!R36</f>
        <v>0.0299819779632951</v>
      </c>
      <c r="S33" s="140">
        <f>'毛利-收入组成'!BD57/'GMV表-商品大类'!S36</f>
        <v>0.0187698929385408</v>
      </c>
      <c r="T33" s="140">
        <f>'毛利-收入组成'!BE57/'GMV表-商品大类'!T36</f>
        <v>0.0222486352560588</v>
      </c>
      <c r="V33" s="143" t="s">
        <v>210</v>
      </c>
      <c r="W33" s="145">
        <f>'毛利-收入组成'!AM57/'GMV表-商品大类'!P36</f>
        <v>0.0363077857848688</v>
      </c>
      <c r="X33" s="145">
        <f>'毛利-收入组成'!AN57/'GMV表-商品大类'!Q36</f>
        <v>0.0107528635174669</v>
      </c>
      <c r="Y33" s="145">
        <f>'毛利-收入组成'!AO57/'GMV表-商品大类'!R36</f>
        <v>0.0443673463934079</v>
      </c>
      <c r="Z33" s="145">
        <f>'毛利-收入组成'!AP57/'GMV表-商品大类'!S36</f>
        <v>0.0232911677974885</v>
      </c>
      <c r="AA33" s="145">
        <f>'毛利-收入组成'!AQ57/'GMV表-商品大类'!T36</f>
        <v>0.0328283753988914</v>
      </c>
      <c r="AB33" s="137"/>
    </row>
    <row r="34" spans="1:28">
      <c r="A34" s="146">
        <v>45505</v>
      </c>
      <c r="B34" s="62">
        <f>'毛利-收入组成'!B58/'GMV表-商品大类'!B37</f>
        <v>0.0281155286207626</v>
      </c>
      <c r="C34" s="62">
        <f>'毛利-收入组成'!C58/'GMV表-商品大类'!C37</f>
        <v>0.00670886555569273</v>
      </c>
      <c r="D34" s="62">
        <f>'毛利-收入组成'!D58/'GMV表-商品大类'!D37</f>
        <v>0.01725040845546</v>
      </c>
      <c r="E34" s="62">
        <f>'毛利-收入组成'!E58/'GMV表-商品大类'!E37</f>
        <v>0.0198640518541174</v>
      </c>
      <c r="F34" s="62">
        <f>'毛利-收入组成'!F58/'GMV表-商品大类'!F37</f>
        <v>0.0196463841196826</v>
      </c>
      <c r="H34" s="147">
        <v>45505</v>
      </c>
      <c r="I34" s="62">
        <f>'毛利-收入组成'!J58/'GMV表-商品大类'!I37</f>
        <v>0.0297132335951604</v>
      </c>
      <c r="J34" s="62">
        <f>IFERROR('毛利-收入组成'!K58/'GMV表-商品大类'!J37,0)</f>
        <v>0</v>
      </c>
      <c r="K34" s="62">
        <f>'毛利-收入组成'!L58/'GMV表-商品大类'!K37</f>
        <v>0.0585900020299913</v>
      </c>
      <c r="L34" s="62">
        <f>IFERROR('毛利-收入组成'!M58/'GMV表-商品大类'!L37,0)</f>
        <v>0.0937296901617194</v>
      </c>
      <c r="M34" s="62">
        <f>'毛利-收入组成'!N58/'GMV表-商品大类'!M37</f>
        <v>0.0408500769833171</v>
      </c>
      <c r="O34" s="143" t="s">
        <v>211</v>
      </c>
      <c r="P34" s="140">
        <f>'毛利-收入组成'!BA58/'GMV表-商品大类'!P37</f>
        <v>0.0191040881083069</v>
      </c>
      <c r="Q34" s="140">
        <f>'毛利-收入组成'!BB58/'GMV表-商品大类'!Q37</f>
        <v>0.0118648833115332</v>
      </c>
      <c r="R34" s="140">
        <f>'毛利-收入组成'!BC58/'GMV表-商品大类'!R37</f>
        <v>0.0281621470719086</v>
      </c>
      <c r="S34" s="140">
        <f>'毛利-收入组成'!BD58/'GMV表-商品大类'!S37</f>
        <v>0.0189176775420088</v>
      </c>
      <c r="T34" s="140">
        <f>'毛利-收入组成'!BE58/'GMV表-商品大类'!T37</f>
        <v>0.0219164136993887</v>
      </c>
      <c r="V34" s="143" t="s">
        <v>211</v>
      </c>
      <c r="W34" s="145">
        <f>'毛利-收入组成'!AM58/'GMV表-商品大类'!P37</f>
        <v>0.0371313710560264</v>
      </c>
      <c r="X34" s="145">
        <f>'毛利-收入组成'!AN58/'GMV表-商品大类'!Q37</f>
        <v>0.0101341337944858</v>
      </c>
      <c r="Y34" s="145">
        <f>'毛利-收入组成'!AO58/'GMV表-商品大类'!R37</f>
        <v>0.044509313005847</v>
      </c>
      <c r="Z34" s="145">
        <f>'毛利-收入组成'!AP58/'GMV表-商品大类'!S37</f>
        <v>0.0234062704793936</v>
      </c>
      <c r="AA34" s="145">
        <f>'毛利-收入组成'!AQ58/'GMV表-商品大类'!T37</f>
        <v>0.0331221385024184</v>
      </c>
      <c r="AB34" s="137"/>
    </row>
    <row r="35" spans="1:28">
      <c r="A35" s="146">
        <v>45536</v>
      </c>
      <c r="B35" s="62">
        <f>'毛利-收入组成'!B59/'GMV表-商品大类'!B38</f>
        <v>0.0374875822484492</v>
      </c>
      <c r="C35" s="62">
        <f>'毛利-收入组成'!C59/'GMV表-商品大类'!C38</f>
        <v>0.0402272486609601</v>
      </c>
      <c r="D35" s="62">
        <f>'毛利-收入组成'!D59/'GMV表-商品大类'!D38</f>
        <v>0.0132715096795047</v>
      </c>
      <c r="E35" s="62">
        <f>'毛利-收入组成'!E59/'GMV表-商品大类'!E38</f>
        <v>0.025085766161387</v>
      </c>
      <c r="F35" s="62">
        <f>'毛利-收入组成'!F59/'GMV表-商品大类'!F38</f>
        <v>0.0221351928264798</v>
      </c>
      <c r="H35" s="147">
        <v>45536</v>
      </c>
      <c r="I35" s="62">
        <f>'毛利-收入组成'!J59/'GMV表-商品大类'!I38</f>
        <v>0.0421750017904161</v>
      </c>
      <c r="J35" s="62">
        <f>IFERROR('毛利-收入组成'!K59/'GMV表-商品大类'!J38,0)</f>
        <v>0</v>
      </c>
      <c r="K35" s="62">
        <f>'毛利-收入组成'!L59/'GMV表-商品大类'!K38</f>
        <v>0.0623489419985138</v>
      </c>
      <c r="L35" s="62">
        <f>IFERROR('毛利-收入组成'!M59/'GMV表-商品大类'!L38,0)</f>
        <v>0.0249764556286599</v>
      </c>
      <c r="M35" s="62">
        <f>'毛利-收入组成'!N59/'GMV表-商品大类'!M38</f>
        <v>0.0420231954700633</v>
      </c>
      <c r="O35" s="143" t="s">
        <v>212</v>
      </c>
      <c r="P35" s="140">
        <f>'毛利-收入组成'!BA59/'GMV表-商品大类'!P38</f>
        <v>0.0202093797860093</v>
      </c>
      <c r="Q35" s="140">
        <f>'毛利-收入组成'!BB59/'GMV表-商品大类'!Q38</f>
        <v>0.013115073985504</v>
      </c>
      <c r="R35" s="140">
        <f>'毛利-收入组成'!BC59/'GMV表-商品大类'!R38</f>
        <v>0.0266956994999152</v>
      </c>
      <c r="S35" s="140">
        <f>'毛利-收入组成'!BD59/'GMV表-商品大类'!S38</f>
        <v>0.0194263417015517</v>
      </c>
      <c r="T35" s="140">
        <f>'毛利-收入组成'!BE59/'GMV表-商品大类'!T38</f>
        <v>0.0219343620275426</v>
      </c>
      <c r="V35" s="143" t="s">
        <v>212</v>
      </c>
      <c r="W35" s="145">
        <f>'毛利-收入组成'!AM59/'GMV表-商品大类'!P38</f>
        <v>0.0379294357675929</v>
      </c>
      <c r="X35" s="145">
        <f>'毛利-收入组成'!AN59/'GMV表-商品大类'!Q38</f>
        <v>0.014557291075343</v>
      </c>
      <c r="Y35" s="145">
        <f>'毛利-收入组成'!AO59/'GMV表-商品大类'!R38</f>
        <v>0.0423616512135179</v>
      </c>
      <c r="Z35" s="145">
        <f>'毛利-收入组成'!AP59/'GMV表-商品大类'!S38</f>
        <v>0.0241247782759904</v>
      </c>
      <c r="AA35" s="145">
        <f>'毛利-收入组成'!AQ59/'GMV表-商品大类'!T38</f>
        <v>0.033081756300237</v>
      </c>
      <c r="AB35" s="137"/>
    </row>
    <row r="36" spans="1:28">
      <c r="A36" s="146">
        <v>45566</v>
      </c>
      <c r="B36" s="62">
        <f>'毛利-收入组成'!B60/'GMV表-商品大类'!B39</f>
        <v>0.055687198361906</v>
      </c>
      <c r="C36" s="62">
        <f>'毛利-收入组成'!C60/'GMV表-商品大类'!C39</f>
        <v>-0.00540744091311061</v>
      </c>
      <c r="D36" s="62">
        <f>'毛利-收入组成'!D60/'GMV表-商品大类'!D39</f>
        <v>0.00626884450323201</v>
      </c>
      <c r="E36" s="62">
        <f>'毛利-收入组成'!E60/'GMV表-商品大类'!E39</f>
        <v>0.0260773971279864</v>
      </c>
      <c r="F36" s="62">
        <f>'毛利-收入组成'!F60/'GMV表-商品大类'!F39</f>
        <v>0.0221011532314841</v>
      </c>
      <c r="H36" s="147">
        <v>45566</v>
      </c>
      <c r="I36" s="62">
        <f>'毛利-收入组成'!J60/'GMV表-商品大类'!I39</f>
        <v>0.0386457824057541</v>
      </c>
      <c r="J36" s="62">
        <f>IFERROR('毛利-收入组成'!K60/'GMV表-商品大类'!J39,0)</f>
        <v>0</v>
      </c>
      <c r="K36" s="62">
        <f>'毛利-收入组成'!L60/'GMV表-商品大类'!K39</f>
        <v>0.0420331845572614</v>
      </c>
      <c r="L36" s="62">
        <f>IFERROR('毛利-收入组成'!M60/'GMV表-商品大类'!L39,0)</f>
        <v>0.196915088017956</v>
      </c>
      <c r="M36" s="62">
        <f>'毛利-收入组成'!N60/'GMV表-商品大类'!M39</f>
        <v>0.0462512773533971</v>
      </c>
      <c r="O36" s="143" t="s">
        <v>213</v>
      </c>
      <c r="P36" s="140">
        <f>'毛利-收入组成'!BA60/'GMV表-商品大类'!P39</f>
        <v>0.0224386616090406</v>
      </c>
      <c r="Q36" s="140">
        <f>'毛利-收入组成'!BB60/'GMV表-商品大类'!Q39</f>
        <v>0.0125346609466528</v>
      </c>
      <c r="R36" s="140">
        <f>'毛利-收入组成'!BC60/'GMV表-商品大类'!R39</f>
        <v>0.0248406294413457</v>
      </c>
      <c r="S36" s="140">
        <f>'毛利-收入组成'!BD60/'GMV表-商品大类'!S39</f>
        <v>0.0200556148072141</v>
      </c>
      <c r="T36" s="140">
        <f>'毛利-收入组成'!BE60/'GMV表-商品大类'!T39</f>
        <v>0.0219484149461006</v>
      </c>
      <c r="V36" s="143" t="s">
        <v>213</v>
      </c>
      <c r="W36" s="145">
        <f>'毛利-收入组成'!AM60/'GMV表-商品大类'!P39</f>
        <v>0.0396991697915674</v>
      </c>
      <c r="X36" s="145">
        <f>'毛利-收入组成'!AN60/'GMV表-商品大类'!Q39</f>
        <v>0.0150484191600491</v>
      </c>
      <c r="Y36" s="145">
        <f>'毛利-收入组成'!AO60/'GMV表-商品大类'!R39</f>
        <v>0.0410042392190243</v>
      </c>
      <c r="Z36" s="145">
        <f>'毛利-收入组成'!AP60/'GMV表-商品大类'!S39</f>
        <v>0.0246745282613966</v>
      </c>
      <c r="AA36" s="145">
        <f>'毛利-收入组成'!AQ60/'GMV表-商品大类'!T39</f>
        <v>0.0331794354344661</v>
      </c>
      <c r="AB36" s="137"/>
    </row>
    <row r="37" spans="1:28">
      <c r="A37" s="146">
        <v>45597</v>
      </c>
      <c r="B37" s="62">
        <f>'毛利-收入组成'!B61/'GMV表-商品大类'!B40</f>
        <v>0.0337290228725057</v>
      </c>
      <c r="C37" s="62">
        <f>'毛利-收入组成'!C61/'GMV表-商品大类'!C40</f>
        <v>0.0309552660865406</v>
      </c>
      <c r="D37" s="62">
        <f>'毛利-收入组成'!D61/'GMV表-商品大类'!D40</f>
        <v>0.00688168876211031</v>
      </c>
      <c r="E37" s="62">
        <f>'毛利-收入组成'!E61/'GMV表-商品大类'!E40</f>
        <v>0.0174959048701592</v>
      </c>
      <c r="F37" s="62">
        <f>'毛利-收入组成'!F61/'GMV表-商品大类'!F40</f>
        <v>0.0154727398514346</v>
      </c>
      <c r="H37" s="147">
        <v>45597</v>
      </c>
      <c r="I37" s="62">
        <f>'毛利-收入组成'!J61/'GMV表-商品大类'!I40</f>
        <v>0.044425143865325</v>
      </c>
      <c r="J37" s="62">
        <f>IFERROR('毛利-收入组成'!K61/'GMV表-商品大类'!J40,0)</f>
        <v>0</v>
      </c>
      <c r="K37" s="62">
        <f>'毛利-收入组成'!L61/'GMV表-商品大类'!K40</f>
        <v>0.0666435096731948</v>
      </c>
      <c r="L37" s="62">
        <f>IFERROR('毛利-收入组成'!M61/'GMV表-商品大类'!L40,0)</f>
        <v>0.137881147069971</v>
      </c>
      <c r="M37" s="62">
        <f>'毛利-收入组成'!N61/'GMV表-商品大类'!M40</f>
        <v>0.0619928708910036</v>
      </c>
      <c r="O37" s="143" t="s">
        <v>214</v>
      </c>
      <c r="P37" s="140">
        <f>'毛利-收入组成'!BA61/'GMV表-商品大类'!P40</f>
        <v>0.023106781010896</v>
      </c>
      <c r="Q37" s="140">
        <f>'毛利-收入组成'!BB61/'GMV表-商品大类'!Q40</f>
        <v>0.0129491988554845</v>
      </c>
      <c r="R37" s="140">
        <f>'毛利-收入组成'!BC61/'GMV表-商品大类'!R40</f>
        <v>0.0231915400853161</v>
      </c>
      <c r="S37" s="140">
        <f>'毛利-收入组成'!BD61/'GMV表-商品大类'!S40</f>
        <v>0.0198312194778465</v>
      </c>
      <c r="T37" s="140">
        <f>'毛利-收入组成'!BE61/'GMV表-商品大类'!T40</f>
        <v>0.0214232547662852</v>
      </c>
      <c r="V37" s="143" t="s">
        <v>214</v>
      </c>
      <c r="W37" s="145">
        <f>'毛利-收入组成'!AM61/'GMV表-商品大类'!P40</f>
        <v>0.0409917913595403</v>
      </c>
      <c r="X37" s="145">
        <f>'毛利-收入组成'!AN61/'GMV表-商品大类'!Q40</f>
        <v>0.0175133332972521</v>
      </c>
      <c r="Y37" s="145">
        <f>'毛利-收入组成'!AO61/'GMV表-商品大类'!R40</f>
        <v>0.0403708642887313</v>
      </c>
      <c r="Z37" s="145">
        <f>'毛利-收入组成'!AP61/'GMV表-商品大类'!S40</f>
        <v>0.0244659229086894</v>
      </c>
      <c r="AA37" s="145">
        <f>'毛利-收入组成'!AQ61/'GMV表-商品大类'!T40</f>
        <v>0.0332367259729953</v>
      </c>
      <c r="AB37" s="137"/>
    </row>
    <row r="38" spans="1:28">
      <c r="A38" s="146">
        <v>45627</v>
      </c>
      <c r="B38" s="62">
        <f>'毛利-收入组成'!B62/'GMV表-商品大类'!B41</f>
        <v>0.0772575544991068</v>
      </c>
      <c r="C38" s="62">
        <f>'毛利-收入组成'!C62/'GMV表-商品大类'!C41</f>
        <v>0.00398633888765952</v>
      </c>
      <c r="D38" s="62">
        <f>'毛利-收入组成'!D62/'GMV表-商品大类'!D41</f>
        <v>-0.00175971480145209</v>
      </c>
      <c r="E38" s="62">
        <f>'毛利-收入组成'!E62/'GMV表-商品大类'!E41</f>
        <v>0.0535456008933113</v>
      </c>
      <c r="F38" s="62">
        <f>'毛利-收入组成'!F62/'GMV表-商品大类'!F41</f>
        <v>0.0308451524168974</v>
      </c>
      <c r="H38" s="147">
        <v>45627</v>
      </c>
      <c r="I38" s="62">
        <f>'毛利-收入组成'!J62/'GMV表-商品大类'!I41</f>
        <v>0.175739249753111</v>
      </c>
      <c r="J38" s="62">
        <f>IFERROR('毛利-收入组成'!K62/'GMV表-商品大类'!J41,0)</f>
        <v>0</v>
      </c>
      <c r="K38" s="62">
        <f>'毛利-收入组成'!L62/'GMV表-商品大类'!K41</f>
        <v>0.0515497790958796</v>
      </c>
      <c r="L38" s="62">
        <f>IFERROR('毛利-收入组成'!M62/'GMV表-商品大类'!L41,0)</f>
        <v>0.174119361455383</v>
      </c>
      <c r="M38" s="62">
        <f>'毛利-收入组成'!N62/'GMV表-商品大类'!M41</f>
        <v>0.123703751951374</v>
      </c>
      <c r="O38" s="143" t="s">
        <v>215</v>
      </c>
      <c r="P38" s="140">
        <f>'毛利-收入组成'!BA62/'GMV表-商品大类'!P41</f>
        <v>0.0249884065448967</v>
      </c>
      <c r="Q38" s="140">
        <f>'毛利-收入组成'!BB62/'GMV表-商品大类'!Q41</f>
        <v>0.0127741009390054</v>
      </c>
      <c r="R38" s="140">
        <f>'毛利-收入组成'!BC62/'GMV表-商品大类'!R41</f>
        <v>0.0224452749667441</v>
      </c>
      <c r="S38" s="140">
        <f>'毛利-收入组成'!BD62/'GMV表-商品大类'!S41</f>
        <v>0.0226733573591614</v>
      </c>
      <c r="T38" s="140">
        <f>'毛利-收入组成'!BE62/'GMV表-商品大类'!T41</f>
        <v>0.0226344450837779</v>
      </c>
      <c r="V38" s="143" t="s">
        <v>215</v>
      </c>
      <c r="W38" s="145">
        <f>'毛利-收入组成'!AM62/'GMV表-商品大类'!P41</f>
        <v>0.0463926754394308</v>
      </c>
      <c r="X38" s="145">
        <f>'毛利-收入组成'!AN62/'GMV表-商品大类'!Q41</f>
        <v>0.0172009164018954</v>
      </c>
      <c r="Y38" s="145">
        <f>'毛利-收入组成'!AO62/'GMV表-商品大类'!R41</f>
        <v>0.037256778377546</v>
      </c>
      <c r="Z38" s="145">
        <f>'毛利-收入组成'!AP62/'GMV表-商品大类'!S41</f>
        <v>0.0272456852745711</v>
      </c>
      <c r="AA38" s="145">
        <f>'毛利-收入组成'!AQ62/'GMV表-商品大类'!T41</f>
        <v>0.0341397512698011</v>
      </c>
      <c r="AB38" s="137"/>
    </row>
    <row r="39" spans="1:28">
      <c r="A39" s="148">
        <v>45658</v>
      </c>
      <c r="B39" s="62">
        <f>'毛利-收入组成'!B63/'GMV表-商品大类'!B42</f>
        <v>0.0437539989462828</v>
      </c>
      <c r="C39" s="62">
        <f>'毛利-收入组成'!C63/'GMV表-商品大类'!C42</f>
        <v>0.00514658962689348</v>
      </c>
      <c r="D39" s="62">
        <f>'毛利-收入组成'!D63/'GMV表-商品大类'!D42</f>
        <v>0.0175867777978306</v>
      </c>
      <c r="E39" s="62">
        <f>'毛利-收入组成'!E63/'GMV表-商品大类'!E42</f>
        <v>0.0135660864675336</v>
      </c>
      <c r="F39" s="62">
        <f>'毛利-收入组成'!F63/'GMV表-商品大类'!F42</f>
        <v>0.0198109443025651</v>
      </c>
      <c r="H39" s="147">
        <v>45658</v>
      </c>
      <c r="I39" s="62">
        <f>'毛利-收入组成'!J63/'GMV表-商品大类'!I42</f>
        <v>0.0295958882998086</v>
      </c>
      <c r="J39" s="62" t="e">
        <f>'毛利-收入组成'!K63/'GMV表-商品大类'!J42</f>
        <v>#DIV/0!</v>
      </c>
      <c r="K39" s="62">
        <f>'毛利-收入组成'!L63/'GMV表-商品大类'!K42</f>
        <v>0.0335188472457373</v>
      </c>
      <c r="L39" s="62">
        <f>'毛利-收入组成'!M63/'GMV表-商品大类'!L42</f>
        <v>0.0281509481820408</v>
      </c>
      <c r="M39" s="62">
        <f>'毛利-收入组成'!N63/'GMV表-商品大类'!M42</f>
        <v>0.0306446903496743</v>
      </c>
      <c r="O39" s="143" t="s">
        <v>216</v>
      </c>
      <c r="P39" s="140">
        <f>'毛利-收入组成'!BA63/'GMV表-商品大类'!P42</f>
        <v>0.0437539989462828</v>
      </c>
      <c r="Q39" s="140">
        <f>'毛利-收入组成'!BB63/'GMV表-商品大类'!Q42</f>
        <v>0.00514658962689348</v>
      </c>
      <c r="R39" s="140">
        <f>'毛利-收入组成'!BC63/'GMV表-商品大类'!R42</f>
        <v>0.0175867777978306</v>
      </c>
      <c r="S39" s="140">
        <f>'毛利-收入组成'!BD63/'GMV表-商品大类'!S42</f>
        <v>0.0135660864675336</v>
      </c>
      <c r="T39" s="140">
        <f>'毛利-收入组成'!BE63/'GMV表-商品大类'!T42</f>
        <v>0.0198109443025651</v>
      </c>
      <c r="V39" s="143" t="s">
        <v>216</v>
      </c>
      <c r="W39" s="145">
        <f>'毛利-收入组成'!AM63/'GMV表-商品大类'!P42</f>
        <v>0.0536568212028174</v>
      </c>
      <c r="X39" s="145">
        <f>'毛利-收入组成'!AN63/'GMV表-商品大类'!Q42</f>
        <v>0.0275584074308936</v>
      </c>
      <c r="Y39" s="145">
        <f>'毛利-收入组成'!AO63/'GMV表-商品大类'!R42</f>
        <v>0.031414755765235</v>
      </c>
      <c r="Z39" s="145">
        <f>'毛利-收入组成'!AP63/'GMV表-商品大类'!S42</f>
        <v>0.0212645455125934</v>
      </c>
      <c r="AA39" s="145">
        <f>'毛利-收入组成'!AQ63/'GMV表-商品大类'!T42</f>
        <v>0.029872061474465</v>
      </c>
      <c r="AB39" s="137"/>
    </row>
    <row r="40" spans="1:28">
      <c r="A40" s="148">
        <v>45689</v>
      </c>
      <c r="B40" s="62">
        <f>'毛利-收入组成'!B64/'GMV表-商品大类'!B43</f>
        <v>0.0334176770233472</v>
      </c>
      <c r="C40" s="62">
        <f>'毛利-收入组成'!C64/'GMV表-商品大类'!C43</f>
        <v>0.0065674588415628</v>
      </c>
      <c r="D40" s="62">
        <f>'毛利-收入组成'!D64/'GMV表-商品大类'!D43</f>
        <v>0.0192464292055651</v>
      </c>
      <c r="E40" s="62">
        <f>'毛利-收入组成'!E64/'GMV表-商品大类'!E43</f>
        <v>0.0437048139729558</v>
      </c>
      <c r="F40" s="62">
        <f>'毛利-收入组成'!F64/'GMV表-商品大类'!F43</f>
        <v>0.0334420714781178</v>
      </c>
      <c r="H40" s="147">
        <v>45689</v>
      </c>
      <c r="I40" s="62">
        <f>'毛利-收入组成'!J64/'GMV表-商品大类'!I43</f>
        <v>0.0261958354020645</v>
      </c>
      <c r="J40" s="62" t="e">
        <f>'毛利-收入组成'!K64/'GMV表-商品大类'!J43</f>
        <v>#DIV/0!</v>
      </c>
      <c r="K40" s="62">
        <f>'毛利-收入组成'!L64/'GMV表-商品大类'!K43</f>
        <v>0.0412955385705764</v>
      </c>
      <c r="L40" s="62">
        <f>'毛利-收入组成'!M64/'GMV表-商品大类'!L43</f>
        <v>0.0321034150297543</v>
      </c>
      <c r="M40" s="62">
        <f>'毛利-收入组成'!N64/'GMV表-商品大类'!M43</f>
        <v>0.0323821151001624</v>
      </c>
      <c r="O40" s="143" t="s">
        <v>217</v>
      </c>
      <c r="P40" s="140">
        <f>'毛利-收入组成'!BA64/'GMV表-商品大类'!P43</f>
        <v>0.0401902261889742</v>
      </c>
      <c r="Q40" s="140">
        <f>'毛利-收入组成'!BB64/'GMV表-商品大类'!Q43</f>
        <v>0.00594849050326221</v>
      </c>
      <c r="R40" s="140">
        <f>'毛利-收入组成'!BC64/'GMV表-商品大类'!R43</f>
        <v>0.0183803175622875</v>
      </c>
      <c r="S40" s="140">
        <f>'毛利-收入组成'!BD64/'GMV表-商品大类'!S43</f>
        <v>0.0268967827862307</v>
      </c>
      <c r="T40" s="140">
        <f>'毛利-收入组成'!BE64/'GMV表-商品大类'!T43</f>
        <v>0.0258264225591587</v>
      </c>
      <c r="V40" s="143" t="s">
        <v>217</v>
      </c>
      <c r="W40" s="145">
        <f>'毛利-收入组成'!AM64/'GMV表-商品大类'!P43</f>
        <v>0.0595888439923193</v>
      </c>
      <c r="X40" s="145">
        <f>'毛利-收入组成'!AN64/'GMV表-商品大类'!Q43</f>
        <v>0.0213565740765409</v>
      </c>
      <c r="Y40" s="145">
        <f>'毛利-收入组成'!AO64/'GMV表-商品大类'!R43</f>
        <v>0.0340957906891503</v>
      </c>
      <c r="Z40" s="145">
        <f>'毛利-收入组成'!AP64/'GMV表-商品大类'!S43</f>
        <v>0.0366786594871122</v>
      </c>
      <c r="AA40" s="145">
        <f>'毛利-收入组成'!AQ64/'GMV表-商品大类'!T43</f>
        <v>0.0389649437049732</v>
      </c>
      <c r="AB40" s="137"/>
    </row>
    <row r="41" spans="1:28">
      <c r="A41" s="148">
        <v>45717</v>
      </c>
      <c r="B41" s="62">
        <f>'毛利-收入组成'!B65/'GMV表-商品大类'!B44</f>
        <v>0.027063229323515</v>
      </c>
      <c r="C41" s="62">
        <f>'毛利-收入组成'!C65/'GMV表-商品大类'!C44</f>
        <v>0.0300957747650007</v>
      </c>
      <c r="D41" s="62">
        <f>'毛利-收入组成'!D65/'GMV表-商品大类'!D44</f>
        <v>0.027787716229539</v>
      </c>
      <c r="E41" s="62">
        <f>'毛利-收入组成'!E65/'GMV表-商品大类'!E44</f>
        <v>0.0225501924045652</v>
      </c>
      <c r="F41" s="62">
        <f>'毛利-收入组成'!F65/'GMV表-商品大类'!F44</f>
        <v>0.0245091885791205</v>
      </c>
      <c r="H41" s="147">
        <v>45717</v>
      </c>
      <c r="I41" s="62">
        <f>'毛利-收入组成'!J65/'GMV表-商品大类'!I44</f>
        <v>0.0209118020639358</v>
      </c>
      <c r="J41" s="62" t="e">
        <f>'毛利-收入组成'!K65/'GMV表-商品大类'!J44</f>
        <v>#DIV/0!</v>
      </c>
      <c r="K41" s="62">
        <f>'毛利-收入组成'!L65/'GMV表-商品大类'!K44</f>
        <v>0.0702237812261652</v>
      </c>
      <c r="L41" s="62">
        <f>'毛利-收入组成'!M65/'GMV表-商品大类'!L44</f>
        <v>0.0108986873078801</v>
      </c>
      <c r="M41" s="62">
        <f>'毛利-收入组成'!N65/'GMV表-商品大类'!M44</f>
        <v>0.0271401734453055</v>
      </c>
      <c r="O41" s="143" t="s">
        <v>218</v>
      </c>
      <c r="P41" s="140">
        <f>'毛利-收入组成'!BA65/'GMV表-商品大类'!P44</f>
        <v>0.0368651166805117</v>
      </c>
      <c r="Q41" s="140">
        <f>'毛利-收入组成'!BB65/'GMV表-商品大类'!Q44</f>
        <v>0.0101650375045562</v>
      </c>
      <c r="R41" s="140">
        <f>'毛利-收入组成'!BC65/'GMV表-商品大类'!R44</f>
        <v>0.0214498516252291</v>
      </c>
      <c r="S41" s="140">
        <f>'毛利-收入组成'!BD65/'GMV表-商品大类'!S44</f>
        <v>0.0252241998105544</v>
      </c>
      <c r="T41" s="140">
        <f>'毛利-收入组成'!BE65/'GMV表-商品大类'!T44</f>
        <v>0.025368797807146</v>
      </c>
      <c r="V41" s="143" t="s">
        <v>218</v>
      </c>
      <c r="W41" s="145">
        <f>'毛利-收入组成'!AM65/'GMV表-商品大类'!P44</f>
        <v>0.0546745251210735</v>
      </c>
      <c r="X41" s="145">
        <f>'毛利-收入组成'!AN65/'GMV表-商品大类'!Q44</f>
        <v>0.0351301233596665</v>
      </c>
      <c r="Y41" s="145">
        <f>'毛利-收入组成'!AO65/'GMV表-商品大类'!R44</f>
        <v>0.0384158555334727</v>
      </c>
      <c r="Z41" s="145">
        <f>'毛利-收入组成'!AP65/'GMV表-商品大类'!S44</f>
        <v>0.0330165000883368</v>
      </c>
      <c r="AA41" s="145">
        <f>'毛利-收入组成'!AQ65/'GMV表-商品大类'!T44</f>
        <v>0.0374496874375713</v>
      </c>
      <c r="AB41" s="137"/>
    </row>
    <row r="42" spans="1:28">
      <c r="A42" s="148">
        <v>45748</v>
      </c>
      <c r="B42" s="62">
        <f>'毛利-收入组成'!B66/'GMV表-商品大类'!B45</f>
        <v>0.0195223094307012</v>
      </c>
      <c r="C42" s="62">
        <f>'毛利-收入组成'!C66/'GMV表-商品大类'!C45</f>
        <v>0.05122064514358</v>
      </c>
      <c r="D42" s="62">
        <f>'毛利-收入组成'!D66/'GMV表-商品大类'!D45</f>
        <v>0.0285398958855064</v>
      </c>
      <c r="E42" s="62">
        <f>'毛利-收入组成'!E66/'GMV表-商品大类'!E45</f>
        <v>0.0177784827969427</v>
      </c>
      <c r="F42" s="62">
        <f>'毛利-收入组成'!F66/'GMV表-商品大类'!F45</f>
        <v>0.0212630204561324</v>
      </c>
      <c r="H42" s="147">
        <v>45748</v>
      </c>
      <c r="I42" s="62">
        <f>'毛利-收入组成'!J66/'GMV表-商品大类'!I45</f>
        <v>0.0137599993424429</v>
      </c>
      <c r="J42" s="62" t="e">
        <f>'毛利-收入组成'!K66/'GMV表-商品大类'!J45</f>
        <v>#DIV/0!</v>
      </c>
      <c r="K42" s="62">
        <f>'毛利-收入组成'!L66/'GMV表-商品大类'!K45</f>
        <v>0.0466762055799602</v>
      </c>
      <c r="L42" s="62">
        <f>'毛利-收入组成'!M66/'GMV表-商品大类'!L45</f>
        <v>0.0114956541281183</v>
      </c>
      <c r="M42" s="62">
        <f>'毛利-收入组成'!N66/'GMV表-商品大类'!M45</f>
        <v>0.0187247866749413</v>
      </c>
      <c r="O42" s="143" t="s">
        <v>219</v>
      </c>
      <c r="P42" s="140">
        <f>'毛利-收入组成'!BA66/'GMV表-商品大类'!P45</f>
        <v>0.0328690701332972</v>
      </c>
      <c r="Q42" s="140">
        <f>'毛利-收入组成'!BB66/'GMV表-商品大类'!Q45</f>
        <v>0.0148251423431135</v>
      </c>
      <c r="R42" s="140">
        <f>'毛利-收入组成'!BC66/'GMV表-商品大类'!R45</f>
        <v>0.0230813229349814</v>
      </c>
      <c r="S42" s="140">
        <f>'毛利-收入组成'!BD66/'GMV表-商品大类'!S45</f>
        <v>0.0233701215824033</v>
      </c>
      <c r="T42" s="140">
        <f>'毛利-收入组成'!BE66/'GMV表-商品大类'!T45</f>
        <v>0.0243857652840475</v>
      </c>
      <c r="V42" s="143" t="s">
        <v>219</v>
      </c>
      <c r="W42" s="145">
        <f>'毛利-收入组成'!AM66/'GMV表-商品大类'!P45</f>
        <v>0.0487023962582396</v>
      </c>
      <c r="X42" s="145">
        <f>'毛利-收入组成'!AN66/'GMV表-商品大类'!Q45</f>
        <v>0.0430217853093734</v>
      </c>
      <c r="Y42" s="145">
        <f>'毛利-收入组成'!AO66/'GMV表-商品大类'!R45</f>
        <v>0.0391387177840843</v>
      </c>
      <c r="Z42" s="145">
        <f>'毛利-收入组成'!AP66/'GMV表-商品大类'!S45</f>
        <v>0.0305672745919184</v>
      </c>
      <c r="AA42" s="145">
        <f>'毛利-收入组成'!AQ66/'GMV表-商品大类'!T45</f>
        <v>0.0355662027546429</v>
      </c>
      <c r="AB42" s="137"/>
    </row>
    <row r="43" spans="1:28">
      <c r="A43" s="148">
        <v>45778</v>
      </c>
      <c r="B43" s="62">
        <f>'毛利-收入组成'!B67/'GMV表-商品大类'!B46</f>
        <v>0.0232866476802671</v>
      </c>
      <c r="C43" s="62">
        <f>'毛利-收入组成'!C67/'GMV表-商品大类'!C46</f>
        <v>0.052160428141502</v>
      </c>
      <c r="D43" s="62">
        <f>'毛利-收入组成'!D67/'GMV表-商品大类'!D46</f>
        <v>0.0313540004096132</v>
      </c>
      <c r="E43" s="62">
        <f>'毛利-收入组成'!E67/'GMV表-商品大类'!E46</f>
        <v>0.0179542246849477</v>
      </c>
      <c r="F43" s="62">
        <f>'毛利-收入组成'!F67/'GMV表-商品大类'!F46</f>
        <v>0.0231891384736976</v>
      </c>
      <c r="H43" s="147">
        <v>45778</v>
      </c>
      <c r="I43" s="62">
        <f>'毛利-收入组成'!J67/'GMV表-商品大类'!I46</f>
        <v>0.0153101011706249</v>
      </c>
      <c r="J43" s="62" t="e">
        <f>'毛利-收入组成'!K67/'GMV表-商品大类'!J46</f>
        <v>#DIV/0!</v>
      </c>
      <c r="K43" s="62">
        <f>'毛利-收入组成'!L67/'GMV表-商品大类'!K46</f>
        <v>0.0339934234502829</v>
      </c>
      <c r="L43" s="62">
        <f>'毛利-收入组成'!M67/'GMV表-商品大类'!L46</f>
        <v>0.00812802746231945</v>
      </c>
      <c r="M43" s="62">
        <f>'毛利-收入组成'!N67/'GMV表-商品大类'!M46</f>
        <v>0.018779626764129</v>
      </c>
      <c r="O43" s="143" t="s">
        <v>220</v>
      </c>
      <c r="P43" s="140">
        <f>'毛利-收入组成'!BA67/'GMV表-商品大类'!P46</f>
        <v>0.0299816383805688</v>
      </c>
      <c r="Q43" s="140">
        <f>'毛利-收入组成'!BB67/'GMV表-商品大类'!Q46</f>
        <v>0.0186375446684131</v>
      </c>
      <c r="R43" s="140">
        <f>'毛利-收入组成'!BC67/'GMV表-商品大类'!R46</f>
        <v>0.0246277991965588</v>
      </c>
      <c r="S43" s="140">
        <f>'毛利-收入组成'!BD67/'GMV表-商品大类'!S46</f>
        <v>0.0224492419935699</v>
      </c>
      <c r="T43" s="140">
        <f>'毛利-收入组成'!BE67/'GMV表-商品大类'!T46</f>
        <v>0.024154217793312</v>
      </c>
      <c r="V43" s="143" t="s">
        <v>220</v>
      </c>
      <c r="W43" s="145">
        <f>'毛利-收入组成'!AM67/'GMV表-商品大类'!P46</f>
        <v>0.0436130592294352</v>
      </c>
      <c r="X43" s="145">
        <f>'毛利-收入组成'!AN67/'GMV表-商品大类'!Q46</f>
        <v>0.0481614674010529</v>
      </c>
      <c r="Y43" s="145">
        <f>'毛利-收入组成'!AO67/'GMV表-商品大类'!R46</f>
        <v>0.0433791742991496</v>
      </c>
      <c r="Z43" s="145">
        <f>'毛利-收入组成'!AP67/'GMV表-商品大类'!S46</f>
        <v>0.0295476535882712</v>
      </c>
      <c r="AA43" s="145">
        <f>'毛利-收入组成'!AQ67/'GMV表-商品大类'!T46</f>
        <v>0.0358924918031512</v>
      </c>
    </row>
    <row r="44" spans="1:28">
      <c r="A44" s="148">
        <v>45809</v>
      </c>
      <c r="B44" s="62">
        <f>'毛利-收入组成'!B68/'GMV表-商品大类'!B47</f>
        <v>0.0300218088733479</v>
      </c>
      <c r="C44" s="62">
        <f>'毛利-收入组成'!C68/'GMV表-商品大类'!C47</f>
        <v>0.0495226029570442</v>
      </c>
      <c r="D44" s="62">
        <f>'毛利-收入组成'!D68/'GMV表-商品大类'!D47</f>
        <v>0.034313110680367</v>
      </c>
      <c r="E44" s="62">
        <f>'毛利-收入组成'!E68/'GMV表-商品大类'!E47</f>
        <v>0.0344243273583723</v>
      </c>
      <c r="F44" s="62">
        <f>'毛利-收入组成'!F68/'GMV表-商品大类'!F47</f>
        <v>0.033806092806197</v>
      </c>
      <c r="H44" s="147">
        <v>45809</v>
      </c>
      <c r="I44" s="62">
        <f>'毛利-收入组成'!J68/'GMV表-商品大类'!I47</f>
        <v>0.0112148493176702</v>
      </c>
      <c r="J44" s="62" t="e">
        <f>'毛利-收入组成'!K68/'GMV表-商品大类'!J47</f>
        <v>#DIV/0!</v>
      </c>
      <c r="K44" s="62">
        <f>'毛利-收入组成'!L68/'GMV表-商品大类'!K47</f>
        <v>0.0789342797030866</v>
      </c>
      <c r="L44" s="62">
        <f>'毛利-收入组成'!M68/'GMV表-商品大类'!L47</f>
        <v>0.0107593838397381</v>
      </c>
      <c r="M44" s="62">
        <f>'毛利-收入组成'!N68/'GMV表-商品大类'!M47</f>
        <v>0.0360477480557568</v>
      </c>
      <c r="O44" s="143" t="s">
        <v>221</v>
      </c>
      <c r="P44" s="140">
        <f>'毛利-收入组成'!BA68/'GMV表-商品大类'!P47</f>
        <v>0.0299880462445052</v>
      </c>
      <c r="Q44" s="140">
        <f>'毛利-收入组成'!BB68/'GMV表-商品大类'!Q47</f>
        <v>0.0211191887040897</v>
      </c>
      <c r="R44" s="140">
        <f>'毛利-收入组成'!BC68/'GMV表-商品大类'!R47</f>
        <v>0.0257788104604511</v>
      </c>
      <c r="S44" s="140">
        <f>'毛利-收入组成'!BD68/'GMV表-商品大类'!S47</f>
        <v>0.024506566209108</v>
      </c>
      <c r="T44" s="140">
        <f>'毛利-收入组成'!BE68/'GMV表-商品大类'!T47</f>
        <v>0.025641176703239</v>
      </c>
      <c r="V44" s="143" t="s">
        <v>221</v>
      </c>
      <c r="W44" s="145">
        <f>'毛利-收入组成'!AM68/'GMV表-商品大类'!P47</f>
        <v>0.0431742373910043</v>
      </c>
      <c r="X44" s="145">
        <f>'毛利-收入组成'!AN68/'GMV表-商品大类'!Q47</f>
        <v>0.0531757343434703</v>
      </c>
      <c r="Y44" s="145">
        <f>'毛利-收入组成'!AO68/'GMV表-商品大类'!R47</f>
        <v>0.0509856154650256</v>
      </c>
      <c r="Z44" s="145">
        <f>'毛利-收入组成'!AP68/'GMV表-商品大类'!S47</f>
        <v>0.0318716739132857</v>
      </c>
      <c r="AA44" s="145">
        <f>'毛利-收入组成'!AQ68/'GMV表-商品大类'!T47</f>
        <v>0.0391712872676063</v>
      </c>
    </row>
    <row r="45" spans="1:28">
      <c r="A45" s="148">
        <v>45839</v>
      </c>
      <c r="B45" s="62">
        <f>'毛利-收入组成'!B69/'GMV表-商品大类'!B48</f>
        <v>0.0302448642334122</v>
      </c>
      <c r="C45" s="62">
        <f>'毛利-收入组成'!C69/'GMV表-商品大类'!C48</f>
        <v>0.051839398453579</v>
      </c>
      <c r="D45" s="62">
        <f>'毛利-收入组成'!D69/'GMV表-商品大类'!D48</f>
        <v>0.0412118843079468</v>
      </c>
      <c r="E45" s="62">
        <f>'毛利-收入组成'!E69/'GMV表-商品大类'!E48</f>
        <v>0.0199981699700635</v>
      </c>
      <c r="F45" s="62">
        <f>'毛利-收入组成'!F69/'GMV表-商品大类'!F48</f>
        <v>0.0240987095215547</v>
      </c>
      <c r="H45" s="147">
        <v>45839</v>
      </c>
      <c r="I45" s="62">
        <f>'毛利-收入组成'!J69/'GMV表-商品大类'!I48</f>
        <v>0.0098312048361659</v>
      </c>
      <c r="J45" s="62" t="e">
        <f>'毛利-收入组成'!K69/'GMV表-商品大类'!J48</f>
        <v>#DIV/0!</v>
      </c>
      <c r="K45" s="62">
        <f>'毛利-收入组成'!L69/'GMV表-商品大类'!K48</f>
        <v>0.0606060175833007</v>
      </c>
      <c r="L45" s="62">
        <f>'毛利-收入组成'!M69/'GMV表-商品大类'!L48</f>
        <v>0.0380794381594462</v>
      </c>
      <c r="M45" s="62">
        <f>'毛利-收入组成'!N69/'GMV表-商品大类'!M48</f>
        <v>0.0358872597540995</v>
      </c>
      <c r="O45" s="143" t="s">
        <v>222</v>
      </c>
      <c r="P45" s="140">
        <f>'毛利-收入组成'!BA69/'GMV表-商品大类'!P48</f>
        <v>0.0300236828638631</v>
      </c>
      <c r="Q45" s="140">
        <f>'毛利-收入组成'!BB69/'GMV表-商品大类'!Q48</f>
        <v>0.0234601177560901</v>
      </c>
      <c r="R45" s="140">
        <f>'毛利-收入组成'!BC69/'GMV表-商品大类'!R48</f>
        <v>0.0268095860678642</v>
      </c>
      <c r="S45" s="140">
        <f>'毛利-收入组成'!BD69/'GMV表-商品大类'!S48</f>
        <v>0.0236785402987212</v>
      </c>
      <c r="T45" s="140">
        <f>'毛利-收入组成'!BE69/'GMV表-商品大类'!T48</f>
        <v>0.0254163587727593</v>
      </c>
      <c r="V45" s="143" t="s">
        <v>222</v>
      </c>
      <c r="W45" s="145">
        <f>'毛利-收入组成'!AM69/'GMV表-商品大类'!P48</f>
        <v>0.0420710776144316</v>
      </c>
      <c r="X45" s="145">
        <f>'毛利-收入组成'!AN69/'GMV表-商品大类'!Q48</f>
        <v>0.0569251781428532</v>
      </c>
      <c r="Y45" s="145">
        <f>'毛利-收入组成'!AO69/'GMV表-商品大类'!R48</f>
        <v>0.0536111986303371</v>
      </c>
      <c r="Z45" s="145">
        <f>'毛利-收入组成'!AP69/'GMV表-商品大类'!S48</f>
        <v>0.0306478342750995</v>
      </c>
      <c r="AA45" s="145">
        <f>'毛利-收入组成'!AQ69/'GMV表-商品大类'!T48</f>
        <v>0.0385223033281289</v>
      </c>
    </row>
    <row r="46" spans="1:28">
      <c r="A46" s="148">
        <v>45870</v>
      </c>
      <c r="B46" s="62">
        <f>'毛利-收入组成'!B70/'GMV表-商品大类'!B49</f>
        <v>0.00134308496268665</v>
      </c>
      <c r="C46" s="62">
        <f>'毛利-收入组成'!C70/'GMV表-商品大类'!C49</f>
        <v>0.0447098954056082</v>
      </c>
      <c r="D46" s="62">
        <f>'毛利-收入组成'!D70/'GMV表-商品大类'!D49</f>
        <v>0.0410755088828988</v>
      </c>
      <c r="E46" s="62">
        <f>'毛利-收入组成'!E70/'GMV表-商品大类'!E49</f>
        <v>0.0225552781980652</v>
      </c>
      <c r="F46" s="62">
        <f>'毛利-收入组成'!F70/'GMV表-商品大类'!F49</f>
        <v>0.0219873443178823</v>
      </c>
      <c r="H46" s="147">
        <v>45870</v>
      </c>
      <c r="I46" s="62">
        <f>'毛利-收入组成'!J70/'GMV表-商品大类'!I49</f>
        <v>0.00424130706387007</v>
      </c>
      <c r="J46" s="62" t="e">
        <f>'毛利-收入组成'!K70/'GMV表-商品大类'!J49</f>
        <v>#DIV/0!</v>
      </c>
      <c r="K46" s="62">
        <f>'毛利-收入组成'!L70/'GMV表-商品大类'!K49</f>
        <v>0.0592231090312404</v>
      </c>
      <c r="L46" s="62">
        <f>'毛利-收入组成'!M70/'GMV表-商品大类'!L49</f>
        <v>0.0327129032906973</v>
      </c>
      <c r="M46" s="62">
        <f>'毛利-收入组成'!N70/'GMV表-商品大类'!M49</f>
        <v>0.0351292411992411</v>
      </c>
      <c r="O46" s="143" t="s">
        <v>223</v>
      </c>
      <c r="P46" s="140">
        <f>'毛利-收入组成'!BA70/'GMV表-商品大类'!P49</f>
        <v>0.0262197052423626</v>
      </c>
      <c r="Q46" s="140">
        <f>'毛利-收入组成'!BB70/'GMV表-商品大类'!Q49</f>
        <v>0.025285585908379</v>
      </c>
      <c r="R46" s="140">
        <f>'毛利-收入组成'!BC70/'GMV表-商品大类'!R49</f>
        <v>0.0278043898473284</v>
      </c>
      <c r="S46" s="140">
        <f>'毛利-收入组成'!BD70/'GMV表-商品大类'!S49</f>
        <v>0.0234852004100723</v>
      </c>
      <c r="T46" s="140">
        <f>'毛利-收入组成'!BE70/'GMV表-商品大类'!T49</f>
        <v>0.0249325068262675</v>
      </c>
      <c r="V46" s="143" t="s">
        <v>223</v>
      </c>
      <c r="W46" s="145">
        <f>'毛利-收入组成'!AM70/'GMV表-商品大类'!P49</f>
        <v>0.0370208747641028</v>
      </c>
      <c r="X46" s="145">
        <f>'毛利-收入组成'!AN70/'GMV表-商品大类'!Q49</f>
        <v>0.0609307592471899</v>
      </c>
      <c r="Y46" s="145">
        <f>'毛利-收入组成'!AO70/'GMV表-商品大类'!R49</f>
        <v>0.0568599869674273</v>
      </c>
      <c r="Z46" s="145">
        <f>'毛利-收入组成'!AP70/'GMV表-商品大类'!S49</f>
        <v>0.0297616868700952</v>
      </c>
      <c r="AA46" s="145">
        <f>'毛利-收入组成'!AQ70/'GMV表-商品大类'!T49</f>
        <v>0.0375802345016382</v>
      </c>
    </row>
    <row r="47" spans="1:28">
      <c r="A47" s="148">
        <v>45901</v>
      </c>
      <c r="B47" s="62">
        <f>'毛利-收入组成'!B71/'GMV表-商品大类'!B50</f>
        <v>0.0190965911073903</v>
      </c>
      <c r="C47" s="62">
        <f>'毛利-收入组成'!C71/'GMV表-商品大类'!C50</f>
        <v>0.0650496220154668</v>
      </c>
      <c r="D47" s="62">
        <f>'毛利-收入组成'!D71/'GMV表-商品大类'!D50</f>
        <v>0.0442915505830979</v>
      </c>
      <c r="E47" s="62">
        <f>'毛利-收入组成'!E71/'GMV表-商品大类'!E50</f>
        <v>0.035540651530943</v>
      </c>
      <c r="F47" s="62">
        <f>'毛利-收入组成'!F71/'GMV表-商品大类'!F50</f>
        <v>0.0336480099237472</v>
      </c>
      <c r="H47" s="147">
        <v>45901</v>
      </c>
      <c r="I47" s="62">
        <f>'毛利-收入组成'!J71/'GMV表-商品大类'!I50</f>
        <v>0.030605262667103</v>
      </c>
      <c r="J47" s="62" t="e">
        <f>'毛利-收入组成'!K71/'GMV表-商品大类'!J50</f>
        <v>#DIV/0!</v>
      </c>
      <c r="K47" s="62">
        <f>'毛利-收入组成'!L71/'GMV表-商品大类'!K50</f>
        <v>0.051549526101726</v>
      </c>
      <c r="L47" s="62">
        <f>'毛利-收入组成'!M71/'GMV表-商品大类'!L50</f>
        <v>0.0169018716220653</v>
      </c>
      <c r="M47" s="62">
        <f>'毛利-收入组成'!N71/'GMV表-商品大类'!M50</f>
        <v>0.0392538355937389</v>
      </c>
      <c r="O47" s="143" t="s">
        <v>224</v>
      </c>
      <c r="P47" s="140">
        <f>'毛利-收入组成'!BA71/'GMV表-商品大类'!P50</f>
        <v>0.0250939077395569</v>
      </c>
      <c r="Q47" s="140">
        <f>'毛利-收入组成'!BB71/'GMV表-商品大类'!Q50</f>
        <v>0.0281658985074736</v>
      </c>
      <c r="R47" s="140">
        <f>'毛利-收入组成'!BC71/'GMV表-商品大类'!R50</f>
        <v>0.0289124682094381</v>
      </c>
      <c r="S47" s="140">
        <f>'毛利-收入组成'!BD71/'GMV表-商品大类'!S50</f>
        <v>0.0251933917565371</v>
      </c>
      <c r="T47" s="140">
        <f>'毛利-收入组成'!BE71/'GMV表-商品大类'!T50</f>
        <v>0.0260380760512006</v>
      </c>
      <c r="V47" s="143" t="s">
        <v>224</v>
      </c>
      <c r="W47" s="145">
        <f>'毛利-收入组成'!AM71/'GMV表-商品大类'!P50</f>
        <v>0.0364723230297764</v>
      </c>
      <c r="X47" s="145">
        <f>'毛利-收入组成'!AN71/'GMV表-商品大类'!Q50</f>
        <v>0.0580369406146839</v>
      </c>
      <c r="Y47" s="145">
        <f>'毛利-收入组成'!AO71/'GMV表-商品大类'!R50</f>
        <v>0.059776424248625</v>
      </c>
      <c r="Z47" s="145">
        <f>'毛利-收入组成'!AP71/'GMV表-商品大类'!S50</f>
        <v>0.0309831734788875</v>
      </c>
      <c r="AA47" s="145">
        <f>'毛利-收入组成'!AQ71/'GMV表-商品大类'!T50</f>
        <v>0.0384923046548584</v>
      </c>
    </row>
    <row r="48" spans="1:28">
      <c r="A48" s="148">
        <v>45931</v>
      </c>
      <c r="B48" s="62">
        <f>'毛利-收入组成'!B72/'GMV表-商品大类'!B51</f>
        <v>0.0237352432276233</v>
      </c>
      <c r="C48" s="62">
        <f>'毛利-收入组成'!C72/'GMV表-商品大类'!C51</f>
        <v>0.0474796348006634</v>
      </c>
      <c r="D48" s="62">
        <f>'毛利-收入组成'!D72/'GMV表-商品大类'!D51</f>
        <v>0.0346990183645735</v>
      </c>
      <c r="E48" s="62">
        <f>'毛利-收入组成'!E72/'GMV表-商品大类'!E51</f>
        <v>0.021559040710757</v>
      </c>
      <c r="F48" s="62">
        <f>'毛利-收入组成'!F72/'GMV表-商品大类'!F51</f>
        <v>0.024110381138472</v>
      </c>
      <c r="H48" s="147">
        <v>45931</v>
      </c>
      <c r="I48" s="62">
        <f>'毛利-收入组成'!J72/'GMV表-商品大类'!I51</f>
        <v>-0.00305510060848809</v>
      </c>
      <c r="J48" s="62" t="e">
        <f>'毛利-收入组成'!K72/'GMV表-商品大类'!J51</f>
        <v>#DIV/0!</v>
      </c>
      <c r="K48" s="62">
        <f>'毛利-收入组成'!L72/'GMV表-商品大类'!K51</f>
        <v>0.0324844937618006</v>
      </c>
      <c r="L48" s="62">
        <f>'毛利-收入组成'!M72/'GMV表-商品大类'!L51</f>
        <v>0.0234483667064384</v>
      </c>
      <c r="M48" s="62">
        <f>'毛利-收入组成'!N72/'GMV表-商品大类'!M51</f>
        <v>0.0283078814885903</v>
      </c>
      <c r="N48" s="149"/>
      <c r="O48" s="143" t="s">
        <v>225</v>
      </c>
      <c r="P48" s="140">
        <f>'毛利-收入组成'!BA72/'GMV表-商品大类'!P51</f>
        <v>0.0249182502569659</v>
      </c>
      <c r="Q48" s="140">
        <f>'毛利-收入组成'!BB72/'GMV表-商品大类'!Q51</f>
        <v>0.0295160638062883</v>
      </c>
      <c r="R48" s="140">
        <f>'毛利-收入组成'!BC72/'GMV表-商品大类'!R51</f>
        <v>0.0292985979518925</v>
      </c>
      <c r="S48" s="140">
        <f>'毛利-收入组成'!BD72/'GMV表-商品大类'!S51</f>
        <v>0.024828596792333</v>
      </c>
      <c r="T48" s="140">
        <f>'毛利-收入组成'!BE72/'GMV表-商品大类'!T51</f>
        <v>0.0258504849115836</v>
      </c>
      <c r="V48" s="143" t="s">
        <v>225</v>
      </c>
      <c r="W48" s="145">
        <f>'毛利-收入组成'!AM72/'GMV表-商品大类'!P51</f>
        <v>0.0347476720183145</v>
      </c>
      <c r="X48" s="145">
        <f>'毛利-收入组成'!AN72/'GMV表-商品大类'!Q51</f>
        <v>0.0633668180701496</v>
      </c>
      <c r="Y48" s="145">
        <f>'毛利-收入组成'!AO72/'GMV表-商品大类'!R51</f>
        <v>0.0636351641211256</v>
      </c>
      <c r="Z48" s="145">
        <f>'毛利-收入组成'!AP72/'GMV表-商品大类'!S51</f>
        <v>0.0303475507295636</v>
      </c>
      <c r="AA48" s="145">
        <f>'毛利-收入组成'!AQ72/'GMV表-商品大类'!T51</f>
        <v>0.038522449125057</v>
      </c>
    </row>
    <row r="49" spans="1:27">
      <c r="A49" s="148">
        <v>45962</v>
      </c>
      <c r="B49" s="62">
        <f>'毛利-收入组成'!B73/'GMV表-商品大类'!B52</f>
        <v>0.00415100792518841</v>
      </c>
      <c r="C49" s="62">
        <f>'毛利-收入组成'!C73/'GMV表-商品大类'!C52</f>
        <v>0.0662747472488627</v>
      </c>
      <c r="D49" s="62">
        <f>'毛利-收入组成'!D73/'GMV表-商品大类'!D52</f>
        <v>0.00980620618265621</v>
      </c>
      <c r="E49" s="62">
        <f>'毛利-收入组成'!E73/'GMV表-商品大类'!E52</f>
        <v>0.0339045276410755</v>
      </c>
      <c r="F49" s="62">
        <f>'毛利-收入组成'!F73/'GMV表-商品大类'!F52</f>
        <v>0.0238121373569221</v>
      </c>
      <c r="H49" s="147">
        <v>45962</v>
      </c>
      <c r="I49" s="62">
        <f>'毛利-收入组成'!J73/'GMV表-商品大类'!I52</f>
        <v>0.0167514720604261</v>
      </c>
      <c r="J49" s="62" t="e">
        <f>'毛利-收入组成'!K73/'GMV表-商品大类'!J52</f>
        <v>#DIV/0!</v>
      </c>
      <c r="K49" s="62">
        <f>'毛利-收入组成'!L73/'GMV表-商品大类'!K52</f>
        <v>0.0513206174686121</v>
      </c>
      <c r="L49" s="62">
        <f>'毛利-收入组成'!M73/'GMV表-商品大类'!L52</f>
        <v>0.027241835144097</v>
      </c>
      <c r="M49" s="62">
        <f>'毛利-收入组成'!N73/'GMV表-商品大类'!M52</f>
        <v>0.0426375835841734</v>
      </c>
      <c r="O49" s="143" t="s">
        <v>226</v>
      </c>
      <c r="P49" s="140">
        <f>'毛利-收入组成'!BA73/'GMV表-商品大类'!P52</f>
        <v>0.0223394138318489</v>
      </c>
      <c r="Q49" s="140">
        <f>'毛利-收入组成'!BB73/'GMV表-商品大类'!Q52</f>
        <v>0.031900632756838</v>
      </c>
      <c r="R49" s="140">
        <f>'毛利-收入组成'!BC73/'GMV表-商品大类'!R52</f>
        <v>0.0279179878935677</v>
      </c>
      <c r="S49" s="140">
        <f>'毛利-收入组成'!BD73/'GMV表-商品大类'!S52</f>
        <v>0.0256739559041991</v>
      </c>
      <c r="T49" s="140">
        <f>'毛利-收入组成'!BE73/'GMV表-商品大类'!T52</f>
        <v>0.025660538876309</v>
      </c>
      <c r="V49" s="143" t="s">
        <v>226</v>
      </c>
      <c r="W49" s="145">
        <f>'毛利-收入组成'!AM73/'GMV表-商品大类'!P52</f>
        <v>0.0316947824109538</v>
      </c>
      <c r="X49" s="145">
        <f>'毛利-收入组成'!AN73/'GMV表-商品大类'!Q52</f>
        <v>0.0677598276313527</v>
      </c>
      <c r="Y49" s="145">
        <f>'毛利-收入组成'!AO73/'GMV表-商品大类'!R52</f>
        <v>0.0676177227176751</v>
      </c>
      <c r="Z49" s="145">
        <f>'毛利-收入组成'!AP73/'GMV表-商品大类'!S52</f>
        <v>0.031067399176196</v>
      </c>
      <c r="AA49" s="145">
        <f>'毛利-收入组成'!AQ73/'GMV表-商品大类'!T52</f>
        <v>0.0391978352754601</v>
      </c>
    </row>
    <row r="50" spans="1:27">
      <c r="A50" s="148">
        <v>45992</v>
      </c>
      <c r="B50" s="62">
        <f>'毛利-收入组成'!B74/'GMV表-商品大类'!B53</f>
        <v>0.0153456195485006</v>
      </c>
      <c r="C50" s="62">
        <f>'毛利-收入组成'!C74/'GMV表-商品大类'!C53</f>
        <v>0.0711274929384162</v>
      </c>
      <c r="D50" s="62">
        <f>'毛利-收入组成'!D74/'GMV表-商品大类'!D53</f>
        <v>0.0220150448213677</v>
      </c>
      <c r="E50" s="62">
        <f>'毛利-收入组成'!E74/'GMV表-商品大类'!E53</f>
        <v>0.0303617677421902</v>
      </c>
      <c r="F50" s="62">
        <f>'毛利-收入组成'!F74/'GMV表-商品大类'!F53</f>
        <v>0.027005073857698</v>
      </c>
      <c r="H50" s="147">
        <v>45992</v>
      </c>
      <c r="I50" s="62">
        <f>'毛利-收入组成'!J74/'GMV表-商品大类'!I53</f>
        <v>0.0474629237697144</v>
      </c>
      <c r="J50" s="62" t="e">
        <f>'毛利-收入组成'!K74/'GMV表-商品大类'!J53</f>
        <v>#DIV/0!</v>
      </c>
      <c r="K50" s="62">
        <f>'毛利-收入组成'!L74/'GMV表-商品大类'!K53</f>
        <v>0.0516560529250635</v>
      </c>
      <c r="L50" s="62">
        <f>'毛利-收入组成'!M74/'GMV表-商品大类'!L53</f>
        <v>0.0202584060183662</v>
      </c>
      <c r="M50" s="62">
        <f>'毛利-收入组成'!N74/'GMV表-商品大类'!M53</f>
        <v>0.0456366111646823</v>
      </c>
      <c r="O50" s="143" t="s">
        <v>227</v>
      </c>
      <c r="P50" s="140">
        <f>'毛利-收入组成'!BA74/'GMV表-商品大类'!P53</f>
        <v>0.0215824432283199</v>
      </c>
      <c r="Q50" s="140">
        <f>'毛利-收入组成'!BB74/'GMV表-商品大类'!Q53</f>
        <v>0.0342436631144376</v>
      </c>
      <c r="R50" s="140">
        <f>'毛利-收入组成'!BC74/'GMV表-商品大类'!R53</f>
        <v>0.0274801629762399</v>
      </c>
      <c r="S50" s="140">
        <f>'毛利-收入组成'!BD74/'GMV表-商品大类'!S53</f>
        <v>0.0262500501534277</v>
      </c>
      <c r="T50" s="140">
        <f>'毛利-收入组成'!BE74/'GMV表-商品大类'!T53</f>
        <v>0.0258086500727334</v>
      </c>
      <c r="V50" s="143" t="s">
        <v>227</v>
      </c>
      <c r="W50" s="145">
        <f>'毛利-收入组成'!AM74/'GMV表-商品大类'!P53</f>
        <v>0.0319871542515116</v>
      </c>
      <c r="X50" s="145">
        <f>'毛利-收入组成'!AN74/'GMV表-商品大类'!Q53</f>
        <v>0.0736241990143226</v>
      </c>
      <c r="Y50" s="145">
        <f>'毛利-收入组成'!AO74/'GMV表-商品大类'!R53</f>
        <v>0.0693244906210281</v>
      </c>
      <c r="Z50" s="145">
        <f>'毛利-收入组成'!AP74/'GMV表-商品大类'!S53</f>
        <v>0.0311377193569435</v>
      </c>
      <c r="AA50" s="145">
        <f>'毛利-收入组成'!AQ74/'GMV表-商品大类'!T53</f>
        <v>0.0393620961500981</v>
      </c>
    </row>
    <row r="51" spans="1:27">
      <c r="J51" s="150"/>
      <c r="N51" s="149"/>
    </row>
    <row r="52" s="137" customFormat="1" ht="18" customHeight="1" spans="1:27">
      <c r="B52" s="145"/>
      <c r="C52" s="145"/>
      <c r="D52" s="145"/>
      <c r="E52" s="145"/>
      <c r="F52" s="145"/>
      <c r="I52" s="145"/>
      <c r="J52" s="145"/>
      <c r="K52" s="145"/>
      <c r="L52" s="145"/>
      <c r="M52" s="145"/>
      <c r="O52" s="143" t="s">
        <v>365</v>
      </c>
      <c r="P52" s="140">
        <f>P50-P38</f>
        <v>-0.0034059633165768</v>
      </c>
      <c r="Q52" s="140">
        <f>Q50-Q38</f>
        <v>0.0214695621754322</v>
      </c>
      <c r="R52" s="140">
        <f>R50-R38</f>
        <v>0.0050348880094958</v>
      </c>
      <c r="S52" s="140">
        <f>S50-S38</f>
        <v>0.00357669279426634</v>
      </c>
      <c r="T52" s="140">
        <f>T50-T38</f>
        <v>0.00317420498895546</v>
      </c>
      <c r="U52" s="140"/>
      <c r="V52" s="143" t="s">
        <v>365</v>
      </c>
      <c r="W52" s="151">
        <f>W50-W38</f>
        <v>-0.0144055211879192</v>
      </c>
      <c r="X52" s="151">
        <f>X50-X38</f>
        <v>0.0564232826124272</v>
      </c>
      <c r="Y52" s="151">
        <f>Y50-Y38</f>
        <v>0.0320677122434821</v>
      </c>
      <c r="Z52" s="151">
        <f>Z50-Z38</f>
        <v>0.00389203408237241</v>
      </c>
      <c r="AA52" s="151">
        <f>AA50-AA38</f>
        <v>0.00522234488029692</v>
      </c>
    </row>
    <row r="53" s="137" customFormat="1" ht="14" customHeight="1" spans="1:27">
      <c r="B53" s="145"/>
      <c r="C53" s="145"/>
      <c r="D53" s="145"/>
      <c r="E53" s="145"/>
      <c r="F53" s="145"/>
      <c r="I53" s="145"/>
      <c r="J53" s="145"/>
      <c r="K53" s="145"/>
      <c r="L53" s="145"/>
      <c r="M53" s="145"/>
      <c r="O53" s="143"/>
      <c r="U53" s="143"/>
    </row>
    <row r="54" s="137" customFormat="1" ht="14" customHeight="1" spans="1:27">
      <c r="B54" s="145"/>
      <c r="C54" s="145"/>
      <c r="D54" s="145"/>
      <c r="E54" s="145"/>
      <c r="F54" s="145"/>
      <c r="I54" s="145"/>
      <c r="J54" s="145"/>
      <c r="K54" s="145"/>
      <c r="L54" s="145"/>
      <c r="M54" s="145"/>
      <c r="O54" s="143"/>
      <c r="U54" s="143"/>
    </row>
    <row r="55" spans="1:27">
      <c r="P55" s="152"/>
      <c r="Q55" s="153"/>
    </row>
    <row r="62" spans="1:27">
      <c r="J62" s="150"/>
      <c r="N62" s="149"/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/>
  <dimension ref="A1:AQ278"/>
  <sheetViews>
    <sheetView workbookViewId="0">
      <pane ySplit="3" topLeftCell="A43" activePane="bottomLeft" state="frozen"/>
      <selection/>
      <selection pane="bottomLeft" activeCell="I207" sqref="I207"/>
    </sheetView>
  </sheetViews>
  <sheetFormatPr defaultColWidth="8.89166666666667" defaultRowHeight="13.5"/>
  <cols>
    <col min="1" max="1" width="8.875" style="54" customWidth="1"/>
    <col min="2" max="2" width="12.6333333333333" style="57" customWidth="1"/>
    <col min="3" max="3" width="11.6333333333333" style="57" customWidth="1"/>
    <col min="4" max="4" width="11.8833333333333" style="57" customWidth="1"/>
    <col min="5" max="5" width="13.125" style="57" customWidth="1"/>
    <col min="6" max="6" width="10" style="57" customWidth="1"/>
    <col min="7" max="7" width="12.3833333333333" style="57" customWidth="1"/>
    <col min="8" max="8" width="9.88333333333333" customWidth="1"/>
    <col min="9" max="9" width="9.5" customWidth="1"/>
    <col min="10" max="10" width="9" style="105" customWidth="1"/>
    <col min="11" max="11" width="8.89166666666667" style="54" customWidth="1"/>
    <col min="12" max="12" width="15.875" style="57" customWidth="1"/>
    <col min="13" max="13" width="15.375" style="106" customWidth="1"/>
    <col min="14" max="27" width="11.5" style="106" customWidth="1"/>
    <col min="28" max="28" width="9.75833333333333" customWidth="1"/>
    <col min="29" max="29" width="9.75833333333333" style="42" customWidth="1"/>
    <col min="30" max="31" width="11.6333333333333" style="105" customWidth="1"/>
    <col min="32" max="32" width="9.75833333333333" style="105" customWidth="1"/>
    <col min="33" max="33" width="5.725" style="105" customWidth="1"/>
    <col min="34" max="34" width="11.3666666666667" style="42" hidden="1" customWidth="1"/>
    <col min="35" max="36" width="8.89166666666667" hidden="1" customWidth="1"/>
    <col min="37" max="37" width="10.8833333333333" hidden="1" customWidth="1"/>
    <col min="38" max="40" width="8.875" hidden="1" customWidth="1"/>
    <col min="41" max="41" width="8.89166666666667" hidden="1" customWidth="1"/>
    <col min="42" max="42" width="13.75"/>
    <col min="43" max="43" width="9.375"/>
  </cols>
  <sheetData>
    <row r="1" spans="1:41">
      <c r="A1" s="107" t="s">
        <v>366</v>
      </c>
      <c r="K1" s="54" t="s">
        <v>367</v>
      </c>
      <c r="P1" s="108" t="s">
        <v>368</v>
      </c>
      <c r="Y1" s="109" t="s">
        <v>369</v>
      </c>
      <c r="Z1"/>
      <c r="AA1"/>
      <c r="AC1"/>
      <c r="AD1"/>
      <c r="AE1"/>
      <c r="AF1"/>
      <c r="AG1"/>
      <c r="AH1" s="109">
        <v>2022</v>
      </c>
    </row>
    <row r="2" spans="1:41">
      <c r="A2" s="54" t="s">
        <v>370</v>
      </c>
      <c r="H2" s="54"/>
      <c r="I2" s="54"/>
      <c r="K2" s="54" t="s">
        <v>111</v>
      </c>
      <c r="L2" s="57" t="s">
        <v>243</v>
      </c>
      <c r="M2" s="106" t="s">
        <v>371</v>
      </c>
      <c r="N2" s="106" t="s">
        <v>245</v>
      </c>
      <c r="P2" s="54" t="s">
        <v>370</v>
      </c>
      <c r="Y2" s="54" t="s">
        <v>370</v>
      </c>
      <c r="Z2" s="57"/>
      <c r="AA2" s="57"/>
      <c r="AB2" s="57"/>
      <c r="AC2" s="57"/>
      <c r="AD2" s="57"/>
      <c r="AE2" s="57"/>
      <c r="AF2" s="54"/>
      <c r="AG2" s="54"/>
      <c r="AH2" s="54" t="s">
        <v>370</v>
      </c>
      <c r="AI2" s="57"/>
      <c r="AJ2" s="57"/>
      <c r="AK2" s="57"/>
      <c r="AL2" s="57"/>
      <c r="AM2" s="57"/>
      <c r="AN2" s="57"/>
      <c r="AO2" s="54"/>
    </row>
    <row r="3" spans="1:41">
      <c r="A3" s="54" t="s">
        <v>53</v>
      </c>
      <c r="B3" s="57" t="s">
        <v>248</v>
      </c>
      <c r="C3" s="57" t="s">
        <v>249</v>
      </c>
      <c r="D3" s="57" t="s">
        <v>250</v>
      </c>
      <c r="E3" s="57" t="s">
        <v>251</v>
      </c>
      <c r="F3" s="57" t="s">
        <v>252</v>
      </c>
      <c r="G3" s="57" t="s">
        <v>253</v>
      </c>
      <c r="H3" s="54" t="s">
        <v>9</v>
      </c>
      <c r="I3" s="54" t="s">
        <v>254</v>
      </c>
      <c r="L3" s="57" t="s">
        <v>247</v>
      </c>
      <c r="M3" s="58">
        <v>584619.909243569</v>
      </c>
      <c r="N3" s="106">
        <f t="shared" ref="N3:N15" si="0">M3/10000</f>
        <v>58.4619909243569</v>
      </c>
      <c r="P3" s="106" t="s">
        <v>53</v>
      </c>
      <c r="Q3" s="106" t="s">
        <v>248</v>
      </c>
      <c r="R3" s="106" t="s">
        <v>249</v>
      </c>
      <c r="S3" s="106" t="s">
        <v>250</v>
      </c>
      <c r="T3" s="106" t="s">
        <v>251</v>
      </c>
      <c r="U3" s="106" t="s">
        <v>252</v>
      </c>
      <c r="V3" s="106" t="s">
        <v>253</v>
      </c>
      <c r="W3" s="106" t="s">
        <v>9</v>
      </c>
      <c r="Y3" s="54" t="s">
        <v>53</v>
      </c>
      <c r="Z3" s="57" t="s">
        <v>248</v>
      </c>
      <c r="AA3" s="57" t="s">
        <v>249</v>
      </c>
      <c r="AB3" s="57" t="s">
        <v>250</v>
      </c>
      <c r="AC3" s="57" t="s">
        <v>251</v>
      </c>
      <c r="AD3" s="57" t="s">
        <v>252</v>
      </c>
      <c r="AE3" s="57" t="s">
        <v>253</v>
      </c>
      <c r="AF3" s="54" t="s">
        <v>9</v>
      </c>
      <c r="AG3" s="54"/>
      <c r="AH3" s="54" t="s">
        <v>53</v>
      </c>
      <c r="AI3" s="57" t="s">
        <v>248</v>
      </c>
      <c r="AJ3" s="57" t="s">
        <v>249</v>
      </c>
      <c r="AK3" s="57" t="s">
        <v>250</v>
      </c>
      <c r="AL3" s="57" t="s">
        <v>251</v>
      </c>
      <c r="AM3" s="57" t="s">
        <v>252</v>
      </c>
      <c r="AN3" s="57" t="s">
        <v>253</v>
      </c>
      <c r="AO3" s="54" t="s">
        <v>9</v>
      </c>
    </row>
    <row r="4" spans="1:41">
      <c r="A4" s="110">
        <v>45658</v>
      </c>
      <c r="B4" s="106">
        <f>VLOOKUP(B$3,$L$3:$N$16,3,0)-8.788175</f>
        <v>-32.2677748365416</v>
      </c>
      <c r="C4" s="106">
        <f>VLOOKUP(C$3,$L$3:$N$16,3,0)</f>
        <v>124.681783162994</v>
      </c>
      <c r="D4" s="106">
        <f>VLOOKUP(D$3,$L$3:$N$16,3,0)+124800/10000</f>
        <v>98.0853877600063</v>
      </c>
      <c r="E4" s="106">
        <f>VLOOKUP(E$3,$L$3:$N$16,3,0)</f>
        <v>9.13721827</v>
      </c>
      <c r="F4" s="106">
        <f>VLOOKUP(F$3,$L$3:$N$16,3,0)</f>
        <v>51.969359999999</v>
      </c>
      <c r="G4" s="106">
        <f>'毛利-收入组成'!D63-SUM(B4:F4)</f>
        <v>106.393733543843</v>
      </c>
      <c r="H4" s="106">
        <f t="shared" ref="H4:H15" si="1">SUM(B4:G4)</f>
        <v>357.999707900301</v>
      </c>
      <c r="I4" s="58">
        <f>H4-'毛利-收入组成'!D63</f>
        <v>0</v>
      </c>
      <c r="L4" s="57" t="s">
        <v>255</v>
      </c>
      <c r="M4" s="58">
        <v>249606.163774748</v>
      </c>
      <c r="N4" s="106">
        <f t="shared" si="0"/>
        <v>24.9606163774748</v>
      </c>
      <c r="P4" s="111">
        <v>45292</v>
      </c>
      <c r="Q4" s="106">
        <v>863.598841000027</v>
      </c>
      <c r="R4" s="106">
        <v>122.775934</v>
      </c>
      <c r="S4" s="106">
        <v>133.356555</v>
      </c>
      <c r="T4" s="106">
        <v>20.574319</v>
      </c>
      <c r="U4" s="106">
        <v>-24.280318</v>
      </c>
      <c r="V4" s="106">
        <v>117.806910040003</v>
      </c>
      <c r="W4" s="106">
        <v>1233.83224104003</v>
      </c>
      <c r="Y4" s="110">
        <v>44949</v>
      </c>
      <c r="Z4" s="106">
        <v>1779.91653</v>
      </c>
      <c r="AA4" s="106">
        <v>154.793277</v>
      </c>
      <c r="AB4" s="106">
        <v>231.917162000002</v>
      </c>
      <c r="AC4" s="106">
        <v>9.148758</v>
      </c>
      <c r="AD4" s="106">
        <v>21.704351</v>
      </c>
      <c r="AE4" s="106">
        <v>61.5199219999986</v>
      </c>
      <c r="AF4" s="106">
        <f t="shared" ref="AF4:AF16" si="2">SUM(Z4:AE4)</f>
        <v>2259</v>
      </c>
      <c r="AG4" s="106"/>
      <c r="AH4" s="110">
        <v>44562</v>
      </c>
      <c r="AI4" s="106">
        <v>898.626427</v>
      </c>
      <c r="AJ4" s="106">
        <v>228.288682</v>
      </c>
      <c r="AK4" s="106">
        <v>352.806832999999</v>
      </c>
      <c r="AL4" s="106">
        <v>9.35613599999999</v>
      </c>
      <c r="AM4" s="106">
        <v>19.397232</v>
      </c>
      <c r="AN4" s="106">
        <v>-55.066905539999</v>
      </c>
      <c r="AO4" s="106">
        <v>1453.40840446</v>
      </c>
    </row>
    <row r="5" spans="1:41">
      <c r="A5" s="110">
        <v>45689</v>
      </c>
      <c r="B5" s="106">
        <f>VLOOKUP(B$3,$L$19:$N$33,3,0)-5.868618</f>
        <v>131.348089499343</v>
      </c>
      <c r="C5" s="106">
        <f>VLOOKUP(C$3,$L$19:$N$33,3,0)</f>
        <v>85.8335834383571</v>
      </c>
      <c r="D5" s="106">
        <f>VLOOKUP(D$3,$L$19:$N$33,3,0)+18136.92/10000</f>
        <v>80.6255378466651</v>
      </c>
      <c r="E5" s="106">
        <f>VLOOKUP(E$3,$L$19:$N$33,3,0)</f>
        <v>10.04705356</v>
      </c>
      <c r="F5" s="106">
        <f>VLOOKUP(F$3,$L$19:$N$33,3,0)</f>
        <v>41.9049545000011</v>
      </c>
      <c r="G5" s="106">
        <f>'毛利-收入组成'!D64-SUM(B5:F5)</f>
        <v>9.19691559563273</v>
      </c>
      <c r="H5" s="106">
        <f t="shared" si="1"/>
        <v>358.956134439999</v>
      </c>
      <c r="I5" s="58">
        <f>H5-'毛利-收入组成'!D64</f>
        <v>0</v>
      </c>
      <c r="L5" s="57" t="s">
        <v>256</v>
      </c>
      <c r="M5" s="58">
        <v>2381412.22394675</v>
      </c>
      <c r="N5" s="106">
        <f t="shared" si="0"/>
        <v>238.141222394675</v>
      </c>
      <c r="P5" s="111">
        <v>45323</v>
      </c>
      <c r="Q5" s="106">
        <v>775.503577999946</v>
      </c>
      <c r="R5" s="106">
        <v>35.60289</v>
      </c>
      <c r="S5" s="106">
        <v>24.7189639999994</v>
      </c>
      <c r="T5" s="106">
        <v>12.142061</v>
      </c>
      <c r="U5" s="106">
        <v>-16.414229</v>
      </c>
      <c r="V5" s="106">
        <v>-216.82184632</v>
      </c>
      <c r="W5" s="106">
        <v>614.731417679945</v>
      </c>
      <c r="Y5" s="110">
        <v>44980</v>
      </c>
      <c r="Z5" s="106">
        <v>1388.517512</v>
      </c>
      <c r="AA5" s="106">
        <v>71.702111</v>
      </c>
      <c r="AB5" s="106">
        <v>210.013598000001</v>
      </c>
      <c r="AC5" s="106">
        <v>3.779684</v>
      </c>
      <c r="AD5" s="106">
        <v>27.946924</v>
      </c>
      <c r="AE5" s="106">
        <v>94.040170999999</v>
      </c>
      <c r="AF5" s="106">
        <f t="shared" si="2"/>
        <v>1796</v>
      </c>
      <c r="AG5" s="106"/>
      <c r="AH5" s="110">
        <v>44593</v>
      </c>
      <c r="AI5" s="106">
        <v>375.678362</v>
      </c>
      <c r="AJ5" s="106">
        <v>150.769008</v>
      </c>
      <c r="AK5" s="106">
        <v>152.765245</v>
      </c>
      <c r="AL5" s="106">
        <v>3.308008</v>
      </c>
      <c r="AM5" s="106">
        <v>14.058777</v>
      </c>
      <c r="AN5" s="106">
        <v>-49.0229073400999</v>
      </c>
      <c r="AO5" s="106">
        <v>647.5564926599</v>
      </c>
    </row>
    <row r="6" spans="1:41">
      <c r="A6" s="110">
        <v>45717</v>
      </c>
      <c r="B6" s="106">
        <f>VLOOKUP(B$3,$L$36:$N$49,3,0)-1.629471</f>
        <v>162.928962221386</v>
      </c>
      <c r="C6" s="106">
        <f>VLOOKUP(C$3,$L$36:$N$49,3,0)</f>
        <v>47.1009835694828</v>
      </c>
      <c r="D6" s="106">
        <f>VLOOKUP(D$3,$L$36:$N$49,3,0)+98335.39/10000</f>
        <v>93.3238964800094</v>
      </c>
      <c r="E6" s="106">
        <f>VLOOKUP(E$3,$L$36:$N$49,3,0)</f>
        <v>27.5453493407159</v>
      </c>
      <c r="F6" s="106">
        <f>VLOOKUP(F$3,$L$36:$N$49,3,0)</f>
        <v>40.9757524999999</v>
      </c>
      <c r="G6" s="106">
        <f>'毛利-收入组成'!D65-SUM(B6:F6)</f>
        <v>153.079664448404</v>
      </c>
      <c r="H6" s="106">
        <f t="shared" si="1"/>
        <v>524.954608559998</v>
      </c>
      <c r="I6" s="58">
        <f>H6-'毛利-收入组成'!D65</f>
        <v>0</v>
      </c>
      <c r="L6" s="57" t="s">
        <v>257</v>
      </c>
      <c r="M6" s="58">
        <v>8876.98690788</v>
      </c>
      <c r="N6" s="106">
        <f t="shared" si="0"/>
        <v>0.887698690788</v>
      </c>
      <c r="P6" s="111">
        <v>45352</v>
      </c>
      <c r="Q6" s="106">
        <v>965.866709000044</v>
      </c>
      <c r="R6" s="106">
        <v>136.067852</v>
      </c>
      <c r="S6" s="106">
        <v>34.1722160000001</v>
      </c>
      <c r="T6" s="106">
        <v>8.855438</v>
      </c>
      <c r="U6" s="106">
        <v>-6.12689400000004</v>
      </c>
      <c r="V6" s="106">
        <v>178.053095770005</v>
      </c>
      <c r="W6" s="106">
        <v>1316.88841677005</v>
      </c>
      <c r="Y6" s="110">
        <v>45008</v>
      </c>
      <c r="Z6" s="106">
        <v>950.906092</v>
      </c>
      <c r="AA6" s="106">
        <v>33.478513</v>
      </c>
      <c r="AB6" s="106">
        <v>185.212583</v>
      </c>
      <c r="AC6" s="106">
        <v>3.965521</v>
      </c>
      <c r="AD6" s="106">
        <v>64.83297</v>
      </c>
      <c r="AE6" s="106">
        <v>101.604321</v>
      </c>
      <c r="AF6" s="106">
        <f t="shared" si="2"/>
        <v>1340</v>
      </c>
      <c r="AG6" s="106"/>
      <c r="AH6" s="110">
        <v>44621</v>
      </c>
      <c r="AI6" s="106">
        <v>1106.194414</v>
      </c>
      <c r="AJ6" s="106">
        <v>351.842032</v>
      </c>
      <c r="AK6" s="106">
        <v>289.740404</v>
      </c>
      <c r="AL6" s="106">
        <v>10.069223</v>
      </c>
      <c r="AM6" s="106">
        <v>66.2792839999999</v>
      </c>
      <c r="AN6" s="106">
        <v>81.0067541602</v>
      </c>
      <c r="AO6" s="106">
        <v>1905.1321111602</v>
      </c>
    </row>
    <row r="7" spans="1:41">
      <c r="A7" s="110">
        <v>45748</v>
      </c>
      <c r="B7" s="106">
        <f>VLOOKUP(B$3,$L$53:$N$67,3,0)-19061.99/10000</f>
        <v>271.822881794258</v>
      </c>
      <c r="C7" s="106">
        <f>VLOOKUP(C$3,$L$53:$N$67,3,0)</f>
        <v>53.32295</v>
      </c>
      <c r="D7" s="106">
        <f>VLOOKUP(D$3,$L$53:$N$67,3,0)</f>
        <v>36.6204332500097</v>
      </c>
      <c r="E7" s="106">
        <f>VLOOKUP(E$3,$L$53:$N$67,3,0)</f>
        <v>0.401518</v>
      </c>
      <c r="F7" s="106">
        <f>VLOOKUP(F$3,$L$53:$N$67,3,0)</f>
        <v>67.454852</v>
      </c>
      <c r="G7" s="106">
        <f>'毛利-收入组成'!D66-SUM(B7:F7)</f>
        <v>64.2542450557303</v>
      </c>
      <c r="H7" s="106">
        <f t="shared" si="1"/>
        <v>493.876880099998</v>
      </c>
      <c r="I7" s="58">
        <f>H7-'毛利-收入组成'!D66</f>
        <v>0</v>
      </c>
      <c r="J7" s="112"/>
      <c r="L7" s="57" t="s">
        <v>258</v>
      </c>
      <c r="M7" s="58">
        <v>2473</v>
      </c>
      <c r="N7" s="106">
        <f t="shared" si="0"/>
        <v>0.2473</v>
      </c>
      <c r="P7" s="111">
        <v>45383</v>
      </c>
      <c r="Q7" s="106">
        <v>251.150833000054</v>
      </c>
      <c r="R7" s="106">
        <v>33.381828</v>
      </c>
      <c r="S7" s="106">
        <v>29.3963359999993</v>
      </c>
      <c r="T7" s="106">
        <v>5.840232</v>
      </c>
      <c r="U7" s="106">
        <v>-3.975418</v>
      </c>
      <c r="V7" s="106">
        <v>-159.371329939999</v>
      </c>
      <c r="W7" s="106">
        <v>156.422481060054</v>
      </c>
      <c r="Y7" s="110">
        <v>45039</v>
      </c>
      <c r="Z7" s="106">
        <v>548.64448</v>
      </c>
      <c r="AA7" s="106">
        <v>-7.742725</v>
      </c>
      <c r="AB7" s="106">
        <v>201.885311999999</v>
      </c>
      <c r="AC7" s="106">
        <v>34.224189</v>
      </c>
      <c r="AD7" s="106">
        <v>37.912499</v>
      </c>
      <c r="AE7" s="106">
        <v>-138.923754999999</v>
      </c>
      <c r="AF7" s="106">
        <f t="shared" si="2"/>
        <v>676</v>
      </c>
      <c r="AG7" s="106"/>
      <c r="AH7" s="110">
        <v>44652</v>
      </c>
      <c r="AI7" s="106">
        <v>522.036221</v>
      </c>
      <c r="AJ7" s="106">
        <v>478.099146</v>
      </c>
      <c r="AK7" s="106">
        <v>237.572436999999</v>
      </c>
      <c r="AL7" s="106">
        <v>20.03022</v>
      </c>
      <c r="AM7" s="106">
        <v>15.727151</v>
      </c>
      <c r="AN7" s="106">
        <v>-7.137000159899</v>
      </c>
      <c r="AO7" s="106">
        <v>1266.3281748401</v>
      </c>
    </row>
    <row r="8" spans="1:41">
      <c r="A8" s="110">
        <v>45778</v>
      </c>
      <c r="B8" s="106">
        <f>VLOOKUP(B$3,$L$70:$N$84,3,0)-2.098887</f>
        <v>266.034308396766</v>
      </c>
      <c r="C8" s="106">
        <f>VLOOKUP(C$3,$L$70:$N$84,3,0)</f>
        <v>50.2600838206984</v>
      </c>
      <c r="D8" s="106">
        <f>VLOOKUP(D$3,$L$70:$N$84,3,0)</f>
        <v>25.6051834433329</v>
      </c>
      <c r="E8" s="106">
        <f>VLOOKUP(E$3,$L$70:$N$84,3,0)</f>
        <v>46.729678800001</v>
      </c>
      <c r="F8" s="106">
        <f>VLOOKUP(F$3,$L$70:$N$84,3,0)</f>
        <v>59.1314488208365</v>
      </c>
      <c r="G8" s="106">
        <f>'毛利-收入组成'!D67-SUM(B8:F8)</f>
        <v>94.3677225383672</v>
      </c>
      <c r="H8" s="106">
        <f t="shared" si="1"/>
        <v>542.128425820002</v>
      </c>
      <c r="I8" s="58">
        <f>H8-'毛利-收入组成'!D67</f>
        <v>0</v>
      </c>
      <c r="J8" s="112"/>
      <c r="L8" s="57" t="s">
        <v>259</v>
      </c>
      <c r="M8" s="58">
        <v>269636.86799998</v>
      </c>
      <c r="N8" s="106">
        <f t="shared" si="0"/>
        <v>26.963686799998</v>
      </c>
      <c r="P8" s="111">
        <v>45413</v>
      </c>
      <c r="Q8" s="106">
        <v>354.472820000001</v>
      </c>
      <c r="R8" s="106">
        <v>12.57103</v>
      </c>
      <c r="S8" s="106">
        <v>63.0340378000004</v>
      </c>
      <c r="T8" s="106">
        <v>26.229131</v>
      </c>
      <c r="U8" s="106">
        <v>9.76849299999999</v>
      </c>
      <c r="V8" s="106">
        <v>105.1927582</v>
      </c>
      <c r="W8" s="106">
        <v>571.268270000001</v>
      </c>
      <c r="Y8" s="110">
        <v>45069</v>
      </c>
      <c r="Z8" s="106">
        <v>1302.603039</v>
      </c>
      <c r="AA8" s="106">
        <v>124.026741</v>
      </c>
      <c r="AB8" s="106">
        <v>148.961138</v>
      </c>
      <c r="AC8" s="106">
        <v>4.322638</v>
      </c>
      <c r="AD8" s="106">
        <v>29.90199</v>
      </c>
      <c r="AE8" s="113">
        <v>-52.815546</v>
      </c>
      <c r="AF8" s="106">
        <f t="shared" si="2"/>
        <v>1557</v>
      </c>
      <c r="AG8" s="106"/>
      <c r="AH8" s="110">
        <v>44682</v>
      </c>
      <c r="AI8" s="106">
        <v>1428.60565776</v>
      </c>
      <c r="AJ8" s="106">
        <v>235.366807</v>
      </c>
      <c r="AK8" s="106">
        <v>301.569331</v>
      </c>
      <c r="AL8" s="106">
        <v>8.663825</v>
      </c>
      <c r="AM8" s="106">
        <v>17.074243</v>
      </c>
      <c r="AN8" s="113">
        <v>11.25758748</v>
      </c>
      <c r="AO8" s="106">
        <v>2002.53745124</v>
      </c>
    </row>
    <row r="9" spans="1:41">
      <c r="A9" s="110">
        <v>45809</v>
      </c>
      <c r="B9" s="106">
        <f>VLOOKUP(B$3,$L$88:$N$102,3,0)-2.696904</f>
        <v>224.636992140333</v>
      </c>
      <c r="C9" s="106">
        <f>VLOOKUP(C$3,$L$88:$N$102,3,0)</f>
        <v>59.7608408443401</v>
      </c>
      <c r="D9" s="106">
        <f>VLOOKUP(D$3,$L$88:$N$102,3,0)</f>
        <v>95.01155826</v>
      </c>
      <c r="E9" s="106">
        <f>VLOOKUP(E$3,$L$88:$N$102,3,0)</f>
        <v>11.98220176276</v>
      </c>
      <c r="F9" s="106">
        <f>VLOOKUP(F$3,$L$88:$N$102,3,0)</f>
        <v>157.127120877577</v>
      </c>
      <c r="G9" s="106">
        <f>'毛利-收入组成'!D68-SUM(B9:F9)</f>
        <v>-120.479258105007</v>
      </c>
      <c r="H9" s="106">
        <f t="shared" si="1"/>
        <v>428.039455780003</v>
      </c>
      <c r="I9" s="58">
        <f>H9-'毛利-收入组成'!D68</f>
        <v>0</v>
      </c>
      <c r="J9" s="112"/>
      <c r="L9" s="57" t="s">
        <v>253</v>
      </c>
      <c r="M9" s="58">
        <v>5079.13</v>
      </c>
      <c r="N9" s="106">
        <f t="shared" si="0"/>
        <v>0.507913</v>
      </c>
      <c r="P9" s="111">
        <v>45444</v>
      </c>
      <c r="Q9" s="106">
        <v>149.972241731199</v>
      </c>
      <c r="R9" s="106">
        <v>92.7181210033329</v>
      </c>
      <c r="S9" s="106">
        <v>71.6481739000024</v>
      </c>
      <c r="T9" s="106">
        <v>37.70882087</v>
      </c>
      <c r="U9" s="106">
        <v>-8.83048999999999</v>
      </c>
      <c r="V9" s="106">
        <v>125.420105655466</v>
      </c>
      <c r="W9" s="106">
        <v>468.63697316</v>
      </c>
      <c r="Y9" s="110">
        <v>45100</v>
      </c>
      <c r="Z9" s="106">
        <v>2169.7378836</v>
      </c>
      <c r="AA9" s="106">
        <v>178.837016</v>
      </c>
      <c r="AB9" s="106">
        <v>148.181476</v>
      </c>
      <c r="AC9" s="106">
        <v>5.477087</v>
      </c>
      <c r="AD9" s="106">
        <v>17.609325</v>
      </c>
      <c r="AE9" s="113">
        <v>34.1572123999999</v>
      </c>
      <c r="AF9" s="106">
        <f t="shared" si="2"/>
        <v>2554</v>
      </c>
      <c r="AG9" s="106"/>
      <c r="AH9" s="110">
        <v>44713</v>
      </c>
      <c r="AI9" s="106">
        <v>1383.48967498</v>
      </c>
      <c r="AJ9" s="106">
        <v>300.343708</v>
      </c>
      <c r="AK9" s="106">
        <v>383.499409</v>
      </c>
      <c r="AL9" s="106">
        <v>23.121598</v>
      </c>
      <c r="AM9" s="106">
        <v>16.591943</v>
      </c>
      <c r="AN9" s="113">
        <v>-7.40637998000011</v>
      </c>
      <c r="AO9" s="106">
        <v>2099.639953</v>
      </c>
    </row>
    <row r="10" spans="1:41">
      <c r="A10" s="110">
        <v>45839</v>
      </c>
      <c r="B10" s="106">
        <f>VLOOKUP(B$3,$L$106:$N$120,3,0)-4.518992</f>
        <v>178.89543067479</v>
      </c>
      <c r="C10" s="106">
        <f>VLOOKUP(C$3,$L$106:$N$120,3,0)</f>
        <v>37.4585543301243</v>
      </c>
      <c r="D10" s="106">
        <f>VLOOKUP(D$3,$L$106:$N$120,3,0)</f>
        <v>8.70458084000108</v>
      </c>
      <c r="E10" s="106">
        <f>VLOOKUP(E$3,$L$106:$N$120,3,0)</f>
        <v>19.9105274100012</v>
      </c>
      <c r="F10" s="106">
        <f>VLOOKUP(F$3,$L$106:$N$120,3,0)</f>
        <v>16.992110132474</v>
      </c>
      <c r="G10" s="106">
        <f>'毛利-收入组成'!D69-SUM(B10:F10)</f>
        <v>47.6470543726164</v>
      </c>
      <c r="H10" s="106">
        <f t="shared" si="1"/>
        <v>309.608257760007</v>
      </c>
      <c r="I10" s="58">
        <f>H10-'毛利-收入组成'!D69</f>
        <v>0</v>
      </c>
      <c r="J10" s="112"/>
      <c r="L10" s="57" t="s">
        <v>250</v>
      </c>
      <c r="M10" s="58">
        <v>856053.877600063</v>
      </c>
      <c r="N10" s="106">
        <f t="shared" si="0"/>
        <v>85.6053877600063</v>
      </c>
      <c r="P10" s="111">
        <v>45474</v>
      </c>
      <c r="Q10" s="106">
        <v>653.967844287479</v>
      </c>
      <c r="R10" s="106">
        <v>15.7114769133339</v>
      </c>
      <c r="S10" s="106">
        <v>32.2981582700003</v>
      </c>
      <c r="T10" s="106">
        <v>9.03697142</v>
      </c>
      <c r="U10" s="106">
        <v>20.639444480001</v>
      </c>
      <c r="V10" s="106">
        <v>300.120908809186</v>
      </c>
      <c r="W10" s="106">
        <v>1031.77480418</v>
      </c>
      <c r="Y10" s="110">
        <v>45130</v>
      </c>
      <c r="Z10" s="106">
        <v>1189.8460584</v>
      </c>
      <c r="AA10" s="106">
        <v>81.6037307900001</v>
      </c>
      <c r="AB10" s="106">
        <v>183.830388809999</v>
      </c>
      <c r="AC10" s="106">
        <v>2.632796</v>
      </c>
      <c r="AD10" s="106">
        <v>30.025928</v>
      </c>
      <c r="AE10" s="113">
        <v>168.061098000001</v>
      </c>
      <c r="AF10" s="106">
        <f t="shared" si="2"/>
        <v>1656</v>
      </c>
      <c r="AG10" s="106"/>
      <c r="AH10" s="110">
        <v>44743</v>
      </c>
      <c r="AI10" s="106">
        <v>935.6095559</v>
      </c>
      <c r="AJ10" s="106">
        <v>235.455628</v>
      </c>
      <c r="AK10" s="106">
        <v>213.931443</v>
      </c>
      <c r="AL10" s="106">
        <v>0.593368000000001</v>
      </c>
      <c r="AM10" s="106">
        <v>35.733424</v>
      </c>
      <c r="AN10" s="113">
        <v>2.85519278000015</v>
      </c>
      <c r="AO10" s="106">
        <v>1424.17861168</v>
      </c>
    </row>
    <row r="11" spans="1:41">
      <c r="A11" s="110">
        <v>45870</v>
      </c>
      <c r="B11" s="106">
        <f>VLOOKUP(B$3,$L$124:$N$139,3,0)-4.713276</f>
        <v>254.527600746015</v>
      </c>
      <c r="C11" s="106">
        <f>VLOOKUP(C$3,$L$124:$N$139,3,0)</f>
        <v>-15.467336982657</v>
      </c>
      <c r="D11" s="106">
        <f>VLOOKUP(D$3,$L$124:$N$139,3,0)</f>
        <v>9.90390383999991</v>
      </c>
      <c r="E11" s="106">
        <f>VLOOKUP(E$3,$L$124:$N$139,3,0)</f>
        <v>19.1197096600019</v>
      </c>
      <c r="F11" s="106">
        <f>VLOOKUP(F$3,$L$124:$N$139,3,0)</f>
        <v>-25.329639963946</v>
      </c>
      <c r="G11" s="106">
        <f>'毛利-收入组成'!D70-SUM(B11:F11)</f>
        <v>103.576629360583</v>
      </c>
      <c r="H11" s="106">
        <f t="shared" si="1"/>
        <v>346.330866659997</v>
      </c>
      <c r="I11" s="58">
        <f>H11-'毛利-收入组成'!D70</f>
        <v>0</v>
      </c>
      <c r="J11" s="112"/>
      <c r="L11" s="57" t="s">
        <v>252</v>
      </c>
      <c r="M11" s="58">
        <v>519693.59999999</v>
      </c>
      <c r="N11" s="106">
        <f t="shared" si="0"/>
        <v>51.969359999999</v>
      </c>
      <c r="P11" s="111">
        <v>45505</v>
      </c>
      <c r="Q11" s="106">
        <v>224.122071024917</v>
      </c>
      <c r="R11" s="106">
        <v>124.301522385014</v>
      </c>
      <c r="S11" s="106">
        <v>57.9888023333322</v>
      </c>
      <c r="T11" s="106">
        <v>8.01916582</v>
      </c>
      <c r="U11" s="106">
        <v>-0.311856200000011</v>
      </c>
      <c r="V11" s="106">
        <v>103.429040636737</v>
      </c>
      <c r="W11" s="106">
        <v>517.548746</v>
      </c>
      <c r="Y11" s="110">
        <v>45161</v>
      </c>
      <c r="Z11" s="106">
        <v>938.958714</v>
      </c>
      <c r="AA11" s="106">
        <v>83.0638879999999</v>
      </c>
      <c r="AB11" s="106">
        <v>175.106368</v>
      </c>
      <c r="AC11" s="106">
        <v>27.620936</v>
      </c>
      <c r="AD11" s="106">
        <v>10.951942</v>
      </c>
      <c r="AE11" s="113">
        <v>156.298152</v>
      </c>
      <c r="AF11" s="106">
        <f t="shared" si="2"/>
        <v>1392</v>
      </c>
      <c r="AG11" s="106"/>
      <c r="AH11" s="110">
        <v>44774</v>
      </c>
      <c r="AI11" s="106">
        <v>2133.3825452</v>
      </c>
      <c r="AJ11" s="106">
        <v>298.554386</v>
      </c>
      <c r="AK11" s="106">
        <v>265.918431000001</v>
      </c>
      <c r="AL11" s="106">
        <v>18.81541</v>
      </c>
      <c r="AM11" s="106">
        <v>19.033014</v>
      </c>
      <c r="AN11" s="113">
        <v>-2.58745204000115</v>
      </c>
      <c r="AO11" s="106">
        <v>2733.11633416</v>
      </c>
    </row>
    <row r="12" spans="1:41">
      <c r="A12" s="110">
        <v>45901</v>
      </c>
      <c r="B12" s="106">
        <f>VLOOKUP(B$3,$L$142:$N$157,3,0)-5.41375</f>
        <v>300.427435885049</v>
      </c>
      <c r="C12" s="106">
        <f>VLOOKUP(C$3,$L$142:$N$157,3,0)</f>
        <v>26.7631092884499</v>
      </c>
      <c r="D12" s="106">
        <f>VLOOKUP(D$3,$L$142:$N$157,3,0)</f>
        <v>-24.9736791</v>
      </c>
      <c r="E12" s="106">
        <f>VLOOKUP(E$3,$L$142:$N$157,3,0)</f>
        <v>10.027172350001</v>
      </c>
      <c r="F12" s="106">
        <f>VLOOKUP(F$3,$L$142:$N$157,3,0)</f>
        <v>-25.7233212500001</v>
      </c>
      <c r="G12" s="106">
        <f>'毛利-收入组成'!D71-SUM(B12:F12)</f>
        <v>99.3409409664971</v>
      </c>
      <c r="H12" s="106">
        <f t="shared" si="1"/>
        <v>385.861658139997</v>
      </c>
      <c r="I12" s="58">
        <f>H12-'毛利-收入组成'!D71</f>
        <v>0</v>
      </c>
      <c r="J12" s="112"/>
      <c r="L12" s="57" t="s">
        <v>249</v>
      </c>
      <c r="M12" s="58">
        <v>1246817.83162994</v>
      </c>
      <c r="N12" s="106">
        <f t="shared" si="0"/>
        <v>124.681783162994</v>
      </c>
      <c r="P12" s="111">
        <v>45536</v>
      </c>
      <c r="Q12" s="106">
        <v>144.098644214863</v>
      </c>
      <c r="R12" s="106">
        <v>91.6143847484329</v>
      </c>
      <c r="S12" s="106">
        <v>71.2879000633424</v>
      </c>
      <c r="T12" s="106">
        <v>14.46206122</v>
      </c>
      <c r="U12" s="106">
        <v>4.73744980999901</v>
      </c>
      <c r="V12" s="106">
        <v>-21.9007045366383</v>
      </c>
      <c r="W12" s="106">
        <v>304.299735519999</v>
      </c>
      <c r="Y12" s="110">
        <v>45192</v>
      </c>
      <c r="Z12" s="106">
        <v>1074.956236</v>
      </c>
      <c r="AA12" s="106">
        <v>150.781841</v>
      </c>
      <c r="AB12" s="106">
        <v>169.978829999999</v>
      </c>
      <c r="AC12" s="106">
        <v>8.95197</v>
      </c>
      <c r="AD12" s="106">
        <v>9.27780800000002</v>
      </c>
      <c r="AE12" s="113">
        <v>-192.946684999999</v>
      </c>
      <c r="AF12" s="106">
        <f t="shared" si="2"/>
        <v>1221</v>
      </c>
      <c r="AG12" s="106"/>
      <c r="AH12" s="110">
        <v>44805</v>
      </c>
      <c r="AI12" s="106">
        <v>1035.920068</v>
      </c>
      <c r="AJ12" s="106">
        <v>339.88099</v>
      </c>
      <c r="AK12" s="106">
        <v>363.076116999998</v>
      </c>
      <c r="AL12" s="106">
        <v>13.046563</v>
      </c>
      <c r="AM12" s="106">
        <v>45.6350949999999</v>
      </c>
      <c r="AN12" s="113">
        <v>3.46436322000181</v>
      </c>
      <c r="AO12" s="106">
        <v>1801.02319622</v>
      </c>
    </row>
    <row r="13" spans="1:41">
      <c r="A13" s="110">
        <v>45931</v>
      </c>
      <c r="B13" s="106">
        <f>VLOOKUP(B$3,$L$160:$N$174,3,0)-5.32808</f>
        <v>155.847838273694</v>
      </c>
      <c r="C13" s="106">
        <f>VLOOKUP(C$3,$L$160:$N$174,3,0)</f>
        <v>14.6146374788881</v>
      </c>
      <c r="D13" s="106">
        <f>VLOOKUP(D$3,$L$160:$N$174,3,0)</f>
        <v>-1.17641573999998</v>
      </c>
      <c r="E13" s="106">
        <f>VLOOKUP(E$3,$L$160:$N$174,3,0)</f>
        <v>63.9980103600009</v>
      </c>
      <c r="F13" s="106">
        <f>VLOOKUP(F$3,$L$160:$N$174,3,0)</f>
        <v>-112.215597903963</v>
      </c>
      <c r="G13" s="106">
        <f>'毛利-收入组成'!D72-SUM(B13:F13)</f>
        <v>200.52632415138</v>
      </c>
      <c r="H13" s="106">
        <f t="shared" si="1"/>
        <v>321.59479662</v>
      </c>
      <c r="I13" s="58">
        <f>H13-'毛利-收入组成'!D72</f>
        <v>0</v>
      </c>
      <c r="J13" s="112"/>
      <c r="L13" s="57" t="s">
        <v>248</v>
      </c>
      <c r="M13" s="58">
        <v>-234795.998365416</v>
      </c>
      <c r="N13" s="106">
        <f t="shared" si="0"/>
        <v>-23.4795998365416</v>
      </c>
      <c r="P13" s="111">
        <v>45566</v>
      </c>
      <c r="Q13" s="106">
        <v>-87.0739762047821</v>
      </c>
      <c r="R13" s="106">
        <v>38.976886261276</v>
      </c>
      <c r="S13" s="106">
        <v>17.7530088899978</v>
      </c>
      <c r="T13" s="106">
        <v>60.622509880001</v>
      </c>
      <c r="U13" s="106">
        <v>36.0815662699989</v>
      </c>
      <c r="V13" s="106">
        <v>79.4281335635084</v>
      </c>
      <c r="W13" s="106">
        <v>145.78812866</v>
      </c>
      <c r="Y13" s="110">
        <v>45222</v>
      </c>
      <c r="Z13" s="106">
        <v>1305.922322</v>
      </c>
      <c r="AA13" s="106">
        <v>84.613338</v>
      </c>
      <c r="AB13" s="106">
        <v>146.566763</v>
      </c>
      <c r="AC13" s="106">
        <v>84.596539</v>
      </c>
      <c r="AD13" s="106">
        <v>6.036234</v>
      </c>
      <c r="AE13" s="113">
        <v>188.264804</v>
      </c>
      <c r="AF13" s="106">
        <f t="shared" si="2"/>
        <v>1816</v>
      </c>
      <c r="AG13" s="106"/>
      <c r="AH13" s="110">
        <v>44835</v>
      </c>
      <c r="AI13" s="106">
        <v>692.414385</v>
      </c>
      <c r="AJ13" s="106">
        <v>352.844042</v>
      </c>
      <c r="AK13" s="106">
        <v>326.239635</v>
      </c>
      <c r="AL13" s="106">
        <v>5.990361</v>
      </c>
      <c r="AM13" s="106">
        <v>28.379072</v>
      </c>
      <c r="AN13" s="113">
        <v>11.81060202</v>
      </c>
      <c r="AO13" s="106">
        <v>1417.67809702</v>
      </c>
    </row>
    <row r="14" spans="1:41">
      <c r="A14" s="110">
        <v>45962</v>
      </c>
      <c r="B14" s="106">
        <f>VLOOKUP(B$3,$L$178:$N$192,3,0)-2.754273</f>
        <v>221.719585909787</v>
      </c>
      <c r="C14" s="106">
        <f>VLOOKUP(C$3,$L$178:$N$192,3,0)</f>
        <v>28.7161981577511</v>
      </c>
      <c r="D14" s="106">
        <f>VLOOKUP(D$3,$L$178:$N$192,3,0)</f>
        <v>8.55267480000001</v>
      </c>
      <c r="E14" s="106">
        <f>VLOOKUP(E$3,$L$178:$N$192,3,0)</f>
        <v>49.079462740001</v>
      </c>
      <c r="F14" s="106">
        <f>VLOOKUP(F$3,$L$178:$N$192,3,0)</f>
        <v>-177.363591299997</v>
      </c>
      <c r="G14" s="106">
        <f>'毛利-收入组成'!D73-SUM(B14:F14)</f>
        <v>-26.8823833075422</v>
      </c>
      <c r="H14" s="106">
        <f t="shared" si="1"/>
        <v>103.821947</v>
      </c>
      <c r="I14" s="58">
        <f>H14-'毛利-收入组成'!D73</f>
        <v>0</v>
      </c>
      <c r="J14" s="112"/>
      <c r="L14" s="57" t="s">
        <v>251</v>
      </c>
      <c r="M14" s="58">
        <v>91372.1827</v>
      </c>
      <c r="N14" s="106">
        <f t="shared" si="0"/>
        <v>9.13721827</v>
      </c>
      <c r="P14" s="111">
        <v>45597</v>
      </c>
      <c r="Q14" s="106">
        <v>-84.4429895637384</v>
      </c>
      <c r="R14" s="106">
        <v>-44.9672010228491</v>
      </c>
      <c r="S14" s="106">
        <v>7.29180698666709</v>
      </c>
      <c r="T14" s="106">
        <v>30.691759250001</v>
      </c>
      <c r="U14" s="106">
        <v>75.976361969999</v>
      </c>
      <c r="V14" s="106">
        <v>193.632770349913</v>
      </c>
      <c r="W14" s="106">
        <v>178.182507969993</v>
      </c>
      <c r="Y14" s="110">
        <v>45253</v>
      </c>
      <c r="Z14" s="114">
        <v>1952.80234700005</v>
      </c>
      <c r="AA14" s="106">
        <v>171.725262</v>
      </c>
      <c r="AB14" s="106">
        <v>168.950715</v>
      </c>
      <c r="AC14" s="106">
        <v>42.34075</v>
      </c>
      <c r="AD14" s="106">
        <v>-16.736957</v>
      </c>
      <c r="AE14" s="113">
        <v>30.9030070000022</v>
      </c>
      <c r="AF14" s="106">
        <f t="shared" si="2"/>
        <v>2349.98512400005</v>
      </c>
      <c r="AG14" s="106"/>
      <c r="AH14" s="110">
        <v>44866</v>
      </c>
      <c r="AI14" s="106">
        <v>1072.982774</v>
      </c>
      <c r="AJ14" s="106">
        <v>457.14086</v>
      </c>
      <c r="AK14" s="106">
        <v>640.894881000001</v>
      </c>
      <c r="AL14" s="106">
        <v>30.073658</v>
      </c>
      <c r="AM14" s="106">
        <v>22.883387</v>
      </c>
      <c r="AN14" s="113">
        <v>0.013025339998876</v>
      </c>
      <c r="AO14" s="106">
        <v>2223.98858534</v>
      </c>
    </row>
    <row r="15" spans="1:41">
      <c r="A15" s="110">
        <v>45992</v>
      </c>
      <c r="B15" s="106">
        <f>VLOOKUP(B$3,$L$196:$N$210,3,0)-2.631092</f>
        <v>253.341104400922</v>
      </c>
      <c r="C15" s="106">
        <f>VLOOKUP(C$3,$L$196:$N$210,3,0)</f>
        <v>-1.15869132311017</v>
      </c>
      <c r="D15" s="106">
        <f>VLOOKUP(D$3,$L$196:$N$210,3,0)+368.731*1.06-368.731*1.06</f>
        <v>22.2040711000103</v>
      </c>
      <c r="E15" s="106">
        <f>VLOOKUP(E$3,$L$196:$N$210,3,0)</f>
        <v>11.0245049600001</v>
      </c>
      <c r="F15" s="106">
        <f>VLOOKUP(F$3,$L$196:$N$210,3,0)</f>
        <v>-30.8483257816031</v>
      </c>
      <c r="G15" s="106">
        <f>'毛利-收入组成'!D74-SUM(B15:F15)</f>
        <v>9.07213832377991</v>
      </c>
      <c r="H15" s="106">
        <f t="shared" si="1"/>
        <v>263.634801679999</v>
      </c>
      <c r="I15" s="58">
        <f>H15-'毛利-收入组成'!D74</f>
        <v>0</v>
      </c>
      <c r="L15" s="57" t="e">
        <v>#N/A</v>
      </c>
      <c r="M15" s="58">
        <v>5341357.36033427</v>
      </c>
      <c r="N15" s="106">
        <f t="shared" si="0"/>
        <v>534.135736033427</v>
      </c>
      <c r="P15" s="111">
        <v>45627</v>
      </c>
      <c r="Q15" s="106">
        <v>-179.556666097912</v>
      </c>
      <c r="R15" s="106">
        <v>253.323589351761</v>
      </c>
      <c r="S15" s="106">
        <v>62.8561944033337</v>
      </c>
      <c r="T15" s="106">
        <v>20.67469113</v>
      </c>
      <c r="U15" s="106">
        <v>42.6616787199539</v>
      </c>
      <c r="V15" s="106">
        <v>182.460215092863</v>
      </c>
      <c r="W15" s="106">
        <v>382.4197026</v>
      </c>
      <c r="Y15" s="110">
        <v>45291</v>
      </c>
      <c r="Z15" s="114">
        <v>2398.57486500007</v>
      </c>
      <c r="AA15" s="106">
        <v>209.537445</v>
      </c>
      <c r="AB15" s="106">
        <v>141.840993999999</v>
      </c>
      <c r="AC15" s="106">
        <v>26.409246</v>
      </c>
      <c r="AD15" s="106">
        <v>21.408224</v>
      </c>
      <c r="AE15" s="113">
        <v>-172.158659999996</v>
      </c>
      <c r="AF15" s="106">
        <f t="shared" si="2"/>
        <v>2625.61211400007</v>
      </c>
      <c r="AG15" s="106"/>
      <c r="AH15" s="110">
        <v>44896</v>
      </c>
      <c r="AI15" s="106">
        <v>3968.444318</v>
      </c>
      <c r="AJ15" s="106">
        <v>414.699762</v>
      </c>
      <c r="AK15" s="106">
        <v>572.218704</v>
      </c>
      <c r="AL15" s="106">
        <v>16.194029</v>
      </c>
      <c r="AM15" s="106">
        <v>57.379505</v>
      </c>
      <c r="AN15" s="113">
        <v>158.177773599999</v>
      </c>
      <c r="AO15" s="106">
        <v>5187.1140916</v>
      </c>
    </row>
    <row r="16" spans="1:41">
      <c r="A16" s="54" t="s">
        <v>9</v>
      </c>
      <c r="B16" s="106">
        <f>SUM(B4:B15)</f>
        <v>2389.2624551058</v>
      </c>
      <c r="C16" s="106">
        <f t="shared" ref="B16:H16" si="3">SUM(C4:C15)</f>
        <v>511.886695785319</v>
      </c>
      <c r="D16" s="106">
        <f t="shared" si="3"/>
        <v>452.487132780035</v>
      </c>
      <c r="E16" s="106">
        <f t="shared" si="3"/>
        <v>279.002407213483</v>
      </c>
      <c r="F16" s="106">
        <f t="shared" si="3"/>
        <v>64.0751226313783</v>
      </c>
      <c r="G16" s="106">
        <f t="shared" si="3"/>
        <v>740.093726944285</v>
      </c>
      <c r="H16" s="106">
        <f t="shared" si="3"/>
        <v>4436.8075404603</v>
      </c>
      <c r="I16" s="58">
        <f>H16-'毛利-收入组成'!D82</f>
        <v>0</v>
      </c>
      <c r="L16" s="57" t="s">
        <v>260</v>
      </c>
      <c r="M16" s="58">
        <f>SUM(M3:M15)</f>
        <v>11322203.1357718</v>
      </c>
      <c r="N16" s="106">
        <f>SUM(N3:N15)</f>
        <v>1132.22031357718</v>
      </c>
      <c r="P16" s="111" t="s">
        <v>9</v>
      </c>
      <c r="Q16" s="106">
        <f>SUM(Q4:Q15)</f>
        <v>4031.6799503921</v>
      </c>
      <c r="R16" s="106">
        <f t="shared" ref="R16:W16" si="4">SUM(R4:R15)</f>
        <v>912.078313640302</v>
      </c>
      <c r="S16" s="106">
        <f t="shared" si="4"/>
        <v>605.802153646675</v>
      </c>
      <c r="T16" s="106">
        <f t="shared" si="4"/>
        <v>254.857160590002</v>
      </c>
      <c r="U16" s="106">
        <f t="shared" si="4"/>
        <v>129.925789049952</v>
      </c>
      <c r="V16" s="106">
        <f t="shared" si="4"/>
        <v>987.450057321044</v>
      </c>
      <c r="W16" s="106">
        <f t="shared" si="4"/>
        <v>6921.79342464007</v>
      </c>
      <c r="Y16" s="115" t="s">
        <v>9</v>
      </c>
      <c r="Z16" s="106">
        <f>SUM(Z4:Z15)</f>
        <v>17001.3860790001</v>
      </c>
      <c r="AA16" s="106">
        <f t="shared" ref="AA16:AF16" si="5">SUM(AA4:AA15)</f>
        <v>1336.42043779</v>
      </c>
      <c r="AB16" s="106">
        <f t="shared" si="5"/>
        <v>2112.44532781</v>
      </c>
      <c r="AC16" s="106">
        <f t="shared" si="5"/>
        <v>253.470114</v>
      </c>
      <c r="AD16" s="106">
        <f t="shared" si="5"/>
        <v>260.871238</v>
      </c>
      <c r="AE16" s="106">
        <f t="shared" si="5"/>
        <v>278.004041400007</v>
      </c>
      <c r="AF16" s="106">
        <f t="shared" si="5"/>
        <v>21242.5972380001</v>
      </c>
      <c r="AG16" s="106"/>
      <c r="AH16" s="115" t="s">
        <v>9</v>
      </c>
      <c r="AI16" s="106">
        <f t="shared" ref="AI16:AN16" si="6">SUM(AI4:AI15)</f>
        <v>15553.38440284</v>
      </c>
      <c r="AJ16" s="106">
        <f t="shared" si="6"/>
        <v>3843.285051</v>
      </c>
      <c r="AK16" s="106">
        <f t="shared" si="6"/>
        <v>4100.23287</v>
      </c>
      <c r="AL16" s="106">
        <f t="shared" si="6"/>
        <v>159.262399</v>
      </c>
      <c r="AM16" s="106">
        <f t="shared" si="6"/>
        <v>358.172127</v>
      </c>
      <c r="AN16" s="106">
        <f t="shared" si="6"/>
        <v>147.364653540201</v>
      </c>
      <c r="AO16" s="106">
        <f>SUM(AI16:AN16)</f>
        <v>24161.7015033802</v>
      </c>
    </row>
    <row r="17" spans="1:43">
      <c r="A17" s="54" t="s">
        <v>64</v>
      </c>
      <c r="B17" s="65">
        <f t="shared" ref="B17:G17" si="7">B16/$H$16</f>
        <v>0.538509374886683</v>
      </c>
      <c r="C17" s="65">
        <f t="shared" si="7"/>
        <v>0.115372751943217</v>
      </c>
      <c r="D17" s="65">
        <f t="shared" si="7"/>
        <v>0.1019848457824</v>
      </c>
      <c r="E17" s="65">
        <f t="shared" si="7"/>
        <v>0.0628835947174165</v>
      </c>
      <c r="F17" s="65">
        <f t="shared" si="7"/>
        <v>0.0144417178448833</v>
      </c>
      <c r="G17" s="65">
        <f t="shared" si="7"/>
        <v>0.1668077148254</v>
      </c>
      <c r="P17" s="111" t="s">
        <v>64</v>
      </c>
      <c r="Q17" s="65">
        <f>Q16/$W$16</f>
        <v>0.582461755654279</v>
      </c>
      <c r="R17" s="65">
        <f t="shared" ref="Q17:V17" si="8">R16/$W$16</f>
        <v>0.131769074528214</v>
      </c>
      <c r="S17" s="65">
        <f t="shared" si="8"/>
        <v>0.0875209814107066</v>
      </c>
      <c r="T17" s="65">
        <f t="shared" si="8"/>
        <v>0.0368195271015697</v>
      </c>
      <c r="U17" s="65">
        <f t="shared" si="8"/>
        <v>0.0187705383676208</v>
      </c>
      <c r="V17" s="65">
        <f t="shared" si="8"/>
        <v>0.14265812293761</v>
      </c>
      <c r="W17" s="106">
        <f>W16-'毛利-收入组成'!D81</f>
        <v>428.898956000002</v>
      </c>
      <c r="Y17" s="54" t="s">
        <v>64</v>
      </c>
      <c r="Z17" s="65">
        <f t="shared" ref="Z17:AE17" si="9">Z16/$AF$16</f>
        <v>0.800344039314879</v>
      </c>
      <c r="AA17" s="65">
        <f t="shared" si="9"/>
        <v>0.0629122899999876</v>
      </c>
      <c r="AB17" s="65">
        <f t="shared" si="9"/>
        <v>0.0994438346753156</v>
      </c>
      <c r="AC17" s="65">
        <f t="shared" si="9"/>
        <v>0.0119321621155899</v>
      </c>
      <c r="AD17" s="65">
        <f t="shared" si="9"/>
        <v>0.0122805716776166</v>
      </c>
      <c r="AE17" s="65">
        <f t="shared" si="9"/>
        <v>0.013087102216611</v>
      </c>
      <c r="AF17"/>
      <c r="AG17"/>
      <c r="AH17" s="54" t="s">
        <v>64</v>
      </c>
      <c r="AI17" s="65">
        <f t="shared" ref="AI17:AN17" si="10">AI16/$AO$16</f>
        <v>0.643720575749357</v>
      </c>
      <c r="AJ17" s="65">
        <f t="shared" si="10"/>
        <v>0.159065165607742</v>
      </c>
      <c r="AK17" s="65">
        <f t="shared" si="10"/>
        <v>0.169699674065851</v>
      </c>
      <c r="AL17" s="65">
        <f t="shared" si="10"/>
        <v>0.00659152249595168</v>
      </c>
      <c r="AM17" s="65">
        <f t="shared" si="10"/>
        <v>0.0148239612574426</v>
      </c>
      <c r="AN17" s="65">
        <f t="shared" si="10"/>
        <v>0.00609910082365617</v>
      </c>
    </row>
    <row r="18" spans="1:43">
      <c r="A18" s="54" t="s">
        <v>32</v>
      </c>
      <c r="B18" s="65">
        <f>B16/'GMV表-品牌'!B16</f>
        <v>0.0441294338209459</v>
      </c>
      <c r="C18" s="65">
        <f>C16/'GMV表-品牌'!C16</f>
        <v>0.0493407582184423</v>
      </c>
      <c r="D18" s="65">
        <f>D16/'GMV表-品牌'!D16</f>
        <v>0.00612495926399293</v>
      </c>
      <c r="E18" s="65">
        <f>E16/'GMV表-品牌'!E16</f>
        <v>0.055052178017075</v>
      </c>
      <c r="F18" s="65">
        <f>F16/'GMV表-品牌'!F16</f>
        <v>0.003863038970722</v>
      </c>
      <c r="G18" s="65">
        <f>G16/'GMV表-品牌'!G16</f>
        <v>0.52577243177308</v>
      </c>
      <c r="H18" s="65">
        <f>H16/'GMV表-品牌'!H16</f>
        <v>0.0274801629762399</v>
      </c>
      <c r="P18" s="111" t="s">
        <v>32</v>
      </c>
      <c r="Q18" s="65">
        <f>Q16/'GMV表-品牌'!Q16</f>
        <v>0.0489553502706186</v>
      </c>
      <c r="R18" s="65">
        <f>R16/'GMV表-品牌'!R16</f>
        <v>0.0628558318177385</v>
      </c>
      <c r="S18" s="65">
        <f>S16/'GMV表-品牌'!S16</f>
        <v>0.00302774245374848</v>
      </c>
      <c r="T18" s="65">
        <f>T16/'GMV表-品牌'!T16</f>
        <v>0.103780050894644</v>
      </c>
      <c r="U18" s="65">
        <f>U16/'GMV表-品牌'!U16</f>
        <v>0.0143185511698335</v>
      </c>
      <c r="V18" s="65">
        <f>V16/'GMV表-品牌'!V16</f>
        <v>-10.6165699306137</v>
      </c>
      <c r="W18" s="65">
        <f>W16/'GMV表-品牌'!W16</f>
        <v>0.0224452749667441</v>
      </c>
      <c r="Y18" s="115" t="s">
        <v>32</v>
      </c>
      <c r="Z18" s="65">
        <f>Z16/'GMV表-品牌'!AA16</f>
        <v>0.121252099831498</v>
      </c>
      <c r="AA18" s="65">
        <f>AA16/'GMV表-品牌'!AB16</f>
        <v>0.0456539702141169</v>
      </c>
      <c r="AB18" s="65">
        <f>AB16/'GMV表-品牌'!AC16</f>
        <v>0.00639533778469057</v>
      </c>
      <c r="AC18" s="65">
        <f>AC16/'GMV表-品牌'!AD16</f>
        <v>0.159499457588821</v>
      </c>
      <c r="AD18" s="65">
        <f>AD16/'GMV表-品牌'!AE16</f>
        <v>0.0666102106764694</v>
      </c>
      <c r="AE18" s="65">
        <f>AE16/'GMV表-品牌'!AF16</f>
        <v>0.927185437061684</v>
      </c>
      <c r="AF18" s="65">
        <f>AF16/'GMV表-品牌'!AG16</f>
        <v>0.0420143319735745</v>
      </c>
      <c r="AG18" s="65"/>
      <c r="AH18" s="115" t="s">
        <v>32</v>
      </c>
      <c r="AI18" s="65">
        <f>AI16/'GMV表-品牌'!AK16</f>
        <v>0.140001039554947</v>
      </c>
      <c r="AJ18" s="65">
        <f>AJ16/'GMV表-品牌'!AL16</f>
        <v>0.0852150821466507</v>
      </c>
      <c r="AK18" s="65">
        <f>AK16/'GMV表-品牌'!AM16</f>
        <v>0.0099230606250002</v>
      </c>
      <c r="AL18" s="65">
        <f>AL16/'GMV表-品牌'!AN16</f>
        <v>0.148549617650181</v>
      </c>
      <c r="AM18" s="65">
        <f>AM16/'GMV表-品牌'!AO16</f>
        <v>0.0882605989150661</v>
      </c>
      <c r="AN18" s="65">
        <f>AN16/'GMV表-品牌'!AP16</f>
        <v>0.0789714349281859</v>
      </c>
      <c r="AO18" s="65">
        <v>0.041918688464147</v>
      </c>
    </row>
    <row r="19" spans="1:43">
      <c r="A19" s="54" t="s">
        <v>163</v>
      </c>
      <c r="B19" s="94">
        <f>B16-Q16</f>
        <v>-1642.4174952863</v>
      </c>
      <c r="C19" s="94">
        <f>C16-R16</f>
        <v>-400.191617854983</v>
      </c>
      <c r="D19" s="94">
        <f t="shared" ref="B19:H19" si="11">D16-S16</f>
        <v>-153.31502086664</v>
      </c>
      <c r="E19" s="94">
        <f t="shared" si="11"/>
        <v>24.145246623481</v>
      </c>
      <c r="F19" s="94">
        <f t="shared" si="11"/>
        <v>-65.8506664185737</v>
      </c>
      <c r="G19" s="94">
        <f t="shared" si="11"/>
        <v>-247.356330376759</v>
      </c>
      <c r="H19" s="94">
        <f t="shared" si="11"/>
        <v>-2484.98588417977</v>
      </c>
      <c r="I19" s="31">
        <f>H19-'毛利-收入组成'!D84</f>
        <v>-428.898956</v>
      </c>
      <c r="K19" s="54" t="s">
        <v>112</v>
      </c>
      <c r="L19" s="57" t="s">
        <v>243</v>
      </c>
      <c r="M19" s="106" t="s">
        <v>371</v>
      </c>
      <c r="N19" s="106" t="s">
        <v>245</v>
      </c>
      <c r="P19" s="111"/>
      <c r="Y19" s="54"/>
      <c r="Z19" s="57"/>
      <c r="AA19" s="57"/>
      <c r="AB19" s="57"/>
      <c r="AC19" s="57"/>
      <c r="AD19" s="57"/>
      <c r="AE19" s="57"/>
      <c r="AF19"/>
      <c r="AG19"/>
      <c r="AH19" s="54"/>
      <c r="AI19" s="57"/>
      <c r="AJ19" s="57"/>
      <c r="AK19" s="57"/>
      <c r="AL19" s="57"/>
      <c r="AM19" s="57"/>
      <c r="AN19" s="57"/>
    </row>
    <row r="20" spans="1:43">
      <c r="A20" s="54" t="s">
        <v>372</v>
      </c>
      <c r="L20" s="57" t="s">
        <v>247</v>
      </c>
      <c r="M20" s="106">
        <v>1811175.88995978</v>
      </c>
      <c r="N20" s="106">
        <f t="shared" ref="N20:N32" si="12">M20/10000</f>
        <v>181.117588995978</v>
      </c>
      <c r="P20" s="111" t="s">
        <v>372</v>
      </c>
      <c r="Y20" s="54" t="s">
        <v>372</v>
      </c>
      <c r="Z20" s="57"/>
      <c r="AA20" s="57"/>
      <c r="AB20" s="57"/>
      <c r="AC20" s="57"/>
      <c r="AD20" s="57"/>
      <c r="AE20" s="57"/>
      <c r="AF20"/>
      <c r="AG20"/>
      <c r="AH20" s="54" t="s">
        <v>372</v>
      </c>
      <c r="AI20" s="57"/>
      <c r="AJ20" s="57"/>
      <c r="AK20" s="57"/>
      <c r="AL20" s="57"/>
      <c r="AM20" s="57"/>
      <c r="AN20" s="57"/>
    </row>
    <row r="21" spans="1:43">
      <c r="A21" s="54" t="s">
        <v>53</v>
      </c>
      <c r="B21" s="57" t="s">
        <v>257</v>
      </c>
      <c r="C21" s="57" t="s">
        <v>255</v>
      </c>
      <c r="D21" s="57" t="s">
        <v>247</v>
      </c>
      <c r="E21" s="57" t="s">
        <v>264</v>
      </c>
      <c r="F21" s="57" t="s">
        <v>256</v>
      </c>
      <c r="G21" s="57" t="s">
        <v>259</v>
      </c>
      <c r="H21" s="54" t="s">
        <v>9</v>
      </c>
      <c r="I21" s="54" t="s">
        <v>254</v>
      </c>
      <c r="L21" s="57" t="s">
        <v>255</v>
      </c>
      <c r="M21" s="106">
        <v>50891.2497092075</v>
      </c>
      <c r="N21" s="106">
        <f t="shared" si="12"/>
        <v>5.08912497092075</v>
      </c>
      <c r="P21" s="111" t="s">
        <v>53</v>
      </c>
      <c r="Q21" s="106" t="s">
        <v>257</v>
      </c>
      <c r="R21" s="106" t="s">
        <v>255</v>
      </c>
      <c r="S21" s="106" t="s">
        <v>247</v>
      </c>
      <c r="T21" s="106" t="s">
        <v>264</v>
      </c>
      <c r="U21" s="106" t="s">
        <v>256</v>
      </c>
      <c r="V21" s="106" t="s">
        <v>259</v>
      </c>
      <c r="W21" s="106" t="s">
        <v>9</v>
      </c>
      <c r="Y21" s="54" t="s">
        <v>53</v>
      </c>
      <c r="Z21" s="57" t="s">
        <v>257</v>
      </c>
      <c r="AA21" s="57" t="s">
        <v>255</v>
      </c>
      <c r="AB21" s="57" t="s">
        <v>247</v>
      </c>
      <c r="AC21" s="57" t="s">
        <v>264</v>
      </c>
      <c r="AD21" s="106" t="s">
        <v>256</v>
      </c>
      <c r="AE21" s="57" t="s">
        <v>259</v>
      </c>
      <c r="AF21" s="54" t="s">
        <v>9</v>
      </c>
      <c r="AG21" s="54"/>
      <c r="AH21" s="54" t="s">
        <v>53</v>
      </c>
      <c r="AI21" s="57" t="s">
        <v>257</v>
      </c>
      <c r="AJ21" s="57" t="s">
        <v>255</v>
      </c>
      <c r="AK21" s="57" t="s">
        <v>247</v>
      </c>
      <c r="AL21" s="57" t="s">
        <v>256</v>
      </c>
      <c r="AM21" s="57" t="s">
        <v>258</v>
      </c>
      <c r="AN21" s="57" t="s">
        <v>259</v>
      </c>
      <c r="AO21" s="54" t="s">
        <v>9</v>
      </c>
    </row>
    <row r="22" spans="1:43">
      <c r="A22" s="110">
        <v>45658</v>
      </c>
      <c r="B22" s="106">
        <f>VLOOKUP(B$21,$L$3:$N$16,3,0)</f>
        <v>0.887698690788</v>
      </c>
      <c r="C22" s="106">
        <f>VLOOKUP(C$21,$L$3:$N$16,3,0)</f>
        <v>24.9606163774748</v>
      </c>
      <c r="D22" s="106">
        <f>VLOOKUP(D$21,$L$3:$N$16,3,0)</f>
        <v>58.4619909243569</v>
      </c>
      <c r="E22" s="106">
        <f>-74.7239821253189+106.281902</f>
        <v>31.5579198746811</v>
      </c>
      <c r="F22" s="106">
        <v>312.865204519994</v>
      </c>
      <c r="G22" s="113">
        <v>67.5461426928054</v>
      </c>
      <c r="H22" s="106">
        <f t="shared" ref="H22:H33" si="13">SUM(B22:G22)</f>
        <v>496.2795730801</v>
      </c>
      <c r="I22" s="116">
        <f>H22-'毛利-收入组成'!E63</f>
        <v>0</v>
      </c>
      <c r="L22" s="57" t="s">
        <v>256</v>
      </c>
      <c r="M22" s="106">
        <v>9515137.99529652</v>
      </c>
      <c r="N22" s="106">
        <f t="shared" si="12"/>
        <v>951.513799529652</v>
      </c>
      <c r="P22" s="111">
        <v>45292</v>
      </c>
      <c r="Q22" s="106">
        <v>12.206299</v>
      </c>
      <c r="R22" s="106">
        <v>40.929142</v>
      </c>
      <c r="S22" s="106">
        <v>96.196089</v>
      </c>
      <c r="T22" s="106">
        <v>160.894617999999</v>
      </c>
      <c r="U22" s="106">
        <v>305.065021000001</v>
      </c>
      <c r="V22" s="106">
        <v>22.6605126200019</v>
      </c>
      <c r="W22" s="106">
        <f>SUM(Q22:V22)</f>
        <v>637.951681620002</v>
      </c>
      <c r="X22" s="117">
        <f>W22-'毛利-收入组成'!E51</f>
        <v>0</v>
      </c>
      <c r="Y22" s="110">
        <v>44949</v>
      </c>
      <c r="Z22" s="106">
        <v>37</v>
      </c>
      <c r="AA22" s="106">
        <v>8</v>
      </c>
      <c r="AB22" s="106">
        <v>68</v>
      </c>
      <c r="AC22" s="106">
        <v>96.7379709999997</v>
      </c>
      <c r="AD22" s="106">
        <v>386.940729</v>
      </c>
      <c r="AE22" s="106">
        <v>26</v>
      </c>
      <c r="AF22" s="106">
        <f t="shared" ref="AF22:AF34" si="14">SUM(Z22:AE22)</f>
        <v>622.6787</v>
      </c>
      <c r="AG22" s="106"/>
      <c r="AH22" s="110">
        <v>44562</v>
      </c>
      <c r="AI22" s="106">
        <v>2</v>
      </c>
      <c r="AJ22" s="106">
        <v>33</v>
      </c>
      <c r="AK22" s="106">
        <v>-11</v>
      </c>
      <c r="AL22" s="106">
        <v>218</v>
      </c>
      <c r="AM22" s="106">
        <v>4</v>
      </c>
      <c r="AN22" s="106">
        <v>41</v>
      </c>
      <c r="AO22" s="106">
        <v>288</v>
      </c>
      <c r="AP22" s="12"/>
      <c r="AQ22" s="18"/>
    </row>
    <row r="23" spans="1:43">
      <c r="A23" s="110">
        <v>45689</v>
      </c>
      <c r="B23" s="106">
        <f>VLOOKUP(B$21,$L$19:$N$33,3,0)</f>
        <v>1.024782835788</v>
      </c>
      <c r="C23" s="106">
        <f>VLOOKUP(C$21,$L$19:$N$33,3,0)</f>
        <v>5.08912497092075</v>
      </c>
      <c r="D23" s="106">
        <f>VLOOKUP(D$21,$L$19:$N$33,3,0)</f>
        <v>181.117588995978</v>
      </c>
      <c r="E23" s="106">
        <f>499.96399420639+75.323061</f>
        <v>575.28705520639</v>
      </c>
      <c r="F23" s="106">
        <v>451.54980532326</v>
      </c>
      <c r="G23" s="113">
        <v>53.9837057476533</v>
      </c>
      <c r="H23" s="106">
        <f t="shared" si="13"/>
        <v>1268.05206307999</v>
      </c>
      <c r="I23" s="116">
        <f>H23-'毛利-收入组成'!E64</f>
        <v>0</v>
      </c>
      <c r="L23" s="57" t="s">
        <v>257</v>
      </c>
      <c r="M23" s="106">
        <v>10247.82835788</v>
      </c>
      <c r="N23" s="106">
        <f t="shared" si="12"/>
        <v>1.024782835788</v>
      </c>
      <c r="P23" s="111">
        <v>45323</v>
      </c>
      <c r="Q23" s="106">
        <v>9.00780799999999</v>
      </c>
      <c r="R23" s="106">
        <v>5.66743999999999</v>
      </c>
      <c r="S23" s="106">
        <v>-176.905604</v>
      </c>
      <c r="T23" s="106">
        <v>114.153577</v>
      </c>
      <c r="U23" s="106">
        <v>259.200264</v>
      </c>
      <c r="V23" s="106">
        <v>38.76879458</v>
      </c>
      <c r="W23" s="106">
        <f t="shared" ref="W22:W34" si="15">SUM(Q23:V23)</f>
        <v>249.89227958</v>
      </c>
      <c r="X23" s="117">
        <f>W23-'毛利-收入组成'!E52</f>
        <v>0</v>
      </c>
      <c r="Y23" s="110">
        <v>44980</v>
      </c>
      <c r="Z23" s="106">
        <v>41</v>
      </c>
      <c r="AA23" s="106">
        <v>6</v>
      </c>
      <c r="AB23" s="106">
        <v>52</v>
      </c>
      <c r="AC23" s="106">
        <v>48.88595</v>
      </c>
      <c r="AD23" s="106">
        <v>552.11405</v>
      </c>
      <c r="AE23" s="106">
        <v>25</v>
      </c>
      <c r="AF23" s="106">
        <f t="shared" si="14"/>
        <v>725</v>
      </c>
      <c r="AG23" s="106"/>
      <c r="AH23" s="110">
        <v>44593</v>
      </c>
      <c r="AI23" s="106">
        <v>5</v>
      </c>
      <c r="AJ23" s="106">
        <v>32</v>
      </c>
      <c r="AK23" s="106">
        <v>17</v>
      </c>
      <c r="AL23" s="106">
        <v>178</v>
      </c>
      <c r="AM23" s="106">
        <v>8</v>
      </c>
      <c r="AN23" s="106">
        <v>-47</v>
      </c>
      <c r="AO23" s="106">
        <v>194</v>
      </c>
      <c r="AP23" s="12"/>
      <c r="AQ23" s="18"/>
    </row>
    <row r="24" spans="1:43">
      <c r="A24" s="110">
        <v>45717</v>
      </c>
      <c r="B24" s="106">
        <f>VLOOKUP(B$21,$L$36:$N$49,3,0)</f>
        <v>1.589795386455</v>
      </c>
      <c r="C24" s="106">
        <f>VLOOKUP(C$21,$L$36:$N$49,3,0)</f>
        <v>3.05457111496275</v>
      </c>
      <c r="D24" s="106">
        <f>VLOOKUP(D$21,$L$36:$N$49,3,0)</f>
        <v>135.394785309018</v>
      </c>
      <c r="E24" s="106">
        <f>271.959925245508+90.231406</f>
        <v>362.191331245508</v>
      </c>
      <c r="F24" s="106">
        <v>319.739631088238</v>
      </c>
      <c r="G24" s="113">
        <v>103.271598495815</v>
      </c>
      <c r="H24" s="106">
        <f t="shared" si="13"/>
        <v>925.241712639997</v>
      </c>
      <c r="I24" s="116">
        <f>H24-'毛利-收入组成'!E65</f>
        <v>0</v>
      </c>
      <c r="J24" s="2"/>
      <c r="L24" s="57" t="s">
        <v>258</v>
      </c>
      <c r="M24" s="106">
        <v>2822</v>
      </c>
      <c r="N24" s="106">
        <f t="shared" si="12"/>
        <v>0.2822</v>
      </c>
      <c r="P24" s="111">
        <v>45352</v>
      </c>
      <c r="Q24" s="106">
        <v>10.602282</v>
      </c>
      <c r="R24" s="106">
        <v>0.393114999999986</v>
      </c>
      <c r="S24" s="106">
        <v>49.526742</v>
      </c>
      <c r="T24" s="106">
        <v>369.099158000001</v>
      </c>
      <c r="U24" s="106">
        <v>215.822582999999</v>
      </c>
      <c r="V24" s="106">
        <v>27.7291869999999</v>
      </c>
      <c r="W24" s="106">
        <f t="shared" si="15"/>
        <v>673.173067</v>
      </c>
      <c r="X24" s="117">
        <f>W24-'毛利-收入组成'!E53</f>
        <v>0</v>
      </c>
      <c r="Y24" s="110">
        <v>45008</v>
      </c>
      <c r="Z24" s="106">
        <v>48</v>
      </c>
      <c r="AA24" s="106">
        <v>11</v>
      </c>
      <c r="AB24" s="106">
        <v>-1</v>
      </c>
      <c r="AC24" s="106">
        <v>348.94622388</v>
      </c>
      <c r="AD24" s="106">
        <v>524.05377612</v>
      </c>
      <c r="AE24" s="106">
        <v>-23</v>
      </c>
      <c r="AF24" s="106">
        <f t="shared" si="14"/>
        <v>908</v>
      </c>
      <c r="AG24" s="106"/>
      <c r="AH24" s="110">
        <v>44621</v>
      </c>
      <c r="AI24" s="106">
        <v>9</v>
      </c>
      <c r="AJ24" s="106">
        <v>15</v>
      </c>
      <c r="AK24" s="106">
        <v>12</v>
      </c>
      <c r="AL24" s="106">
        <v>341</v>
      </c>
      <c r="AM24" s="106">
        <v>7</v>
      </c>
      <c r="AN24" s="106">
        <v>3</v>
      </c>
      <c r="AO24" s="106">
        <v>386</v>
      </c>
      <c r="AP24" s="12"/>
      <c r="AQ24" s="18"/>
    </row>
    <row r="25" spans="1:43">
      <c r="A25" s="110">
        <v>45748</v>
      </c>
      <c r="B25" s="106">
        <f>VLOOKUP(B$21,$L$53:$N$67,3,0)</f>
        <v>1.558812</v>
      </c>
      <c r="C25" s="106">
        <f>VLOOKUP(C$21,$L$53:$N$67,3,0)</f>
        <v>-4.878108</v>
      </c>
      <c r="D25" s="106">
        <f>VLOOKUP(D$21,$L$53:$N$67,3,0)</f>
        <v>93.428788</v>
      </c>
      <c r="E25" s="106">
        <f>201.829854475272+157.848355</f>
        <v>359.678209475272</v>
      </c>
      <c r="F25" s="106">
        <v>100.572812524728</v>
      </c>
      <c r="G25" s="113">
        <v>78.203677299999</v>
      </c>
      <c r="H25" s="106">
        <f t="shared" si="13"/>
        <v>628.564191299999</v>
      </c>
      <c r="I25" s="116">
        <f>H25-'毛利-收入组成'!E66</f>
        <v>0</v>
      </c>
      <c r="J25" s="112"/>
      <c r="L25" s="57" t="s">
        <v>259</v>
      </c>
      <c r="M25" s="106">
        <v>230569.120799999</v>
      </c>
      <c r="N25" s="106">
        <f t="shared" si="12"/>
        <v>23.0569120799999</v>
      </c>
      <c r="P25" s="111">
        <v>45383</v>
      </c>
      <c r="Q25" s="106">
        <v>6.68591600000002</v>
      </c>
      <c r="R25" s="106">
        <v>16.499123</v>
      </c>
      <c r="S25" s="106">
        <v>-38.4385280000001</v>
      </c>
      <c r="T25" s="106">
        <v>274.03067</v>
      </c>
      <c r="U25" s="106">
        <v>140.446076</v>
      </c>
      <c r="V25" s="106">
        <v>-4.3242583199989</v>
      </c>
      <c r="W25" s="106">
        <f t="shared" si="15"/>
        <v>394.898998680001</v>
      </c>
      <c r="X25" s="117">
        <f>W25-'毛利-收入组成'!E54</f>
        <v>0</v>
      </c>
      <c r="Y25" s="110">
        <v>45039</v>
      </c>
      <c r="Z25" s="106">
        <v>33</v>
      </c>
      <c r="AA25" s="106">
        <v>17</v>
      </c>
      <c r="AB25" s="106">
        <v>44</v>
      </c>
      <c r="AC25" s="106">
        <v>150.126391</v>
      </c>
      <c r="AD25" s="106">
        <v>322.986409</v>
      </c>
      <c r="AE25" s="106">
        <v>49</v>
      </c>
      <c r="AF25" s="106">
        <f t="shared" si="14"/>
        <v>616.1128</v>
      </c>
      <c r="AG25" s="106"/>
      <c r="AH25" s="110">
        <v>44652</v>
      </c>
      <c r="AI25" s="106">
        <v>36</v>
      </c>
      <c r="AJ25" s="106">
        <v>37</v>
      </c>
      <c r="AK25" s="106">
        <v>0</v>
      </c>
      <c r="AL25" s="106">
        <v>278</v>
      </c>
      <c r="AM25" s="106">
        <v>-23</v>
      </c>
      <c r="AN25" s="106">
        <v>34</v>
      </c>
      <c r="AO25" s="106">
        <v>361</v>
      </c>
      <c r="AP25" s="12"/>
      <c r="AQ25" s="18"/>
    </row>
    <row r="26" spans="1:43">
      <c r="A26" s="110">
        <v>45778</v>
      </c>
      <c r="B26" s="106">
        <f>VLOOKUP(B$21,$L$70:$N$84,3,0)</f>
        <v>2.51225507571799</v>
      </c>
      <c r="C26" s="106">
        <f>VLOOKUP(C$21,$L$70:$N$84,3,0)</f>
        <v>3.9948470545547</v>
      </c>
      <c r="D26" s="106">
        <f>VLOOKUP(D$21,$L$70:$N$84,3,0)</f>
        <v>60.4793407908444</v>
      </c>
      <c r="E26" s="106">
        <f>VLOOKUP(E$21,$L$70:$N$84,3,0)+142.490671</f>
        <v>313.9572822738</v>
      </c>
      <c r="F26" s="106">
        <f>VLOOKUP(F$21,$L$70:$N$84,3,0)</f>
        <v>88.0540200288027</v>
      </c>
      <c r="G26" s="113">
        <f>'毛利-收入组成'!E67-SUM(B26:F26)</f>
        <v>53.2439549536742</v>
      </c>
      <c r="H26" s="106">
        <f t="shared" si="13"/>
        <v>522.241700177394</v>
      </c>
      <c r="I26" s="116">
        <f>H26-'毛利-收入组成'!E67</f>
        <v>0</v>
      </c>
      <c r="J26" s="112"/>
      <c r="L26" s="57" t="s">
        <v>253</v>
      </c>
      <c r="N26" s="106">
        <f t="shared" si="12"/>
        <v>0</v>
      </c>
      <c r="P26" s="111">
        <v>45413</v>
      </c>
      <c r="Q26" s="106">
        <v>5.540356</v>
      </c>
      <c r="R26" s="106">
        <v>19.462178</v>
      </c>
      <c r="S26" s="106">
        <v>-20.3676509999998</v>
      </c>
      <c r="T26" s="106">
        <v>153.181260999999</v>
      </c>
      <c r="U26" s="106">
        <v>33.8513479999995</v>
      </c>
      <c r="V26" s="106">
        <v>41.5293080000008</v>
      </c>
      <c r="W26" s="106">
        <f t="shared" si="15"/>
        <v>233.1968</v>
      </c>
      <c r="X26" s="117">
        <f>W26-'毛利-收入组成'!E55</f>
        <v>-4.83169060316868e-13</v>
      </c>
      <c r="Y26" s="110">
        <v>45069</v>
      </c>
      <c r="Z26" s="106">
        <v>41</v>
      </c>
      <c r="AA26" s="106">
        <v>27</v>
      </c>
      <c r="AB26" s="106">
        <v>220</v>
      </c>
      <c r="AC26" s="106">
        <v>73.4377870000011</v>
      </c>
      <c r="AD26" s="106">
        <v>440.562212999999</v>
      </c>
      <c r="AE26" s="113">
        <v>17</v>
      </c>
      <c r="AF26" s="106">
        <f t="shared" si="14"/>
        <v>819</v>
      </c>
      <c r="AG26" s="106"/>
      <c r="AH26" s="110">
        <v>44682</v>
      </c>
      <c r="AI26" s="106">
        <v>16</v>
      </c>
      <c r="AJ26" s="106">
        <v>23</v>
      </c>
      <c r="AK26" s="106">
        <v>-25</v>
      </c>
      <c r="AL26" s="106">
        <v>211</v>
      </c>
      <c r="AM26" s="106">
        <v>41</v>
      </c>
      <c r="AN26" s="113">
        <v>1</v>
      </c>
      <c r="AO26" s="106">
        <v>267</v>
      </c>
      <c r="AP26" s="12"/>
      <c r="AQ26" s="18"/>
    </row>
    <row r="27" spans="1:43">
      <c r="A27" s="110">
        <v>45809</v>
      </c>
      <c r="B27" s="106">
        <f>VLOOKUP(B$21,$L$88:$N$102,3,0)</f>
        <v>0</v>
      </c>
      <c r="C27" s="106">
        <f>VLOOKUP(C$21,$L$88:$N$102,3,0)</f>
        <v>9.0129847976055</v>
      </c>
      <c r="D27" s="106">
        <f>VLOOKUP(D$21,$L$88:$N$102,3,0)</f>
        <v>82.4381159894278</v>
      </c>
      <c r="E27" s="106">
        <f>VLOOKUP(E$21,$L$88:$N$102,3,0)+111.519347+377.647*1.06</f>
        <v>777.669592781602</v>
      </c>
      <c r="F27" s="106">
        <f>VLOOKUP(F$21,$L$88:$N$102,3,0)</f>
        <v>246.582191284713</v>
      </c>
      <c r="G27" s="113">
        <f>'毛利-收入组成'!E68-SUM(B27:F27)</f>
        <v>105.891387946642</v>
      </c>
      <c r="H27" s="106">
        <f t="shared" si="13"/>
        <v>1221.59427279999</v>
      </c>
      <c r="I27" s="116">
        <f>H27-'毛利-收入组成'!E68</f>
        <v>0</v>
      </c>
      <c r="J27" s="112"/>
      <c r="L27" s="57" t="s">
        <v>250</v>
      </c>
      <c r="M27" s="106">
        <v>788118.458466651</v>
      </c>
      <c r="N27" s="106">
        <f t="shared" si="12"/>
        <v>78.8118458466651</v>
      </c>
      <c r="P27" s="111">
        <v>45444</v>
      </c>
      <c r="Q27" s="106">
        <v>6.3628909999999</v>
      </c>
      <c r="R27" s="106">
        <v>26.9761670800998</v>
      </c>
      <c r="S27" s="106">
        <v>38.4566314091138</v>
      </c>
      <c r="T27" s="106">
        <v>334.39531071</v>
      </c>
      <c r="U27" s="106">
        <v>107.081208736653</v>
      </c>
      <c r="V27" s="106">
        <v>0.19674678413449</v>
      </c>
      <c r="W27" s="106">
        <f t="shared" si="15"/>
        <v>513.468955720001</v>
      </c>
      <c r="X27" s="117">
        <f>W27-'毛利-收入组成'!E56</f>
        <v>0</v>
      </c>
      <c r="Y27" s="110">
        <v>45100</v>
      </c>
      <c r="Z27" s="106">
        <v>33</v>
      </c>
      <c r="AA27" s="106">
        <v>9</v>
      </c>
      <c r="AB27" s="106">
        <v>362</v>
      </c>
      <c r="AC27" s="106">
        <v>179.461026999999</v>
      </c>
      <c r="AD27" s="106">
        <v>597.031873000001</v>
      </c>
      <c r="AE27" s="113">
        <v>-76</v>
      </c>
      <c r="AF27" s="106">
        <f t="shared" si="14"/>
        <v>1104.4929</v>
      </c>
      <c r="AG27" s="106"/>
      <c r="AH27" s="110">
        <v>44713</v>
      </c>
      <c r="AI27" s="106">
        <v>18</v>
      </c>
      <c r="AJ27" s="106">
        <v>20</v>
      </c>
      <c r="AK27" s="106">
        <v>-277</v>
      </c>
      <c r="AL27" s="106">
        <v>444</v>
      </c>
      <c r="AM27" s="106">
        <v>10</v>
      </c>
      <c r="AN27" s="113">
        <v>-6</v>
      </c>
      <c r="AO27" s="106">
        <v>210</v>
      </c>
      <c r="AP27" s="12"/>
      <c r="AQ27" s="18"/>
    </row>
    <row r="28" spans="1:43">
      <c r="A28" s="110">
        <v>45839</v>
      </c>
      <c r="B28" s="106">
        <f>VLOOKUP(B$21,$L$106:$N$120,3,0)</f>
        <v>0</v>
      </c>
      <c r="C28" s="106">
        <f>VLOOKUP(C$21,$L$106:$N$120,3,0)</f>
        <v>-2.64086484536783</v>
      </c>
      <c r="D28" s="106">
        <f>VLOOKUP(D$21,$L$106:$N$120,3,0)</f>
        <v>-11.0133874194327</v>
      </c>
      <c r="E28" s="106">
        <f>VLOOKUP(E$21,$L$106:$N$120,3,0)+164.754318+42.057*1.06</f>
        <v>607.634018816678</v>
      </c>
      <c r="F28" s="106">
        <f>VLOOKUP(F$21,$L$106:$N$120,3,0)</f>
        <v>294.990483524924</v>
      </c>
      <c r="G28" s="113">
        <f>'毛利-收入组成'!E69-SUM(B28:F28)</f>
        <v>40.3813827687956</v>
      </c>
      <c r="H28" s="106">
        <f t="shared" si="13"/>
        <v>929.351632845597</v>
      </c>
      <c r="I28" s="116">
        <f>H28-'毛利-收入组成'!E69</f>
        <v>0</v>
      </c>
      <c r="J28" s="112"/>
      <c r="L28" s="57" t="s">
        <v>252</v>
      </c>
      <c r="M28" s="106">
        <v>419049.545000011</v>
      </c>
      <c r="N28" s="106">
        <f t="shared" si="12"/>
        <v>41.9049545000011</v>
      </c>
      <c r="P28" s="111">
        <v>45474</v>
      </c>
      <c r="Q28" s="106">
        <v>6.65131099999998</v>
      </c>
      <c r="R28" s="106">
        <v>34.0534226854396</v>
      </c>
      <c r="S28" s="106">
        <v>416.536267013997</v>
      </c>
      <c r="T28" s="106">
        <v>633.351846770091</v>
      </c>
      <c r="U28" s="106">
        <v>234.071208299005</v>
      </c>
      <c r="V28" s="106">
        <v>-297.17796364853</v>
      </c>
      <c r="W28" s="106">
        <f t="shared" si="15"/>
        <v>1027.48609212</v>
      </c>
      <c r="X28" s="117">
        <f>W28-'毛利-收入组成'!E57</f>
        <v>2.72848410531878e-12</v>
      </c>
      <c r="Y28" s="110">
        <v>45130</v>
      </c>
      <c r="Z28" s="106">
        <v>37</v>
      </c>
      <c r="AA28" s="106">
        <v>8</v>
      </c>
      <c r="AB28" s="106">
        <v>32</v>
      </c>
      <c r="AC28" s="106">
        <v>92.0996450000007</v>
      </c>
      <c r="AD28" s="106">
        <v>659.533254999999</v>
      </c>
      <c r="AE28" s="113">
        <v>47</v>
      </c>
      <c r="AF28" s="106">
        <f t="shared" si="14"/>
        <v>875.6329</v>
      </c>
      <c r="AG28" s="106"/>
      <c r="AH28" s="110">
        <v>44743</v>
      </c>
      <c r="AI28" s="106">
        <v>20</v>
      </c>
      <c r="AJ28" s="106">
        <v>17</v>
      </c>
      <c r="AK28" s="106">
        <v>16</v>
      </c>
      <c r="AL28" s="106">
        <v>377</v>
      </c>
      <c r="AM28" s="106">
        <v>20</v>
      </c>
      <c r="AN28" s="113">
        <v>19</v>
      </c>
      <c r="AO28" s="106">
        <v>470</v>
      </c>
      <c r="AP28" s="12"/>
      <c r="AQ28" s="18"/>
    </row>
    <row r="29" spans="1:43">
      <c r="A29" s="110">
        <v>45870</v>
      </c>
      <c r="B29" s="106">
        <f>VLOOKUP(B$21,$L$124:$N$139,3,0)</f>
        <v>0.284175</v>
      </c>
      <c r="C29" s="106">
        <f>VLOOKUP(C$21,$L$124:$N$139,3,0)</f>
        <v>-6.37392073990411</v>
      </c>
      <c r="D29" s="106">
        <f>VLOOKUP(D$21,$L$124:$N$139,3,0)</f>
        <v>12.5181810624095</v>
      </c>
      <c r="E29" s="106">
        <f>VLOOKUP(E$21,$L$124:$N$139,3,0)+416.828926+32.764*1.06</f>
        <v>815.192841085364</v>
      </c>
      <c r="F29" s="106">
        <f>VLOOKUP(F$21,$L$124:$N$139,3,0)</f>
        <v>254.543707557013</v>
      </c>
      <c r="G29" s="113">
        <f>'毛利-收入组成'!E70-SUM(B29:F29)</f>
        <v>110.398540875108</v>
      </c>
      <c r="H29" s="106">
        <f t="shared" si="13"/>
        <v>1186.56352483999</v>
      </c>
      <c r="I29" s="116">
        <f>H29-'毛利-收入组成'!E70</f>
        <v>0</v>
      </c>
      <c r="J29" s="112"/>
      <c r="L29" s="57" t="s">
        <v>249</v>
      </c>
      <c r="M29" s="106">
        <v>858335.834383571</v>
      </c>
      <c r="N29" s="106">
        <f t="shared" si="12"/>
        <v>85.8335834383571</v>
      </c>
      <c r="P29" s="111">
        <v>45505</v>
      </c>
      <c r="Q29" s="106">
        <v>5.76463399999992</v>
      </c>
      <c r="R29" s="106">
        <v>19.7025911991243</v>
      </c>
      <c r="S29" s="106">
        <v>128.579172389158</v>
      </c>
      <c r="T29" s="106">
        <v>139.382463717809</v>
      </c>
      <c r="U29" s="106">
        <v>318.604804495214</v>
      </c>
      <c r="V29" s="106">
        <v>4.40380017869369</v>
      </c>
      <c r="W29" s="106">
        <f t="shared" si="15"/>
        <v>616.437465979999</v>
      </c>
      <c r="X29" s="117">
        <f>W29-'毛利-收入组成'!E58</f>
        <v>0</v>
      </c>
      <c r="Y29" s="110">
        <v>45161</v>
      </c>
      <c r="Z29" s="106">
        <v>36</v>
      </c>
      <c r="AA29" s="106">
        <v>23</v>
      </c>
      <c r="AB29" s="106">
        <v>506</v>
      </c>
      <c r="AC29" s="106">
        <v>73.5443760000005</v>
      </c>
      <c r="AD29" s="106">
        <v>736.455623999999</v>
      </c>
      <c r="AE29" s="113">
        <v>11</v>
      </c>
      <c r="AF29" s="106">
        <f t="shared" si="14"/>
        <v>1386</v>
      </c>
      <c r="AG29" s="106"/>
      <c r="AH29" s="110">
        <v>44774</v>
      </c>
      <c r="AI29" s="106">
        <v>19</v>
      </c>
      <c r="AJ29" s="106">
        <v>1</v>
      </c>
      <c r="AK29" s="106">
        <v>785</v>
      </c>
      <c r="AL29" s="106">
        <v>480</v>
      </c>
      <c r="AM29" s="106">
        <v>13</v>
      </c>
      <c r="AN29" s="113">
        <v>17</v>
      </c>
      <c r="AO29" s="106">
        <v>1315</v>
      </c>
      <c r="AP29" s="12"/>
      <c r="AQ29" s="18"/>
    </row>
    <row r="30" spans="1:43">
      <c r="A30" s="110">
        <v>45901</v>
      </c>
      <c r="B30" s="106">
        <f>VLOOKUP(B$21,$L$142:$N$157,3,0)</f>
        <v>0</v>
      </c>
      <c r="C30" s="106">
        <f>VLOOKUP(C$21,$L$142:$N$157,3,0)</f>
        <v>-8.610604903863</v>
      </c>
      <c r="D30" s="106">
        <f>VLOOKUP(D$21,$L$142:$N$157,3,0)</f>
        <v>7.35124523123936</v>
      </c>
      <c r="E30" s="106">
        <f>VLOOKUP(E$21,$L$142:$N$157,3,0)+546.279806+17.624*1.06</f>
        <v>959.650792781921</v>
      </c>
      <c r="F30" s="106">
        <f>VLOOKUP(F$21,$L$142:$N$157,3,0)</f>
        <v>743.923412791874</v>
      </c>
      <c r="G30" s="113">
        <f>'毛利-收入组成'!E71-SUM(B30:F30)</f>
        <v>90.9275485492287</v>
      </c>
      <c r="H30" s="106">
        <f t="shared" si="13"/>
        <v>1793.2423944504</v>
      </c>
      <c r="I30" s="116">
        <f>H30-'毛利-收入组成'!E71</f>
        <v>0</v>
      </c>
      <c r="J30" s="112"/>
      <c r="L30" s="57" t="s">
        <v>248</v>
      </c>
      <c r="M30" s="106">
        <v>1372167.07499343</v>
      </c>
      <c r="N30" s="106">
        <f t="shared" si="12"/>
        <v>137.216707499343</v>
      </c>
      <c r="P30" s="111">
        <v>45536</v>
      </c>
      <c r="Q30" s="106">
        <v>4.979773306364</v>
      </c>
      <c r="R30" s="106">
        <v>11.5336892451853</v>
      </c>
      <c r="S30" s="106">
        <v>128.167028817144</v>
      </c>
      <c r="T30" s="106">
        <v>125.27051315959</v>
      </c>
      <c r="U30" s="106">
        <v>183.0618529123</v>
      </c>
      <c r="V30" s="106">
        <v>65.0215898394167</v>
      </c>
      <c r="W30" s="106">
        <f t="shared" si="15"/>
        <v>518.03444728</v>
      </c>
      <c r="X30" s="117">
        <f>W30-'毛利-收入组成'!E59</f>
        <v>0</v>
      </c>
      <c r="Y30" s="110">
        <v>45192</v>
      </c>
      <c r="Z30" s="106">
        <v>36</v>
      </c>
      <c r="AA30" s="106">
        <v>20</v>
      </c>
      <c r="AB30" s="106">
        <v>251</v>
      </c>
      <c r="AC30" s="118">
        <v>27.3477319999997</v>
      </c>
      <c r="AD30" s="106">
        <v>161.566568</v>
      </c>
      <c r="AE30" s="113">
        <v>96</v>
      </c>
      <c r="AF30" s="106">
        <f t="shared" si="14"/>
        <v>591.9143</v>
      </c>
      <c r="AG30" s="106"/>
      <c r="AH30" s="110">
        <v>44805</v>
      </c>
      <c r="AI30" s="106">
        <v>21</v>
      </c>
      <c r="AJ30" s="106">
        <v>35</v>
      </c>
      <c r="AK30" s="106">
        <v>115</v>
      </c>
      <c r="AL30" s="106">
        <v>358</v>
      </c>
      <c r="AM30" s="106">
        <v>14</v>
      </c>
      <c r="AN30" s="113">
        <v>5</v>
      </c>
      <c r="AO30" s="106">
        <v>547</v>
      </c>
      <c r="AP30" s="12"/>
      <c r="AQ30" s="18"/>
    </row>
    <row r="31" spans="1:43">
      <c r="A31" s="110">
        <v>45931</v>
      </c>
      <c r="B31" s="106">
        <f>VLOOKUP(B$21,$L$160:$N$174,3,0)</f>
        <v>0</v>
      </c>
      <c r="C31" s="106">
        <f>VLOOKUP(C$21,$L$160:$N$174,3,0)</f>
        <v>-9.97803047231565</v>
      </c>
      <c r="D31" s="106">
        <f>VLOOKUP(D$21,$L$160:$N$174,3,0)</f>
        <v>125.717235275099</v>
      </c>
      <c r="E31" s="106">
        <f>VLOOKUP(E$21,$L$160:$N$174,3,0)+175.722953+75.334*1.06</f>
        <v>541.333978624991</v>
      </c>
      <c r="F31" s="106">
        <f>VLOOKUP(F$21,$L$160:$N$174,3,0)</f>
        <v>104.091696355128</v>
      </c>
      <c r="G31" s="113">
        <f>'毛利-收入组成'!E72-SUM(B31:F31)</f>
        <v>95.3798310870698</v>
      </c>
      <c r="H31" s="106">
        <f t="shared" si="13"/>
        <v>856.544710869972</v>
      </c>
      <c r="I31" s="116">
        <f>H31-'毛利-收入组成'!E72</f>
        <v>0</v>
      </c>
      <c r="J31" s="112"/>
      <c r="L31" s="57" t="s">
        <v>251</v>
      </c>
      <c r="M31" s="106">
        <v>100470.5356</v>
      </c>
      <c r="N31" s="106">
        <f t="shared" si="12"/>
        <v>10.04705356</v>
      </c>
      <c r="P31" s="111">
        <v>45566</v>
      </c>
      <c r="Q31" s="106">
        <v>2.58499700955601</v>
      </c>
      <c r="R31" s="106">
        <v>15.6483747736309</v>
      </c>
      <c r="S31" s="106">
        <v>16.1438738897149</v>
      </c>
      <c r="T31" s="106">
        <v>177.42524034004</v>
      </c>
      <c r="U31" s="106">
        <v>445.430597034897</v>
      </c>
      <c r="V31" s="106">
        <v>25.1513263921602</v>
      </c>
      <c r="W31" s="106">
        <f t="shared" si="15"/>
        <v>682.384409439999</v>
      </c>
      <c r="X31" s="117">
        <f>W31-'毛利-收入组成'!E60</f>
        <v>0</v>
      </c>
      <c r="Y31" s="110">
        <v>45222</v>
      </c>
      <c r="Z31" s="106">
        <v>15</v>
      </c>
      <c r="AA31" s="106">
        <v>75</v>
      </c>
      <c r="AB31" s="106">
        <v>164</v>
      </c>
      <c r="AC31" s="119">
        <v>271.032595999999</v>
      </c>
      <c r="AD31" s="106">
        <v>287.713704000001</v>
      </c>
      <c r="AE31" s="113">
        <v>18</v>
      </c>
      <c r="AF31" s="106">
        <f t="shared" si="14"/>
        <v>830.7463</v>
      </c>
      <c r="AG31" s="106"/>
      <c r="AH31" s="110">
        <v>44835</v>
      </c>
      <c r="AI31" s="106">
        <v>18</v>
      </c>
      <c r="AJ31" s="106">
        <v>14</v>
      </c>
      <c r="AK31" s="106">
        <v>175</v>
      </c>
      <c r="AL31" s="106">
        <v>421</v>
      </c>
      <c r="AM31" s="106">
        <v>8</v>
      </c>
      <c r="AN31" s="113">
        <v>-16</v>
      </c>
      <c r="AO31" s="106">
        <v>621</v>
      </c>
      <c r="AP31" s="12"/>
      <c r="AQ31" s="18"/>
    </row>
    <row r="32" spans="1:43">
      <c r="A32" s="110">
        <v>45962</v>
      </c>
      <c r="B32" s="106">
        <f>VLOOKUP(B$21,$L$178:$N$192,3,0)</f>
        <v>0</v>
      </c>
      <c r="C32" s="106">
        <f>VLOOKUP(C$21,$L$178:$N$192,3,0)</f>
        <v>-17.1205562079685</v>
      </c>
      <c r="D32" s="106">
        <f>VLOOKUP(D$21,$L$178:$N$192,3,0)</f>
        <v>72.0982555264097</v>
      </c>
      <c r="E32" s="106">
        <f>VLOOKUP(E$21,$L$178:$N$192,3,0)+267.715014+2.685333*1.06</f>
        <v>561.505754832919</v>
      </c>
      <c r="F32" s="106">
        <f>VLOOKUP(F$21,$L$178:$N$192,3,0)</f>
        <v>658.604858863631</v>
      </c>
      <c r="G32" s="113">
        <f>'毛利-收入组成'!E73-SUM(B32:F32)</f>
        <v>103.287285884989</v>
      </c>
      <c r="H32" s="106">
        <f t="shared" si="13"/>
        <v>1378.37559889998</v>
      </c>
      <c r="I32" s="116">
        <f>H32-'毛利-收入组成'!E73</f>
        <v>0</v>
      </c>
      <c r="J32" s="112"/>
      <c r="L32" s="57" t="e">
        <v>#N/A</v>
      </c>
      <c r="M32" s="106">
        <v>2671071.33248016</v>
      </c>
      <c r="N32" s="106">
        <f t="shared" si="12"/>
        <v>267.107133248016</v>
      </c>
      <c r="P32" s="111">
        <v>45597</v>
      </c>
      <c r="Q32" s="106">
        <v>22.188788082769</v>
      </c>
      <c r="R32" s="106">
        <v>9.54080872370081</v>
      </c>
      <c r="S32" s="106">
        <v>74.1393084310445</v>
      </c>
      <c r="T32" s="106">
        <v>177.30193965241</v>
      </c>
      <c r="U32" s="106">
        <v>127.468984996776</v>
      </c>
      <c r="V32" s="106">
        <v>54.3260418032987</v>
      </c>
      <c r="W32" s="106">
        <f t="shared" si="15"/>
        <v>464.965871689999</v>
      </c>
      <c r="X32" s="117">
        <f>W32-'毛利-收入组成'!E61</f>
        <v>0</v>
      </c>
      <c r="Y32" s="110">
        <v>45253</v>
      </c>
      <c r="Z32" s="106">
        <v>9</v>
      </c>
      <c r="AA32" s="106">
        <v>18</v>
      </c>
      <c r="AB32" s="106">
        <v>438</v>
      </c>
      <c r="AC32" s="119">
        <v>133.048955</v>
      </c>
      <c r="AD32" s="106">
        <v>231.772245</v>
      </c>
      <c r="AE32" s="113">
        <v>106</v>
      </c>
      <c r="AF32" s="106">
        <f t="shared" si="14"/>
        <v>935.8212</v>
      </c>
      <c r="AG32" s="106"/>
      <c r="AH32" s="110">
        <v>44866</v>
      </c>
      <c r="AI32" s="106">
        <v>34</v>
      </c>
      <c r="AJ32" s="106">
        <v>13</v>
      </c>
      <c r="AK32" s="106">
        <v>16</v>
      </c>
      <c r="AL32" s="106">
        <v>345</v>
      </c>
      <c r="AM32" s="106">
        <v>25</v>
      </c>
      <c r="AN32" s="113">
        <v>-41</v>
      </c>
      <c r="AO32" s="106">
        <v>392</v>
      </c>
      <c r="AP32" s="12"/>
      <c r="AQ32" s="18"/>
    </row>
    <row r="33" spans="1:43">
      <c r="A33" s="110">
        <v>45992</v>
      </c>
      <c r="B33" s="106">
        <f>VLOOKUP(B$21,$L$196:$N$210,3,0)</f>
        <v>0</v>
      </c>
      <c r="C33" s="106">
        <f>VLOOKUP(C$21,$L$196:$N$210,3,0)</f>
        <v>-12.681651527757</v>
      </c>
      <c r="D33" s="106">
        <f>VLOOKUP(D$21,$L$196:$N$210,3,0)</f>
        <v>26.0479786108834</v>
      </c>
      <c r="E33" s="106">
        <f>VLOOKUP(E$21,$L$196:$N$210,3,0)+(669.859998-43.275411)+11.968*1.06</f>
        <v>988.057616376283</v>
      </c>
      <c r="F33" s="106">
        <f>VLOOKUP(F$21,$L$196:$N$210,3,0)</f>
        <v>483.636728034647</v>
      </c>
      <c r="G33" s="113">
        <f>'毛利-收入组成'!E74-SUM(B33:F33)</f>
        <v>371.705154265914</v>
      </c>
      <c r="H33" s="106">
        <f t="shared" si="13"/>
        <v>1856.76582575997</v>
      </c>
      <c r="I33" s="116">
        <f>H33-'毛利-收入组成'!E74</f>
        <v>0</v>
      </c>
      <c r="L33" s="57" t="s">
        <v>260</v>
      </c>
      <c r="M33" s="106">
        <f>SUM(M20:M32)</f>
        <v>17830056.8650472</v>
      </c>
      <c r="N33" s="106">
        <f>SUM(N20:N32)</f>
        <v>1783.00568650472</v>
      </c>
      <c r="P33" s="111">
        <v>45627</v>
      </c>
      <c r="Q33" s="106">
        <v>2.97928508474901</v>
      </c>
      <c r="R33" s="106">
        <v>11.1923417309907</v>
      </c>
      <c r="S33" s="106">
        <f>118.931380967841+4288989.56/10000</f>
        <v>547.830336967841</v>
      </c>
      <c r="T33" s="106">
        <v>461.864692193879</v>
      </c>
      <c r="U33" s="106">
        <f>694.365249343541-4288989.56/10000</f>
        <v>265.466293343541</v>
      </c>
      <c r="V33" s="106">
        <v>205.051562958999</v>
      </c>
      <c r="W33" s="106">
        <f t="shared" si="15"/>
        <v>1494.38451228</v>
      </c>
      <c r="X33" s="117">
        <f>W33-'毛利-收入组成'!E62</f>
        <v>0</v>
      </c>
      <c r="Y33" s="110">
        <v>45284</v>
      </c>
      <c r="Z33" s="113">
        <v>13</v>
      </c>
      <c r="AA33" s="113">
        <v>39</v>
      </c>
      <c r="AB33" s="113">
        <v>159</v>
      </c>
      <c r="AC33" s="119">
        <v>952.99119718</v>
      </c>
      <c r="AD33" s="113">
        <v>348.596691</v>
      </c>
      <c r="AE33" s="113">
        <v>153</v>
      </c>
      <c r="AF33" s="113">
        <f t="shared" si="14"/>
        <v>1665.58788818</v>
      </c>
      <c r="AG33" s="106"/>
      <c r="AH33" s="110">
        <v>44896</v>
      </c>
      <c r="AI33" s="106">
        <v>40</v>
      </c>
      <c r="AJ33" s="106">
        <v>12</v>
      </c>
      <c r="AK33" s="106">
        <v>105</v>
      </c>
      <c r="AL33" s="106">
        <v>581</v>
      </c>
      <c r="AM33" s="106">
        <v>10</v>
      </c>
      <c r="AN33" s="113">
        <v>-43</v>
      </c>
      <c r="AO33" s="106">
        <v>704</v>
      </c>
      <c r="AP33" s="12"/>
      <c r="AQ33" s="18"/>
    </row>
    <row r="34" spans="1:43">
      <c r="A34" s="54" t="s">
        <v>9</v>
      </c>
      <c r="B34" s="106">
        <f>SUM(B22:B33)</f>
        <v>7.85751898874899</v>
      </c>
      <c r="C34" s="106">
        <f>SUM(C22:C33)</f>
        <v>-16.1715923816576</v>
      </c>
      <c r="D34" s="106">
        <f>SUM(D22:D33)</f>
        <v>844.040118296234</v>
      </c>
      <c r="E34" s="106">
        <f t="shared" ref="B34:H34" si="16">SUM(E22:E33)</f>
        <v>6893.71639337541</v>
      </c>
      <c r="F34" s="106">
        <f t="shared" si="16"/>
        <v>4059.15455189695</v>
      </c>
      <c r="G34" s="106">
        <f t="shared" si="16"/>
        <v>1274.22021056769</v>
      </c>
      <c r="H34" s="106">
        <f t="shared" si="16"/>
        <v>13062.8172007434</v>
      </c>
      <c r="I34" s="106">
        <f>H34-'毛利-收入组成'!E82</f>
        <v>-2.00088834390044e-11</v>
      </c>
      <c r="P34" s="106" t="s">
        <v>9</v>
      </c>
      <c r="Q34" s="106">
        <f>SUM(Q22:Q33)</f>
        <v>95.5543404834378</v>
      </c>
      <c r="R34" s="106">
        <f>SUM(R22:R33)</f>
        <v>211.598393438171</v>
      </c>
      <c r="S34" s="106">
        <f t="shared" ref="R34:W34" si="17">SUM(S22:S33)</f>
        <v>1259.86366691801</v>
      </c>
      <c r="T34" s="106">
        <f t="shared" si="17"/>
        <v>3120.35129054382</v>
      </c>
      <c r="U34" s="106">
        <f t="shared" si="17"/>
        <v>2635.57024181839</v>
      </c>
      <c r="V34" s="106">
        <f t="shared" si="17"/>
        <v>183.336648188176</v>
      </c>
      <c r="W34" s="106">
        <f t="shared" si="17"/>
        <v>7506.27458139</v>
      </c>
      <c r="Y34" s="115" t="s">
        <v>9</v>
      </c>
      <c r="Z34" s="106">
        <f>SUM(Z22:Z33)</f>
        <v>379</v>
      </c>
      <c r="AA34" s="106">
        <f t="shared" ref="AA34:AF34" si="18">SUM(AA22:AA33)</f>
        <v>261</v>
      </c>
      <c r="AB34" s="106">
        <f t="shared" si="18"/>
        <v>2295</v>
      </c>
      <c r="AC34" s="106">
        <f t="shared" si="18"/>
        <v>2447.65985106</v>
      </c>
      <c r="AD34" s="106">
        <f t="shared" si="18"/>
        <v>5249.32713712</v>
      </c>
      <c r="AE34" s="106">
        <f t="shared" si="18"/>
        <v>449</v>
      </c>
      <c r="AF34" s="106">
        <f t="shared" si="18"/>
        <v>11080.98698818</v>
      </c>
      <c r="AG34" s="106"/>
      <c r="AH34" s="115" t="s">
        <v>9</v>
      </c>
      <c r="AI34" s="106">
        <f t="shared" ref="AI34:AN34" si="19">SUM(AI22:AI33)</f>
        <v>238</v>
      </c>
      <c r="AJ34" s="106">
        <f t="shared" si="19"/>
        <v>252</v>
      </c>
      <c r="AK34" s="106">
        <f t="shared" si="19"/>
        <v>928</v>
      </c>
      <c r="AL34" s="106">
        <f t="shared" si="19"/>
        <v>4232</v>
      </c>
      <c r="AM34" s="106">
        <f t="shared" si="19"/>
        <v>137</v>
      </c>
      <c r="AN34" s="106">
        <f t="shared" si="19"/>
        <v>-33</v>
      </c>
      <c r="AO34" s="106">
        <f>SUM(AI34:AN34)</f>
        <v>5754</v>
      </c>
    </row>
    <row r="35" spans="1:43">
      <c r="A35" s="54" t="s">
        <v>64</v>
      </c>
      <c r="B35" s="65">
        <f t="shared" ref="B35:G35" si="20">B34/$H$34</f>
        <v>0.000601517947315517</v>
      </c>
      <c r="C35" s="65">
        <f t="shared" si="20"/>
        <v>-0.0012379865792455</v>
      </c>
      <c r="D35" s="65">
        <f t="shared" si="20"/>
        <v>0.0646139424080895</v>
      </c>
      <c r="E35" s="65">
        <f t="shared" si="20"/>
        <v>0.527735808243807</v>
      </c>
      <c r="F35" s="65">
        <f t="shared" si="20"/>
        <v>0.310741128006136</v>
      </c>
      <c r="G35" s="65">
        <f t="shared" si="20"/>
        <v>0.0975455899738975</v>
      </c>
      <c r="H35" s="90">
        <f>H34-'毛利-收入组成'!E80</f>
        <v>2009.12189010338</v>
      </c>
      <c r="P35" s="106" t="s">
        <v>64</v>
      </c>
      <c r="Q35" s="65">
        <f t="shared" ref="Q35:V35" si="21">Q34/$W$34</f>
        <v>0.0127299287346005</v>
      </c>
      <c r="R35" s="65">
        <f t="shared" si="21"/>
        <v>0.028189535453816</v>
      </c>
      <c r="S35" s="65">
        <f t="shared" si="21"/>
        <v>0.16784140431547</v>
      </c>
      <c r="T35" s="65">
        <f t="shared" si="21"/>
        <v>0.415699060394084</v>
      </c>
      <c r="U35" s="65">
        <f t="shared" si="21"/>
        <v>0.351115618439092</v>
      </c>
      <c r="V35" s="65">
        <f t="shared" si="21"/>
        <v>0.0244244526629382</v>
      </c>
      <c r="W35" s="106">
        <f>W34-'毛利-收入组成'!E81</f>
        <v>0</v>
      </c>
      <c r="Y35" s="54" t="s">
        <v>64</v>
      </c>
      <c r="Z35" s="65">
        <f t="shared" ref="Z35:AE35" si="22">Z34/$AF$34</f>
        <v>0.0342027294503889</v>
      </c>
      <c r="AA35" s="65">
        <f t="shared" si="22"/>
        <v>0.0235538585397137</v>
      </c>
      <c r="AB35" s="65">
        <f t="shared" si="22"/>
        <v>0.207111514745759</v>
      </c>
      <c r="AC35" s="65">
        <f t="shared" si="22"/>
        <v>0.220888252433732</v>
      </c>
      <c r="AD35" s="65">
        <f t="shared" si="22"/>
        <v>0.473723788568601</v>
      </c>
      <c r="AE35" s="65">
        <f t="shared" si="22"/>
        <v>0.0405198562618063</v>
      </c>
      <c r="AF35" s="66"/>
      <c r="AG35" s="66"/>
      <c r="AH35" s="54" t="s">
        <v>64</v>
      </c>
      <c r="AI35" s="65">
        <f t="shared" ref="AI35:AN35" si="23">AI34/$AO$34</f>
        <v>0.0413625304136253</v>
      </c>
      <c r="AJ35" s="65">
        <f t="shared" si="23"/>
        <v>0.0437956204379562</v>
      </c>
      <c r="AK35" s="65">
        <f t="shared" si="23"/>
        <v>0.16127911018422</v>
      </c>
      <c r="AL35" s="65">
        <f t="shared" si="23"/>
        <v>0.735488355926312</v>
      </c>
      <c r="AM35" s="65">
        <f t="shared" si="23"/>
        <v>0.0238095238095238</v>
      </c>
      <c r="AN35" s="65">
        <f t="shared" si="23"/>
        <v>-0.00573514077163712</v>
      </c>
      <c r="AO35" s="66"/>
    </row>
    <row r="36" spans="1:43">
      <c r="A36" s="54" t="s">
        <v>32</v>
      </c>
      <c r="B36" s="65">
        <f>B34/'GMV表-品牌'!B34</f>
        <v>0.0129762864225339</v>
      </c>
      <c r="C36" s="65">
        <f>C34/'GMV表-品牌'!C34</f>
        <v>-0.00455816608557976</v>
      </c>
      <c r="D36" s="65">
        <f>D34/'GMV表-品牌'!D34</f>
        <v>0.0371578177594443</v>
      </c>
      <c r="E36" s="62">
        <f>E34/'GMV表-品牌'!E34</f>
        <v>0.0233753953713476</v>
      </c>
      <c r="F36" s="65">
        <f>F34/'GMV表-品牌'!F34</f>
        <v>0.0238292834442883</v>
      </c>
      <c r="G36" s="65">
        <f>G34/'GMV表-品牌'!G34</f>
        <v>0.231452003152456</v>
      </c>
      <c r="H36" s="65">
        <f>H34/'GMV表-品牌'!H34</f>
        <v>0.0262500501534277</v>
      </c>
      <c r="K36" s="54" t="s">
        <v>113</v>
      </c>
      <c r="L36" s="57" t="s">
        <v>243</v>
      </c>
      <c r="M36" s="106" t="s">
        <v>371</v>
      </c>
      <c r="N36" s="106" t="s">
        <v>245</v>
      </c>
      <c r="P36" s="106" t="s">
        <v>32</v>
      </c>
      <c r="Q36" s="65">
        <f>Q34/'GMV表-品牌'!Q34</f>
        <v>0.0201386184469038</v>
      </c>
      <c r="R36" s="65">
        <f>R34/'GMV表-品牌'!R34</f>
        <v>0.0235650073917152</v>
      </c>
      <c r="S36" s="65">
        <f>S34/'GMV表-品牌'!S34</f>
        <v>0.0375899414743505</v>
      </c>
      <c r="T36" s="65">
        <f>T34/'GMV表-品牌'!T34</f>
        <v>0.0313304546374618</v>
      </c>
      <c r="U36" s="65">
        <f>U34/'GMV表-品牌'!U34</f>
        <v>0.0145914287664983</v>
      </c>
      <c r="V36" s="65">
        <f>V34/'GMV表-品牌'!V34</f>
        <v>0.0508997699458585</v>
      </c>
      <c r="W36" s="65">
        <f>W34/'GMV表-品牌'!W34</f>
        <v>0.0226733573591614</v>
      </c>
      <c r="Y36" s="115" t="s">
        <v>32</v>
      </c>
      <c r="Z36" s="62">
        <f>Z34/'GMV表-品牌'!AA34</f>
        <v>0.0155380652335072</v>
      </c>
      <c r="AA36" s="62">
        <f>AA34/'GMV表-品牌'!AB34</f>
        <v>0.0212781889039324</v>
      </c>
      <c r="AB36" s="62">
        <f>AB34/'GMV表-品牌'!AC34</f>
        <v>0.0594160073074908</v>
      </c>
      <c r="AC36" s="62">
        <f>AC34/'GMV表-品牌'!AD34</f>
        <v>0.0252505113217458</v>
      </c>
      <c r="AD36" s="62">
        <f>AD34/'GMV表-品牌'!AE34</f>
        <v>0.0141470647776673</v>
      </c>
      <c r="AE36" s="62">
        <f>AE34/'GMV表-品牌'!AF34</f>
        <v>0.0408000630679925</v>
      </c>
      <c r="AF36" s="62">
        <f>AF34/'GMV表-品牌'!AG34</f>
        <v>0.0199917551598705</v>
      </c>
      <c r="AH36" s="115" t="s">
        <v>32</v>
      </c>
      <c r="AI36" s="62">
        <f>AI34/'GMV表-品牌'!AK34</f>
        <v>0.0136634802293297</v>
      </c>
      <c r="AJ36" s="62">
        <f>AJ34/'GMV表-品牌'!AL34</f>
        <v>0.0885911343675213</v>
      </c>
      <c r="AK36" s="62">
        <f>AK34/'GMV表-品牌'!AM34</f>
        <v>0.0588866837601164</v>
      </c>
      <c r="AL36" s="62">
        <f>AL34/'GMV表-品牌'!AN34</f>
        <v>0.0130318399633799</v>
      </c>
      <c r="AM36" s="62">
        <f>AM34/'GMV表-品牌'!AO34</f>
        <v>0.153484680790358</v>
      </c>
      <c r="AN36" s="62">
        <f>AN34/'GMV表-品牌'!AP34</f>
        <v>-0.00829394798341496</v>
      </c>
    </row>
    <row r="37" spans="1:43">
      <c r="A37" s="54" t="s">
        <v>373</v>
      </c>
      <c r="B37" s="94">
        <f>B34-Q34</f>
        <v>-87.6968214946888</v>
      </c>
      <c r="C37" s="94">
        <f t="shared" ref="B37:H37" si="24">C34-R34</f>
        <v>-227.769985819829</v>
      </c>
      <c r="D37" s="94">
        <f t="shared" si="24"/>
        <v>-415.82354862178</v>
      </c>
      <c r="E37" s="94">
        <f t="shared" si="24"/>
        <v>3773.36510283159</v>
      </c>
      <c r="F37" s="94">
        <f t="shared" si="24"/>
        <v>1423.58431007857</v>
      </c>
      <c r="G37" s="94">
        <f t="shared" si="24"/>
        <v>1090.88356237951</v>
      </c>
      <c r="H37" s="94">
        <f t="shared" si="24"/>
        <v>5556.54261935338</v>
      </c>
      <c r="I37" s="57">
        <f>H37-'毛利-收入组成'!E84</f>
        <v>0</v>
      </c>
      <c r="L37" s="57" t="s">
        <v>247</v>
      </c>
      <c r="M37" s="106">
        <v>1353947.85309018</v>
      </c>
      <c r="N37" s="106">
        <f t="shared" ref="N37:N49" si="25">M37/10000</f>
        <v>135.394785309018</v>
      </c>
      <c r="AF37" s="120"/>
    </row>
    <row r="38" spans="1:43">
      <c r="A38" s="54" t="s">
        <v>365</v>
      </c>
      <c r="B38" s="65">
        <f t="shared" ref="B38:H38" si="26">B36-Q36</f>
        <v>-0.00716233202436984</v>
      </c>
      <c r="C38" s="65">
        <f t="shared" si="26"/>
        <v>-0.028123173477295</v>
      </c>
      <c r="D38" s="65">
        <f t="shared" si="26"/>
        <v>-0.000432123714906162</v>
      </c>
      <c r="E38" s="65">
        <f t="shared" si="26"/>
        <v>-0.00795505926611426</v>
      </c>
      <c r="F38" s="65">
        <f t="shared" si="26"/>
        <v>0.00923785467779005</v>
      </c>
      <c r="G38" s="65">
        <f t="shared" si="26"/>
        <v>0.180552233206597</v>
      </c>
      <c r="H38" s="65">
        <f t="shared" si="26"/>
        <v>0.00357669279426629</v>
      </c>
      <c r="I38" s="121"/>
      <c r="L38" s="57" t="s">
        <v>255</v>
      </c>
      <c r="M38" s="106">
        <v>30545.7111496275</v>
      </c>
      <c r="N38" s="106">
        <f t="shared" si="25"/>
        <v>3.05457111496275</v>
      </c>
      <c r="AA38" s="57"/>
      <c r="AB38" s="42"/>
      <c r="AF38" s="120"/>
    </row>
    <row r="39" spans="1:43">
      <c r="B39" s="62"/>
      <c r="C39" s="62"/>
      <c r="D39" s="62"/>
      <c r="F39" s="62"/>
      <c r="G39" s="62"/>
      <c r="H39" s="121"/>
      <c r="I39" s="121"/>
      <c r="L39" s="57" t="s">
        <v>256</v>
      </c>
      <c r="M39" s="106">
        <v>5916995.56333746</v>
      </c>
      <c r="N39" s="106">
        <f t="shared" si="25"/>
        <v>591.699556333746</v>
      </c>
      <c r="AA39" s="57"/>
      <c r="AB39" s="12"/>
      <c r="AC39" s="18"/>
      <c r="AF39" s="120"/>
    </row>
    <row r="40" spans="1:43">
      <c r="L40" s="57" t="s">
        <v>257</v>
      </c>
      <c r="M40" s="106">
        <v>15897.95386455</v>
      </c>
      <c r="N40" s="106">
        <f t="shared" si="25"/>
        <v>1.589795386455</v>
      </c>
      <c r="AA40" s="57"/>
      <c r="AB40" s="12"/>
      <c r="AC40" s="18"/>
      <c r="AF40" s="120"/>
    </row>
    <row r="41" spans="1:43">
      <c r="B41" s="122"/>
      <c r="C41" s="122"/>
      <c r="D41" s="122"/>
      <c r="E41" s="122"/>
      <c r="F41" s="122"/>
      <c r="G41" s="122"/>
      <c r="L41" s="57" t="s">
        <v>258</v>
      </c>
      <c r="M41" s="106">
        <v>5023.44</v>
      </c>
      <c r="N41" s="106">
        <f t="shared" si="25"/>
        <v>0.502344</v>
      </c>
      <c r="AA41" s="57"/>
      <c r="AB41" s="12"/>
      <c r="AC41" s="18"/>
    </row>
    <row r="42" spans="1:43">
      <c r="A42" s="123">
        <v>45261</v>
      </c>
      <c r="L42" s="57" t="s">
        <v>259</v>
      </c>
      <c r="M42" s="106">
        <v>278794.32502668</v>
      </c>
      <c r="N42" s="106">
        <f t="shared" si="25"/>
        <v>27.879432502668</v>
      </c>
      <c r="AA42" s="57"/>
      <c r="AB42" s="12"/>
      <c r="AC42" s="18"/>
    </row>
    <row r="43" spans="1:43">
      <c r="A43" s="123">
        <v>45627</v>
      </c>
      <c r="L43" s="57" t="s">
        <v>253</v>
      </c>
      <c r="M43" s="106">
        <v>26210.35</v>
      </c>
      <c r="N43" s="106">
        <f t="shared" si="25"/>
        <v>2.621035</v>
      </c>
      <c r="AA43" s="57"/>
      <c r="AB43" s="12"/>
      <c r="AC43" s="18"/>
    </row>
    <row r="44" spans="1:43">
      <c r="A44" s="123">
        <v>45992</v>
      </c>
      <c r="L44" s="57" t="s">
        <v>250</v>
      </c>
      <c r="M44" s="106">
        <v>834903.574800094</v>
      </c>
      <c r="N44" s="106">
        <f t="shared" si="25"/>
        <v>83.4903574800094</v>
      </c>
      <c r="AA44" s="57"/>
      <c r="AB44" s="12"/>
      <c r="AC44" s="18"/>
    </row>
    <row r="45" spans="1:43">
      <c r="A45" s="124"/>
      <c r="L45" s="57" t="s">
        <v>252</v>
      </c>
      <c r="M45" s="106">
        <v>409757.524999999</v>
      </c>
      <c r="N45" s="106">
        <f t="shared" si="25"/>
        <v>40.9757524999999</v>
      </c>
      <c r="AA45" s="57"/>
      <c r="AB45" s="12"/>
      <c r="AC45" s="18"/>
    </row>
    <row r="46" spans="1:43">
      <c r="E46" s="94"/>
      <c r="L46" s="57" t="s">
        <v>249</v>
      </c>
      <c r="M46" s="106">
        <v>471009.835694828</v>
      </c>
      <c r="N46" s="106">
        <f t="shared" si="25"/>
        <v>47.1009835694828</v>
      </c>
      <c r="AA46" s="57"/>
      <c r="AB46" s="12"/>
    </row>
    <row r="47" spans="1:43">
      <c r="E47" s="94"/>
      <c r="L47" s="57" t="s">
        <v>248</v>
      </c>
      <c r="M47" s="106">
        <v>1645584.33221386</v>
      </c>
      <c r="N47" s="106">
        <f t="shared" si="25"/>
        <v>164.558433221386</v>
      </c>
      <c r="AA47" s="57"/>
      <c r="AB47" s="12"/>
    </row>
    <row r="48" spans="1:43">
      <c r="E48" s="94"/>
      <c r="L48" s="57" t="s">
        <v>251</v>
      </c>
      <c r="M48" s="106">
        <v>275453.493407159</v>
      </c>
      <c r="N48" s="106">
        <f t="shared" si="25"/>
        <v>27.5453493407159</v>
      </c>
      <c r="AA48" s="57"/>
      <c r="AB48" s="12"/>
    </row>
    <row r="49" spans="1:31">
      <c r="A49" s="124"/>
      <c r="E49" s="94"/>
      <c r="L49" s="57" t="e">
        <v>#N/A</v>
      </c>
      <c r="M49" s="106">
        <v>2539586.56404555</v>
      </c>
      <c r="N49" s="106">
        <f t="shared" si="25"/>
        <v>253.958656404555</v>
      </c>
      <c r="AA49" s="57"/>
      <c r="AB49" s="12"/>
      <c r="AD49" s="125"/>
    </row>
    <row r="50" spans="1:31">
      <c r="A50" s="124"/>
      <c r="L50" s="57" t="s">
        <v>260</v>
      </c>
      <c r="M50" s="106">
        <f>SUM(M37:M49)</f>
        <v>13803710.52163</v>
      </c>
      <c r="AA50" s="57"/>
      <c r="AB50" s="12"/>
      <c r="AD50" s="125"/>
    </row>
    <row r="51" spans="1:31">
      <c r="A51" s="124"/>
      <c r="AA51" s="57"/>
      <c r="AB51" s="12"/>
      <c r="AD51" s="125"/>
    </row>
    <row r="52" hidden="1" spans="1:31">
      <c r="A52" s="124"/>
      <c r="AA52" s="57"/>
      <c r="AB52" s="12"/>
      <c r="AD52" s="125"/>
    </row>
    <row r="53" hidden="1" spans="1:31">
      <c r="A53" s="124"/>
      <c r="K53" s="54" t="s">
        <v>114</v>
      </c>
      <c r="L53" s="57" t="s">
        <v>243</v>
      </c>
      <c r="M53" s="106" t="s">
        <v>374</v>
      </c>
      <c r="N53" s="106" t="s">
        <v>245</v>
      </c>
      <c r="AA53" s="57"/>
      <c r="AB53" s="12"/>
      <c r="AD53" s="125"/>
    </row>
    <row r="54" hidden="1" spans="1:31">
      <c r="A54" s="57"/>
      <c r="L54" s="57" t="s">
        <v>247</v>
      </c>
      <c r="M54" s="106">
        <v>934287.88</v>
      </c>
      <c r="N54" s="106">
        <f t="shared" ref="N54:N66" si="27">M54/10000</f>
        <v>93.428788</v>
      </c>
      <c r="AA54" s="57"/>
      <c r="AB54" s="42"/>
      <c r="AD54" s="125"/>
    </row>
    <row r="55" hidden="1" spans="1:31">
      <c r="L55" s="57" t="s">
        <v>255</v>
      </c>
      <c r="M55" s="106">
        <v>-48781.08</v>
      </c>
      <c r="N55" s="106">
        <f t="shared" si="27"/>
        <v>-4.878108</v>
      </c>
      <c r="AD55" s="125"/>
      <c r="AE55" s="125"/>
    </row>
    <row r="56" hidden="1" spans="1:31">
      <c r="L56" s="57" t="s">
        <v>256</v>
      </c>
      <c r="M56" s="106">
        <v>3024026.67</v>
      </c>
      <c r="N56" s="106">
        <f t="shared" si="27"/>
        <v>302.402667</v>
      </c>
      <c r="AD56" s="125"/>
      <c r="AE56" s="125"/>
    </row>
    <row r="57" hidden="1" spans="1:31">
      <c r="L57" s="57" t="s">
        <v>257</v>
      </c>
      <c r="M57" s="106">
        <v>15588.12</v>
      </c>
      <c r="N57" s="106">
        <f t="shared" si="27"/>
        <v>1.558812</v>
      </c>
      <c r="AD57" s="125"/>
      <c r="AE57" s="125"/>
    </row>
    <row r="58" hidden="1" spans="1:31">
      <c r="L58" s="57" t="s">
        <v>258</v>
      </c>
      <c r="M58" s="106">
        <v>3377.83</v>
      </c>
      <c r="N58" s="106">
        <f t="shared" si="27"/>
        <v>0.337783</v>
      </c>
      <c r="AD58" s="125"/>
      <c r="AE58" s="125"/>
    </row>
    <row r="59" hidden="1" spans="1:31">
      <c r="L59" s="57" t="s">
        <v>259</v>
      </c>
      <c r="M59" s="106">
        <v>3458.38</v>
      </c>
      <c r="N59" s="106">
        <f t="shared" si="27"/>
        <v>0.345838</v>
      </c>
      <c r="AD59" s="125"/>
      <c r="AE59" s="125"/>
    </row>
    <row r="60" hidden="1" spans="1:31">
      <c r="L60" s="57" t="s">
        <v>253</v>
      </c>
      <c r="M60" s="106">
        <v>29.6</v>
      </c>
      <c r="N60" s="106">
        <f t="shared" si="27"/>
        <v>0.00296</v>
      </c>
      <c r="AC60" s="57"/>
      <c r="AD60" s="125"/>
      <c r="AE60" s="125"/>
    </row>
    <row r="61" hidden="1" spans="1:31">
      <c r="L61" s="57" t="s">
        <v>250</v>
      </c>
      <c r="M61" s="106">
        <v>366204.332500097</v>
      </c>
      <c r="N61" s="106">
        <f t="shared" si="27"/>
        <v>36.6204332500097</v>
      </c>
      <c r="AC61" s="57"/>
      <c r="AD61" s="125"/>
      <c r="AE61" s="125"/>
    </row>
    <row r="62" hidden="1" spans="1:31">
      <c r="A62" s="126"/>
      <c r="L62" s="57" t="s">
        <v>252</v>
      </c>
      <c r="M62" s="106">
        <v>674548.52</v>
      </c>
      <c r="N62" s="106">
        <f t="shared" si="27"/>
        <v>67.454852</v>
      </c>
      <c r="AC62" s="57"/>
      <c r="AD62" s="125"/>
      <c r="AE62" s="125"/>
    </row>
    <row r="63" hidden="1" spans="1:31">
      <c r="A63" s="126"/>
      <c r="L63" s="57" t="s">
        <v>249</v>
      </c>
      <c r="M63" s="106">
        <v>533229.5</v>
      </c>
      <c r="N63" s="106">
        <f t="shared" si="27"/>
        <v>53.32295</v>
      </c>
      <c r="AC63" s="57"/>
      <c r="AD63" s="125"/>
      <c r="AE63" s="125"/>
    </row>
    <row r="64" hidden="1" spans="1:31">
      <c r="A64" s="126"/>
      <c r="L64" s="57" t="s">
        <v>248</v>
      </c>
      <c r="M64" s="106">
        <v>2737290.80794258</v>
      </c>
      <c r="N64" s="106">
        <f t="shared" si="27"/>
        <v>273.729080794258</v>
      </c>
      <c r="AC64" s="57"/>
    </row>
    <row r="65" hidden="1" spans="1:40">
      <c r="A65" s="126"/>
      <c r="L65" s="57" t="s">
        <v>251</v>
      </c>
      <c r="M65" s="106">
        <v>4015.18</v>
      </c>
      <c r="N65" s="106">
        <f t="shared" si="27"/>
        <v>0.401518</v>
      </c>
      <c r="AC65" s="57"/>
    </row>
    <row r="66" hidden="1" spans="1:40">
      <c r="A66" s="126"/>
      <c r="L66" s="57" t="e">
        <v>#N/A</v>
      </c>
      <c r="M66" s="106">
        <v>3019230.89</v>
      </c>
      <c r="N66" s="106">
        <f t="shared" si="27"/>
        <v>301.923089</v>
      </c>
      <c r="AC66" s="57"/>
    </row>
    <row r="67" hidden="1" spans="1:40">
      <c r="L67" s="57" t="s">
        <v>260</v>
      </c>
      <c r="M67" s="106">
        <v>11266506.62</v>
      </c>
      <c r="AC67" s="57"/>
    </row>
    <row r="68" hidden="1" spans="1:40">
      <c r="AC68" s="57"/>
    </row>
    <row r="69" hidden="1" spans="1:40">
      <c r="AC69" s="57"/>
    </row>
    <row r="70" hidden="1" spans="1:40">
      <c r="K70" s="54" t="s">
        <v>115</v>
      </c>
      <c r="L70" s="57" t="s">
        <v>243</v>
      </c>
      <c r="M70" s="106" t="s">
        <v>375</v>
      </c>
      <c r="N70" s="106" t="s">
        <v>245</v>
      </c>
      <c r="AC70" s="69"/>
    </row>
    <row r="71" hidden="1" spans="1:40">
      <c r="L71" s="57" t="s">
        <v>247</v>
      </c>
      <c r="M71" s="106">
        <v>604793.407908444</v>
      </c>
      <c r="N71" s="106">
        <f t="shared" ref="N71:N84" si="28">M71/10000</f>
        <v>60.4793407908444</v>
      </c>
      <c r="AC71" s="127"/>
    </row>
    <row r="72" hidden="1" spans="1:40">
      <c r="L72" s="57" t="s">
        <v>255</v>
      </c>
      <c r="M72" s="106">
        <v>39948.470545547</v>
      </c>
      <c r="N72" s="106">
        <f t="shared" si="28"/>
        <v>3.9948470545547</v>
      </c>
      <c r="AC72" s="127"/>
    </row>
    <row r="73" hidden="1" spans="1:40">
      <c r="L73" s="57" t="s">
        <v>256</v>
      </c>
      <c r="M73" s="106">
        <v>880540.200288027</v>
      </c>
      <c r="N73" s="106">
        <f t="shared" si="28"/>
        <v>88.0540200288027</v>
      </c>
      <c r="AC73" s="127"/>
      <c r="AD73" s="66"/>
      <c r="AE73" s="66"/>
      <c r="AF73" s="66"/>
      <c r="AG73" s="66"/>
    </row>
    <row r="74" hidden="1" spans="1:40">
      <c r="L74" s="57" t="s">
        <v>257</v>
      </c>
      <c r="M74" s="106">
        <v>25122.5507571799</v>
      </c>
      <c r="N74" s="106">
        <f t="shared" si="28"/>
        <v>2.51225507571799</v>
      </c>
      <c r="AC74" s="127"/>
      <c r="AD74" s="66"/>
      <c r="AE74" s="66"/>
      <c r="AF74" s="66"/>
      <c r="AG74" s="66"/>
    </row>
    <row r="75" hidden="1" spans="1:40">
      <c r="L75" s="57" t="s">
        <v>258</v>
      </c>
      <c r="M75" s="106">
        <v>10681</v>
      </c>
      <c r="N75" s="106">
        <f t="shared" si="28"/>
        <v>1.0681</v>
      </c>
      <c r="AC75" s="127"/>
      <c r="AD75" s="66"/>
      <c r="AE75" s="66"/>
      <c r="AF75" s="66"/>
      <c r="AG75" s="66"/>
      <c r="AH75" s="57"/>
      <c r="AI75" s="54"/>
      <c r="AK75" s="54"/>
      <c r="AL75" s="54"/>
      <c r="AM75" s="54"/>
      <c r="AN75" s="54"/>
    </row>
    <row r="76" hidden="1" spans="1:40">
      <c r="L76" s="57" t="s">
        <v>264</v>
      </c>
      <c r="M76" s="106">
        <v>1714666.112738</v>
      </c>
      <c r="N76" s="106">
        <f t="shared" si="28"/>
        <v>171.4666112738</v>
      </c>
      <c r="AC76" s="127"/>
      <c r="AD76" s="66"/>
      <c r="AE76" s="66"/>
      <c r="AF76" s="66"/>
      <c r="AG76" s="66"/>
      <c r="AH76" s="57"/>
      <c r="AI76" s="54"/>
      <c r="AK76" s="69"/>
      <c r="AL76" s="68"/>
      <c r="AM76" s="54"/>
      <c r="AN76" s="54"/>
    </row>
    <row r="77" hidden="1" spans="1:40">
      <c r="L77" s="57" t="s">
        <v>259</v>
      </c>
      <c r="M77" s="106">
        <v>8697.0439015229</v>
      </c>
      <c r="N77" s="106">
        <f t="shared" si="28"/>
        <v>0.86970439015229</v>
      </c>
      <c r="AC77" s="127"/>
      <c r="AD77" s="66"/>
      <c r="AE77" s="66"/>
      <c r="AF77" s="66"/>
      <c r="AG77" s="66"/>
      <c r="AH77" s="57"/>
      <c r="AI77" s="54"/>
      <c r="AK77" s="127"/>
      <c r="AL77" s="128"/>
      <c r="AM77" s="54"/>
      <c r="AN77" s="54"/>
    </row>
    <row r="78" hidden="1" spans="1:40">
      <c r="L78" s="57" t="s">
        <v>253</v>
      </c>
      <c r="M78" s="106">
        <v>3046.95</v>
      </c>
      <c r="N78" s="106">
        <f t="shared" si="28"/>
        <v>0.304695</v>
      </c>
      <c r="AC78" s="127"/>
      <c r="AD78" s="66"/>
      <c r="AE78" s="66"/>
      <c r="AF78" s="66"/>
      <c r="AG78" s="66"/>
      <c r="AH78" s="57"/>
      <c r="AI78" s="54"/>
      <c r="AK78" s="127"/>
      <c r="AL78" s="128"/>
      <c r="AM78" s="54"/>
      <c r="AN78" s="54"/>
    </row>
    <row r="79" hidden="1" spans="1:40">
      <c r="L79" s="57" t="s">
        <v>250</v>
      </c>
      <c r="M79" s="106">
        <v>256051.834433329</v>
      </c>
      <c r="N79" s="106">
        <f t="shared" si="28"/>
        <v>25.6051834433329</v>
      </c>
      <c r="AC79" s="127"/>
      <c r="AD79" s="66"/>
      <c r="AE79" s="66"/>
      <c r="AF79" s="66"/>
      <c r="AG79" s="66"/>
      <c r="AH79" s="57"/>
      <c r="AI79" s="54"/>
      <c r="AK79" s="127"/>
      <c r="AL79" s="128"/>
      <c r="AM79" s="54"/>
      <c r="AN79" s="54"/>
    </row>
    <row r="80" hidden="1" spans="1:40">
      <c r="L80" s="57" t="s">
        <v>252</v>
      </c>
      <c r="M80" s="106">
        <v>591314.488208365</v>
      </c>
      <c r="N80" s="106">
        <f t="shared" si="28"/>
        <v>59.1314488208365</v>
      </c>
      <c r="AC80" s="127"/>
      <c r="AD80" s="66"/>
      <c r="AE80" s="66"/>
      <c r="AF80" s="66"/>
      <c r="AG80" s="66"/>
      <c r="AH80" s="57"/>
      <c r="AI80" s="54"/>
      <c r="AK80" s="127"/>
      <c r="AL80" s="128"/>
      <c r="AM80" s="54"/>
      <c r="AN80" s="54"/>
    </row>
    <row r="81" hidden="1" spans="11:40">
      <c r="L81" s="57" t="s">
        <v>249</v>
      </c>
      <c r="M81" s="106">
        <v>502600.838206984</v>
      </c>
      <c r="N81" s="106">
        <f t="shared" si="28"/>
        <v>50.2600838206984</v>
      </c>
      <c r="AC81" s="57"/>
      <c r="AD81" s="66"/>
      <c r="AE81" s="66"/>
      <c r="AF81" s="66"/>
      <c r="AG81" s="66"/>
      <c r="AH81" s="57"/>
      <c r="AI81" s="54"/>
      <c r="AK81" s="127"/>
      <c r="AL81" s="128"/>
      <c r="AM81" s="54"/>
      <c r="AN81" s="54"/>
    </row>
    <row r="82" hidden="1" spans="11:40">
      <c r="L82" s="57" t="s">
        <v>248</v>
      </c>
      <c r="M82" s="106">
        <v>2681331.95396766</v>
      </c>
      <c r="N82" s="106">
        <f t="shared" si="28"/>
        <v>268.133195396766</v>
      </c>
      <c r="AC82" s="57"/>
      <c r="AD82" s="66"/>
      <c r="AE82" s="66"/>
      <c r="AF82" s="66"/>
      <c r="AG82" s="66"/>
      <c r="AH82" s="57"/>
      <c r="AI82" s="54"/>
      <c r="AK82" s="127"/>
      <c r="AL82" s="128"/>
      <c r="AM82" s="54"/>
      <c r="AN82" s="54"/>
    </row>
    <row r="83" hidden="1" spans="11:40">
      <c r="L83" s="57" t="s">
        <v>251</v>
      </c>
      <c r="M83" s="106">
        <v>467296.78800001</v>
      </c>
      <c r="N83" s="106">
        <f t="shared" si="28"/>
        <v>46.729678800001</v>
      </c>
      <c r="AD83" s="66"/>
      <c r="AE83" s="66"/>
      <c r="AF83" s="66"/>
      <c r="AG83" s="66"/>
      <c r="AH83" s="57"/>
      <c r="AI83" s="54"/>
      <c r="AK83" s="127"/>
      <c r="AL83" s="128"/>
      <c r="AM83" s="54"/>
      <c r="AN83" s="54"/>
    </row>
    <row r="84" hidden="1" spans="11:40">
      <c r="L84" s="57" t="e">
        <v>#N/A</v>
      </c>
      <c r="M84" s="106">
        <v>4643269.08911316</v>
      </c>
      <c r="N84" s="106">
        <f t="shared" si="28"/>
        <v>464.326908911316</v>
      </c>
      <c r="AD84" s="129"/>
      <c r="AE84" s="129"/>
      <c r="AF84" s="66"/>
      <c r="AG84" s="66"/>
      <c r="AH84" s="57"/>
      <c r="AI84" s="54"/>
      <c r="AK84" s="127"/>
      <c r="AL84" s="128"/>
      <c r="AM84" s="54"/>
      <c r="AN84" s="54"/>
    </row>
    <row r="85" hidden="1" spans="11:40">
      <c r="L85" s="57" t="s">
        <v>260</v>
      </c>
      <c r="M85" s="106">
        <f>SUM(M71:M84)</f>
        <v>12429360.7280682</v>
      </c>
      <c r="AD85" s="130"/>
      <c r="AE85" s="130"/>
      <c r="AF85" s="66"/>
      <c r="AG85" s="66"/>
      <c r="AH85" s="57"/>
      <c r="AI85" s="54"/>
      <c r="AK85" s="127"/>
      <c r="AL85" s="128"/>
      <c r="AM85" s="54"/>
      <c r="AN85" s="54"/>
    </row>
    <row r="86" hidden="1" spans="11:40">
      <c r="M86" s="106" t="e">
        <f>M85-GETPIVOTDATA("求和项:调整后毛利（含返点）",[30]供应商毛利2505!$R$1)</f>
        <v>#REF!</v>
      </c>
      <c r="AD86" s="130"/>
      <c r="AE86" s="130"/>
      <c r="AF86" s="66"/>
      <c r="AG86" s="66"/>
      <c r="AH86" s="57"/>
      <c r="AI86" s="54"/>
      <c r="AK86" s="54"/>
      <c r="AL86" s="54"/>
      <c r="AM86" s="54"/>
      <c r="AN86" s="54"/>
    </row>
    <row r="87" hidden="1" spans="11:40">
      <c r="AD87" s="130"/>
      <c r="AE87" s="130"/>
      <c r="AF87" s="66"/>
      <c r="AG87" s="66"/>
      <c r="AH87" s="57"/>
      <c r="AI87" s="54"/>
    </row>
    <row r="88" hidden="1" spans="11:40">
      <c r="K88" s="54" t="s">
        <v>116</v>
      </c>
      <c r="L88" s="57" t="s">
        <v>243</v>
      </c>
      <c r="M88" s="106" t="s">
        <v>375</v>
      </c>
      <c r="N88" s="106" t="s">
        <v>245</v>
      </c>
      <c r="AD88" s="57"/>
      <c r="AE88" s="57"/>
      <c r="AF88" s="42"/>
      <c r="AG88" s="42"/>
      <c r="AH88" s="57"/>
      <c r="AI88" s="54"/>
    </row>
    <row r="89" hidden="1" spans="11:40">
      <c r="L89" s="57" t="s">
        <v>247</v>
      </c>
      <c r="M89" s="106">
        <v>824381.159894278</v>
      </c>
      <c r="N89" s="106">
        <f>M89/10000</f>
        <v>82.4381159894278</v>
      </c>
      <c r="AC89" s="54"/>
      <c r="AD89" s="58"/>
      <c r="AE89" s="58"/>
      <c r="AF89" s="42"/>
      <c r="AG89" s="42"/>
      <c r="AH89" s="57"/>
      <c r="AI89" s="54"/>
    </row>
    <row r="90" hidden="1" spans="11:40">
      <c r="L90" s="57" t="s">
        <v>255</v>
      </c>
      <c r="M90" s="106">
        <v>90129.847976055</v>
      </c>
      <c r="N90" s="106">
        <f>M90/10000</f>
        <v>9.0129847976055</v>
      </c>
      <c r="AC90" s="54"/>
      <c r="AD90" s="58"/>
      <c r="AE90" s="58"/>
      <c r="AF90" s="42"/>
      <c r="AG90" s="42"/>
      <c r="AH90" s="57"/>
      <c r="AI90" s="54"/>
    </row>
    <row r="91" hidden="1" spans="11:40">
      <c r="L91" s="57" t="s">
        <v>256</v>
      </c>
      <c r="M91" s="106">
        <v>2465821.91284713</v>
      </c>
      <c r="N91" s="106">
        <f>M91/10000</f>
        <v>246.582191284713</v>
      </c>
      <c r="AC91" s="54"/>
      <c r="AD91" s="58"/>
      <c r="AE91" s="58"/>
      <c r="AF91" s="42"/>
      <c r="AG91" s="42"/>
      <c r="AH91" s="57"/>
      <c r="AI91" s="54"/>
    </row>
    <row r="92" hidden="1" spans="11:40">
      <c r="L92" s="57" t="s">
        <v>257</v>
      </c>
      <c r="M92" s="106">
        <v>17971.17659488</v>
      </c>
      <c r="N92" s="106">
        <v>0</v>
      </c>
      <c r="AC92" s="54"/>
      <c r="AD92" s="66"/>
      <c r="AE92" s="66"/>
      <c r="AF92" s="66"/>
      <c r="AG92" s="66"/>
    </row>
    <row r="93" hidden="1" spans="11:40">
      <c r="L93" s="57" t="s">
        <v>258</v>
      </c>
      <c r="M93" s="106">
        <v>5541.92</v>
      </c>
      <c r="N93" s="106">
        <f t="shared" ref="N93:N103" si="29">M93/10000</f>
        <v>0.554192</v>
      </c>
      <c r="AC93" s="127"/>
      <c r="AD93" s="58"/>
      <c r="AE93" s="58"/>
      <c r="AF93" s="42"/>
      <c r="AG93" s="42"/>
      <c r="AH93" s="57"/>
      <c r="AI93" s="54"/>
    </row>
    <row r="94" hidden="1" spans="11:40">
      <c r="L94" s="57" t="s">
        <v>264</v>
      </c>
      <c r="M94" s="106">
        <v>2658444.25781602</v>
      </c>
      <c r="N94" s="106">
        <f t="shared" si="29"/>
        <v>265.844425781602</v>
      </c>
      <c r="AC94" s="54"/>
      <c r="AD94" s="58"/>
      <c r="AE94" s="58"/>
      <c r="AF94" s="42"/>
      <c r="AG94" s="42"/>
      <c r="AH94" s="57"/>
      <c r="AI94" s="54"/>
    </row>
    <row r="95" hidden="1" spans="11:40">
      <c r="L95" s="57" t="s">
        <v>259</v>
      </c>
      <c r="M95" s="106">
        <v>5047.51340000001</v>
      </c>
      <c r="N95" s="106">
        <f t="shared" si="29"/>
        <v>0.504751340000001</v>
      </c>
      <c r="AC95" s="54"/>
      <c r="AD95" s="58"/>
      <c r="AE95" s="58"/>
      <c r="AF95" s="42"/>
      <c r="AG95" s="42"/>
      <c r="AH95" s="57"/>
      <c r="AI95" s="54"/>
    </row>
    <row r="96" hidden="1" spans="11:40">
      <c r="L96" s="57" t="s">
        <v>253</v>
      </c>
      <c r="M96" s="106">
        <v>5628.57</v>
      </c>
      <c r="N96" s="106">
        <f t="shared" si="29"/>
        <v>0.562857</v>
      </c>
      <c r="AC96" s="54"/>
      <c r="AD96" s="58"/>
      <c r="AE96" s="58"/>
      <c r="AF96" s="42"/>
      <c r="AG96" s="42"/>
      <c r="AH96" s="57"/>
      <c r="AI96" s="54"/>
    </row>
    <row r="97" hidden="1" spans="11:35">
      <c r="L97" s="57" t="s">
        <v>250</v>
      </c>
      <c r="M97" s="106">
        <v>950115.5826</v>
      </c>
      <c r="N97" s="106">
        <f t="shared" si="29"/>
        <v>95.01155826</v>
      </c>
      <c r="AC97" s="54"/>
      <c r="AD97" s="58"/>
      <c r="AE97" s="58"/>
      <c r="AF97" s="42"/>
      <c r="AG97" s="42"/>
      <c r="AH97" s="57"/>
      <c r="AI97" s="54"/>
    </row>
    <row r="98" hidden="1" spans="11:35">
      <c r="L98" s="57" t="s">
        <v>252</v>
      </c>
      <c r="M98" s="106">
        <v>1571271.20877577</v>
      </c>
      <c r="N98" s="106">
        <f t="shared" si="29"/>
        <v>157.127120877577</v>
      </c>
      <c r="AC98" s="54"/>
      <c r="AD98" s="58"/>
      <c r="AE98" s="58"/>
      <c r="AF98" s="42"/>
      <c r="AG98" s="42"/>
    </row>
    <row r="99" hidden="1" spans="11:35">
      <c r="L99" s="57" t="s">
        <v>249</v>
      </c>
      <c r="M99" s="106">
        <v>597608.408443401</v>
      </c>
      <c r="N99" s="106">
        <f t="shared" si="29"/>
        <v>59.7608408443401</v>
      </c>
      <c r="AC99" s="54"/>
      <c r="AD99" s="58"/>
      <c r="AE99" s="58"/>
      <c r="AF99" s="42"/>
      <c r="AG99" s="42"/>
    </row>
    <row r="100" hidden="1" spans="11:35">
      <c r="L100" s="57" t="s">
        <v>248</v>
      </c>
      <c r="M100" s="106">
        <v>2273338.96140333</v>
      </c>
      <c r="N100" s="106">
        <f t="shared" si="29"/>
        <v>227.333896140333</v>
      </c>
      <c r="AC100" s="54"/>
      <c r="AD100" s="58"/>
      <c r="AE100" s="58"/>
      <c r="AF100" s="42"/>
      <c r="AG100" s="42"/>
    </row>
    <row r="101" hidden="1" spans="11:35">
      <c r="L101" s="57" t="s">
        <v>251</v>
      </c>
      <c r="M101" s="106">
        <v>119822.0176276</v>
      </c>
      <c r="N101" s="106">
        <f t="shared" si="29"/>
        <v>11.98220176276</v>
      </c>
      <c r="AC101" s="54"/>
      <c r="AD101" s="58"/>
      <c r="AE101" s="58"/>
      <c r="AF101" s="42"/>
      <c r="AG101" s="42"/>
    </row>
    <row r="102" hidden="1" spans="11:35">
      <c r="L102" s="57" t="e">
        <v>#N/A</v>
      </c>
      <c r="M102" s="106">
        <v>3977554.4866256</v>
      </c>
      <c r="N102" s="106">
        <f t="shared" si="29"/>
        <v>397.75544866256</v>
      </c>
      <c r="AC102" s="54"/>
      <c r="AD102" s="58"/>
      <c r="AE102" s="58"/>
      <c r="AF102" s="42"/>
      <c r="AG102" s="42"/>
    </row>
    <row r="103" hidden="1" spans="11:35">
      <c r="L103" s="57" t="s">
        <v>260</v>
      </c>
      <c r="M103" s="106">
        <v>15562677.0240041</v>
      </c>
      <c r="N103" s="106">
        <f t="shared" si="29"/>
        <v>1556.26770240041</v>
      </c>
      <c r="AC103" s="54"/>
      <c r="AD103" s="58"/>
      <c r="AE103" s="58"/>
      <c r="AF103" s="42"/>
      <c r="AG103" s="42"/>
    </row>
    <row r="104" hidden="1" spans="11:35">
      <c r="AC104" s="54"/>
    </row>
    <row r="105" hidden="1"/>
    <row r="106" hidden="1" spans="11:35">
      <c r="K106" s="54" t="s">
        <v>117</v>
      </c>
      <c r="L106" s="57" t="s">
        <v>243</v>
      </c>
      <c r="M106" s="106" t="s">
        <v>374</v>
      </c>
      <c r="N106" s="106" t="s">
        <v>245</v>
      </c>
      <c r="AD106" s="57"/>
      <c r="AE106" s="57"/>
      <c r="AF106" s="42"/>
      <c r="AG106" s="42"/>
      <c r="AH106"/>
    </row>
    <row r="107" hidden="1" spans="11:35">
      <c r="L107" s="57" t="s">
        <v>247</v>
      </c>
      <c r="M107" s="106">
        <v>-110133.874194327</v>
      </c>
      <c r="N107" s="106">
        <f>M107/10000</f>
        <v>-11.0133874194327</v>
      </c>
      <c r="AC107" s="54"/>
      <c r="AD107" s="57"/>
      <c r="AE107" s="57"/>
      <c r="AF107" s="42"/>
      <c r="AG107" s="42"/>
      <c r="AH107" s="105"/>
    </row>
    <row r="108" hidden="1" spans="11:35">
      <c r="L108" s="57" t="s">
        <v>255</v>
      </c>
      <c r="M108" s="106">
        <v>-26408.6484536783</v>
      </c>
      <c r="N108" s="106">
        <f>M108/10000</f>
        <v>-2.64086484536783</v>
      </c>
      <c r="AC108" s="54"/>
      <c r="AD108" s="57"/>
      <c r="AE108" s="57"/>
      <c r="AF108" s="42"/>
      <c r="AG108" s="42"/>
      <c r="AH108" s="105"/>
    </row>
    <row r="109" hidden="1" spans="11:35">
      <c r="L109" s="57" t="s">
        <v>256</v>
      </c>
      <c r="M109" s="106">
        <v>2949904.83524924</v>
      </c>
      <c r="N109" s="106">
        <f>M109/10000</f>
        <v>294.990483524924</v>
      </c>
      <c r="AC109" s="54"/>
      <c r="AD109" s="57"/>
      <c r="AE109" s="57"/>
      <c r="AF109" s="42"/>
      <c r="AG109" s="42"/>
      <c r="AH109" s="105"/>
    </row>
    <row r="110" hidden="1" spans="11:35">
      <c r="L110" s="57" t="s">
        <v>257</v>
      </c>
      <c r="M110" s="106">
        <v>8777.24505658</v>
      </c>
      <c r="N110" s="106">
        <v>0</v>
      </c>
      <c r="AC110" s="54"/>
      <c r="AD110" s="66"/>
      <c r="AE110" s="66"/>
      <c r="AF110" s="66"/>
      <c r="AG110" s="66"/>
    </row>
    <row r="111" hidden="1" spans="11:35">
      <c r="L111" s="57" t="s">
        <v>258</v>
      </c>
      <c r="M111" s="106">
        <v>2517.01</v>
      </c>
      <c r="N111" s="106">
        <f t="shared" ref="N111:N120" si="30">M111/10000</f>
        <v>0.251701</v>
      </c>
      <c r="AC111" s="127"/>
      <c r="AD111" s="57"/>
      <c r="AE111" s="57"/>
      <c r="AF111" s="42"/>
      <c r="AG111" s="42"/>
      <c r="AH111" s="105"/>
    </row>
    <row r="112" hidden="1" spans="11:35">
      <c r="L112" s="57" t="s">
        <v>264</v>
      </c>
      <c r="M112" s="106">
        <v>3982992.80816678</v>
      </c>
      <c r="N112" s="106">
        <f t="shared" si="30"/>
        <v>398.299280816678</v>
      </c>
      <c r="AC112" s="54"/>
      <c r="AD112" s="57"/>
      <c r="AE112" s="57"/>
      <c r="AF112" s="42"/>
      <c r="AG112" s="42"/>
      <c r="AH112" s="105"/>
    </row>
    <row r="113" hidden="1" spans="11:34">
      <c r="L113" s="57" t="s">
        <v>259</v>
      </c>
      <c r="M113" s="106">
        <f>671761.702356006-580624.2</f>
        <v>91137.5023560061</v>
      </c>
      <c r="N113" s="106">
        <f t="shared" si="30"/>
        <v>9.11375023560061</v>
      </c>
      <c r="AC113" s="54"/>
      <c r="AD113" s="57"/>
      <c r="AE113" s="57"/>
      <c r="AF113" s="42"/>
      <c r="AG113" s="42"/>
      <c r="AH113" s="105"/>
    </row>
    <row r="114" hidden="1" spans="11:34">
      <c r="L114" s="57" t="s">
        <v>253</v>
      </c>
      <c r="M114" s="106">
        <v>28.75</v>
      </c>
      <c r="N114" s="106">
        <f t="shared" si="30"/>
        <v>0.002875</v>
      </c>
      <c r="AC114" s="54"/>
      <c r="AD114" s="57"/>
      <c r="AE114" s="57"/>
      <c r="AF114" s="42"/>
      <c r="AG114" s="42"/>
      <c r="AH114" s="105"/>
    </row>
    <row r="115" hidden="1" spans="11:34">
      <c r="L115" s="57" t="s">
        <v>250</v>
      </c>
      <c r="M115" s="106">
        <v>87045.8084000108</v>
      </c>
      <c r="N115" s="106">
        <f t="shared" si="30"/>
        <v>8.70458084000108</v>
      </c>
      <c r="AC115" s="54"/>
      <c r="AD115" s="57"/>
      <c r="AE115" s="57"/>
      <c r="AF115" s="42"/>
      <c r="AG115" s="42"/>
      <c r="AH115" s="105"/>
    </row>
    <row r="116" hidden="1" spans="11:34">
      <c r="L116" s="57" t="s">
        <v>252</v>
      </c>
      <c r="M116" s="106">
        <v>169921.10132474</v>
      </c>
      <c r="N116" s="106">
        <f t="shared" si="30"/>
        <v>16.992110132474</v>
      </c>
      <c r="AC116" s="54"/>
      <c r="AD116" s="57"/>
      <c r="AE116" s="57"/>
      <c r="AF116" s="42"/>
      <c r="AG116" s="42"/>
      <c r="AH116" s="105"/>
    </row>
    <row r="117" hidden="1" spans="11:34">
      <c r="L117" s="57" t="s">
        <v>249</v>
      </c>
      <c r="M117" s="106">
        <v>374585.543301243</v>
      </c>
      <c r="N117" s="106">
        <f t="shared" si="30"/>
        <v>37.4585543301243</v>
      </c>
      <c r="AC117" s="54"/>
      <c r="AD117" s="57"/>
      <c r="AE117" s="57"/>
      <c r="AF117" s="42"/>
      <c r="AG117" s="42"/>
      <c r="AH117" s="105"/>
    </row>
    <row r="118" hidden="1" spans="11:34">
      <c r="L118" s="57" t="s">
        <v>248</v>
      </c>
      <c r="M118" s="106">
        <v>1834144.2267479</v>
      </c>
      <c r="N118" s="106">
        <f t="shared" si="30"/>
        <v>183.41442267479</v>
      </c>
      <c r="AC118" s="54"/>
      <c r="AD118" s="57"/>
      <c r="AE118" s="57"/>
      <c r="AF118" s="42"/>
      <c r="AG118" s="42"/>
      <c r="AH118" s="105"/>
    </row>
    <row r="119" hidden="1" spans="11:34">
      <c r="L119" s="57" t="s">
        <v>251</v>
      </c>
      <c r="M119" s="106">
        <f>-381518.925899988+580624.2</f>
        <v>199105.274100012</v>
      </c>
      <c r="N119" s="106">
        <f t="shared" si="30"/>
        <v>19.9105274100012</v>
      </c>
      <c r="AC119" s="54"/>
      <c r="AD119" s="57"/>
      <c r="AE119" s="57"/>
      <c r="AF119" s="42"/>
      <c r="AG119" s="42"/>
      <c r="AH119" s="105"/>
    </row>
    <row r="120" hidden="1" spans="11:34">
      <c r="L120" s="57" t="e">
        <v>#N/A</v>
      </c>
      <c r="M120" s="106">
        <v>4819121.85939731</v>
      </c>
      <c r="N120" s="106">
        <f t="shared" si="30"/>
        <v>481.912185939731</v>
      </c>
      <c r="AC120" s="54"/>
      <c r="AD120" s="57"/>
      <c r="AE120" s="57"/>
      <c r="AF120" s="42"/>
      <c r="AG120" s="42"/>
      <c r="AH120" s="105"/>
    </row>
    <row r="121" hidden="1" spans="11:34">
      <c r="L121" s="57" t="s">
        <v>260</v>
      </c>
      <c r="M121" s="106">
        <f>SUM(M107:M120)</f>
        <v>14382739.4414518</v>
      </c>
      <c r="N121" s="106">
        <f>SUM(N107:N120)</f>
        <v>1437.39621963952</v>
      </c>
      <c r="AC121" s="54"/>
      <c r="AD121" s="57"/>
      <c r="AE121" s="57"/>
      <c r="AF121" s="42"/>
      <c r="AG121" s="42"/>
      <c r="AH121" s="105"/>
    </row>
    <row r="122" hidden="1" spans="11:34">
      <c r="AC122" s="54"/>
    </row>
    <row r="123" hidden="1"/>
    <row r="124" hidden="1" spans="11:34">
      <c r="K124" s="54" t="s">
        <v>118</v>
      </c>
      <c r="L124" s="57" t="s">
        <v>243</v>
      </c>
      <c r="M124" s="106" t="s">
        <v>374</v>
      </c>
      <c r="N124" s="106" t="s">
        <v>245</v>
      </c>
      <c r="AD124" s="112"/>
      <c r="AE124" s="112"/>
      <c r="AF124" s="112"/>
      <c r="AG124" s="112"/>
    </row>
    <row r="125" hidden="1" spans="11:34">
      <c r="L125" s="57" t="s">
        <v>247</v>
      </c>
      <c r="M125" s="106">
        <v>125181.810624095</v>
      </c>
      <c r="N125" s="106">
        <f>M125/10000</f>
        <v>12.5181810624095</v>
      </c>
      <c r="AC125" s="53"/>
      <c r="AD125" s="112"/>
      <c r="AE125" s="112"/>
      <c r="AF125" s="112"/>
      <c r="AG125" s="112"/>
    </row>
    <row r="126" hidden="1" spans="11:34">
      <c r="L126" s="57" t="s">
        <v>255</v>
      </c>
      <c r="M126" s="106">
        <v>-63739.2073990411</v>
      </c>
      <c r="N126" s="106">
        <f t="shared" ref="N126:N139" si="31">M126/10000</f>
        <v>-6.37392073990411</v>
      </c>
      <c r="AC126" s="53"/>
      <c r="AD126" s="112"/>
      <c r="AE126" s="112"/>
      <c r="AF126" s="112"/>
      <c r="AG126" s="112"/>
    </row>
    <row r="127" hidden="1" spans="11:34">
      <c r="L127" s="57" t="s">
        <v>256</v>
      </c>
      <c r="M127" s="106">
        <v>2545437.07557013</v>
      </c>
      <c r="N127" s="106">
        <f t="shared" si="31"/>
        <v>254.543707557013</v>
      </c>
      <c r="AC127" s="53"/>
      <c r="AD127" s="112"/>
      <c r="AE127" s="112"/>
      <c r="AF127" s="112"/>
      <c r="AG127" s="112"/>
    </row>
    <row r="128" hidden="1" spans="11:34">
      <c r="L128" s="57" t="s">
        <v>257</v>
      </c>
      <c r="M128" s="106">
        <v>2841.75</v>
      </c>
      <c r="N128" s="106">
        <f t="shared" si="31"/>
        <v>0.284175</v>
      </c>
      <c r="AC128" s="53"/>
      <c r="AD128" s="66"/>
      <c r="AE128" s="66"/>
      <c r="AF128" s="66"/>
      <c r="AG128" s="66"/>
    </row>
    <row r="129" hidden="1" spans="11:33">
      <c r="L129" s="57" t="s">
        <v>258</v>
      </c>
      <c r="M129" s="106">
        <v>-711.98</v>
      </c>
      <c r="N129" s="106">
        <f t="shared" si="31"/>
        <v>-0.071198</v>
      </c>
      <c r="AC129" s="127"/>
      <c r="AD129" s="112"/>
      <c r="AE129" s="112"/>
      <c r="AF129" s="112"/>
      <c r="AG129" s="112"/>
    </row>
    <row r="130" hidden="1" spans="11:33">
      <c r="L130" s="57" t="s">
        <v>264</v>
      </c>
      <c r="M130" s="106">
        <v>3636340.75085364</v>
      </c>
      <c r="N130" s="106">
        <f t="shared" si="31"/>
        <v>363.634075085364</v>
      </c>
      <c r="AC130" s="53"/>
      <c r="AD130" s="112"/>
      <c r="AE130" s="112"/>
      <c r="AF130" s="112"/>
      <c r="AG130" s="112"/>
    </row>
    <row r="131" hidden="1" spans="11:33">
      <c r="L131" s="57" t="s">
        <v>259</v>
      </c>
      <c r="M131" s="106">
        <v>-194298.8073</v>
      </c>
      <c r="N131" s="106">
        <f t="shared" si="31"/>
        <v>-19.42988073</v>
      </c>
      <c r="AC131" s="53"/>
      <c r="AD131" s="112"/>
      <c r="AE131" s="112"/>
      <c r="AF131" s="112"/>
      <c r="AG131" s="112"/>
    </row>
    <row r="132" hidden="1" spans="11:33">
      <c r="L132" s="57" t="s">
        <v>250</v>
      </c>
      <c r="M132" s="106">
        <v>99039.0383999991</v>
      </c>
      <c r="N132" s="106">
        <f t="shared" si="31"/>
        <v>9.90390383999991</v>
      </c>
      <c r="AC132" s="53"/>
      <c r="AD132" s="112"/>
      <c r="AE132" s="112"/>
      <c r="AF132" s="112"/>
      <c r="AG132" s="112"/>
    </row>
    <row r="133" hidden="1" spans="11:33">
      <c r="L133" s="57" t="s">
        <v>252</v>
      </c>
      <c r="M133" s="106">
        <v>-253296.39963946</v>
      </c>
      <c r="N133" s="106">
        <f t="shared" si="31"/>
        <v>-25.329639963946</v>
      </c>
      <c r="AC133" s="53"/>
      <c r="AD133" s="112"/>
      <c r="AE133" s="112"/>
      <c r="AF133" s="112"/>
      <c r="AG133" s="112"/>
    </row>
    <row r="134" hidden="1" spans="11:33">
      <c r="L134" s="57" t="s">
        <v>249</v>
      </c>
      <c r="M134" s="106">
        <v>-154673.36982657</v>
      </c>
      <c r="N134" s="106">
        <f t="shared" si="31"/>
        <v>-15.467336982657</v>
      </c>
      <c r="AC134" s="53"/>
      <c r="AD134" s="112"/>
      <c r="AE134" s="112"/>
      <c r="AF134" s="112"/>
      <c r="AG134" s="112"/>
    </row>
    <row r="135" hidden="1" spans="11:33">
      <c r="L135" s="57" t="s">
        <v>248</v>
      </c>
      <c r="M135" s="106">
        <v>2592408.76746015</v>
      </c>
      <c r="N135" s="106">
        <f t="shared" si="31"/>
        <v>259.240876746015</v>
      </c>
      <c r="AC135" s="53"/>
      <c r="AD135" s="112"/>
      <c r="AE135" s="112"/>
      <c r="AF135" s="112"/>
      <c r="AG135" s="112"/>
    </row>
    <row r="136" hidden="1" spans="11:33">
      <c r="L136" s="57" t="s">
        <v>251</v>
      </c>
      <c r="M136" s="106">
        <v>191197.096600019</v>
      </c>
      <c r="N136" s="106">
        <f t="shared" si="31"/>
        <v>19.1197096600019</v>
      </c>
      <c r="AC136" s="53"/>
      <c r="AD136" s="112"/>
      <c r="AE136" s="112"/>
      <c r="AF136" s="112"/>
      <c r="AG136" s="112"/>
    </row>
    <row r="137" hidden="1" spans="11:33">
      <c r="L137" s="57" t="s">
        <v>253</v>
      </c>
      <c r="M137" s="106">
        <v>0</v>
      </c>
      <c r="N137" s="106">
        <f t="shared" si="31"/>
        <v>0</v>
      </c>
      <c r="AC137" s="53"/>
      <c r="AD137" s="112"/>
      <c r="AE137" s="112"/>
      <c r="AF137" s="112"/>
      <c r="AG137" s="112"/>
    </row>
    <row r="138" hidden="1" spans="11:33">
      <c r="L138" s="57" t="e">
        <v>#N/A</v>
      </c>
      <c r="M138" s="106">
        <v>5392734.23084257</v>
      </c>
      <c r="N138" s="106">
        <f t="shared" si="31"/>
        <v>539.273423084257</v>
      </c>
      <c r="AC138" s="53"/>
      <c r="AD138" s="112"/>
      <c r="AE138" s="112"/>
      <c r="AF138" s="112"/>
      <c r="AG138" s="112"/>
    </row>
    <row r="139" hidden="1" spans="11:33">
      <c r="L139" s="57" t="s">
        <v>260</v>
      </c>
      <c r="M139" s="106">
        <f>SUM(M125:M138)</f>
        <v>13918460.7561855</v>
      </c>
      <c r="N139" s="106">
        <f t="shared" si="31"/>
        <v>1391.84607561855</v>
      </c>
      <c r="AC139" s="53"/>
      <c r="AD139" s="112"/>
      <c r="AE139" s="112"/>
      <c r="AF139" s="112"/>
      <c r="AG139" s="112"/>
    </row>
    <row r="140" hidden="1" spans="11:33">
      <c r="AC140" s="53"/>
    </row>
    <row r="141" hidden="1"/>
    <row r="142" hidden="1" spans="11:33">
      <c r="K142" s="54" t="s">
        <v>119</v>
      </c>
      <c r="L142" s="57" t="s">
        <v>243</v>
      </c>
      <c r="M142" s="106" t="s">
        <v>375</v>
      </c>
      <c r="N142" s="58" t="s">
        <v>245</v>
      </c>
      <c r="AD142" s="2"/>
      <c r="AE142" s="2"/>
      <c r="AF142" s="2"/>
      <c r="AG142" s="2"/>
    </row>
    <row r="143" hidden="1" spans="11:33">
      <c r="L143" s="57" t="s">
        <v>247</v>
      </c>
      <c r="M143" s="58">
        <v>73512.4523123936</v>
      </c>
      <c r="N143" s="106">
        <f>M143/10000</f>
        <v>7.35124523123936</v>
      </c>
      <c r="P143" s="66"/>
      <c r="AC143" s="18"/>
      <c r="AD143" s="2"/>
      <c r="AE143" s="2"/>
      <c r="AF143" s="2"/>
      <c r="AG143" s="2"/>
    </row>
    <row r="144" hidden="1" spans="11:33">
      <c r="L144" s="57" t="s">
        <v>255</v>
      </c>
      <c r="M144" s="106">
        <v>-86106.04903863</v>
      </c>
      <c r="N144" s="106">
        <f>M144/10000</f>
        <v>-8.610604903863</v>
      </c>
      <c r="P144" s="66"/>
      <c r="AC144" s="18"/>
      <c r="AD144" s="2"/>
      <c r="AE144" s="2"/>
      <c r="AF144" s="2"/>
      <c r="AG144" s="2"/>
    </row>
    <row r="145" hidden="1" spans="11:33">
      <c r="L145" s="57" t="s">
        <v>256</v>
      </c>
      <c r="M145" s="106">
        <v>7439234.12791874</v>
      </c>
      <c r="N145" s="106">
        <f>M145/10000</f>
        <v>743.923412791874</v>
      </c>
      <c r="P145" s="66"/>
      <c r="AC145" s="18"/>
      <c r="AD145" s="2"/>
      <c r="AE145" s="2"/>
      <c r="AF145" s="2"/>
      <c r="AG145" s="2"/>
    </row>
    <row r="146" hidden="1" spans="11:33">
      <c r="L146" s="57" t="s">
        <v>257</v>
      </c>
      <c r="M146" s="106">
        <v>3178.03790595999</v>
      </c>
      <c r="N146" s="106">
        <v>0</v>
      </c>
      <c r="P146" s="66"/>
      <c r="AC146" s="18"/>
      <c r="AD146" s="66"/>
      <c r="AE146" s="66"/>
      <c r="AF146" s="66"/>
      <c r="AG146" s="66"/>
    </row>
    <row r="147" hidden="1" spans="11:33">
      <c r="L147" s="57" t="s">
        <v>258</v>
      </c>
      <c r="M147" s="106">
        <v>309.649999999999</v>
      </c>
      <c r="N147" s="106">
        <f t="shared" ref="N147:N156" si="32">M147/10000</f>
        <v>0.0309649999999999</v>
      </c>
      <c r="P147" s="54"/>
      <c r="AC147" s="127"/>
      <c r="AD147" s="2"/>
      <c r="AE147" s="2"/>
      <c r="AF147" s="2"/>
      <c r="AG147" s="2"/>
    </row>
    <row r="148" hidden="1" spans="11:33">
      <c r="L148" s="57" t="s">
        <v>264</v>
      </c>
      <c r="M148" s="106">
        <v>3946895.46781921</v>
      </c>
      <c r="N148" s="106">
        <f t="shared" si="32"/>
        <v>394.689546781921</v>
      </c>
      <c r="P148" s="54"/>
      <c r="AC148" s="18"/>
      <c r="AD148" s="2"/>
      <c r="AE148" s="2"/>
      <c r="AF148" s="2"/>
      <c r="AG148" s="2"/>
    </row>
    <row r="149" hidden="1" spans="11:33">
      <c r="L149" s="57" t="s">
        <v>259</v>
      </c>
      <c r="M149" s="106">
        <v>-5522.46789999992</v>
      </c>
      <c r="N149" s="106">
        <f t="shared" si="32"/>
        <v>-0.552246789999992</v>
      </c>
      <c r="P149" s="54"/>
      <c r="AC149" s="18"/>
      <c r="AD149" s="2"/>
      <c r="AE149" s="2"/>
      <c r="AF149" s="2"/>
      <c r="AG149" s="2"/>
    </row>
    <row r="150" hidden="1" spans="11:33">
      <c r="L150" s="57" t="s">
        <v>253</v>
      </c>
      <c r="M150" s="106">
        <v>5937.39999999999</v>
      </c>
      <c r="N150" s="106">
        <f t="shared" si="32"/>
        <v>0.593739999999999</v>
      </c>
      <c r="P150" s="54"/>
      <c r="AC150" s="18"/>
      <c r="AD150" s="2"/>
      <c r="AE150" s="2"/>
      <c r="AF150" s="2"/>
      <c r="AG150" s="2"/>
    </row>
    <row r="151" hidden="1" spans="11:33">
      <c r="L151" s="57" t="s">
        <v>250</v>
      </c>
      <c r="M151" s="106">
        <v>-249736.791</v>
      </c>
      <c r="N151" s="106">
        <f t="shared" si="32"/>
        <v>-24.9736791</v>
      </c>
      <c r="P151" s="54"/>
      <c r="AC151" s="18"/>
      <c r="AD151" s="2"/>
      <c r="AE151" s="2"/>
      <c r="AF151" s="2"/>
      <c r="AG151" s="2"/>
    </row>
    <row r="152" hidden="1" spans="11:33">
      <c r="L152" s="57" t="s">
        <v>252</v>
      </c>
      <c r="M152" s="106">
        <v>-257233.212500001</v>
      </c>
      <c r="N152" s="106">
        <f t="shared" si="32"/>
        <v>-25.7233212500001</v>
      </c>
      <c r="P152" s="54"/>
      <c r="AC152" s="18"/>
      <c r="AD152" s="2"/>
      <c r="AE152" s="2"/>
      <c r="AF152" s="2"/>
      <c r="AG152" s="2"/>
    </row>
    <row r="153" hidden="1" spans="11:33">
      <c r="L153" s="57" t="s">
        <v>249</v>
      </c>
      <c r="M153" s="106">
        <v>267631.092884499</v>
      </c>
      <c r="N153" s="106">
        <f t="shared" si="32"/>
        <v>26.7631092884499</v>
      </c>
      <c r="P153" s="54"/>
      <c r="AC153" s="18"/>
      <c r="AD153" s="2"/>
      <c r="AE153" s="2"/>
      <c r="AF153" s="2"/>
      <c r="AG153" s="2"/>
    </row>
    <row r="154" hidden="1" spans="11:33">
      <c r="L154" s="57" t="s">
        <v>248</v>
      </c>
      <c r="M154" s="106">
        <v>3058411.85885049</v>
      </c>
      <c r="N154" s="106">
        <f t="shared" si="32"/>
        <v>305.841185885049</v>
      </c>
      <c r="P154" s="54"/>
      <c r="AC154" s="18"/>
      <c r="AD154" s="2"/>
      <c r="AE154" s="2"/>
      <c r="AF154" s="2"/>
      <c r="AG154" s="2"/>
    </row>
    <row r="155" hidden="1" spans="11:33">
      <c r="L155" s="57" t="s">
        <v>251</v>
      </c>
      <c r="M155" s="106">
        <v>100271.72350001</v>
      </c>
      <c r="N155" s="106">
        <f t="shared" si="32"/>
        <v>10.027172350001</v>
      </c>
      <c r="P155" s="54"/>
      <c r="AC155" s="18"/>
      <c r="AD155" s="2"/>
      <c r="AE155" s="2"/>
      <c r="AF155" s="2"/>
      <c r="AG155" s="2"/>
    </row>
    <row r="156" hidden="1" spans="11:33">
      <c r="L156" s="57" t="e">
        <v>#N/A</v>
      </c>
      <c r="M156" s="106">
        <v>3643845.31312164</v>
      </c>
      <c r="N156" s="106">
        <f t="shared" si="32"/>
        <v>364.384531312164</v>
      </c>
      <c r="P156" s="54"/>
      <c r="AC156" s="18"/>
      <c r="AD156" s="2"/>
      <c r="AE156" s="2"/>
      <c r="AF156" s="2"/>
      <c r="AG156" s="2"/>
    </row>
    <row r="157" hidden="1" spans="11:33">
      <c r="L157" s="57" t="s">
        <v>260</v>
      </c>
      <c r="M157" s="106">
        <v>17940628.6038743</v>
      </c>
      <c r="N157" s="106">
        <f>SUM(N143:N156)</f>
        <v>1793.74505659683</v>
      </c>
      <c r="P157" s="54"/>
      <c r="AC157" s="18"/>
      <c r="AD157" s="2"/>
      <c r="AE157" s="2"/>
      <c r="AF157" s="2"/>
      <c r="AG157" s="2"/>
    </row>
    <row r="158" hidden="1" spans="11:33">
      <c r="AC158" s="18"/>
    </row>
    <row r="159" hidden="1"/>
    <row r="160" hidden="1" spans="11:33">
      <c r="K160" s="54" t="s">
        <v>120</v>
      </c>
      <c r="L160" s="57" t="s">
        <v>243</v>
      </c>
      <c r="M160" s="106" t="s">
        <v>374</v>
      </c>
      <c r="N160" s="106" t="s">
        <v>245</v>
      </c>
    </row>
    <row r="161" hidden="1" spans="12:33">
      <c r="L161" s="57" t="s">
        <v>247</v>
      </c>
      <c r="M161" s="106">
        <v>1257172.35275099</v>
      </c>
      <c r="N161" s="106">
        <f>M161/10000</f>
        <v>125.717235275099</v>
      </c>
    </row>
    <row r="162" hidden="1" spans="12:33">
      <c r="L162" s="57" t="s">
        <v>255</v>
      </c>
      <c r="M162" s="106">
        <v>-99780.3047231565</v>
      </c>
      <c r="N162" s="106">
        <f>M162/10000</f>
        <v>-9.97803047231565</v>
      </c>
    </row>
    <row r="163" hidden="1" spans="12:33">
      <c r="L163" s="57" t="s">
        <v>256</v>
      </c>
      <c r="M163" s="106">
        <v>1040916.96355128</v>
      </c>
      <c r="N163" s="106">
        <f>M163/10000</f>
        <v>104.091696355128</v>
      </c>
    </row>
    <row r="164" hidden="1" spans="12:33">
      <c r="L164" s="57" t="s">
        <v>257</v>
      </c>
      <c r="M164" s="106">
        <v>8594.212</v>
      </c>
      <c r="N164" s="106">
        <v>0</v>
      </c>
      <c r="AD164" s="66"/>
      <c r="AE164" s="66"/>
      <c r="AF164" s="66"/>
      <c r="AG164" s="66"/>
    </row>
    <row r="165" hidden="1" spans="12:33">
      <c r="L165" s="57" t="s">
        <v>258</v>
      </c>
      <c r="M165" s="106">
        <v>6736.02</v>
      </c>
      <c r="N165" s="106">
        <f t="shared" ref="N165:N175" si="33">M165/10000</f>
        <v>0.673602</v>
      </c>
      <c r="AC165" s="127"/>
    </row>
    <row r="166" hidden="1" spans="12:33">
      <c r="L166" s="57" t="s">
        <v>264</v>
      </c>
      <c r="M166" s="106">
        <v>2857569.85624991</v>
      </c>
      <c r="N166" s="106">
        <f t="shared" si="33"/>
        <v>285.756985624991</v>
      </c>
    </row>
    <row r="167" hidden="1" spans="12:33">
      <c r="L167" s="57" t="s">
        <v>259</v>
      </c>
      <c r="M167" s="106">
        <v>-12475.3770000002</v>
      </c>
      <c r="N167" s="106">
        <f t="shared" si="33"/>
        <v>-1.24753770000002</v>
      </c>
    </row>
    <row r="168" hidden="1" spans="12:33">
      <c r="L168" s="57" t="s">
        <v>253</v>
      </c>
      <c r="M168" s="106">
        <v>-22646.38</v>
      </c>
      <c r="N168" s="106">
        <f t="shared" si="33"/>
        <v>-2.264638</v>
      </c>
    </row>
    <row r="169" hidden="1" spans="12:33">
      <c r="L169" s="57" t="s">
        <v>250</v>
      </c>
      <c r="M169" s="106">
        <v>-11764.1573999998</v>
      </c>
      <c r="N169" s="106">
        <f t="shared" si="33"/>
        <v>-1.17641573999998</v>
      </c>
    </row>
    <row r="170" hidden="1" spans="12:33">
      <c r="L170" s="57" t="s">
        <v>252</v>
      </c>
      <c r="M170" s="106">
        <v>-1122155.97903963</v>
      </c>
      <c r="N170" s="106">
        <f t="shared" si="33"/>
        <v>-112.215597903963</v>
      </c>
    </row>
    <row r="171" hidden="1" spans="12:33">
      <c r="L171" s="57" t="s">
        <v>249</v>
      </c>
      <c r="M171" s="106">
        <v>146146.374788881</v>
      </c>
      <c r="N171" s="106">
        <f t="shared" si="33"/>
        <v>14.6146374788881</v>
      </c>
    </row>
    <row r="172" hidden="1" spans="12:33">
      <c r="L172" s="57" t="s">
        <v>248</v>
      </c>
      <c r="M172" s="106">
        <v>1611759.18273694</v>
      </c>
      <c r="N172" s="106">
        <f t="shared" si="33"/>
        <v>161.175918273694</v>
      </c>
    </row>
    <row r="173" hidden="1" spans="12:33">
      <c r="L173" s="57" t="s">
        <v>251</v>
      </c>
      <c r="M173" s="106">
        <v>639980.103600009</v>
      </c>
      <c r="N173" s="106">
        <f t="shared" si="33"/>
        <v>63.9980103600009</v>
      </c>
    </row>
    <row r="174" hidden="1" spans="12:33">
      <c r="L174" s="57" t="e">
        <v>#N/A</v>
      </c>
      <c r="M174" s="106">
        <v>4883773.13868691</v>
      </c>
      <c r="N174" s="106">
        <f t="shared" si="33"/>
        <v>488.377313868691</v>
      </c>
    </row>
    <row r="175" hidden="1" spans="12:33">
      <c r="L175" s="57" t="s">
        <v>260</v>
      </c>
      <c r="M175" s="106">
        <f>SUM(M161:M174)</f>
        <v>11183826.0062021</v>
      </c>
      <c r="N175" s="106">
        <f t="shared" si="33"/>
        <v>1118.38260062021</v>
      </c>
    </row>
    <row r="176" hidden="1"/>
    <row r="177" hidden="1"/>
    <row r="178" hidden="1" spans="11:33">
      <c r="K178" s="54" t="s">
        <v>121</v>
      </c>
      <c r="L178" s="57" t="s">
        <v>243</v>
      </c>
      <c r="M178" s="106" t="s">
        <v>374</v>
      </c>
      <c r="N178" s="106" t="s">
        <v>245</v>
      </c>
    </row>
    <row r="179" hidden="1" spans="11:33">
      <c r="L179" s="57" t="s">
        <v>247</v>
      </c>
      <c r="M179" s="106">
        <v>720982.555264097</v>
      </c>
      <c r="N179" s="106">
        <f>M179/10000</f>
        <v>72.0982555264097</v>
      </c>
    </row>
    <row r="180" hidden="1" spans="11:33">
      <c r="L180" s="57" t="s">
        <v>255</v>
      </c>
      <c r="M180" s="106">
        <v>-171205.562079685</v>
      </c>
      <c r="N180" s="106">
        <f>M180/10000</f>
        <v>-17.1205562079685</v>
      </c>
    </row>
    <row r="181" hidden="1" spans="11:33">
      <c r="L181" s="57" t="s">
        <v>256</v>
      </c>
      <c r="M181" s="106">
        <v>6586048.58863631</v>
      </c>
      <c r="N181" s="106">
        <f>M181/10000</f>
        <v>658.604858863631</v>
      </c>
    </row>
    <row r="182" hidden="1" spans="11:33">
      <c r="L182" s="57" t="s">
        <v>257</v>
      </c>
      <c r="M182" s="106">
        <v>-4417.58999999901</v>
      </c>
      <c r="N182" s="106">
        <v>0</v>
      </c>
      <c r="AD182" s="66"/>
      <c r="AE182" s="66"/>
      <c r="AF182" s="66"/>
      <c r="AG182" s="66"/>
    </row>
    <row r="183" hidden="1" spans="11:33">
      <c r="L183" s="57" t="s">
        <v>258</v>
      </c>
      <c r="M183" s="106">
        <v>1848.28</v>
      </c>
      <c r="N183" s="106">
        <f t="shared" ref="N183:N192" si="34">M183/10000</f>
        <v>0.184828</v>
      </c>
      <c r="AC183" s="127"/>
    </row>
    <row r="184" hidden="1" spans="11:33">
      <c r="L184" s="57" t="s">
        <v>264</v>
      </c>
      <c r="M184" s="106">
        <v>2909442.87852919</v>
      </c>
      <c r="N184" s="106">
        <f t="shared" si="34"/>
        <v>290.944287852919</v>
      </c>
    </row>
    <row r="185" hidden="1" spans="11:33">
      <c r="L185" s="57" t="s">
        <v>259</v>
      </c>
      <c r="M185" s="106">
        <v>-99616.3441999991</v>
      </c>
      <c r="N185" s="106">
        <f t="shared" si="34"/>
        <v>-9.96163441999991</v>
      </c>
    </row>
    <row r="186" hidden="1" spans="11:33">
      <c r="L186" s="57" t="s">
        <v>253</v>
      </c>
      <c r="M186" s="106">
        <v>2219.99999999992</v>
      </c>
      <c r="N186" s="106">
        <f t="shared" si="34"/>
        <v>0.221999999999992</v>
      </c>
    </row>
    <row r="187" hidden="1" spans="11:33">
      <c r="L187" s="57" t="s">
        <v>250</v>
      </c>
      <c r="M187" s="106">
        <v>85526.7480000001</v>
      </c>
      <c r="N187" s="106">
        <f t="shared" si="34"/>
        <v>8.55267480000001</v>
      </c>
    </row>
    <row r="188" hidden="1" spans="11:33">
      <c r="L188" s="57" t="s">
        <v>252</v>
      </c>
      <c r="M188" s="106">
        <v>-1773635.91299997</v>
      </c>
      <c r="N188" s="106">
        <f t="shared" si="34"/>
        <v>-177.363591299997</v>
      </c>
    </row>
    <row r="189" hidden="1" spans="11:33">
      <c r="L189" s="57" t="s">
        <v>249</v>
      </c>
      <c r="M189" s="106">
        <v>287161.981577511</v>
      </c>
      <c r="N189" s="106">
        <f t="shared" si="34"/>
        <v>28.7161981577511</v>
      </c>
    </row>
    <row r="190" hidden="1" spans="11:33">
      <c r="L190" s="57" t="s">
        <v>248</v>
      </c>
      <c r="M190" s="106">
        <v>2244738.58909787</v>
      </c>
      <c r="N190" s="106">
        <f t="shared" si="34"/>
        <v>224.473858909787</v>
      </c>
    </row>
    <row r="191" hidden="1" spans="11:33">
      <c r="L191" s="57" t="s">
        <v>251</v>
      </c>
      <c r="M191" s="106">
        <v>490794.62740001</v>
      </c>
      <c r="N191" s="106">
        <f t="shared" si="34"/>
        <v>49.079462740001</v>
      </c>
    </row>
    <row r="192" hidden="1" spans="11:33">
      <c r="L192" s="57" t="e">
        <v>#N/A</v>
      </c>
      <c r="M192" s="106">
        <v>1936860.09740042</v>
      </c>
      <c r="N192" s="106">
        <f t="shared" si="34"/>
        <v>193.686009740042</v>
      </c>
    </row>
    <row r="193" hidden="1" spans="11:35">
      <c r="L193" s="57" t="s">
        <v>260</v>
      </c>
      <c r="M193" s="106">
        <f>SUM(M179:M192)</f>
        <v>13216748.9366258</v>
      </c>
      <c r="N193" s="106">
        <f>SUM(N179:N192)</f>
        <v>1322.11665266258</v>
      </c>
    </row>
    <row r="194" hidden="1"/>
    <row r="196" spans="11:35">
      <c r="K196" s="54" t="s">
        <v>265</v>
      </c>
      <c r="L196" s="57" t="s">
        <v>243</v>
      </c>
      <c r="M196" s="106" t="s">
        <v>374</v>
      </c>
      <c r="N196" s="106" t="s">
        <v>245</v>
      </c>
      <c r="AD196" s="54"/>
      <c r="AE196" s="54"/>
      <c r="AF196" s="57"/>
      <c r="AG196" s="57"/>
      <c r="AH196" s="106"/>
      <c r="AI196" s="106"/>
    </row>
    <row r="197" spans="11:35">
      <c r="L197" s="57" t="s">
        <v>247</v>
      </c>
      <c r="M197" s="106">
        <v>260479.786108834</v>
      </c>
      <c r="N197" s="106">
        <f>M197/10000</f>
        <v>26.0479786108834</v>
      </c>
      <c r="AD197" s="54"/>
      <c r="AE197" s="54"/>
      <c r="AF197" s="57"/>
      <c r="AG197" s="57"/>
      <c r="AH197" s="106"/>
      <c r="AI197" s="106"/>
    </row>
    <row r="198" spans="11:35">
      <c r="L198" s="57" t="s">
        <v>255</v>
      </c>
      <c r="M198" s="106">
        <v>-126816.51527757</v>
      </c>
      <c r="N198" s="106">
        <f>M198/10000</f>
        <v>-12.681651527757</v>
      </c>
      <c r="AB198" s="131"/>
      <c r="AD198" s="54"/>
      <c r="AE198" s="54"/>
      <c r="AF198" s="57"/>
      <c r="AG198" s="57"/>
      <c r="AH198" s="106"/>
      <c r="AI198" s="106"/>
    </row>
    <row r="199" spans="11:35">
      <c r="L199" s="57" t="s">
        <v>256</v>
      </c>
      <c r="M199" s="106">
        <v>4836367.28034647</v>
      </c>
      <c r="N199" s="106">
        <f>M199/10000</f>
        <v>483.636728034647</v>
      </c>
      <c r="AB199" s="131"/>
      <c r="AD199" s="54"/>
      <c r="AE199" s="54"/>
      <c r="AF199" s="57"/>
      <c r="AG199" s="57"/>
      <c r="AH199" s="106"/>
      <c r="AI199" s="106"/>
    </row>
    <row r="200" spans="11:35">
      <c r="L200" s="57" t="s">
        <v>257</v>
      </c>
      <c r="M200" s="106">
        <v>-2519.38000000001</v>
      </c>
      <c r="N200" s="106">
        <v>0</v>
      </c>
      <c r="AB200" s="131"/>
      <c r="AD200" s="66"/>
      <c r="AE200" s="66"/>
      <c r="AF200" s="66"/>
      <c r="AG200" s="66"/>
    </row>
    <row r="201" spans="11:35">
      <c r="L201" s="57" t="s">
        <v>258</v>
      </c>
      <c r="M201" s="106">
        <v>167.38</v>
      </c>
      <c r="N201" s="106">
        <f t="shared" ref="N201:N210" si="35">M201/10000</f>
        <v>0.016738</v>
      </c>
      <c r="AC201" s="127"/>
      <c r="AD201" s="54"/>
      <c r="AE201" s="54"/>
      <c r="AF201" s="57"/>
      <c r="AG201" s="57"/>
      <c r="AH201" s="106"/>
      <c r="AI201" s="106"/>
    </row>
    <row r="202" spans="11:35">
      <c r="L202" s="57" t="s">
        <v>264</v>
      </c>
      <c r="M202" s="106">
        <v>3487869.49376283</v>
      </c>
      <c r="N202" s="106">
        <f t="shared" si="35"/>
        <v>348.786949376283</v>
      </c>
      <c r="AB202" s="131"/>
      <c r="AD202" s="54"/>
      <c r="AE202" s="54"/>
      <c r="AF202" s="57"/>
      <c r="AG202" s="57"/>
      <c r="AH202" s="106"/>
      <c r="AI202" s="106"/>
    </row>
    <row r="203" spans="11:35">
      <c r="L203" s="57" t="s">
        <v>259</v>
      </c>
      <c r="M203" s="106">
        <v>690053.352100001</v>
      </c>
      <c r="N203" s="106">
        <f t="shared" si="35"/>
        <v>69.0053352100001</v>
      </c>
      <c r="AB203" s="131"/>
      <c r="AD203" s="54"/>
      <c r="AE203" s="54"/>
      <c r="AF203" s="57"/>
      <c r="AG203" s="57"/>
      <c r="AH203" s="106"/>
      <c r="AI203" s="106"/>
    </row>
    <row r="204" spans="11:35">
      <c r="L204" s="57" t="s">
        <v>253</v>
      </c>
      <c r="M204" s="106">
        <v>25432.1000000001</v>
      </c>
      <c r="N204" s="106">
        <f t="shared" si="35"/>
        <v>2.54321000000001</v>
      </c>
      <c r="AB204" s="131"/>
      <c r="AD204" s="54"/>
      <c r="AE204" s="54"/>
      <c r="AF204" s="57"/>
      <c r="AG204" s="57"/>
      <c r="AH204" s="106"/>
      <c r="AI204" s="106"/>
    </row>
    <row r="205" spans="11:35">
      <c r="L205" s="57" t="s">
        <v>250</v>
      </c>
      <c r="M205" s="106">
        <v>222040.711000103</v>
      </c>
      <c r="N205" s="106">
        <f t="shared" si="35"/>
        <v>22.2040711000103</v>
      </c>
      <c r="AB205" s="131"/>
      <c r="AD205" s="54"/>
      <c r="AE205" s="54"/>
      <c r="AF205" s="57"/>
      <c r="AG205" s="57"/>
      <c r="AH205" s="106"/>
      <c r="AI205" s="106"/>
    </row>
    <row r="206" spans="11:35">
      <c r="L206" s="57" t="s">
        <v>252</v>
      </c>
      <c r="M206" s="106">
        <v>-308483.257816031</v>
      </c>
      <c r="N206" s="106">
        <f t="shared" si="35"/>
        <v>-30.8483257816031</v>
      </c>
      <c r="AB206" s="131"/>
      <c r="AD206" s="54"/>
      <c r="AE206" s="54"/>
      <c r="AF206" s="57"/>
      <c r="AG206" s="57"/>
      <c r="AH206" s="106"/>
      <c r="AI206" s="106"/>
    </row>
    <row r="207" spans="11:35">
      <c r="L207" s="57" t="s">
        <v>249</v>
      </c>
      <c r="M207" s="106">
        <v>-11586.9132311017</v>
      </c>
      <c r="N207" s="106">
        <f t="shared" si="35"/>
        <v>-1.15869132311017</v>
      </c>
      <c r="AB207" s="131"/>
      <c r="AD207" s="54"/>
      <c r="AE207" s="54"/>
      <c r="AF207" s="57"/>
      <c r="AG207" s="57"/>
      <c r="AH207" s="106"/>
      <c r="AI207" s="106"/>
    </row>
    <row r="208" spans="11:35">
      <c r="L208" s="57" t="s">
        <v>248</v>
      </c>
      <c r="M208" s="106">
        <v>2559721.96400922</v>
      </c>
      <c r="N208" s="106">
        <f t="shared" si="35"/>
        <v>255.972196400922</v>
      </c>
      <c r="AB208" s="131"/>
      <c r="AD208" s="54"/>
      <c r="AE208" s="54"/>
      <c r="AF208" s="57"/>
      <c r="AG208" s="57"/>
      <c r="AH208" s="106"/>
      <c r="AI208" s="106"/>
    </row>
    <row r="209" spans="12:35">
      <c r="L209" s="57" t="s">
        <v>251</v>
      </c>
      <c r="M209" s="106">
        <v>110245.049600001</v>
      </c>
      <c r="N209" s="106">
        <f t="shared" si="35"/>
        <v>11.0245049600001</v>
      </c>
      <c r="AB209" s="131"/>
      <c r="AD209" s="54"/>
      <c r="AE209" s="54"/>
      <c r="AF209" s="57"/>
      <c r="AG209" s="57"/>
      <c r="AH209" s="106"/>
      <c r="AI209" s="106"/>
    </row>
    <row r="210" spans="12:35">
      <c r="L210" s="57" t="e">
        <v>#N/A</v>
      </c>
      <c r="M210" s="106">
        <v>3060071.19209056</v>
      </c>
      <c r="N210" s="106">
        <f t="shared" si="35"/>
        <v>306.007119209056</v>
      </c>
      <c r="AB210" s="131"/>
      <c r="AD210" s="54"/>
      <c r="AE210" s="54"/>
      <c r="AF210" s="57"/>
      <c r="AG210" s="57"/>
      <c r="AH210" s="106"/>
      <c r="AI210" s="106"/>
    </row>
    <row r="211" spans="12:35">
      <c r="L211" s="57" t="s">
        <v>260</v>
      </c>
      <c r="M211" s="106">
        <f>SUM(M197:M210)</f>
        <v>14803042.2426933</v>
      </c>
      <c r="N211" s="106">
        <f>SUM(N197:N210)</f>
        <v>1480.55616226933</v>
      </c>
      <c r="AB211" s="131"/>
      <c r="AD211" s="54"/>
      <c r="AE211" s="54"/>
      <c r="AF211" s="57"/>
      <c r="AG211" s="57"/>
      <c r="AH211" s="106"/>
      <c r="AI211" s="106"/>
    </row>
    <row r="212" spans="12:35">
      <c r="AB212" s="131"/>
    </row>
    <row r="218" spans="12:35">
      <c r="L218"/>
      <c r="M218" s="132"/>
      <c r="N218" s="133"/>
      <c r="O218" s="133"/>
      <c r="X218" s="133"/>
    </row>
    <row r="219" spans="12:35">
      <c r="L219"/>
      <c r="M219" s="132"/>
      <c r="N219" s="133"/>
      <c r="O219" s="133"/>
      <c r="P219" s="133"/>
      <c r="Q219" s="133"/>
      <c r="R219" s="133"/>
      <c r="S219" s="133"/>
      <c r="T219" s="133"/>
      <c r="U219" s="133"/>
      <c r="V219" s="133"/>
      <c r="W219" s="133"/>
      <c r="X219" s="133"/>
      <c r="Z219" s="133"/>
      <c r="AA219" s="133"/>
    </row>
    <row r="220" spans="12:35">
      <c r="L220"/>
      <c r="M220" s="132"/>
      <c r="N220" s="133"/>
      <c r="O220" s="133"/>
      <c r="P220" s="133"/>
      <c r="Q220" s="133"/>
      <c r="R220" s="133"/>
      <c r="S220" s="133"/>
      <c r="T220" s="133"/>
      <c r="U220" s="133"/>
      <c r="V220" s="133"/>
      <c r="W220" s="133"/>
      <c r="X220" s="133"/>
      <c r="Y220" s="133"/>
      <c r="Z220" s="133"/>
      <c r="AA220" s="133"/>
    </row>
    <row r="221" spans="12:35">
      <c r="L221"/>
      <c r="M221" s="132"/>
      <c r="N221" s="133"/>
      <c r="O221" s="133"/>
      <c r="P221" s="133"/>
      <c r="Q221" s="133"/>
      <c r="R221" s="133"/>
      <c r="S221" s="133"/>
      <c r="T221" s="133"/>
      <c r="U221" s="133"/>
      <c r="V221" s="133"/>
      <c r="W221" s="133"/>
      <c r="X221" s="133"/>
      <c r="Y221" s="133"/>
      <c r="Z221" s="133"/>
      <c r="AA221" s="133"/>
    </row>
    <row r="222" spans="12:35">
      <c r="L222"/>
      <c r="M222" s="132"/>
      <c r="N222" s="133"/>
      <c r="O222" s="133"/>
      <c r="P222" s="133"/>
      <c r="Q222" s="133"/>
      <c r="R222" s="133"/>
      <c r="S222" s="133"/>
      <c r="T222" s="133"/>
      <c r="U222" s="133"/>
      <c r="V222" s="133"/>
      <c r="W222" s="133"/>
      <c r="X222" s="133"/>
      <c r="Y222" s="133"/>
      <c r="Z222" s="133"/>
      <c r="AA222" s="133"/>
    </row>
    <row r="223" spans="12:35">
      <c r="L223"/>
      <c r="M223" s="132"/>
      <c r="N223" s="133"/>
      <c r="O223" s="133"/>
      <c r="P223" s="133"/>
      <c r="Q223" s="133"/>
      <c r="R223" s="133"/>
      <c r="S223" s="133"/>
      <c r="T223" s="133"/>
      <c r="U223" s="133"/>
      <c r="V223" s="133"/>
      <c r="W223" s="133"/>
      <c r="X223" s="133"/>
      <c r="Y223" s="133"/>
      <c r="Z223" s="133"/>
      <c r="AA223" s="133"/>
    </row>
    <row r="224" spans="12:35">
      <c r="L224"/>
      <c r="M224" s="132"/>
      <c r="N224" s="133"/>
      <c r="O224" s="133"/>
      <c r="P224" s="133"/>
      <c r="Q224" s="133"/>
      <c r="R224" s="133"/>
      <c r="S224" s="133"/>
      <c r="T224" s="133"/>
      <c r="U224" s="133"/>
      <c r="V224" s="133"/>
      <c r="W224" s="133"/>
      <c r="X224" s="133"/>
      <c r="Y224" s="133"/>
      <c r="Z224" s="133"/>
      <c r="AA224" s="133"/>
    </row>
    <row r="225" spans="4:27">
      <c r="L225"/>
      <c r="M225" s="132"/>
      <c r="N225" s="133"/>
      <c r="O225" s="133"/>
      <c r="P225" s="133"/>
      <c r="Q225" s="133"/>
      <c r="R225" s="133"/>
      <c r="S225" s="133"/>
      <c r="T225" s="133"/>
      <c r="U225" s="133"/>
      <c r="V225" s="133"/>
      <c r="W225" s="133"/>
      <c r="X225" s="133"/>
      <c r="Y225" s="133"/>
      <c r="Z225" s="133"/>
      <c r="AA225" s="133"/>
    </row>
    <row r="226" spans="4:27">
      <c r="L226"/>
      <c r="M226" s="132"/>
      <c r="N226" s="133"/>
      <c r="O226" s="133"/>
      <c r="P226" s="133"/>
      <c r="Q226" s="133"/>
      <c r="R226" s="133"/>
      <c r="S226" s="133"/>
      <c r="T226" s="133"/>
      <c r="U226" s="133"/>
      <c r="V226" s="133"/>
      <c r="W226" s="133"/>
      <c r="X226" s="133"/>
      <c r="Y226" s="133"/>
      <c r="Z226" s="133"/>
      <c r="AA226" s="133"/>
    </row>
    <row r="227" spans="4:27">
      <c r="L227"/>
      <c r="M227" s="132"/>
      <c r="N227" s="133"/>
      <c r="O227" s="133"/>
      <c r="P227" s="133"/>
      <c r="Q227" s="133"/>
      <c r="R227" s="133"/>
      <c r="S227" s="133"/>
      <c r="T227" s="133"/>
      <c r="U227" s="133"/>
      <c r="V227" s="133"/>
      <c r="W227" s="133"/>
      <c r="X227" s="133"/>
      <c r="Y227" s="133"/>
      <c r="Z227" s="133"/>
      <c r="AA227" s="133"/>
    </row>
    <row r="228" spans="4:27">
      <c r="L228"/>
      <c r="M228" s="132"/>
      <c r="N228" s="133"/>
      <c r="O228" s="133"/>
      <c r="P228" s="133"/>
      <c r="Q228" s="133"/>
      <c r="R228" s="133"/>
      <c r="S228" s="133"/>
      <c r="T228" s="133"/>
      <c r="U228" s="133"/>
      <c r="V228" s="133"/>
      <c r="W228" s="133"/>
      <c r="X228" s="133"/>
      <c r="Y228" s="133"/>
      <c r="Z228" s="133"/>
      <c r="AA228" s="133"/>
    </row>
    <row r="229" spans="4:27">
      <c r="L229"/>
      <c r="M229" s="132"/>
      <c r="N229" s="133"/>
      <c r="O229" s="133"/>
      <c r="P229" s="133"/>
      <c r="Q229" s="133"/>
      <c r="R229" s="133"/>
      <c r="S229" s="133"/>
      <c r="T229" s="133"/>
      <c r="U229" s="133"/>
      <c r="V229" s="133"/>
      <c r="W229" s="133"/>
      <c r="X229" s="133"/>
      <c r="Y229" s="133"/>
      <c r="Z229" s="133"/>
      <c r="AA229" s="133"/>
    </row>
    <row r="230" spans="4:27">
      <c r="L230"/>
      <c r="M230" s="132"/>
      <c r="N230" s="133"/>
      <c r="O230" s="133"/>
      <c r="P230" s="133"/>
      <c r="Q230" s="133"/>
      <c r="R230" s="133"/>
      <c r="S230" s="133"/>
      <c r="T230" s="133"/>
      <c r="U230" s="133"/>
      <c r="V230" s="133"/>
      <c r="W230" s="133"/>
      <c r="X230" s="133"/>
      <c r="Y230" s="133"/>
      <c r="Z230" s="133"/>
      <c r="AA230" s="133"/>
    </row>
    <row r="231" spans="4:27">
      <c r="L231"/>
      <c r="M231" s="132"/>
      <c r="N231" s="133"/>
      <c r="O231" s="133"/>
      <c r="P231" s="133"/>
      <c r="Q231" s="133"/>
      <c r="R231" s="133"/>
      <c r="S231" s="133"/>
      <c r="T231" s="133"/>
      <c r="U231" s="133"/>
      <c r="V231" s="133"/>
      <c r="W231" s="133"/>
      <c r="X231" s="133"/>
      <c r="Y231" s="133"/>
      <c r="Z231" s="133"/>
      <c r="AA231" s="133"/>
    </row>
    <row r="232" spans="4:27">
      <c r="J232" s="112"/>
      <c r="L232"/>
      <c r="M232" s="132"/>
      <c r="N232" s="133"/>
      <c r="O232" s="133"/>
      <c r="P232" s="133"/>
      <c r="Q232" s="133"/>
      <c r="R232" s="133"/>
      <c r="S232" s="133"/>
      <c r="T232" s="133"/>
      <c r="U232" s="133"/>
      <c r="V232" s="133"/>
      <c r="W232" s="133"/>
      <c r="X232" s="133"/>
      <c r="Y232" s="133"/>
      <c r="Z232" s="133"/>
      <c r="AA232" s="133"/>
    </row>
    <row r="233" spans="4:27">
      <c r="D233" s="134"/>
      <c r="E233" s="135"/>
      <c r="G233" s="136"/>
      <c r="H233" s="137"/>
      <c r="I233" s="137"/>
      <c r="J233" s="112"/>
      <c r="L233"/>
      <c r="M233" s="132"/>
      <c r="N233" s="133"/>
      <c r="O233" s="133"/>
      <c r="P233" s="133"/>
      <c r="Q233" s="133"/>
      <c r="R233" s="133"/>
      <c r="S233" s="133"/>
      <c r="T233" s="133"/>
      <c r="U233" s="133"/>
      <c r="V233" s="133"/>
      <c r="W233" s="133"/>
      <c r="X233" s="133"/>
      <c r="Y233" s="133"/>
      <c r="Z233" s="133"/>
      <c r="AA233" s="133"/>
    </row>
    <row r="234" spans="4:27">
      <c r="D234" s="134"/>
      <c r="E234" s="135"/>
      <c r="G234" s="136"/>
      <c r="H234" s="137"/>
      <c r="I234" s="137"/>
      <c r="J234" s="112"/>
      <c r="L234"/>
      <c r="M234" s="132"/>
      <c r="N234" s="133"/>
      <c r="O234" s="133"/>
      <c r="P234" s="133"/>
      <c r="Q234" s="133"/>
      <c r="R234" s="133"/>
      <c r="S234" s="133"/>
      <c r="T234" s="133"/>
      <c r="U234" s="133"/>
      <c r="V234" s="133"/>
      <c r="W234" s="133"/>
      <c r="X234" s="133"/>
      <c r="Y234" s="133"/>
      <c r="Z234" s="133"/>
      <c r="AA234" s="133"/>
    </row>
    <row r="235" spans="4:27">
      <c r="D235" s="134"/>
      <c r="E235" s="135"/>
      <c r="G235" s="136"/>
      <c r="H235" s="137"/>
      <c r="I235" s="137"/>
      <c r="J235" s="112"/>
      <c r="L235"/>
      <c r="M235" s="132"/>
      <c r="N235" s="133"/>
      <c r="O235" s="133"/>
      <c r="P235" s="133"/>
      <c r="Q235" s="133"/>
      <c r="R235" s="133"/>
      <c r="S235" s="133"/>
      <c r="T235" s="133"/>
      <c r="U235" s="133"/>
      <c r="V235" s="133"/>
      <c r="W235" s="133"/>
      <c r="X235" s="133"/>
      <c r="Y235" s="133"/>
      <c r="Z235" s="133"/>
      <c r="AA235" s="133"/>
    </row>
    <row r="236" spans="4:27">
      <c r="D236" s="134"/>
      <c r="E236" s="135"/>
      <c r="G236" s="136"/>
      <c r="H236" s="137"/>
      <c r="I236" s="137"/>
      <c r="J236" s="112"/>
      <c r="L236"/>
      <c r="M236" s="132"/>
      <c r="N236" s="133"/>
      <c r="O236" s="133"/>
      <c r="P236" s="133"/>
      <c r="Q236" s="133"/>
      <c r="R236" s="133"/>
      <c r="S236" s="133"/>
      <c r="T236" s="133"/>
      <c r="U236" s="133"/>
      <c r="V236" s="133"/>
      <c r="W236" s="133"/>
      <c r="X236" s="133"/>
      <c r="Y236" s="133"/>
      <c r="Z236" s="133"/>
      <c r="AA236" s="133"/>
    </row>
    <row r="237" spans="4:27">
      <c r="D237" s="134"/>
      <c r="E237" s="135"/>
      <c r="G237" s="136"/>
      <c r="H237" s="137"/>
      <c r="I237" s="137"/>
      <c r="J237" s="112"/>
      <c r="L237"/>
      <c r="M237" s="132"/>
      <c r="N237" s="133"/>
      <c r="O237" s="133"/>
      <c r="P237" s="133"/>
      <c r="Q237" s="133"/>
      <c r="R237" s="133"/>
      <c r="S237" s="133"/>
      <c r="T237" s="133"/>
      <c r="U237" s="133"/>
      <c r="V237" s="133"/>
      <c r="W237" s="133"/>
      <c r="X237" s="133"/>
      <c r="Y237" s="133"/>
      <c r="Z237" s="133"/>
      <c r="AA237" s="133"/>
    </row>
    <row r="238" spans="4:27">
      <c r="D238" s="134"/>
      <c r="E238" s="135"/>
      <c r="G238" s="136"/>
      <c r="H238" s="137"/>
      <c r="I238" s="137"/>
      <c r="J238" s="112"/>
      <c r="L238"/>
      <c r="M238" s="132"/>
      <c r="N238" s="133"/>
      <c r="O238" s="133"/>
      <c r="P238" s="133"/>
      <c r="Q238" s="133"/>
      <c r="R238" s="133"/>
      <c r="S238" s="133"/>
      <c r="T238" s="133"/>
      <c r="U238" s="133"/>
      <c r="V238" s="133"/>
      <c r="W238" s="133"/>
      <c r="X238" s="133"/>
      <c r="Y238" s="133"/>
      <c r="Z238" s="133"/>
      <c r="AA238" s="133"/>
    </row>
    <row r="239" spans="4:27">
      <c r="D239" s="134"/>
      <c r="E239" s="135"/>
      <c r="G239" s="136"/>
      <c r="H239" s="137"/>
      <c r="I239" s="137"/>
      <c r="J239" s="112"/>
      <c r="L239"/>
      <c r="M239" s="132"/>
      <c r="N239" s="133"/>
      <c r="O239" s="133"/>
      <c r="P239" s="133"/>
      <c r="Q239" s="133"/>
      <c r="R239" s="133"/>
      <c r="S239" s="133"/>
      <c r="T239" s="133"/>
      <c r="U239" s="133"/>
      <c r="V239" s="133"/>
      <c r="W239" s="133"/>
      <c r="X239" s="133"/>
      <c r="Y239" s="133"/>
      <c r="Z239" s="133"/>
      <c r="AA239" s="133"/>
    </row>
    <row r="240" spans="4:27">
      <c r="D240" s="134"/>
      <c r="E240" s="135"/>
      <c r="G240" s="136"/>
      <c r="H240" s="137"/>
      <c r="I240" s="137"/>
      <c r="J240" s="112"/>
      <c r="L240"/>
      <c r="M240" s="132"/>
      <c r="N240" s="133"/>
      <c r="O240" s="133"/>
      <c r="P240" s="133"/>
      <c r="Q240" s="133"/>
      <c r="R240" s="133"/>
      <c r="S240" s="133"/>
      <c r="T240" s="133"/>
      <c r="U240" s="133"/>
      <c r="V240" s="133"/>
      <c r="W240" s="133"/>
      <c r="X240" s="133"/>
      <c r="Y240" s="133"/>
      <c r="Z240" s="133"/>
      <c r="AA240" s="133"/>
    </row>
    <row r="241" spans="4:27">
      <c r="D241" s="134"/>
      <c r="E241" s="135"/>
      <c r="G241" s="136"/>
      <c r="H241" s="137"/>
      <c r="I241" s="137"/>
      <c r="J241" s="112"/>
      <c r="K241" s="66"/>
      <c r="L241" s="66"/>
      <c r="M241" s="138"/>
      <c r="N241" s="133"/>
      <c r="O241" s="133"/>
      <c r="P241" s="133"/>
      <c r="Q241" s="133"/>
      <c r="R241" s="133"/>
      <c r="S241" s="133"/>
      <c r="T241" s="133"/>
      <c r="U241" s="133"/>
      <c r="V241" s="133"/>
      <c r="W241" s="133"/>
      <c r="X241" s="133"/>
      <c r="Y241" s="133"/>
      <c r="Z241" s="133"/>
      <c r="AA241" s="133"/>
    </row>
    <row r="242" spans="4:27">
      <c r="D242" s="134"/>
      <c r="E242" s="135"/>
      <c r="G242" s="136"/>
      <c r="H242" s="137"/>
      <c r="I242" s="137"/>
      <c r="J242" s="112"/>
      <c r="K242" s="66"/>
      <c r="L242" s="58"/>
      <c r="M242" s="58"/>
      <c r="N242" s="133"/>
      <c r="O242" s="133"/>
      <c r="P242" s="133"/>
      <c r="Q242" s="133"/>
      <c r="R242" s="133"/>
      <c r="S242" s="133"/>
      <c r="T242" s="133"/>
      <c r="U242" s="133"/>
      <c r="V242" s="133"/>
      <c r="W242" s="133"/>
      <c r="X242" s="133"/>
      <c r="Y242" s="133"/>
      <c r="Z242" s="133"/>
      <c r="AA242" s="133"/>
    </row>
    <row r="243" spans="4:27">
      <c r="D243" s="134"/>
      <c r="E243" s="135"/>
      <c r="G243" s="136"/>
      <c r="H243" s="137"/>
      <c r="I243" s="137"/>
      <c r="J243" s="112"/>
      <c r="K243" s="66"/>
      <c r="L243" s="58"/>
      <c r="M243" s="58"/>
      <c r="N243" s="133"/>
      <c r="O243" s="133"/>
      <c r="P243" s="133"/>
      <c r="Q243" s="133"/>
      <c r="R243" s="133"/>
      <c r="S243" s="133"/>
      <c r="T243" s="133"/>
      <c r="U243" s="133"/>
      <c r="V243" s="133"/>
      <c r="W243" s="133"/>
      <c r="X243" s="133"/>
      <c r="Y243" s="133"/>
      <c r="Z243" s="133"/>
      <c r="AA243" s="133"/>
    </row>
    <row r="244" spans="4:27">
      <c r="D244" s="134"/>
      <c r="E244" s="135"/>
      <c r="G244" s="136"/>
      <c r="H244" s="137"/>
      <c r="I244" s="137"/>
      <c r="J244" s="112"/>
      <c r="K244" s="66"/>
      <c r="L244" s="58"/>
      <c r="M244" s="58"/>
      <c r="N244" s="133"/>
      <c r="O244" s="133"/>
      <c r="P244" s="133"/>
      <c r="Q244" s="133"/>
      <c r="R244" s="133"/>
      <c r="S244" s="133"/>
      <c r="T244" s="133"/>
      <c r="U244" s="133"/>
      <c r="V244" s="133"/>
      <c r="W244" s="133"/>
      <c r="X244" s="133"/>
      <c r="Y244" s="133"/>
      <c r="Z244" s="133"/>
      <c r="AA244" s="133"/>
    </row>
    <row r="245" spans="4:27">
      <c r="D245" s="134"/>
      <c r="E245" s="135"/>
      <c r="G245" s="136"/>
      <c r="H245" s="137"/>
      <c r="I245" s="137"/>
      <c r="J245" s="112"/>
      <c r="M245" s="57"/>
      <c r="N245" s="133"/>
      <c r="O245" s="133"/>
      <c r="P245" s="133"/>
      <c r="Q245" s="133"/>
      <c r="R245" s="133"/>
      <c r="S245" s="133"/>
      <c r="T245" s="133"/>
      <c r="U245" s="133"/>
      <c r="V245" s="133"/>
      <c r="W245" s="133"/>
      <c r="X245" s="133"/>
      <c r="Y245" s="133"/>
      <c r="Z245" s="133"/>
      <c r="AA245" s="133"/>
    </row>
    <row r="246" spans="4:27">
      <c r="D246" s="134"/>
      <c r="E246" s="135"/>
      <c r="G246" s="136"/>
      <c r="H246" s="137"/>
      <c r="I246" s="137"/>
      <c r="J246" s="112"/>
      <c r="M246" s="57"/>
      <c r="N246" s="133"/>
      <c r="O246" s="133"/>
      <c r="P246" s="133"/>
      <c r="Q246" s="133"/>
      <c r="R246" s="133"/>
      <c r="S246" s="133"/>
      <c r="T246" s="133"/>
      <c r="U246" s="133"/>
      <c r="V246" s="133"/>
      <c r="W246" s="133"/>
      <c r="X246" s="133"/>
      <c r="Y246" s="133"/>
      <c r="Z246" s="133"/>
      <c r="AA246" s="133"/>
    </row>
    <row r="247" spans="4:27">
      <c r="D247" s="134"/>
      <c r="E247" s="135"/>
      <c r="G247" s="136"/>
      <c r="H247" s="137"/>
      <c r="I247" s="137"/>
      <c r="J247" s="112"/>
      <c r="M247" s="57"/>
      <c r="N247" s="133"/>
      <c r="O247" s="133"/>
      <c r="P247" s="133"/>
      <c r="Q247" s="133"/>
      <c r="R247" s="133"/>
      <c r="S247" s="133"/>
      <c r="T247" s="133"/>
      <c r="U247" s="133"/>
      <c r="V247" s="133"/>
      <c r="W247" s="133"/>
      <c r="X247" s="133"/>
      <c r="Y247" s="133"/>
      <c r="Z247" s="133"/>
      <c r="AA247" s="133"/>
    </row>
    <row r="248" spans="4:27">
      <c r="D248" s="134"/>
      <c r="E248" s="135"/>
      <c r="G248" s="136"/>
      <c r="H248" s="137"/>
      <c r="I248" s="137"/>
      <c r="J248" s="112"/>
      <c r="L248" s="58"/>
      <c r="M248" s="66"/>
      <c r="N248" s="133"/>
      <c r="O248" s="133"/>
      <c r="P248" s="133"/>
      <c r="Q248" s="133"/>
      <c r="R248" s="133"/>
      <c r="S248" s="133"/>
      <c r="T248" s="133"/>
      <c r="U248" s="133"/>
      <c r="V248" s="133"/>
      <c r="W248" s="133"/>
      <c r="X248" s="133"/>
      <c r="Y248" s="133"/>
      <c r="Z248" s="133"/>
      <c r="AA248" s="133"/>
    </row>
    <row r="249" spans="4:27">
      <c r="D249" s="134"/>
      <c r="E249" s="135"/>
      <c r="G249" s="136"/>
      <c r="H249" s="137"/>
      <c r="I249" s="137"/>
      <c r="J249" s="112"/>
      <c r="L249" s="58"/>
      <c r="M249" s="58"/>
      <c r="P249" s="133"/>
      <c r="Q249" s="133"/>
      <c r="R249" s="133"/>
      <c r="S249" s="133"/>
      <c r="T249" s="133"/>
      <c r="U249" s="133"/>
      <c r="V249" s="133"/>
      <c r="W249" s="133"/>
      <c r="Y249" s="133"/>
      <c r="Z249" s="133"/>
      <c r="AA249" s="133"/>
    </row>
    <row r="250" spans="4:27">
      <c r="D250" s="134"/>
      <c r="E250" s="135"/>
      <c r="G250" s="136"/>
      <c r="H250" s="137"/>
      <c r="I250" s="137"/>
      <c r="J250" s="112"/>
      <c r="L250" s="58"/>
      <c r="M250" s="58"/>
      <c r="Y250" s="133"/>
    </row>
    <row r="251" spans="4:27">
      <c r="D251" s="134"/>
      <c r="E251" s="135"/>
      <c r="G251" s="136"/>
      <c r="H251" s="137"/>
      <c r="I251" s="137"/>
      <c r="J251" s="112"/>
      <c r="L251" s="58"/>
      <c r="M251" s="58"/>
    </row>
    <row r="252" spans="4:27">
      <c r="D252" s="134"/>
      <c r="E252" s="135"/>
      <c r="G252" s="136"/>
      <c r="H252" s="137"/>
      <c r="I252" s="137"/>
      <c r="J252" s="112"/>
      <c r="L252" s="58"/>
      <c r="M252" s="58"/>
    </row>
    <row r="253" spans="4:27">
      <c r="D253" s="134"/>
      <c r="E253" s="135"/>
      <c r="G253" s="136"/>
      <c r="H253" s="137"/>
      <c r="I253" s="137"/>
      <c r="J253" s="112"/>
    </row>
    <row r="254" spans="4:27">
      <c r="D254" s="134"/>
      <c r="E254" s="135"/>
      <c r="G254" s="136"/>
      <c r="H254" s="137"/>
      <c r="I254" s="137"/>
      <c r="J254" s="112"/>
    </row>
    <row r="255" spans="4:27">
      <c r="D255" s="134"/>
      <c r="E255" s="135"/>
      <c r="G255" s="136"/>
      <c r="H255" s="137"/>
      <c r="I255" s="137"/>
    </row>
    <row r="256" spans="4:27">
      <c r="D256" s="134"/>
      <c r="G256" s="134"/>
      <c r="H256" s="135"/>
      <c r="I256" s="57"/>
    </row>
    <row r="257" spans="4:9">
      <c r="D257" s="134"/>
      <c r="H257" s="57"/>
      <c r="I257" s="57"/>
    </row>
    <row r="258" spans="4:9">
      <c r="D258" s="134"/>
      <c r="H258" s="57"/>
      <c r="I258" s="57"/>
    </row>
    <row r="259" spans="4:9">
      <c r="D259" s="134"/>
      <c r="H259" s="57"/>
      <c r="I259" s="57"/>
    </row>
    <row r="260" spans="4:9">
      <c r="D260" s="134"/>
      <c r="H260" s="57"/>
      <c r="I260" s="57"/>
    </row>
    <row r="261" spans="4:9">
      <c r="D261" s="134"/>
      <c r="H261" s="57"/>
      <c r="I261" s="57"/>
    </row>
    <row r="262" spans="4:9">
      <c r="D262" s="134"/>
      <c r="H262" s="57"/>
      <c r="I262" s="57"/>
    </row>
    <row r="266" spans="4:9">
      <c r="I266" s="139"/>
    </row>
    <row r="267" spans="4:9">
      <c r="I267" s="139"/>
    </row>
    <row r="268" spans="4:9">
      <c r="I268" s="139"/>
    </row>
    <row r="269" spans="4:9">
      <c r="I269" s="139"/>
    </row>
    <row r="270" spans="4:9">
      <c r="I270" s="139"/>
    </row>
    <row r="271" spans="4:9">
      <c r="I271" s="139"/>
    </row>
    <row r="272" spans="4:9">
      <c r="I272" s="139"/>
    </row>
    <row r="273" spans="9:9">
      <c r="I273" s="139"/>
    </row>
    <row r="274" spans="9:9">
      <c r="I274" s="139"/>
    </row>
    <row r="275" spans="9:9">
      <c r="I275" s="139"/>
    </row>
    <row r="276" spans="9:9">
      <c r="I276" s="139"/>
    </row>
    <row r="277" spans="9:9">
      <c r="I277" s="139"/>
    </row>
    <row r="278" spans="9:9">
      <c r="I278" s="139"/>
    </row>
  </sheetData>
  <pageMargins left="0.75" right="0.75" top="1" bottom="1" header="0.5" footer="0.5"/>
  <headerFooter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"/>
  <dimension ref="A1:U88"/>
  <sheetViews>
    <sheetView topLeftCell="D58" workbookViewId="0">
      <selection activeCell="S33" sqref="S33"/>
    </sheetView>
  </sheetViews>
  <sheetFormatPr defaultColWidth="8.89166666666667" defaultRowHeight="13.5"/>
  <cols>
    <col min="1" max="1" width="25.8833333333333" style="54" customWidth="1"/>
    <col min="2" max="2" width="17.3833333333333" style="54" customWidth="1"/>
    <col min="3" max="3" width="16.3333333333333" style="54" customWidth="1"/>
    <col min="4" max="4" width="14.6333333333333" style="54" customWidth="1"/>
    <col min="5" max="5" width="15.6333333333333" style="54" customWidth="1"/>
    <col min="6" max="6" width="14.5" style="54" customWidth="1"/>
    <col min="7" max="7" width="9.5" style="54" customWidth="1"/>
    <col min="8" max="8" width="11.8833333333333" style="55" customWidth="1"/>
    <col min="9" max="10" width="13.7583333333333" style="54"/>
    <col min="11" max="11" width="26.6333333333333" style="56" customWidth="1"/>
    <col min="12" max="12" width="16.0916666666667" style="54" customWidth="1"/>
    <col min="13" max="13" width="18" style="57" customWidth="1"/>
    <col min="14" max="14" width="13.8833333333333" style="57" customWidth="1"/>
    <col min="15" max="15" width="14.3833333333333" style="57" customWidth="1"/>
    <col min="16" max="16" width="15" style="57" customWidth="1"/>
    <col min="17" max="17" width="10" style="57" customWidth="1"/>
    <col min="18" max="18" width="7.5" style="54" customWidth="1"/>
    <col min="19" max="19" width="14.1333333333333" style="54" customWidth="1"/>
    <col min="20" max="20" width="14.5" style="54" customWidth="1"/>
    <col min="21" max="21" width="15" style="54" customWidth="1"/>
    <col min="22" max="22" width="8.89166666666667" style="54"/>
  </cols>
  <sheetData>
    <row r="1" spans="1:21">
      <c r="A1" s="54" t="s">
        <v>376</v>
      </c>
      <c r="K1" s="56" t="s">
        <v>367</v>
      </c>
    </row>
    <row r="2" spans="1:21">
      <c r="A2" s="54" t="s">
        <v>377</v>
      </c>
      <c r="B2" s="54" t="s">
        <v>29</v>
      </c>
      <c r="C2" s="54" t="s">
        <v>378</v>
      </c>
      <c r="D2" s="54" t="s">
        <v>21</v>
      </c>
      <c r="E2" s="54" t="s">
        <v>379</v>
      </c>
      <c r="F2" s="54" t="s">
        <v>380</v>
      </c>
      <c r="G2" s="54" t="s">
        <v>5</v>
      </c>
      <c r="H2" s="55" t="s">
        <v>125</v>
      </c>
      <c r="I2" s="54" t="s">
        <v>381</v>
      </c>
    </row>
    <row r="3" spans="1:21">
      <c r="A3" s="57" t="s">
        <v>382</v>
      </c>
      <c r="B3" s="58">
        <f>Q3/10000</f>
        <v>34488.2767813825</v>
      </c>
      <c r="C3" s="58">
        <f>(M3-P3)/10000</f>
        <v>6328.2558296925</v>
      </c>
      <c r="D3" s="59">
        <f t="shared" ref="D3:D12" si="0">P3/10000</f>
        <v>0</v>
      </c>
      <c r="E3" s="59">
        <f t="shared" ref="E3:E12" si="1">C3+D3</f>
        <v>6328.2558296925</v>
      </c>
      <c r="F3" s="60">
        <f>(C3+D3)/B3</f>
        <v>0.183490055760299</v>
      </c>
      <c r="G3" s="54" t="s">
        <v>170</v>
      </c>
      <c r="H3" s="61" t="s">
        <v>8</v>
      </c>
      <c r="I3" s="62">
        <f>E3/'毛利-收入组成'!$AQ$14</f>
        <v>0.171059131503616</v>
      </c>
      <c r="J3" s="62"/>
      <c r="K3" s="63" t="s">
        <v>382</v>
      </c>
      <c r="L3" s="64" t="s">
        <v>8</v>
      </c>
      <c r="M3" s="57">
        <v>63282558.296925</v>
      </c>
      <c r="N3" s="57">
        <v>130377288.355</v>
      </c>
      <c r="O3" s="57">
        <v>-67094730.058075</v>
      </c>
      <c r="Q3" s="57">
        <v>344882767.813825</v>
      </c>
      <c r="R3" s="65">
        <v>0.183490055760299</v>
      </c>
      <c r="T3" s="57" t="s">
        <v>383</v>
      </c>
      <c r="U3" s="57">
        <v>10164730.18</v>
      </c>
    </row>
    <row r="4" spans="1:21">
      <c r="A4" s="57" t="s">
        <v>383</v>
      </c>
      <c r="B4" s="58">
        <f>Q4/10000</f>
        <v>27486.2768471289</v>
      </c>
      <c r="C4" s="58">
        <f>(M4-P4)/10000</f>
        <v>4938.943798889</v>
      </c>
      <c r="D4" s="59">
        <f t="shared" si="0"/>
        <v>1016.473018</v>
      </c>
      <c r="E4" s="59">
        <f t="shared" si="1"/>
        <v>5955.416816889</v>
      </c>
      <c r="F4" s="60">
        <f>(C4+D4)/B4</f>
        <v>0.216668734365567</v>
      </c>
      <c r="G4" s="54" t="s">
        <v>170</v>
      </c>
      <c r="H4" s="61" t="s">
        <v>8</v>
      </c>
      <c r="I4" s="62">
        <f>E4/'毛利-收入组成'!$AQ$14</f>
        <v>0.160980917310444</v>
      </c>
      <c r="J4" s="62"/>
      <c r="K4" s="63" t="s">
        <v>383</v>
      </c>
      <c r="L4" s="64" t="s">
        <v>8</v>
      </c>
      <c r="M4" s="57">
        <v>59554168.16889</v>
      </c>
      <c r="N4" s="57">
        <v>106063990.8377</v>
      </c>
      <c r="O4" s="57">
        <v>-46509822.66881</v>
      </c>
      <c r="P4" s="57">
        <v>10164730.18</v>
      </c>
      <c r="Q4" s="57">
        <v>274862768.471289</v>
      </c>
      <c r="R4" s="65">
        <v>0.216668734365567</v>
      </c>
      <c r="S4" s="54" t="s">
        <v>384</v>
      </c>
      <c r="T4" s="57" t="s">
        <v>385</v>
      </c>
      <c r="U4" s="57">
        <v>8130073.9</v>
      </c>
    </row>
    <row r="5" spans="1:21">
      <c r="A5" s="57" t="s">
        <v>386</v>
      </c>
      <c r="B5" s="58">
        <f>Q5/10000</f>
        <v>36630.801685</v>
      </c>
      <c r="C5" s="58">
        <f>(M5-P5)/10000</f>
        <v>-560.661623</v>
      </c>
      <c r="D5" s="59">
        <f t="shared" si="0"/>
        <v>4066.843182</v>
      </c>
      <c r="E5" s="59">
        <f t="shared" si="1"/>
        <v>3506.181559</v>
      </c>
      <c r="F5" s="60">
        <f>(C5+D5)/B5</f>
        <v>0.0957167574204567</v>
      </c>
      <c r="G5" s="54" t="s">
        <v>170</v>
      </c>
      <c r="H5" s="61" t="s">
        <v>6</v>
      </c>
      <c r="I5" s="62">
        <f>E5/'毛利-收入组成'!$AQ$14</f>
        <v>0.0947756204106684</v>
      </c>
      <c r="J5" s="62"/>
      <c r="K5" s="63" t="s">
        <v>386</v>
      </c>
      <c r="L5" s="64" t="s">
        <v>6</v>
      </c>
      <c r="M5" s="57">
        <v>35061815.59</v>
      </c>
      <c r="N5" s="57">
        <v>40668432.31</v>
      </c>
      <c r="O5" s="57">
        <v>-5606616.71999997</v>
      </c>
      <c r="P5" s="57">
        <v>40668431.82</v>
      </c>
      <c r="Q5" s="57">
        <v>366308016.85</v>
      </c>
      <c r="R5" s="65">
        <v>0.0957167574204567</v>
      </c>
      <c r="S5" s="54" t="s">
        <v>21</v>
      </c>
      <c r="T5" s="57" t="s">
        <v>387</v>
      </c>
      <c r="U5" s="57">
        <v>627.2</v>
      </c>
    </row>
    <row r="6" spans="1:21">
      <c r="A6" s="57" t="s">
        <v>388</v>
      </c>
      <c r="B6" s="58">
        <f>Q6/10000</f>
        <v>33824.7567947095</v>
      </c>
      <c r="C6" s="58">
        <f>(M6-P6)/10000</f>
        <v>-1042.1467392905</v>
      </c>
      <c r="D6" s="59">
        <f t="shared" si="0"/>
        <v>3459.69232</v>
      </c>
      <c r="E6" s="59">
        <f t="shared" si="1"/>
        <v>2417.5455807095</v>
      </c>
      <c r="F6" s="60">
        <f>(C6+D6)/B6</f>
        <v>0.0714726670581006</v>
      </c>
      <c r="G6" s="54" t="s">
        <v>170</v>
      </c>
      <c r="H6" s="61" t="s">
        <v>6</v>
      </c>
      <c r="I6" s="62">
        <f>E6/'毛利-收入组成'!$AQ$14</f>
        <v>0.0653486929947122</v>
      </c>
      <c r="J6" s="62"/>
      <c r="K6" s="63" t="s">
        <v>388</v>
      </c>
      <c r="L6" s="64" t="s">
        <v>6</v>
      </c>
      <c r="M6" s="57">
        <v>24175455.807095</v>
      </c>
      <c r="N6" s="57">
        <v>34596923.2</v>
      </c>
      <c r="O6" s="57">
        <v>-10421467.392905</v>
      </c>
      <c r="P6" s="57">
        <v>34596923.2</v>
      </c>
      <c r="Q6" s="57">
        <v>338247567.947095</v>
      </c>
      <c r="R6" s="65">
        <v>0.0714726670581007</v>
      </c>
      <c r="S6" s="54" t="s">
        <v>21</v>
      </c>
      <c r="T6" s="57" t="s">
        <v>389</v>
      </c>
      <c r="U6" s="57">
        <v>24128.86</v>
      </c>
    </row>
    <row r="7" spans="1:21">
      <c r="A7" s="57" t="s">
        <v>390</v>
      </c>
      <c r="B7" s="58">
        <v>39782.3052243966</v>
      </c>
      <c r="C7" s="58">
        <v>1526</v>
      </c>
      <c r="D7" s="59">
        <f t="shared" si="0"/>
        <v>0</v>
      </c>
      <c r="E7" s="59">
        <f t="shared" si="1"/>
        <v>1526</v>
      </c>
      <c r="F7" s="60">
        <f>IFERROR((C7+D7)/B7,0)</f>
        <v>0.0383587625551718</v>
      </c>
      <c r="G7" s="54" t="s">
        <v>170</v>
      </c>
      <c r="H7" s="61" t="s">
        <v>6</v>
      </c>
      <c r="I7" s="62">
        <f>E7/'毛利-收入组成'!$AQ$14</f>
        <v>0.0412493176160362</v>
      </c>
      <c r="J7" s="62"/>
      <c r="K7" s="63" t="s">
        <v>390</v>
      </c>
      <c r="L7" s="64" t="s">
        <v>129</v>
      </c>
      <c r="M7" s="57">
        <v>14396802.01</v>
      </c>
      <c r="N7" s="57">
        <v>14396802.01</v>
      </c>
      <c r="O7" s="57">
        <v>0</v>
      </c>
      <c r="Q7" s="57">
        <v>0</v>
      </c>
      <c r="R7" s="65">
        <v>0</v>
      </c>
      <c r="S7" s="54" t="s">
        <v>391</v>
      </c>
      <c r="T7" s="57" t="s">
        <v>392</v>
      </c>
      <c r="U7" s="57">
        <v>412939.71</v>
      </c>
    </row>
    <row r="8" spans="1:21">
      <c r="A8" s="57" t="s">
        <v>393</v>
      </c>
      <c r="B8" s="58">
        <f>Q8/10000</f>
        <v>31963.5040907436</v>
      </c>
      <c r="C8" s="58">
        <f>(M8-P8)/10000</f>
        <v>896.339728563601</v>
      </c>
      <c r="D8" s="59">
        <f t="shared" si="0"/>
        <v>0</v>
      </c>
      <c r="E8" s="59">
        <f t="shared" si="1"/>
        <v>896.339728563601</v>
      </c>
      <c r="F8" s="60">
        <f>(C8+D8)/B8</f>
        <v>0.028042599022276</v>
      </c>
      <c r="G8" s="54" t="s">
        <v>170</v>
      </c>
      <c r="H8" s="61" t="s">
        <v>6</v>
      </c>
      <c r="I8" s="62">
        <f>E8/'毛利-收入组成'!$AQ$14</f>
        <v>0.0242289660258137</v>
      </c>
      <c r="J8" s="62"/>
      <c r="K8" s="63" t="s">
        <v>393</v>
      </c>
      <c r="L8" s="64" t="s">
        <v>6</v>
      </c>
      <c r="M8" s="57">
        <v>8963397.28563601</v>
      </c>
      <c r="N8" s="57">
        <v>0</v>
      </c>
      <c r="O8" s="57">
        <v>8963397.28563601</v>
      </c>
      <c r="Q8" s="57">
        <v>319635040.907436</v>
      </c>
      <c r="R8" s="65">
        <v>0.028042599022276</v>
      </c>
      <c r="T8" s="57" t="s">
        <v>394</v>
      </c>
      <c r="U8" s="57">
        <v>308113.5</v>
      </c>
    </row>
    <row r="9" spans="1:21">
      <c r="A9" s="57" t="s">
        <v>385</v>
      </c>
      <c r="B9" s="58">
        <f>Q9/10000</f>
        <v>1911.14387667701</v>
      </c>
      <c r="C9" s="58">
        <f>(M9-P9)/10000</f>
        <v>1.38111467700992</v>
      </c>
      <c r="D9" s="59">
        <f t="shared" si="0"/>
        <v>813.00739</v>
      </c>
      <c r="E9" s="59">
        <f t="shared" si="1"/>
        <v>814.38850467701</v>
      </c>
      <c r="F9" s="60">
        <f>(C9+D9)/B9</f>
        <v>0.426126214051986</v>
      </c>
      <c r="G9" s="54" t="s">
        <v>170</v>
      </c>
      <c r="H9" s="61" t="s">
        <v>8</v>
      </c>
      <c r="I9" s="62">
        <f>E9/'毛利-收入组成'!$AQ$14</f>
        <v>0.0220137418691158</v>
      </c>
      <c r="J9" s="62"/>
      <c r="K9" s="63" t="s">
        <v>385</v>
      </c>
      <c r="L9" s="64" t="s">
        <v>8</v>
      </c>
      <c r="M9" s="57">
        <v>8143885.0467701</v>
      </c>
      <c r="N9" s="57">
        <v>8130073.9</v>
      </c>
      <c r="O9" s="57">
        <v>13811.1467700973</v>
      </c>
      <c r="P9" s="57">
        <v>8130073.9</v>
      </c>
      <c r="Q9" s="57">
        <v>19111438.7667701</v>
      </c>
      <c r="R9" s="65">
        <v>0.426126214051986</v>
      </c>
      <c r="S9" s="54" t="s">
        <v>384</v>
      </c>
      <c r="T9" s="57" t="s">
        <v>395</v>
      </c>
      <c r="U9" s="57">
        <v>759861.48</v>
      </c>
    </row>
    <row r="10" spans="1:21">
      <c r="A10" s="57" t="s">
        <v>396</v>
      </c>
      <c r="B10" s="58">
        <f>Q10/10000</f>
        <v>13204.8635048447</v>
      </c>
      <c r="C10" s="58">
        <f>(M10-P10)/10000</f>
        <v>606.9514934147</v>
      </c>
      <c r="D10" s="59">
        <f t="shared" si="0"/>
        <v>0</v>
      </c>
      <c r="E10" s="59">
        <f t="shared" si="1"/>
        <v>606.9514934147</v>
      </c>
      <c r="F10" s="60">
        <f>(C10+D10)/B10</f>
        <v>0.0459642383423363</v>
      </c>
      <c r="G10" s="54" t="s">
        <v>170</v>
      </c>
      <c r="H10" s="61" t="s">
        <v>8</v>
      </c>
      <c r="I10" s="62">
        <f>E10/'毛利-收入组成'!$AQ$14</f>
        <v>0.0164065104386569</v>
      </c>
      <c r="J10" s="62"/>
      <c r="K10" s="63" t="s">
        <v>396</v>
      </c>
      <c r="L10" s="64" t="s">
        <v>8</v>
      </c>
      <c r="M10" s="57">
        <v>6069514.934147</v>
      </c>
      <c r="N10" s="57">
        <v>6579801.0077</v>
      </c>
      <c r="O10" s="57">
        <v>-510286.073552996</v>
      </c>
      <c r="Q10" s="57">
        <v>132048635.048447</v>
      </c>
      <c r="R10" s="65">
        <v>0.0459642383423363</v>
      </c>
      <c r="T10" s="57" t="s">
        <v>397</v>
      </c>
      <c r="U10" s="57">
        <v>26843.72</v>
      </c>
    </row>
    <row r="11" spans="1:21">
      <c r="A11" s="57" t="s">
        <v>398</v>
      </c>
      <c r="B11" s="58">
        <f>Q11/10000</f>
        <v>4654.54072338181</v>
      </c>
      <c r="C11" s="58">
        <f>(M11-P11)/10000</f>
        <v>750.11620307182</v>
      </c>
      <c r="D11" s="59">
        <f t="shared" si="0"/>
        <v>75.986148</v>
      </c>
      <c r="E11" s="59">
        <f t="shared" si="1"/>
        <v>826.10235107182</v>
      </c>
      <c r="F11" s="60">
        <f>(C11+D11)/B11</f>
        <v>0.177483107392732</v>
      </c>
      <c r="G11" s="54" t="s">
        <v>170</v>
      </c>
      <c r="H11" s="61" t="s">
        <v>8</v>
      </c>
      <c r="I11" s="62">
        <f>E11/'毛利-收入组成'!$AQ$14</f>
        <v>0.0223303789401807</v>
      </c>
      <c r="J11" s="62"/>
      <c r="K11" s="63" t="s">
        <v>398</v>
      </c>
      <c r="L11" s="64" t="s">
        <v>8</v>
      </c>
      <c r="M11" s="57">
        <v>8261023.5107182</v>
      </c>
      <c r="N11" s="57">
        <v>799124.887</v>
      </c>
      <c r="O11" s="57">
        <v>7461898.6237182</v>
      </c>
      <c r="P11" s="57">
        <v>759861.48</v>
      </c>
      <c r="Q11" s="57">
        <v>46545407.2338181</v>
      </c>
      <c r="R11" s="65">
        <v>0.177483107392732</v>
      </c>
      <c r="S11" s="54" t="s">
        <v>384</v>
      </c>
      <c r="T11" s="57" t="s">
        <v>399</v>
      </c>
      <c r="U11" s="57">
        <v>1125</v>
      </c>
    </row>
    <row r="12" spans="1:21">
      <c r="A12" s="57" t="s">
        <v>400</v>
      </c>
      <c r="B12" s="58">
        <f>Q12/10000</f>
        <v>64468.0012644999</v>
      </c>
      <c r="C12" s="58">
        <f>(M12-P12)/10000</f>
        <v>499.026794099903</v>
      </c>
      <c r="D12" s="59">
        <f t="shared" si="0"/>
        <v>0</v>
      </c>
      <c r="E12" s="59">
        <f t="shared" si="1"/>
        <v>499.026794099903</v>
      </c>
      <c r="F12" s="60">
        <f>(C12+D12)/B12</f>
        <v>0.0077406897113576</v>
      </c>
      <c r="G12" s="54" t="s">
        <v>170</v>
      </c>
      <c r="H12" s="55" t="s">
        <v>8</v>
      </c>
      <c r="I12" s="62">
        <f>E12/'毛利-收入组成'!$AQ$14</f>
        <v>0.013489197069947</v>
      </c>
      <c r="J12" s="62"/>
      <c r="K12" s="56" t="s">
        <v>400</v>
      </c>
      <c r="L12" s="54" t="s">
        <v>8</v>
      </c>
      <c r="M12" s="57">
        <v>4990267.94099903</v>
      </c>
      <c r="N12" s="57">
        <v>4499283.398</v>
      </c>
      <c r="O12" s="57">
        <v>490984.542999029</v>
      </c>
      <c r="Q12" s="57">
        <v>644680012.644999</v>
      </c>
      <c r="R12" s="65">
        <v>0.0077406897113576</v>
      </c>
      <c r="T12" s="57" t="s">
        <v>401</v>
      </c>
      <c r="U12" s="57">
        <v>9000.93</v>
      </c>
    </row>
    <row r="13" spans="1:21">
      <c r="A13" s="54" t="s">
        <v>9</v>
      </c>
      <c r="B13" s="66">
        <f>SUM(B3:B12)</f>
        <v>288414.470792765</v>
      </c>
      <c r="C13" s="66">
        <f>SUM(C3:C12)</f>
        <v>13944.206600118</v>
      </c>
      <c r="D13" s="66">
        <f>SUM(D3:D12)</f>
        <v>9432.002058</v>
      </c>
      <c r="E13" s="66">
        <f>SUM(E3:E12)</f>
        <v>23376.208658118</v>
      </c>
      <c r="F13" s="65">
        <f>E13/'毛利-收入组成'!AQ14</f>
        <v>0.63188247417919</v>
      </c>
      <c r="I13" s="67"/>
      <c r="J13" s="67"/>
      <c r="R13" s="65"/>
      <c r="T13" s="57" t="s">
        <v>402</v>
      </c>
      <c r="U13" s="57">
        <v>34596923.2</v>
      </c>
    </row>
    <row r="14" spans="1:21">
      <c r="A14" s="54" t="s">
        <v>403</v>
      </c>
      <c r="B14" s="54" t="s">
        <v>29</v>
      </c>
      <c r="C14" s="54" t="s">
        <v>378</v>
      </c>
      <c r="D14" s="54" t="s">
        <v>21</v>
      </c>
      <c r="E14" s="54" t="s">
        <v>379</v>
      </c>
      <c r="F14" s="54" t="s">
        <v>380</v>
      </c>
      <c r="G14" s="54" t="s">
        <v>5</v>
      </c>
      <c r="H14" s="55" t="s">
        <v>125</v>
      </c>
      <c r="I14" s="67"/>
      <c r="J14" s="67"/>
      <c r="K14" s="68" t="s">
        <v>404</v>
      </c>
      <c r="L14" s="69" t="s">
        <v>244</v>
      </c>
      <c r="M14" s="69" t="s">
        <v>405</v>
      </c>
      <c r="N14" s="69" t="s">
        <v>406</v>
      </c>
      <c r="O14" s="69" t="s">
        <v>407</v>
      </c>
      <c r="R14" s="65"/>
      <c r="T14" s="57" t="s">
        <v>408</v>
      </c>
      <c r="U14" s="57">
        <v>40668431.82</v>
      </c>
    </row>
    <row r="15" spans="1:21">
      <c r="A15" s="70" t="s">
        <v>382</v>
      </c>
      <c r="B15" s="69">
        <f t="shared" ref="B15:B23" si="2">L15/10000</f>
        <v>47498.618040654</v>
      </c>
      <c r="C15" s="69">
        <f t="shared" ref="C15:C24" si="3">M15/10000</f>
        <v>8439.2371935341</v>
      </c>
      <c r="D15" s="69">
        <f t="shared" ref="D15:D24" si="4">N15/10000</f>
        <v>0</v>
      </c>
      <c r="E15" s="59">
        <f t="shared" ref="E15:E24" si="5">C15+D15</f>
        <v>8439.2371935341</v>
      </c>
      <c r="F15" s="71">
        <f t="shared" ref="F15:F24" si="6">(C15+D15)/B15</f>
        <v>0.177673320649265</v>
      </c>
      <c r="G15" s="54" t="s">
        <v>132</v>
      </c>
      <c r="H15" s="55" t="s">
        <v>8</v>
      </c>
      <c r="I15" s="62">
        <f>E15/'毛利-收入组成'!AQ26</f>
        <v>0.194438295586112</v>
      </c>
      <c r="J15" s="72">
        <f t="shared" ref="J15:J24" si="7">E15/12*10</f>
        <v>7032.69766127842</v>
      </c>
      <c r="K15" s="70" t="s">
        <v>382</v>
      </c>
      <c r="L15" s="69">
        <v>474986180.40654</v>
      </c>
      <c r="M15" s="69">
        <v>84392371.935341</v>
      </c>
      <c r="N15" s="69">
        <v>0</v>
      </c>
      <c r="O15" s="69">
        <v>84392371.935341</v>
      </c>
      <c r="T15" s="57" t="s">
        <v>260</v>
      </c>
      <c r="U15" s="57">
        <v>95102799.5</v>
      </c>
    </row>
    <row r="16" spans="1:21">
      <c r="A16" s="70" t="s">
        <v>383</v>
      </c>
      <c r="B16" s="69">
        <f t="shared" si="2"/>
        <v>26570.9561909804</v>
      </c>
      <c r="C16" s="69">
        <f t="shared" si="3"/>
        <v>6191.729670007</v>
      </c>
      <c r="D16" s="69">
        <f t="shared" si="4"/>
        <v>1358.457494</v>
      </c>
      <c r="E16" s="59">
        <f t="shared" si="5"/>
        <v>7550.187164007</v>
      </c>
      <c r="F16" s="71">
        <f t="shared" si="6"/>
        <v>0.284151880336543</v>
      </c>
      <c r="G16" s="54" t="s">
        <v>132</v>
      </c>
      <c r="H16" s="55" t="s">
        <v>8</v>
      </c>
      <c r="I16" s="73">
        <f>E16/'毛利-收入组成'!AQ26</f>
        <v>0.173954765088299</v>
      </c>
      <c r="J16" s="72">
        <f t="shared" si="7"/>
        <v>6291.8226366725</v>
      </c>
      <c r="K16" s="70" t="s">
        <v>383</v>
      </c>
      <c r="L16" s="69">
        <v>265709561.909804</v>
      </c>
      <c r="M16" s="69">
        <v>61917296.70007</v>
      </c>
      <c r="N16" s="69">
        <v>13584574.94</v>
      </c>
      <c r="O16" s="69">
        <v>75501871.64007</v>
      </c>
      <c r="T16" s="57"/>
      <c r="U16" s="57"/>
    </row>
    <row r="17" spans="1:21">
      <c r="A17" s="70" t="s">
        <v>386</v>
      </c>
      <c r="B17" s="69">
        <f t="shared" si="2"/>
        <v>17061.092961</v>
      </c>
      <c r="C17" s="69">
        <f t="shared" si="3"/>
        <v>1420.01190566</v>
      </c>
      <c r="D17" s="69">
        <f t="shared" si="4"/>
        <v>1679.2228049</v>
      </c>
      <c r="E17" s="59">
        <f t="shared" si="5"/>
        <v>3099.23471056</v>
      </c>
      <c r="F17" s="71">
        <f t="shared" si="6"/>
        <v>0.181655109531643</v>
      </c>
      <c r="G17" s="54" t="s">
        <v>132</v>
      </c>
      <c r="H17" s="55" t="s">
        <v>6</v>
      </c>
      <c r="I17" s="67" t="s">
        <v>409</v>
      </c>
      <c r="J17" s="72">
        <f t="shared" si="7"/>
        <v>2582.69559213333</v>
      </c>
      <c r="K17" s="74" t="s">
        <v>386</v>
      </c>
      <c r="L17" s="75">
        <v>170610929.61</v>
      </c>
      <c r="M17" s="75">
        <v>14200119.0566</v>
      </c>
      <c r="N17" s="75">
        <v>16792228.049</v>
      </c>
      <c r="O17" s="75">
        <v>30992347.1056</v>
      </c>
      <c r="T17" s="57"/>
      <c r="U17" s="57"/>
    </row>
    <row r="18" spans="1:21">
      <c r="A18" s="70" t="s">
        <v>394</v>
      </c>
      <c r="B18" s="69">
        <f t="shared" si="2"/>
        <v>6560.14225844552</v>
      </c>
      <c r="C18" s="69">
        <f t="shared" si="3"/>
        <v>1822.67785244875</v>
      </c>
      <c r="D18" s="69">
        <f t="shared" si="4"/>
        <v>5.801781</v>
      </c>
      <c r="E18" s="59">
        <f t="shared" si="5"/>
        <v>1828.47963344875</v>
      </c>
      <c r="F18" s="71">
        <f t="shared" si="6"/>
        <v>0.278725607069689</v>
      </c>
      <c r="G18" s="54" t="s">
        <v>132</v>
      </c>
      <c r="H18" s="55" t="s">
        <v>8</v>
      </c>
      <c r="I18" s="67">
        <f>E18/'毛利-收入组成'!AQ26</f>
        <v>0.0421277960659866</v>
      </c>
      <c r="J18" s="72">
        <f t="shared" si="7"/>
        <v>1523.73302787396</v>
      </c>
      <c r="K18" s="70" t="s">
        <v>394</v>
      </c>
      <c r="L18" s="69">
        <v>65601422.5844552</v>
      </c>
      <c r="M18" s="69">
        <v>18226778.5244875</v>
      </c>
      <c r="N18" s="69">
        <v>58017.81</v>
      </c>
      <c r="O18" s="69">
        <v>18284796.3344875</v>
      </c>
    </row>
    <row r="19" spans="1:21">
      <c r="A19" s="70" t="s">
        <v>388</v>
      </c>
      <c r="B19" s="69">
        <f t="shared" si="2"/>
        <v>958.551797</v>
      </c>
      <c r="C19" s="69">
        <f t="shared" si="3"/>
        <v>695.70036082</v>
      </c>
      <c r="D19" s="69">
        <f t="shared" si="4"/>
        <v>974.54367258</v>
      </c>
      <c r="E19" s="59">
        <f t="shared" si="5"/>
        <v>1670.2440334</v>
      </c>
      <c r="F19" s="71">
        <f t="shared" si="6"/>
        <v>1.74246612298615</v>
      </c>
      <c r="G19" s="54" t="s">
        <v>132</v>
      </c>
      <c r="H19" s="55" t="s">
        <v>6</v>
      </c>
      <c r="I19" s="67" t="s">
        <v>409</v>
      </c>
      <c r="J19" s="72">
        <f t="shared" si="7"/>
        <v>1391.87002783333</v>
      </c>
      <c r="K19" s="74" t="s">
        <v>388</v>
      </c>
      <c r="L19" s="75">
        <v>9585517.97</v>
      </c>
      <c r="M19" s="75">
        <v>6957003.6082</v>
      </c>
      <c r="N19" s="75">
        <v>9745436.7258</v>
      </c>
      <c r="O19" s="75">
        <v>16702440.334</v>
      </c>
    </row>
    <row r="20" spans="1:21">
      <c r="A20" s="70" t="s">
        <v>410</v>
      </c>
      <c r="B20" s="69">
        <f t="shared" si="2"/>
        <v>118513.243316751</v>
      </c>
      <c r="C20" s="69">
        <f t="shared" si="3"/>
        <v>1611.9327761993</v>
      </c>
      <c r="D20" s="69">
        <f t="shared" si="4"/>
        <v>0</v>
      </c>
      <c r="E20" s="59">
        <f t="shared" si="5"/>
        <v>1611.9327761993</v>
      </c>
      <c r="F20" s="71">
        <f t="shared" si="6"/>
        <v>0.0136012881859209</v>
      </c>
      <c r="G20" s="54" t="s">
        <v>132</v>
      </c>
      <c r="H20" s="55" t="s">
        <v>7</v>
      </c>
      <c r="I20" s="62">
        <f>E20/'毛利-收入组成'!$AQ$26</f>
        <v>0.0371386008493417</v>
      </c>
      <c r="J20" s="72">
        <f t="shared" si="7"/>
        <v>1343.27731349942</v>
      </c>
      <c r="K20" s="70" t="s">
        <v>410</v>
      </c>
      <c r="L20" s="69">
        <v>1185132433.16751</v>
      </c>
      <c r="M20" s="69">
        <v>16119327.761993</v>
      </c>
      <c r="N20" s="69">
        <v>0</v>
      </c>
      <c r="O20" s="69">
        <v>16119327.761993</v>
      </c>
    </row>
    <row r="21" spans="1:21">
      <c r="A21" s="70" t="s">
        <v>411</v>
      </c>
      <c r="B21" s="69">
        <f t="shared" si="2"/>
        <v>372612.565767683</v>
      </c>
      <c r="C21" s="69">
        <f t="shared" si="3"/>
        <v>1598.80879518302</v>
      </c>
      <c r="D21" s="69">
        <f t="shared" si="4"/>
        <v>0</v>
      </c>
      <c r="E21" s="59">
        <f t="shared" si="5"/>
        <v>1598.80879518302</v>
      </c>
      <c r="F21" s="71">
        <f t="shared" si="6"/>
        <v>0.00429080750910544</v>
      </c>
      <c r="G21" s="54" t="s">
        <v>132</v>
      </c>
      <c r="H21" s="55" t="s">
        <v>7</v>
      </c>
      <c r="I21" s="62">
        <f>E21/'毛利-收入组成'!$AQ$26</f>
        <v>0.0368362270160686</v>
      </c>
      <c r="J21" s="72">
        <f t="shared" si="7"/>
        <v>1332.34066265252</v>
      </c>
      <c r="K21" s="70" t="s">
        <v>411</v>
      </c>
      <c r="L21" s="69">
        <v>3726125657.67683</v>
      </c>
      <c r="M21" s="69">
        <v>15988087.9518302</v>
      </c>
      <c r="N21" s="69">
        <v>0</v>
      </c>
      <c r="O21" s="69">
        <v>15988087.9518302</v>
      </c>
    </row>
    <row r="22" spans="1:21">
      <c r="A22" s="70" t="s">
        <v>385</v>
      </c>
      <c r="B22" s="69">
        <f t="shared" si="2"/>
        <v>1382.74661197225</v>
      </c>
      <c r="C22" s="69">
        <f t="shared" si="3"/>
        <v>202.044832352251</v>
      </c>
      <c r="D22" s="69">
        <f t="shared" si="4"/>
        <v>1331.8207235</v>
      </c>
      <c r="E22" s="59">
        <f t="shared" si="5"/>
        <v>1533.86555585225</v>
      </c>
      <c r="F22" s="71">
        <f t="shared" si="6"/>
        <v>1.10928896340918</v>
      </c>
      <c r="G22" s="54" t="s">
        <v>132</v>
      </c>
      <c r="H22" s="55" t="s">
        <v>8</v>
      </c>
      <c r="I22" s="62">
        <f>E22/'毛利-收入组成'!$AQ$26</f>
        <v>0.0353399480899364</v>
      </c>
      <c r="J22" s="72">
        <f t="shared" si="7"/>
        <v>1278.22129654354</v>
      </c>
      <c r="K22" s="70" t="s">
        <v>385</v>
      </c>
      <c r="L22" s="69">
        <v>13827466.1197225</v>
      </c>
      <c r="M22" s="69">
        <v>2020448.32352251</v>
      </c>
      <c r="N22" s="69">
        <v>13318207.235</v>
      </c>
      <c r="O22" s="69">
        <v>15338655.5585225</v>
      </c>
    </row>
    <row r="23" spans="1:21">
      <c r="A23" s="70" t="s">
        <v>395</v>
      </c>
      <c r="B23" s="69">
        <f t="shared" si="2"/>
        <v>5530.66115936144</v>
      </c>
      <c r="C23" s="69">
        <f t="shared" si="3"/>
        <v>1118.60976178144</v>
      </c>
      <c r="D23" s="69">
        <f t="shared" si="4"/>
        <v>89.695488</v>
      </c>
      <c r="E23" s="59">
        <f t="shared" si="5"/>
        <v>1208.30524978144</v>
      </c>
      <c r="F23" s="71">
        <f t="shared" si="6"/>
        <v>0.21847392471987</v>
      </c>
      <c r="G23" s="54" t="s">
        <v>132</v>
      </c>
      <c r="H23" s="55" t="s">
        <v>8</v>
      </c>
      <c r="I23" s="62">
        <f>E23/'毛利-收入组成'!$AQ$26</f>
        <v>0.0278391053512822</v>
      </c>
      <c r="J23" s="72">
        <f t="shared" si="7"/>
        <v>1006.92104148453</v>
      </c>
      <c r="K23" s="70" t="s">
        <v>395</v>
      </c>
      <c r="L23" s="69">
        <v>55306611.5936144</v>
      </c>
      <c r="M23" s="69">
        <v>11186097.6178144</v>
      </c>
      <c r="N23" s="69">
        <v>896954.88</v>
      </c>
      <c r="O23" s="69">
        <v>12083052.4978144</v>
      </c>
    </row>
    <row r="24" spans="1:21">
      <c r="A24" s="70" t="s">
        <v>390</v>
      </c>
      <c r="B24" s="69">
        <v>35587.6586002465</v>
      </c>
      <c r="C24" s="69">
        <f t="shared" si="3"/>
        <v>1147.10407</v>
      </c>
      <c r="D24" s="69">
        <f t="shared" si="4"/>
        <v>0</v>
      </c>
      <c r="E24" s="59">
        <f t="shared" si="5"/>
        <v>1147.10407</v>
      </c>
      <c r="F24" s="71">
        <f t="shared" si="6"/>
        <v>0.0322331986738811</v>
      </c>
      <c r="G24" s="54" t="s">
        <v>132</v>
      </c>
      <c r="H24" s="55" t="s">
        <v>6</v>
      </c>
      <c r="I24" s="62">
        <f>E24/'毛利-收入组成'!$AQ$26</f>
        <v>0.0264290427103506</v>
      </c>
      <c r="J24" s="72">
        <f t="shared" si="7"/>
        <v>955.920058333333</v>
      </c>
      <c r="K24" s="70" t="s">
        <v>390</v>
      </c>
      <c r="L24" s="69">
        <v>15689140</v>
      </c>
      <c r="M24" s="69">
        <v>11471040.7</v>
      </c>
      <c r="N24" s="69">
        <v>0</v>
      </c>
      <c r="O24" s="69">
        <v>11471040.7</v>
      </c>
    </row>
    <row r="25" spans="1:21">
      <c r="E25" s="66">
        <f>SUM(E15:E24)</f>
        <v>29687.3991819659</v>
      </c>
      <c r="F25" s="65">
        <f>E25/'毛利-收入组成'!AQ26</f>
        <v>0.683991593665433</v>
      </c>
      <c r="K25" s="70"/>
      <c r="L25" s="69"/>
      <c r="M25" s="69"/>
      <c r="N25" s="69"/>
      <c r="O25" s="69"/>
    </row>
    <row r="26" spans="1:21">
      <c r="A26" s="54" t="s">
        <v>412</v>
      </c>
      <c r="B26" s="54" t="s">
        <v>29</v>
      </c>
      <c r="C26" s="54" t="s">
        <v>378</v>
      </c>
      <c r="D26" s="54" t="s">
        <v>21</v>
      </c>
      <c r="E26" s="54" t="s">
        <v>379</v>
      </c>
      <c r="F26" s="54" t="s">
        <v>380</v>
      </c>
      <c r="G26" s="54" t="s">
        <v>5</v>
      </c>
      <c r="H26" s="55" t="s">
        <v>125</v>
      </c>
      <c r="K26" s="68" t="s">
        <v>404</v>
      </c>
      <c r="L26" s="69" t="s">
        <v>244</v>
      </c>
      <c r="M26" s="69" t="s">
        <v>371</v>
      </c>
      <c r="N26" s="69" t="s">
        <v>406</v>
      </c>
      <c r="O26" s="69" t="s">
        <v>407</v>
      </c>
      <c r="P26" s="57" t="s">
        <v>125</v>
      </c>
    </row>
    <row r="27" spans="1:21">
      <c r="A27" s="15" t="s">
        <v>383</v>
      </c>
      <c r="B27" s="16">
        <v>444139524.33</v>
      </c>
      <c r="C27" s="76">
        <v>66714997.53</v>
      </c>
      <c r="D27" s="16">
        <v>5282272.98</v>
      </c>
      <c r="E27" s="16">
        <v>71997270.51</v>
      </c>
      <c r="F27" s="71">
        <f t="shared" ref="F27:F36" si="8">(C27+D27)/B27</f>
        <v>0.162105074117442</v>
      </c>
      <c r="G27" s="54" t="s">
        <v>131</v>
      </c>
      <c r="H27" s="77" t="s">
        <v>8</v>
      </c>
      <c r="I27" s="65">
        <f>E27/10000/'毛利-收入组成'!AQ38</f>
        <v>0.165434433364933</v>
      </c>
      <c r="J27" s="66">
        <f>E27/10000-J16</f>
        <v>907.9044143275</v>
      </c>
      <c r="K27" s="78" t="s">
        <v>383</v>
      </c>
      <c r="L27" s="16">
        <v>444139524.33</v>
      </c>
      <c r="M27" s="16">
        <v>66714997.53</v>
      </c>
      <c r="N27" s="16">
        <v>5282272.98</v>
      </c>
      <c r="O27" s="16">
        <v>71997270.51</v>
      </c>
      <c r="P27" s="16" t="s">
        <v>8</v>
      </c>
      <c r="Q27" s="79">
        <v>1</v>
      </c>
      <c r="R27" s="80">
        <f t="shared" ref="R27:R39" si="9">O27/L27</f>
        <v>0.162105074117442</v>
      </c>
    </row>
    <row r="28" spans="1:21">
      <c r="A28" s="15" t="s">
        <v>382</v>
      </c>
      <c r="B28" s="16">
        <v>453475898.879</v>
      </c>
      <c r="C28" s="76">
        <v>68959566.649</v>
      </c>
      <c r="D28" s="16">
        <v>0</v>
      </c>
      <c r="E28" s="16">
        <v>68959566.649</v>
      </c>
      <c r="F28" s="71">
        <f t="shared" si="8"/>
        <v>0.152068868090827</v>
      </c>
      <c r="G28" s="54" t="s">
        <v>131</v>
      </c>
      <c r="H28" s="77" t="s">
        <v>8</v>
      </c>
      <c r="I28" s="65">
        <f>E28/10000/'毛利-收入组成'!AQ38</f>
        <v>0.158454435187013</v>
      </c>
      <c r="J28" s="66">
        <f>E28/10000-J15</f>
        <v>-136.740996378416</v>
      </c>
      <c r="K28" s="15" t="s">
        <v>382</v>
      </c>
      <c r="L28" s="76">
        <v>453475898.879</v>
      </c>
      <c r="M28" s="16">
        <v>68959566.649</v>
      </c>
      <c r="N28" s="16">
        <v>0</v>
      </c>
      <c r="O28" s="16">
        <v>68959566.649</v>
      </c>
      <c r="P28" s="16" t="s">
        <v>8</v>
      </c>
      <c r="Q28" s="79">
        <v>2</v>
      </c>
      <c r="R28" s="80">
        <f t="shared" si="9"/>
        <v>0.152068868090827</v>
      </c>
    </row>
    <row r="29" spans="1:21">
      <c r="A29" s="15" t="s">
        <v>385</v>
      </c>
      <c r="B29" s="16">
        <v>345300.17</v>
      </c>
      <c r="C29" s="76">
        <v>29512.57</v>
      </c>
      <c r="D29" s="16">
        <v>20095548.85</v>
      </c>
      <c r="E29" s="16">
        <v>20125061.42</v>
      </c>
      <c r="F29" s="71">
        <f t="shared" si="8"/>
        <v>58.2828019459127</v>
      </c>
      <c r="G29" s="54" t="s">
        <v>131</v>
      </c>
      <c r="H29" s="77" t="s">
        <v>8</v>
      </c>
      <c r="I29" s="65">
        <f>E29/10000/E38</f>
        <v>0.0462431160079846</v>
      </c>
      <c r="J29" s="66">
        <f>E29/10000-J23</f>
        <v>1005.58510051547</v>
      </c>
      <c r="K29" s="15" t="s">
        <v>385</v>
      </c>
      <c r="L29" s="76">
        <v>345300.17</v>
      </c>
      <c r="M29" s="16">
        <v>29512.57</v>
      </c>
      <c r="N29" s="16">
        <v>20095548.85</v>
      </c>
      <c r="O29" s="16">
        <v>20125061.42</v>
      </c>
      <c r="P29" s="16" t="s">
        <v>8</v>
      </c>
      <c r="Q29" s="79">
        <v>3</v>
      </c>
      <c r="R29" s="80">
        <f t="shared" si="9"/>
        <v>58.2828019459127</v>
      </c>
    </row>
    <row r="30" spans="1:21">
      <c r="A30" s="15" t="s">
        <v>395</v>
      </c>
      <c r="B30" s="16">
        <v>75459404.54</v>
      </c>
      <c r="C30" s="76">
        <v>14552145.6</v>
      </c>
      <c r="D30" s="16">
        <v>805954.98</v>
      </c>
      <c r="E30" s="16">
        <v>15358100.58</v>
      </c>
      <c r="F30" s="71">
        <f t="shared" si="8"/>
        <v>0.203527985326983</v>
      </c>
      <c r="G30" s="54" t="s">
        <v>131</v>
      </c>
      <c r="H30" s="77" t="s">
        <v>8</v>
      </c>
      <c r="J30" s="66">
        <f>E30/10000-E23</f>
        <v>327.50480821856</v>
      </c>
      <c r="K30" s="78" t="s">
        <v>395</v>
      </c>
      <c r="L30" s="16">
        <v>75459404.54</v>
      </c>
      <c r="M30" s="16">
        <v>14552145.6</v>
      </c>
      <c r="N30" s="16">
        <v>805954.98</v>
      </c>
      <c r="O30" s="16">
        <v>15358100.58</v>
      </c>
      <c r="P30" s="16" t="s">
        <v>8</v>
      </c>
      <c r="Q30" s="79">
        <v>4</v>
      </c>
      <c r="R30" s="80">
        <f t="shared" si="9"/>
        <v>0.203527985326983</v>
      </c>
    </row>
    <row r="31" spans="1:21">
      <c r="A31" s="15" t="s">
        <v>413</v>
      </c>
      <c r="B31" s="16">
        <v>714826824.24</v>
      </c>
      <c r="C31" s="76">
        <v>13957983.34</v>
      </c>
      <c r="D31" s="16">
        <v>0</v>
      </c>
      <c r="E31" s="16">
        <v>13957983.34</v>
      </c>
      <c r="F31" s="71">
        <f t="shared" si="8"/>
        <v>0.019526384386652</v>
      </c>
      <c r="G31" s="54" t="s">
        <v>131</v>
      </c>
      <c r="H31" s="77" t="s">
        <v>8</v>
      </c>
      <c r="I31" s="65">
        <f>E31/10000/E38</f>
        <v>0.0320724806428509</v>
      </c>
      <c r="J31" s="66">
        <f>E31/10000-J17</f>
        <v>-1186.89725813333</v>
      </c>
      <c r="K31" s="15" t="s">
        <v>413</v>
      </c>
      <c r="L31" s="76">
        <v>714826824.24</v>
      </c>
      <c r="M31" s="16">
        <v>13957983.34</v>
      </c>
      <c r="N31" s="16">
        <v>0</v>
      </c>
      <c r="O31" s="16">
        <v>13957983.34</v>
      </c>
      <c r="P31" s="16" t="s">
        <v>8</v>
      </c>
      <c r="Q31" s="79">
        <v>5</v>
      </c>
      <c r="R31" s="80">
        <f t="shared" si="9"/>
        <v>0.019526384386652</v>
      </c>
    </row>
    <row r="32" spans="1:21">
      <c r="A32" s="15" t="s">
        <v>394</v>
      </c>
      <c r="B32" s="16">
        <v>100114480.102</v>
      </c>
      <c r="C32" s="76">
        <v>12278505.402</v>
      </c>
      <c r="D32" s="16">
        <v>1251321.44</v>
      </c>
      <c r="E32" s="16">
        <v>13529826.842</v>
      </c>
      <c r="F32" s="71">
        <f t="shared" si="8"/>
        <v>0.135143555939314</v>
      </c>
      <c r="G32" s="54" t="s">
        <v>131</v>
      </c>
      <c r="H32" s="77" t="s">
        <v>8</v>
      </c>
      <c r="J32" s="66"/>
      <c r="K32" s="15" t="s">
        <v>394</v>
      </c>
      <c r="L32" s="76">
        <v>100114480.102</v>
      </c>
      <c r="M32" s="16">
        <v>12278505.402</v>
      </c>
      <c r="N32" s="16">
        <v>1251321.44</v>
      </c>
      <c r="O32" s="16">
        <v>13529826.842</v>
      </c>
      <c r="P32" s="16" t="s">
        <v>8</v>
      </c>
      <c r="Q32" s="79">
        <v>6</v>
      </c>
      <c r="R32" s="80">
        <f t="shared" si="9"/>
        <v>0.135143555939314</v>
      </c>
    </row>
    <row r="33" spans="1:21">
      <c r="A33" s="15" t="s">
        <v>399</v>
      </c>
      <c r="B33" s="16">
        <v>121285797.97</v>
      </c>
      <c r="C33" s="76">
        <v>12826700.8</v>
      </c>
      <c r="D33" s="16">
        <v>0</v>
      </c>
      <c r="E33" s="16">
        <v>12826700.8</v>
      </c>
      <c r="F33" s="71">
        <f t="shared" si="8"/>
        <v>0.1057559995868</v>
      </c>
      <c r="G33" s="54" t="s">
        <v>131</v>
      </c>
      <c r="H33" s="77" t="s">
        <v>8</v>
      </c>
      <c r="J33" s="66">
        <f>E33/10000-J22</f>
        <v>4.4487834564577</v>
      </c>
      <c r="K33" s="15" t="s">
        <v>399</v>
      </c>
      <c r="L33" s="76">
        <v>121285797.97</v>
      </c>
      <c r="M33" s="16">
        <v>12826700.8</v>
      </c>
      <c r="N33" s="16">
        <v>0</v>
      </c>
      <c r="O33" s="16">
        <v>12826700.8</v>
      </c>
      <c r="P33" s="16" t="s">
        <v>8</v>
      </c>
      <c r="Q33" s="79">
        <v>7</v>
      </c>
      <c r="R33" s="80">
        <f t="shared" si="9"/>
        <v>0.1057559995868</v>
      </c>
    </row>
    <row r="34" spans="1:21">
      <c r="A34" s="15" t="s">
        <v>414</v>
      </c>
      <c r="B34" s="16">
        <v>236932694.52</v>
      </c>
      <c r="C34" s="76">
        <v>9108132.24</v>
      </c>
      <c r="D34" s="16">
        <v>2120185.05</v>
      </c>
      <c r="E34" s="16">
        <v>11228317.29</v>
      </c>
      <c r="F34" s="71">
        <f t="shared" si="8"/>
        <v>0.0473903245508069</v>
      </c>
      <c r="G34" s="54" t="s">
        <v>131</v>
      </c>
      <c r="H34" s="77" t="s">
        <v>8</v>
      </c>
      <c r="J34" s="66"/>
      <c r="K34" s="15" t="s">
        <v>414</v>
      </c>
      <c r="L34" s="76">
        <v>236932694.52</v>
      </c>
      <c r="M34" s="16">
        <v>9108132.24</v>
      </c>
      <c r="N34" s="16">
        <v>2120185.05</v>
      </c>
      <c r="O34" s="16">
        <v>11228317.29</v>
      </c>
      <c r="P34" s="16" t="s">
        <v>8</v>
      </c>
      <c r="Q34" s="79">
        <v>8</v>
      </c>
      <c r="R34" s="80">
        <f t="shared" si="9"/>
        <v>0.0473903245508069</v>
      </c>
    </row>
    <row r="35" spans="1:21">
      <c r="A35" s="15" t="s">
        <v>415</v>
      </c>
      <c r="B35" s="16">
        <v>274655894.66</v>
      </c>
      <c r="C35" s="76">
        <v>10889207.4</v>
      </c>
      <c r="D35" s="16">
        <v>0</v>
      </c>
      <c r="E35" s="16">
        <v>10889207.4</v>
      </c>
      <c r="F35" s="71">
        <f t="shared" si="8"/>
        <v>0.0396467274568415</v>
      </c>
      <c r="G35" s="54" t="s">
        <v>131</v>
      </c>
      <c r="H35" s="77" t="s">
        <v>129</v>
      </c>
      <c r="J35" s="66"/>
      <c r="K35" s="81" t="s">
        <v>415</v>
      </c>
      <c r="L35" s="82">
        <v>274655894.66</v>
      </c>
      <c r="M35" s="83">
        <v>10889207.4</v>
      </c>
      <c r="N35" s="83">
        <v>0</v>
      </c>
      <c r="O35" s="83">
        <v>10889207.4</v>
      </c>
      <c r="P35" s="16" t="s">
        <v>129</v>
      </c>
      <c r="Q35" s="79">
        <v>9</v>
      </c>
      <c r="R35" s="80">
        <f t="shared" si="9"/>
        <v>0.0396467274568415</v>
      </c>
      <c r="S35" s="84">
        <f>O35+O36+O37+O38</f>
        <v>35122111.09</v>
      </c>
    </row>
    <row r="36" spans="1:21">
      <c r="A36" s="15" t="s">
        <v>386</v>
      </c>
      <c r="B36" s="16">
        <v>5099247.56</v>
      </c>
      <c r="C36" s="76">
        <v>20184.56</v>
      </c>
      <c r="D36" s="16">
        <v>10617910.37</v>
      </c>
      <c r="E36" s="16">
        <v>10638094.93</v>
      </c>
      <c r="F36" s="71">
        <f t="shared" si="8"/>
        <v>2.0862087601803</v>
      </c>
      <c r="G36" s="54" t="s">
        <v>131</v>
      </c>
      <c r="H36" s="77" t="s">
        <v>129</v>
      </c>
      <c r="K36" s="81" t="s">
        <v>386</v>
      </c>
      <c r="L36" s="82">
        <v>5099247.56</v>
      </c>
      <c r="M36" s="83">
        <v>20184.56</v>
      </c>
      <c r="N36" s="83">
        <v>10617910.37</v>
      </c>
      <c r="O36" s="83">
        <v>10638094.93</v>
      </c>
      <c r="P36" s="16" t="s">
        <v>129</v>
      </c>
      <c r="Q36" s="79">
        <v>10</v>
      </c>
      <c r="R36" s="80">
        <f t="shared" si="9"/>
        <v>2.0862087601803</v>
      </c>
      <c r="S36" s="85">
        <f>S35/10000/'毛利-收入组成'!AQ37</f>
        <v>0.0971801738244467</v>
      </c>
    </row>
    <row r="37" spans="1:21">
      <c r="A37" s="15"/>
      <c r="B37" s="16"/>
      <c r="C37" s="16"/>
      <c r="D37" s="16"/>
      <c r="E37" s="16">
        <f>SUM(E27:E36)</f>
        <v>249510129.761</v>
      </c>
      <c r="F37" s="71"/>
      <c r="H37" s="77"/>
      <c r="K37" s="81" t="s">
        <v>388</v>
      </c>
      <c r="L37" s="82">
        <v>0</v>
      </c>
      <c r="M37" s="83">
        <v>0</v>
      </c>
      <c r="N37" s="83">
        <v>7253180.56</v>
      </c>
      <c r="O37" s="83">
        <v>7253180.56</v>
      </c>
      <c r="P37" s="16" t="s">
        <v>129</v>
      </c>
      <c r="Q37" s="79">
        <v>16</v>
      </c>
      <c r="R37" s="80" t="e">
        <f t="shared" si="9"/>
        <v>#DIV/0!</v>
      </c>
    </row>
    <row r="38" spans="1:21">
      <c r="A38" s="15"/>
      <c r="B38" s="16"/>
      <c r="C38" s="16"/>
      <c r="D38" s="16"/>
      <c r="E38" s="16">
        <f>'毛利-收入组成'!AQ38</f>
        <v>43520.1239824001</v>
      </c>
      <c r="F38" s="71"/>
      <c r="H38" s="77"/>
      <c r="K38" s="81" t="s">
        <v>390</v>
      </c>
      <c r="L38" s="83">
        <v>0</v>
      </c>
      <c r="M38" s="83">
        <v>6341628.2</v>
      </c>
      <c r="N38" s="83">
        <v>0</v>
      </c>
      <c r="O38" s="83">
        <v>6341628.2</v>
      </c>
      <c r="P38" s="16" t="s">
        <v>129</v>
      </c>
      <c r="Q38" s="79">
        <v>18</v>
      </c>
      <c r="R38" s="80" t="e">
        <f t="shared" si="9"/>
        <v>#DIV/0!</v>
      </c>
    </row>
    <row r="39" spans="1:21">
      <c r="A39" s="15"/>
      <c r="B39" s="16"/>
      <c r="C39" s="16"/>
      <c r="D39" s="16"/>
      <c r="E39" s="80">
        <f>E37/10000/E38</f>
        <v>0.573321275145962</v>
      </c>
      <c r="F39" s="71"/>
      <c r="H39" s="77"/>
      <c r="K39" s="15" t="s">
        <v>416</v>
      </c>
      <c r="L39" s="76">
        <v>19565504</v>
      </c>
      <c r="M39" s="16">
        <v>9997223.93</v>
      </c>
      <c r="N39" s="16">
        <v>-242109.47</v>
      </c>
      <c r="O39" s="16">
        <v>9755114.46</v>
      </c>
      <c r="P39" s="16" t="s">
        <v>129</v>
      </c>
      <c r="Q39" s="79">
        <v>11</v>
      </c>
      <c r="R39" s="80">
        <f t="shared" si="9"/>
        <v>0.498587435314725</v>
      </c>
    </row>
    <row r="40" spans="1:21">
      <c r="A40" s="15"/>
      <c r="B40" s="16"/>
      <c r="C40" s="16"/>
      <c r="D40" s="16"/>
      <c r="E40" s="16"/>
      <c r="F40" s="71"/>
      <c r="H40" s="77"/>
      <c r="K40" s="15"/>
      <c r="L40" s="76"/>
      <c r="M40" s="16"/>
      <c r="N40" s="16"/>
      <c r="O40" s="16"/>
      <c r="P40" s="16"/>
      <c r="Q40" s="79"/>
      <c r="R40" s="80"/>
    </row>
    <row r="41" spans="1:21">
      <c r="A41" s="54" t="s">
        <v>417</v>
      </c>
      <c r="B41" s="54" t="s">
        <v>29</v>
      </c>
      <c r="C41" s="54" t="s">
        <v>378</v>
      </c>
      <c r="D41" s="54" t="s">
        <v>21</v>
      </c>
      <c r="E41" s="54" t="s">
        <v>379</v>
      </c>
      <c r="F41" s="54" t="s">
        <v>380</v>
      </c>
      <c r="G41" s="54" t="s">
        <v>5</v>
      </c>
      <c r="H41" s="55" t="s">
        <v>125</v>
      </c>
      <c r="K41" s="78" t="s">
        <v>404</v>
      </c>
      <c r="L41" s="86" t="s">
        <v>244</v>
      </c>
      <c r="M41" s="86" t="s">
        <v>371</v>
      </c>
      <c r="N41" s="86" t="s">
        <v>406</v>
      </c>
      <c r="O41" s="86" t="s">
        <v>407</v>
      </c>
      <c r="P41" s="78" t="s">
        <v>125</v>
      </c>
      <c r="Q41" s="79" t="s">
        <v>418</v>
      </c>
      <c r="R41" s="78" t="s">
        <v>419</v>
      </c>
      <c r="U41" s="66"/>
    </row>
    <row r="42" spans="1:21">
      <c r="A42" s="78" t="s">
        <v>383</v>
      </c>
      <c r="B42" s="86">
        <v>700269135.86</v>
      </c>
      <c r="C42" s="86">
        <v>92884857.78</v>
      </c>
      <c r="D42" s="86">
        <v>1707435</v>
      </c>
      <c r="E42" s="86">
        <v>94592292.78</v>
      </c>
      <c r="F42" s="60">
        <f t="shared" ref="F42:F51" si="10">E42/B42</f>
        <v>0.135079911331279</v>
      </c>
      <c r="G42" s="54" t="s">
        <v>99</v>
      </c>
      <c r="H42" s="87" t="s">
        <v>8</v>
      </c>
      <c r="K42" s="9" t="s">
        <v>383</v>
      </c>
      <c r="L42" s="88">
        <v>700269135.86</v>
      </c>
      <c r="M42" s="88">
        <v>92884857.78</v>
      </c>
      <c r="N42" s="88">
        <v>1707435</v>
      </c>
      <c r="O42" s="88">
        <v>94592292.78</v>
      </c>
      <c r="P42" s="88" t="s">
        <v>8</v>
      </c>
      <c r="Q42" s="89">
        <v>1</v>
      </c>
      <c r="R42" s="80">
        <v>0.132641655934083</v>
      </c>
      <c r="S42" s="66"/>
      <c r="T42" s="9"/>
      <c r="U42" s="66"/>
    </row>
    <row r="43" spans="1:21">
      <c r="A43" s="78" t="s">
        <v>382</v>
      </c>
      <c r="B43" s="86">
        <v>446935319.87</v>
      </c>
      <c r="C43" s="86">
        <v>47303157.64</v>
      </c>
      <c r="D43" s="86">
        <v>884283.02</v>
      </c>
      <c r="E43" s="86">
        <v>48187440.66</v>
      </c>
      <c r="F43" s="60">
        <f t="shared" si="10"/>
        <v>0.107817481675013</v>
      </c>
      <c r="G43" s="54" t="s">
        <v>99</v>
      </c>
      <c r="H43" s="87" t="s">
        <v>8</v>
      </c>
      <c r="K43" s="9" t="s">
        <v>382</v>
      </c>
      <c r="L43" s="88">
        <v>446935319.87</v>
      </c>
      <c r="M43" s="88">
        <v>47303157.64</v>
      </c>
      <c r="N43" s="88">
        <v>884283.02</v>
      </c>
      <c r="O43" s="88">
        <v>48187440.66</v>
      </c>
      <c r="P43" s="88" t="s">
        <v>8</v>
      </c>
      <c r="Q43" s="89">
        <v>2</v>
      </c>
      <c r="R43" s="80">
        <v>0.105838933592805</v>
      </c>
      <c r="S43" s="66"/>
      <c r="T43" s="9"/>
      <c r="U43" s="66"/>
    </row>
    <row r="44" spans="1:21">
      <c r="A44" s="78" t="s">
        <v>420</v>
      </c>
      <c r="B44" s="86">
        <v>27979712.72</v>
      </c>
      <c r="C44" s="86">
        <v>1835060.19</v>
      </c>
      <c r="D44" s="86">
        <v>17789370.81</v>
      </c>
      <c r="E44" s="86">
        <v>19624431</v>
      </c>
      <c r="F44" s="60">
        <f t="shared" si="10"/>
        <v>0.701380718107673</v>
      </c>
      <c r="G44" s="54" t="s">
        <v>99</v>
      </c>
      <c r="H44" s="87" t="s">
        <v>8</v>
      </c>
      <c r="K44" s="9" t="s">
        <v>420</v>
      </c>
      <c r="L44" s="88">
        <v>27979712.72</v>
      </c>
      <c r="M44" s="88">
        <v>1835060.19</v>
      </c>
      <c r="N44" s="88">
        <v>17789370.81</v>
      </c>
      <c r="O44" s="88">
        <v>19624431</v>
      </c>
      <c r="P44" s="88" t="s">
        <v>8</v>
      </c>
      <c r="Q44" s="89">
        <v>3</v>
      </c>
      <c r="R44" s="80">
        <v>0.065585383537133</v>
      </c>
      <c r="S44" s="66"/>
      <c r="T44" s="9"/>
      <c r="U44" s="66"/>
    </row>
    <row r="45" spans="1:21">
      <c r="A45" s="78" t="s">
        <v>394</v>
      </c>
      <c r="B45" s="86">
        <v>115260259.86</v>
      </c>
      <c r="C45" s="86">
        <v>16980835.24</v>
      </c>
      <c r="D45" s="86">
        <v>727716.45</v>
      </c>
      <c r="E45" s="86">
        <v>17708551.69</v>
      </c>
      <c r="F45" s="60">
        <f t="shared" si="10"/>
        <v>0.153639699507094</v>
      </c>
      <c r="G45" s="54" t="s">
        <v>99</v>
      </c>
      <c r="H45" s="87" t="s">
        <v>8</v>
      </c>
      <c r="K45" s="9" t="s">
        <v>394</v>
      </c>
      <c r="L45" s="88">
        <v>115260259.86</v>
      </c>
      <c r="M45" s="88">
        <v>16980835.24</v>
      </c>
      <c r="N45" s="88">
        <v>727716.45</v>
      </c>
      <c r="O45" s="88">
        <v>17708551.69</v>
      </c>
      <c r="P45" s="88" t="s">
        <v>8</v>
      </c>
      <c r="Q45" s="89">
        <v>4</v>
      </c>
      <c r="R45" s="80">
        <v>0.147326019051368</v>
      </c>
      <c r="S45" s="66"/>
      <c r="T45" s="9"/>
      <c r="U45" s="66"/>
    </row>
    <row r="46" spans="1:21">
      <c r="A46" s="78" t="s">
        <v>421</v>
      </c>
      <c r="B46" s="86">
        <v>21299492.59</v>
      </c>
      <c r="C46" s="86">
        <v>10205895.57</v>
      </c>
      <c r="D46" s="86">
        <v>5829749.27</v>
      </c>
      <c r="E46" s="86">
        <v>16035644.84</v>
      </c>
      <c r="F46" s="60">
        <f t="shared" si="10"/>
        <v>0.752865110388998</v>
      </c>
      <c r="G46" s="54" t="s">
        <v>99</v>
      </c>
      <c r="H46" s="87" t="s">
        <v>129</v>
      </c>
      <c r="K46" s="9" t="s">
        <v>421</v>
      </c>
      <c r="L46" s="88">
        <v>21299492.59</v>
      </c>
      <c r="M46" s="88">
        <v>10205895.57</v>
      </c>
      <c r="N46" s="88">
        <v>5829749.27</v>
      </c>
      <c r="O46" s="88">
        <v>16035644.84</v>
      </c>
      <c r="P46" s="88" t="s">
        <v>129</v>
      </c>
      <c r="Q46" s="89">
        <v>5</v>
      </c>
      <c r="R46" s="80">
        <v>0.479161441375914</v>
      </c>
      <c r="S46" s="66"/>
      <c r="T46" s="9"/>
      <c r="U46" s="66"/>
    </row>
    <row r="47" spans="1:21">
      <c r="A47" s="78" t="s">
        <v>422</v>
      </c>
      <c r="B47" s="86">
        <v>131774516.01</v>
      </c>
      <c r="C47" s="86">
        <v>13391492.82</v>
      </c>
      <c r="D47" s="86">
        <v>0</v>
      </c>
      <c r="E47" s="86">
        <v>13391492.82</v>
      </c>
      <c r="F47" s="60">
        <f t="shared" si="10"/>
        <v>0.101624299033538</v>
      </c>
      <c r="G47" s="54" t="s">
        <v>99</v>
      </c>
      <c r="H47" s="87" t="s">
        <v>14</v>
      </c>
      <c r="K47" s="9" t="s">
        <v>422</v>
      </c>
      <c r="L47" s="88">
        <v>131774516.01</v>
      </c>
      <c r="M47" s="88">
        <v>13391492.82</v>
      </c>
      <c r="N47" s="88">
        <v>0</v>
      </c>
      <c r="O47" s="88">
        <v>13391492.82</v>
      </c>
      <c r="P47" s="88" t="s">
        <v>14</v>
      </c>
      <c r="Q47" s="89">
        <v>7</v>
      </c>
      <c r="R47" s="80">
        <v>0.101624299033538</v>
      </c>
      <c r="S47" s="66"/>
      <c r="T47" s="9"/>
      <c r="U47" s="66"/>
    </row>
    <row r="48" spans="1:21">
      <c r="A48" s="78" t="s">
        <v>415</v>
      </c>
      <c r="B48" s="86">
        <v>459050596.6546</v>
      </c>
      <c r="C48" s="86">
        <v>12819739.1646</v>
      </c>
      <c r="D48" s="86">
        <v>0</v>
      </c>
      <c r="E48" s="86">
        <v>12819739.1646</v>
      </c>
      <c r="F48" s="60">
        <f t="shared" si="10"/>
        <v>0.0279266365364205</v>
      </c>
      <c r="G48" s="54" t="s">
        <v>99</v>
      </c>
      <c r="H48" s="87" t="s">
        <v>129</v>
      </c>
      <c r="K48" s="9" t="s">
        <v>415</v>
      </c>
      <c r="L48" s="88">
        <v>459050596.6546</v>
      </c>
      <c r="M48" s="88">
        <v>12819739.1646</v>
      </c>
      <c r="N48" s="88">
        <v>0</v>
      </c>
      <c r="O48" s="88">
        <v>12819739.1646</v>
      </c>
      <c r="P48" s="88" t="s">
        <v>129</v>
      </c>
      <c r="Q48" s="89">
        <v>8</v>
      </c>
      <c r="R48" s="80">
        <v>0.0279266365364205</v>
      </c>
      <c r="S48" s="66"/>
      <c r="T48" s="9"/>
      <c r="U48" s="66"/>
    </row>
    <row r="49" spans="1:21">
      <c r="A49" s="78" t="s">
        <v>413</v>
      </c>
      <c r="B49" s="86">
        <v>643644018.51</v>
      </c>
      <c r="C49" s="86">
        <v>12627481.15</v>
      </c>
      <c r="D49" s="86">
        <v>0</v>
      </c>
      <c r="E49" s="86">
        <v>12627481.15</v>
      </c>
      <c r="F49" s="60">
        <f t="shared" si="10"/>
        <v>0.0196187345595659</v>
      </c>
      <c r="G49" s="54" t="s">
        <v>99</v>
      </c>
      <c r="H49" s="87" t="s">
        <v>8</v>
      </c>
      <c r="K49" s="9" t="s">
        <v>413</v>
      </c>
      <c r="L49" s="88">
        <v>643644018.51</v>
      </c>
      <c r="M49" s="88">
        <v>12627481.15</v>
      </c>
      <c r="N49" s="88">
        <v>0</v>
      </c>
      <c r="O49" s="88">
        <v>12627481.15</v>
      </c>
      <c r="P49" s="88" t="s">
        <v>8</v>
      </c>
      <c r="Q49" s="89">
        <v>9</v>
      </c>
      <c r="R49" s="80">
        <v>0.0196187345595659</v>
      </c>
      <c r="S49" s="66"/>
      <c r="T49" s="9"/>
      <c r="U49" s="66"/>
    </row>
    <row r="50" spans="1:21">
      <c r="A50" s="78" t="s">
        <v>423</v>
      </c>
      <c r="B50" s="86">
        <v>368697304.94</v>
      </c>
      <c r="C50" s="86">
        <v>8388055.3</v>
      </c>
      <c r="D50" s="86">
        <v>0</v>
      </c>
      <c r="E50" s="86">
        <v>8388055.3</v>
      </c>
      <c r="F50" s="60">
        <f t="shared" si="10"/>
        <v>0.0227505197016968</v>
      </c>
      <c r="G50" s="54" t="s">
        <v>99</v>
      </c>
      <c r="H50" s="87" t="s">
        <v>14</v>
      </c>
      <c r="K50" s="9" t="s">
        <v>423</v>
      </c>
      <c r="L50" s="88">
        <v>368697304.94</v>
      </c>
      <c r="M50" s="88">
        <v>8388055.3</v>
      </c>
      <c r="N50" s="88">
        <v>0</v>
      </c>
      <c r="O50" s="88">
        <v>8388055.3</v>
      </c>
      <c r="P50" s="88" t="s">
        <v>14</v>
      </c>
      <c r="Q50" s="89">
        <v>10</v>
      </c>
      <c r="R50" s="80">
        <v>0.0227505197016968</v>
      </c>
      <c r="S50" s="66"/>
      <c r="T50" s="9"/>
      <c r="U50" s="66"/>
    </row>
    <row r="51" spans="1:21">
      <c r="A51" s="78" t="s">
        <v>424</v>
      </c>
      <c r="B51" s="86">
        <v>742610464.5488</v>
      </c>
      <c r="C51" s="86">
        <v>7707490.6118</v>
      </c>
      <c r="D51" s="86">
        <v>0</v>
      </c>
      <c r="E51" s="86">
        <v>7707490.6118</v>
      </c>
      <c r="F51" s="60">
        <f t="shared" si="10"/>
        <v>0.0103789146258301</v>
      </c>
      <c r="G51" s="54" t="s">
        <v>99</v>
      </c>
      <c r="H51" s="87" t="s">
        <v>14</v>
      </c>
      <c r="K51" s="9" t="s">
        <v>424</v>
      </c>
      <c r="L51" s="88">
        <v>742610464.5488</v>
      </c>
      <c r="M51" s="88">
        <v>7707490.6118</v>
      </c>
      <c r="N51" s="88">
        <v>0</v>
      </c>
      <c r="O51" s="88">
        <v>7707490.6118</v>
      </c>
      <c r="P51" s="88" t="s">
        <v>14</v>
      </c>
      <c r="Q51" s="89">
        <v>11</v>
      </c>
      <c r="R51" s="80">
        <v>0.0103789146258301</v>
      </c>
      <c r="S51" s="66"/>
      <c r="T51" s="9"/>
      <c r="U51" s="66"/>
    </row>
    <row r="52" spans="1:21">
      <c r="E52" s="66">
        <f>SUM(E42:E51)</f>
        <v>251082620.0164</v>
      </c>
      <c r="S52" s="66"/>
      <c r="T52" s="9"/>
      <c r="U52" s="66"/>
    </row>
    <row r="53" spans="1:21">
      <c r="E53" s="90">
        <f>'毛利-收入组成'!AQ50</f>
        <v>47538.617733</v>
      </c>
      <c r="K53" s="91" t="s">
        <v>415</v>
      </c>
      <c r="L53" s="92">
        <v>459050596.6546</v>
      </c>
      <c r="M53" s="92">
        <v>12819739.1646</v>
      </c>
      <c r="N53" s="92">
        <v>0</v>
      </c>
      <c r="O53" s="92">
        <v>12819739.1646</v>
      </c>
      <c r="P53" s="88" t="s">
        <v>129</v>
      </c>
      <c r="Q53" s="89"/>
      <c r="R53" s="80"/>
      <c r="T53" s="9"/>
      <c r="U53" s="66"/>
    </row>
    <row r="54" spans="1:21">
      <c r="E54" s="93">
        <f>E52/10000/E53</f>
        <v>0.528165588294136</v>
      </c>
      <c r="K54" s="91" t="s">
        <v>388</v>
      </c>
      <c r="L54" s="92">
        <v>491657</v>
      </c>
      <c r="M54" s="92">
        <v>-19162.6</v>
      </c>
      <c r="N54" s="92">
        <v>6348044.33</v>
      </c>
      <c r="O54" s="92">
        <v>6328881.73</v>
      </c>
      <c r="P54" s="88" t="s">
        <v>129</v>
      </c>
      <c r="Q54" s="57">
        <f>O54-前十大供应商!N15</f>
        <v>2628135.7332006</v>
      </c>
      <c r="T54" s="9"/>
      <c r="U54" s="66"/>
    </row>
    <row r="55" spans="1:21">
      <c r="K55" s="91" t="s">
        <v>386</v>
      </c>
      <c r="L55" s="92">
        <v>1494870</v>
      </c>
      <c r="M55" s="92">
        <v>-68250</v>
      </c>
      <c r="N55" s="92">
        <v>6057158.53</v>
      </c>
      <c r="O55" s="92">
        <v>5988908.53</v>
      </c>
      <c r="P55" s="88" t="s">
        <v>129</v>
      </c>
      <c r="T55" s="9"/>
      <c r="U55" s="66"/>
    </row>
    <row r="56" spans="1:21">
      <c r="K56" s="91" t="s">
        <v>390</v>
      </c>
      <c r="L56" s="92">
        <v>0</v>
      </c>
      <c r="M56" s="92">
        <v>668892.06</v>
      </c>
      <c r="N56" s="92">
        <v>0</v>
      </c>
      <c r="O56" s="92">
        <v>668892.06</v>
      </c>
      <c r="P56" s="88" t="s">
        <v>129</v>
      </c>
      <c r="T56" s="9"/>
      <c r="U56" s="66"/>
    </row>
    <row r="57" spans="1:21">
      <c r="K57" s="91" t="s">
        <v>425</v>
      </c>
      <c r="L57" s="92">
        <v>3295973.78</v>
      </c>
      <c r="M57" s="92">
        <v>-23089.22</v>
      </c>
      <c r="N57" s="92">
        <v>0</v>
      </c>
      <c r="O57" s="92">
        <v>-23089.22</v>
      </c>
      <c r="P57" s="88" t="s">
        <v>129</v>
      </c>
      <c r="T57" s="9"/>
      <c r="U57" s="66"/>
    </row>
    <row r="58" spans="1:21">
      <c r="K58" s="91" t="s">
        <v>426</v>
      </c>
      <c r="L58" s="92">
        <v>27230695.83</v>
      </c>
      <c r="M58" s="92">
        <v>-257292.44</v>
      </c>
      <c r="N58" s="92">
        <v>0</v>
      </c>
      <c r="O58" s="92">
        <v>-257292.44</v>
      </c>
      <c r="P58" s="88" t="s">
        <v>129</v>
      </c>
      <c r="T58" s="9"/>
      <c r="U58" s="66"/>
    </row>
    <row r="59" spans="1:21">
      <c r="K59" s="91" t="s">
        <v>427</v>
      </c>
      <c r="L59" s="92">
        <v>233956840.14</v>
      </c>
      <c r="M59" s="92">
        <v>-2224503.66</v>
      </c>
      <c r="N59" s="92">
        <v>0</v>
      </c>
      <c r="O59" s="92">
        <v>-2224503.66</v>
      </c>
      <c r="P59" s="88" t="s">
        <v>129</v>
      </c>
      <c r="T59" s="9"/>
      <c r="U59" s="66"/>
    </row>
    <row r="60" spans="1:21">
      <c r="L60" s="57">
        <f>SUM(L53:L59)</f>
        <v>725520633.4046</v>
      </c>
      <c r="M60" s="57">
        <f>SUM(M53:M59)</f>
        <v>10896333.3046</v>
      </c>
      <c r="N60" s="57">
        <f>SUM(N53:N59)</f>
        <v>12405202.86</v>
      </c>
      <c r="O60" s="57">
        <f>SUM(O53:O59)</f>
        <v>23301536.1646</v>
      </c>
      <c r="T60" s="9"/>
      <c r="U60" s="66"/>
    </row>
    <row r="61" spans="1:21">
      <c r="O61" s="94">
        <f>O60/10000</f>
        <v>2330.15361646</v>
      </c>
      <c r="T61" s="9"/>
      <c r="U61" s="66"/>
    </row>
    <row r="62" spans="1:21">
      <c r="O62" s="65" t="e">
        <f>O61/前十大供应商!E13</f>
        <v>#DIV/0!</v>
      </c>
      <c r="T62" s="9"/>
      <c r="U62" s="66"/>
    </row>
    <row r="63" spans="1:21">
      <c r="J63" s="56"/>
      <c r="O63" s="65"/>
      <c r="T63" s="9"/>
      <c r="U63" s="66"/>
    </row>
    <row r="64" spans="1:21">
      <c r="M64" s="57" t="s">
        <v>428</v>
      </c>
      <c r="T64" s="9"/>
      <c r="U64" s="66"/>
    </row>
    <row r="65" ht="24" spans="1:21">
      <c r="A65" s="54" t="s">
        <v>429</v>
      </c>
      <c r="B65" s="54" t="s">
        <v>29</v>
      </c>
      <c r="C65" s="54" t="s">
        <v>378</v>
      </c>
      <c r="D65" s="54" t="s">
        <v>21</v>
      </c>
      <c r="E65" s="54" t="s">
        <v>379</v>
      </c>
      <c r="F65" s="54" t="s">
        <v>380</v>
      </c>
      <c r="G65" s="54" t="s">
        <v>5</v>
      </c>
      <c r="H65" s="55" t="s">
        <v>125</v>
      </c>
      <c r="K65" s="95" t="s">
        <v>404</v>
      </c>
      <c r="L65" s="96" t="s">
        <v>244</v>
      </c>
      <c r="M65" s="96" t="s">
        <v>375</v>
      </c>
      <c r="N65" s="96" t="s">
        <v>406</v>
      </c>
      <c r="O65" s="96" t="s">
        <v>407</v>
      </c>
      <c r="P65" s="97" t="s">
        <v>125</v>
      </c>
      <c r="Q65" s="98" t="s">
        <v>418</v>
      </c>
      <c r="R65" s="99" t="s">
        <v>419</v>
      </c>
      <c r="T65" s="9"/>
      <c r="U65" s="66"/>
    </row>
    <row r="66" spans="1:21">
      <c r="A66" s="9" t="s">
        <v>383</v>
      </c>
      <c r="B66" s="88">
        <v>26140955.15</v>
      </c>
      <c r="C66" s="88">
        <v>5064329.73</v>
      </c>
      <c r="D66" s="88">
        <v>859856.01</v>
      </c>
      <c r="E66" s="88">
        <v>5924185.74</v>
      </c>
      <c r="F66" s="100">
        <f t="shared" ref="F66:F75" si="11">E66/B66</f>
        <v>0.22662468551766</v>
      </c>
      <c r="G66" s="54" t="s">
        <v>97</v>
      </c>
      <c r="H66" s="87" t="s">
        <v>8</v>
      </c>
      <c r="K66" s="9" t="s">
        <v>383</v>
      </c>
      <c r="L66" s="88">
        <v>26140955.15</v>
      </c>
      <c r="M66" s="88">
        <v>5064329.73</v>
      </c>
      <c r="N66" s="88">
        <v>859856.01</v>
      </c>
      <c r="O66" s="88">
        <v>5924185.74</v>
      </c>
      <c r="P66" s="101" t="s">
        <v>8</v>
      </c>
      <c r="Q66" s="89">
        <v>1</v>
      </c>
      <c r="R66" s="100">
        <f t="shared" ref="R66:R80" si="12">O66/L66</f>
        <v>0.22662468551766</v>
      </c>
      <c r="T66" s="9"/>
      <c r="U66" s="66"/>
    </row>
    <row r="67" spans="1:21">
      <c r="A67" s="9" t="s">
        <v>394</v>
      </c>
      <c r="B67" s="88">
        <v>9922307.71</v>
      </c>
      <c r="C67" s="88">
        <v>2623754.81</v>
      </c>
      <c r="D67" s="88">
        <v>0</v>
      </c>
      <c r="E67" s="88">
        <v>2623754.81</v>
      </c>
      <c r="F67" s="100">
        <f t="shared" si="11"/>
        <v>0.264429897427561</v>
      </c>
      <c r="G67" s="54" t="s">
        <v>72</v>
      </c>
      <c r="H67" s="87" t="s">
        <v>8</v>
      </c>
      <c r="K67" s="9" t="s">
        <v>394</v>
      </c>
      <c r="L67" s="88">
        <v>9922307.71</v>
      </c>
      <c r="M67" s="88">
        <v>2623754.81</v>
      </c>
      <c r="N67" s="88">
        <v>0</v>
      </c>
      <c r="O67" s="88">
        <v>2623754.81</v>
      </c>
      <c r="P67" s="101" t="s">
        <v>8</v>
      </c>
      <c r="Q67" s="89">
        <v>2</v>
      </c>
      <c r="R67" s="100">
        <f t="shared" si="12"/>
        <v>0.264429897427561</v>
      </c>
      <c r="T67" s="9"/>
      <c r="U67" s="66"/>
    </row>
    <row r="68" spans="1:21">
      <c r="A68" s="9" t="s">
        <v>413</v>
      </c>
      <c r="B68" s="88">
        <v>7088577.26</v>
      </c>
      <c r="C68" s="88">
        <v>1296110.41</v>
      </c>
      <c r="D68" s="88">
        <v>0</v>
      </c>
      <c r="E68" s="88">
        <v>1296110.41</v>
      </c>
      <c r="F68" s="100">
        <f t="shared" si="11"/>
        <v>0.182844929590286</v>
      </c>
      <c r="G68" s="54" t="s">
        <v>430</v>
      </c>
      <c r="H68" s="87" t="s">
        <v>8</v>
      </c>
      <c r="K68" s="9" t="s">
        <v>413</v>
      </c>
      <c r="L68" s="88">
        <v>7088577.26</v>
      </c>
      <c r="M68" s="88">
        <v>1296110.41</v>
      </c>
      <c r="N68" s="88">
        <v>0</v>
      </c>
      <c r="O68" s="88">
        <v>1296110.41</v>
      </c>
      <c r="P68" s="101" t="s">
        <v>8</v>
      </c>
      <c r="Q68" s="89">
        <v>3</v>
      </c>
      <c r="R68" s="100">
        <f t="shared" si="12"/>
        <v>0.182844929590286</v>
      </c>
      <c r="T68" s="9"/>
      <c r="U68" s="66"/>
    </row>
    <row r="69" spans="1:21">
      <c r="A69" s="9" t="s">
        <v>420</v>
      </c>
      <c r="B69" s="88">
        <v>2229376.07</v>
      </c>
      <c r="C69" s="88">
        <v>-205824.23</v>
      </c>
      <c r="D69" s="88">
        <v>1399356.57</v>
      </c>
      <c r="E69" s="88">
        <v>1193532.34</v>
      </c>
      <c r="F69" s="100">
        <f t="shared" si="11"/>
        <v>0.535366085633098</v>
      </c>
      <c r="G69" s="54" t="s">
        <v>431</v>
      </c>
      <c r="H69" s="87" t="s">
        <v>8</v>
      </c>
      <c r="K69" s="9" t="s">
        <v>420</v>
      </c>
      <c r="L69" s="88">
        <v>2229376.07</v>
      </c>
      <c r="M69" s="88">
        <v>-205824.23</v>
      </c>
      <c r="N69" s="88">
        <v>1399356.57</v>
      </c>
      <c r="O69" s="88">
        <v>1193532.34</v>
      </c>
      <c r="P69" s="101" t="s">
        <v>8</v>
      </c>
      <c r="Q69" s="89">
        <v>4</v>
      </c>
      <c r="R69" s="100">
        <f t="shared" si="12"/>
        <v>0.535366085633098</v>
      </c>
      <c r="T69" s="9"/>
      <c r="U69" s="66"/>
    </row>
    <row r="70" spans="1:21">
      <c r="A70" s="9" t="s">
        <v>423</v>
      </c>
      <c r="B70" s="88">
        <v>50423468</v>
      </c>
      <c r="C70" s="88">
        <v>1184658</v>
      </c>
      <c r="D70" s="88">
        <v>0</v>
      </c>
      <c r="E70" s="88">
        <v>1184658</v>
      </c>
      <c r="F70" s="100">
        <f t="shared" si="11"/>
        <v>0.0234941793372879</v>
      </c>
      <c r="G70" s="54" t="s">
        <v>432</v>
      </c>
      <c r="H70" s="87" t="s">
        <v>14</v>
      </c>
      <c r="K70" s="9" t="s">
        <v>423</v>
      </c>
      <c r="L70" s="88">
        <v>50423468</v>
      </c>
      <c r="M70" s="88">
        <v>1184658</v>
      </c>
      <c r="N70" s="88">
        <v>0</v>
      </c>
      <c r="O70" s="88">
        <v>1184658</v>
      </c>
      <c r="P70" s="101" t="s">
        <v>14</v>
      </c>
      <c r="Q70" s="89">
        <v>5</v>
      </c>
      <c r="R70" s="100">
        <f t="shared" si="12"/>
        <v>0.0234941793372879</v>
      </c>
      <c r="T70" s="9"/>
      <c r="U70" s="66"/>
    </row>
    <row r="71" spans="1:21">
      <c r="A71" s="9" t="s">
        <v>382</v>
      </c>
      <c r="B71" s="88">
        <v>30332134.31</v>
      </c>
      <c r="C71" s="88">
        <v>933704.39</v>
      </c>
      <c r="D71" s="88">
        <v>186430.36</v>
      </c>
      <c r="E71" s="88">
        <v>1120134.75</v>
      </c>
      <c r="F71" s="100">
        <f t="shared" si="11"/>
        <v>0.0369289789683778</v>
      </c>
      <c r="G71" s="54" t="s">
        <v>433</v>
      </c>
      <c r="H71" s="87" t="s">
        <v>8</v>
      </c>
      <c r="K71" s="9" t="s">
        <v>382</v>
      </c>
      <c r="L71" s="88">
        <v>30332134.31</v>
      </c>
      <c r="M71" s="88">
        <v>933704.39</v>
      </c>
      <c r="N71" s="88">
        <v>186430.36</v>
      </c>
      <c r="O71" s="88">
        <v>1120134.75</v>
      </c>
      <c r="P71" s="101" t="s">
        <v>8</v>
      </c>
      <c r="Q71" s="89">
        <v>6</v>
      </c>
      <c r="R71" s="100">
        <f t="shared" si="12"/>
        <v>0.0369289789683778</v>
      </c>
      <c r="T71" s="9"/>
      <c r="U71" s="66"/>
    </row>
    <row r="72" spans="1:21">
      <c r="A72" s="9" t="s">
        <v>382</v>
      </c>
      <c r="B72" s="88">
        <v>3431187.51</v>
      </c>
      <c r="C72" s="88">
        <v>878099.4</v>
      </c>
      <c r="D72" s="88">
        <v>0</v>
      </c>
      <c r="E72" s="88">
        <v>878099.4</v>
      </c>
      <c r="F72" s="100">
        <f t="shared" si="11"/>
        <v>0.255917054209608</v>
      </c>
      <c r="G72" s="54" t="s">
        <v>434</v>
      </c>
      <c r="H72" s="87" t="s">
        <v>128</v>
      </c>
      <c r="K72" s="9" t="s">
        <v>382</v>
      </c>
      <c r="L72" s="88">
        <v>3431187.51</v>
      </c>
      <c r="M72" s="88">
        <v>878099.4</v>
      </c>
      <c r="N72" s="88">
        <v>0</v>
      </c>
      <c r="O72" s="88">
        <v>878099.4</v>
      </c>
      <c r="P72" s="101" t="s">
        <v>128</v>
      </c>
      <c r="Q72" s="89">
        <v>7</v>
      </c>
      <c r="R72" s="100">
        <f t="shared" si="12"/>
        <v>0.255917054209608</v>
      </c>
    </row>
    <row r="73" spans="1:21">
      <c r="A73" s="9" t="s">
        <v>435</v>
      </c>
      <c r="B73" s="88">
        <v>100246894.67</v>
      </c>
      <c r="C73" s="88">
        <v>849756.170000002</v>
      </c>
      <c r="D73" s="88">
        <v>0</v>
      </c>
      <c r="E73" s="88">
        <v>849756.170000002</v>
      </c>
      <c r="F73" s="100">
        <f t="shared" si="11"/>
        <v>0.00847663334407805</v>
      </c>
      <c r="G73" s="54" t="s">
        <v>436</v>
      </c>
      <c r="H73" s="87" t="s">
        <v>128</v>
      </c>
      <c r="K73" s="9" t="s">
        <v>435</v>
      </c>
      <c r="L73" s="88">
        <v>100246894.67</v>
      </c>
      <c r="M73" s="88">
        <v>849756.170000002</v>
      </c>
      <c r="N73" s="88">
        <v>0</v>
      </c>
      <c r="O73" s="88">
        <v>849756.170000002</v>
      </c>
      <c r="P73" s="101" t="s">
        <v>128</v>
      </c>
      <c r="Q73" s="89">
        <v>8</v>
      </c>
      <c r="R73" s="100">
        <f t="shared" si="12"/>
        <v>0.00847663334407805</v>
      </c>
    </row>
    <row r="74" spans="1:21">
      <c r="A74" s="9" t="s">
        <v>395</v>
      </c>
      <c r="B74" s="88">
        <v>5369200.96</v>
      </c>
      <c r="C74" s="88">
        <v>781879.38</v>
      </c>
      <c r="D74" s="88">
        <v>0</v>
      </c>
      <c r="E74" s="88">
        <v>781879.38</v>
      </c>
      <c r="F74" s="100">
        <f t="shared" si="11"/>
        <v>0.145623042576525</v>
      </c>
      <c r="G74" s="54" t="s">
        <v>437</v>
      </c>
      <c r="H74" s="87" t="s">
        <v>8</v>
      </c>
      <c r="K74" s="9" t="s">
        <v>395</v>
      </c>
      <c r="L74" s="88">
        <v>5369200.96</v>
      </c>
      <c r="M74" s="88">
        <v>781879.38</v>
      </c>
      <c r="N74" s="88">
        <v>0</v>
      </c>
      <c r="O74" s="88">
        <v>781879.38</v>
      </c>
      <c r="P74" s="101" t="s">
        <v>8</v>
      </c>
      <c r="Q74" s="89">
        <v>9</v>
      </c>
      <c r="R74" s="100">
        <f t="shared" si="12"/>
        <v>0.145623042576525</v>
      </c>
    </row>
    <row r="75" spans="1:21">
      <c r="A75" s="9" t="s">
        <v>422</v>
      </c>
      <c r="B75" s="88">
        <v>2029953.9</v>
      </c>
      <c r="C75" s="88">
        <v>639695.23</v>
      </c>
      <c r="D75" s="88">
        <v>0</v>
      </c>
      <c r="E75" s="88">
        <v>639695.23</v>
      </c>
      <c r="F75" s="100">
        <f t="shared" si="11"/>
        <v>0.315127959309815</v>
      </c>
      <c r="G75" s="54" t="s">
        <v>438</v>
      </c>
      <c r="H75" s="87" t="s">
        <v>14</v>
      </c>
      <c r="K75" s="9" t="s">
        <v>422</v>
      </c>
      <c r="L75" s="88">
        <v>2029953.9</v>
      </c>
      <c r="M75" s="88">
        <v>639695.23</v>
      </c>
      <c r="N75" s="88">
        <v>0</v>
      </c>
      <c r="O75" s="88">
        <v>639695.23</v>
      </c>
      <c r="P75" s="101" t="s">
        <v>14</v>
      </c>
      <c r="Q75" s="89">
        <v>10</v>
      </c>
      <c r="R75" s="100">
        <f t="shared" si="12"/>
        <v>0.315127959309815</v>
      </c>
    </row>
    <row r="76" spans="1:21">
      <c r="K76" s="9" t="s">
        <v>439</v>
      </c>
      <c r="L76" s="88">
        <v>41422326.98</v>
      </c>
      <c r="M76" s="88">
        <v>639247.360000007</v>
      </c>
      <c r="N76" s="88">
        <v>0</v>
      </c>
      <c r="O76" s="88">
        <v>639247.360000007</v>
      </c>
      <c r="P76" s="101" t="s">
        <v>14</v>
      </c>
      <c r="Q76" s="89">
        <v>11</v>
      </c>
      <c r="R76" s="100">
        <f t="shared" si="12"/>
        <v>0.0154324347907508</v>
      </c>
    </row>
    <row r="77" spans="1:21">
      <c r="K77" s="9" t="s">
        <v>421</v>
      </c>
      <c r="L77" s="88">
        <v>2355596.26</v>
      </c>
      <c r="M77" s="88">
        <v>6463.32999999961</v>
      </c>
      <c r="N77" s="88">
        <v>541171.6</v>
      </c>
      <c r="O77" s="88">
        <v>547634.93</v>
      </c>
      <c r="P77" s="101" t="s">
        <v>129</v>
      </c>
      <c r="Q77" s="89">
        <v>12</v>
      </c>
      <c r="R77" s="100">
        <f t="shared" si="12"/>
        <v>0.232482509545163</v>
      </c>
    </row>
    <row r="78" spans="1:21">
      <c r="K78" s="9" t="s">
        <v>424</v>
      </c>
      <c r="L78" s="88">
        <v>49664137.91</v>
      </c>
      <c r="M78" s="88">
        <v>440413.249999993</v>
      </c>
      <c r="N78" s="88">
        <v>0</v>
      </c>
      <c r="O78" s="88">
        <v>440413.249999993</v>
      </c>
      <c r="P78" s="101" t="s">
        <v>14</v>
      </c>
      <c r="Q78" s="89">
        <v>13</v>
      </c>
      <c r="R78" s="100">
        <f t="shared" si="12"/>
        <v>0.0088678323742999</v>
      </c>
    </row>
    <row r="79" spans="1:21">
      <c r="K79" s="9" t="s">
        <v>440</v>
      </c>
      <c r="L79" s="88">
        <v>9949.98</v>
      </c>
      <c r="M79" s="88">
        <v>59.2899999999991</v>
      </c>
      <c r="N79" s="88">
        <v>420462.47</v>
      </c>
      <c r="O79" s="88">
        <v>420521.76</v>
      </c>
      <c r="P79" s="101" t="s">
        <v>8</v>
      </c>
      <c r="Q79" s="89">
        <v>14</v>
      </c>
      <c r="R79" s="100">
        <f t="shared" si="12"/>
        <v>42.2635784192531</v>
      </c>
    </row>
    <row r="80" spans="1:21">
      <c r="K80" s="9" t="s">
        <v>441</v>
      </c>
      <c r="L80" s="88">
        <v>21710801.51</v>
      </c>
      <c r="M80" s="88">
        <v>395182.510000002</v>
      </c>
      <c r="N80" s="88">
        <v>0</v>
      </c>
      <c r="O80" s="88">
        <v>395182.510000002</v>
      </c>
      <c r="P80" s="101" t="s">
        <v>128</v>
      </c>
      <c r="Q80" s="89">
        <v>15</v>
      </c>
      <c r="R80" s="100">
        <f t="shared" si="12"/>
        <v>0.0182021151921996</v>
      </c>
    </row>
    <row r="83" spans="11:16">
      <c r="K83" s="102" t="s">
        <v>388</v>
      </c>
      <c r="L83" s="103">
        <v>1079036</v>
      </c>
      <c r="M83" s="103">
        <v>-40899.3999999999</v>
      </c>
      <c r="N83" s="103">
        <v>220876.41</v>
      </c>
      <c r="O83" s="103">
        <v>179977.01</v>
      </c>
      <c r="P83" s="104" t="s">
        <v>129</v>
      </c>
    </row>
    <row r="84" spans="11:16">
      <c r="K84" s="102" t="s">
        <v>386</v>
      </c>
      <c r="L84" s="103">
        <v>2986176.6</v>
      </c>
      <c r="M84" s="103">
        <v>-116054.4</v>
      </c>
      <c r="N84" s="103">
        <v>219023.03</v>
      </c>
      <c r="O84" s="103">
        <v>102968.63</v>
      </c>
      <c r="P84" s="104" t="s">
        <v>129</v>
      </c>
    </row>
    <row r="85" spans="11:16">
      <c r="K85" s="102" t="s">
        <v>415</v>
      </c>
      <c r="L85" s="103">
        <v>45049448.02</v>
      </c>
      <c r="M85" s="103">
        <v>59503.7299999958</v>
      </c>
      <c r="N85" s="103">
        <v>0</v>
      </c>
      <c r="O85" s="103">
        <v>59503.7299999958</v>
      </c>
      <c r="P85" s="104" t="s">
        <v>129</v>
      </c>
    </row>
    <row r="86" spans="11:16">
      <c r="K86" s="102" t="s">
        <v>427</v>
      </c>
      <c r="L86" s="103">
        <v>16893156.82</v>
      </c>
      <c r="M86" s="103">
        <v>-200386.449999999</v>
      </c>
      <c r="N86" s="103">
        <v>0</v>
      </c>
      <c r="O86" s="103">
        <v>-200386.449999999</v>
      </c>
      <c r="P86" s="104" t="s">
        <v>129</v>
      </c>
    </row>
    <row r="87" spans="11:16">
      <c r="L87" s="66">
        <f>SUM(L83:L86)</f>
        <v>66007817.44</v>
      </c>
      <c r="M87" s="66">
        <f>SUM(M83:M86)</f>
        <v>-297836.520000003</v>
      </c>
      <c r="N87" s="66">
        <f>SUM(N83:N86)</f>
        <v>439899.44</v>
      </c>
      <c r="O87" s="66">
        <f>SUM(O83:O86)</f>
        <v>142062.919999997</v>
      </c>
    </row>
    <row r="88" spans="11:16">
      <c r="O88" s="57">
        <f>O87/10000</f>
        <v>14.2062919999997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6"/>
  <dimension ref="A1:T35"/>
  <sheetViews>
    <sheetView tabSelected="1" workbookViewId="0">
      <pane ySplit="1" topLeftCell="A4" activePane="bottomLeft" state="frozen"/>
      <selection/>
      <selection pane="bottomLeft" activeCell="E26" sqref="E26"/>
    </sheetView>
  </sheetViews>
  <sheetFormatPr defaultColWidth="9" defaultRowHeight="13.5"/>
  <cols>
    <col min="1" max="1" width="27" customWidth="1"/>
    <col min="2" max="2" width="9.63333333333333" customWidth="1"/>
    <col min="3" max="3" width="9.5" hidden="1" customWidth="1"/>
    <col min="4" max="4" width="8.90833333333333" customWidth="1"/>
    <col min="5" max="5" width="11.125" customWidth="1"/>
    <col min="6" max="6" width="10.375" customWidth="1"/>
    <col min="7" max="7" width="10.875" hidden="1" customWidth="1"/>
    <col min="8" max="9" width="8.90833333333333" customWidth="1"/>
    <col min="10" max="10" width="12.5" style="1" customWidth="1"/>
    <col min="11" max="11" width="10.5" style="1" customWidth="1"/>
    <col min="12" max="12" width="26.125" customWidth="1"/>
    <col min="13" max="13" width="17" customWidth="1"/>
    <col min="14" max="14" width="15.9083333333333" style="2" customWidth="1"/>
    <col min="15" max="15" width="16.3666666666667" customWidth="1"/>
    <col min="16" max="16" width="17.3666666666667"/>
    <col min="17" max="17" width="18.3666666666667" customWidth="1"/>
    <col min="18" max="18" width="18.5416666666667"/>
    <col min="19" max="19" width="21.25" customWidth="1"/>
    <col min="20" max="23" width="12.8166666666667"/>
  </cols>
  <sheetData>
    <row r="1" ht="33.75" spans="1:20">
      <c r="A1" s="3" t="s">
        <v>442</v>
      </c>
      <c r="B1" s="4" t="s">
        <v>443</v>
      </c>
      <c r="C1" s="4" t="s">
        <v>444</v>
      </c>
      <c r="D1" s="4" t="s">
        <v>32</v>
      </c>
      <c r="E1" s="5" t="s">
        <v>445</v>
      </c>
      <c r="F1" s="6" t="s">
        <v>446</v>
      </c>
      <c r="G1" s="6" t="s">
        <v>447</v>
      </c>
      <c r="H1" s="6" t="s">
        <v>32</v>
      </c>
      <c r="I1" s="6" t="s">
        <v>448</v>
      </c>
      <c r="J1" s="7" t="s">
        <v>449</v>
      </c>
      <c r="K1" s="8"/>
      <c r="L1" s="9" t="s">
        <v>404</v>
      </c>
      <c r="M1" t="s">
        <v>450</v>
      </c>
      <c r="N1" s="10" t="s">
        <v>451</v>
      </c>
      <c r="O1" t="s">
        <v>452</v>
      </c>
      <c r="P1" t="s">
        <v>446</v>
      </c>
      <c r="Q1" t="s">
        <v>453</v>
      </c>
      <c r="R1" t="s">
        <v>373</v>
      </c>
    </row>
    <row r="2" ht="21" customHeight="1" spans="1:20">
      <c r="A2" s="11" t="str">
        <f>L2</f>
        <v>深圳市腾讯计算机系统有限公司</v>
      </c>
      <c r="B2" s="12">
        <f>N2/10000</f>
        <v>2911.397023487</v>
      </c>
      <c r="C2" s="12">
        <f>M2/10000</f>
        <v>26096.8880618077</v>
      </c>
      <c r="D2" s="13">
        <f>B2/C2</f>
        <v>0.111561080255687</v>
      </c>
      <c r="E2" s="13">
        <f>B2/$B$13</f>
        <v>0.0934268306837706</v>
      </c>
      <c r="F2" s="12">
        <f>P2/10000</f>
        <v>3104.95318481189</v>
      </c>
      <c r="G2" s="12">
        <f>O2/10000</f>
        <v>36435.6054813419</v>
      </c>
      <c r="H2" s="13">
        <f>F2/G2</f>
        <v>0.0852175541971407</v>
      </c>
      <c r="I2" s="13">
        <f>F2/$F$13</f>
        <v>0.110588101361587</v>
      </c>
      <c r="J2" s="14">
        <f>B2-F2</f>
        <v>-193.55616132489</v>
      </c>
      <c r="K2" s="14">
        <f>J2+J10</f>
        <v>-253.99495197489</v>
      </c>
      <c r="L2" s="15" t="s">
        <v>382</v>
      </c>
      <c r="M2" s="16">
        <v>260968880.618077</v>
      </c>
      <c r="N2" s="16">
        <v>29113970.23487</v>
      </c>
      <c r="O2" s="16">
        <v>364356054.813419</v>
      </c>
      <c r="P2" s="16">
        <v>31049531.8481189</v>
      </c>
      <c r="Q2" s="17">
        <f>M2-O2</f>
        <v>-103387174.195342</v>
      </c>
      <c r="R2" s="18">
        <f>N2-P2</f>
        <v>-1935561.6132489</v>
      </c>
    </row>
    <row r="3" ht="21" customHeight="1" spans="1:20">
      <c r="A3" s="11" t="str">
        <f>L3</f>
        <v>北京度友科技有限公司</v>
      </c>
      <c r="B3" s="12">
        <f>N3/10000</f>
        <v>1911.70380382</v>
      </c>
      <c r="C3" s="12">
        <f>M3/10000</f>
        <v>3137.34676981999</v>
      </c>
      <c r="D3" s="13">
        <f>B3/C3</f>
        <v>0.609337744303505</v>
      </c>
      <c r="E3" s="13">
        <f>B3/$B$13</f>
        <v>0.0613466408587227</v>
      </c>
      <c r="F3" s="12">
        <f>P3/10000</f>
        <v>1862.536163</v>
      </c>
      <c r="G3" s="12">
        <f>O3/10000</f>
        <v>3776.34624155</v>
      </c>
      <c r="H3" s="13">
        <f>F3/G3</f>
        <v>0.493211173940322</v>
      </c>
      <c r="I3" s="13">
        <f>F3/$F$13</f>
        <v>0.0663373409270721</v>
      </c>
      <c r="J3" s="14">
        <f>B3-F3</f>
        <v>49.1676408199999</v>
      </c>
      <c r="K3" s="14"/>
      <c r="L3" s="15" t="s">
        <v>420</v>
      </c>
      <c r="M3" s="16">
        <v>31373467.6981999</v>
      </c>
      <c r="N3" s="16">
        <f>31683010.9182-12565972.88</f>
        <v>19117038.0382</v>
      </c>
      <c r="O3" s="16">
        <v>37763462.4155</v>
      </c>
      <c r="P3" s="16">
        <f>20008955.54-1383593.91</f>
        <v>18625361.63</v>
      </c>
      <c r="Q3" s="17">
        <f>M3-O3</f>
        <v>-6389994.7173001</v>
      </c>
      <c r="R3" s="18">
        <f>N3-P3</f>
        <v>491676.408199999</v>
      </c>
      <c r="S3" s="19" t="s">
        <v>454</v>
      </c>
    </row>
    <row r="4" ht="21" customHeight="1" spans="1:20">
      <c r="A4" s="11" t="str">
        <f t="shared" ref="A2:A11" si="0">L4</f>
        <v>支付宝（中国）网络技术有限公司</v>
      </c>
      <c r="B4" s="12">
        <f t="shared" ref="B2:B11" si="1">N4/10000</f>
        <v>1780.2804262451</v>
      </c>
      <c r="C4" s="12">
        <f t="shared" ref="C2:C11" si="2">M4/10000</f>
        <v>215624.58522595</v>
      </c>
      <c r="D4" s="13">
        <f t="shared" ref="D2:D11" si="3">B4/C4</f>
        <v>0.00825638887318702</v>
      </c>
      <c r="E4" s="13">
        <f t="shared" ref="E2:E11" si="4">B4/$B$13</f>
        <v>0.0571292601492126</v>
      </c>
      <c r="F4" s="12">
        <f t="shared" ref="F2:F11" si="5">P4/10000</f>
        <v>968.32874468848</v>
      </c>
      <c r="G4" s="12">
        <f t="shared" ref="G2:G11" si="6">O4/10000</f>
        <v>67005.9281472788</v>
      </c>
      <c r="H4" s="13">
        <f t="shared" ref="H2:H11" si="7">F4/G4</f>
        <v>0.014451389175001</v>
      </c>
      <c r="I4" s="13">
        <f t="shared" ref="I2:I11" si="8">F4/$F$13</f>
        <v>0.034488647974715</v>
      </c>
      <c r="J4" s="14">
        <f t="shared" ref="J2:J11" si="9">B4-F4</f>
        <v>811.95168155662</v>
      </c>
      <c r="K4" s="14"/>
      <c r="L4" s="15" t="s">
        <v>424</v>
      </c>
      <c r="M4" s="16">
        <v>2156245852.2595</v>
      </c>
      <c r="N4" s="16">
        <v>17802804.262451</v>
      </c>
      <c r="O4" s="16">
        <v>670059281.472788</v>
      </c>
      <c r="P4" s="16">
        <v>9683287.4468848</v>
      </c>
      <c r="Q4" s="17">
        <f t="shared" ref="Q2:Q11" si="10">M4-O4</f>
        <v>1486186570.78671</v>
      </c>
      <c r="R4" s="18">
        <f t="shared" ref="R2:R11" si="11">N4-P4</f>
        <v>8119516.8155662</v>
      </c>
    </row>
    <row r="5" ht="21" customHeight="1" spans="1:20">
      <c r="A5" s="11" t="str">
        <f t="shared" si="0"/>
        <v>深圳市脸萌科技有限公司</v>
      </c>
      <c r="B5" s="12">
        <f t="shared" si="1"/>
        <v>1764.36794455929</v>
      </c>
      <c r="C5" s="12">
        <f t="shared" si="2"/>
        <v>4839.31719632865</v>
      </c>
      <c r="D5" s="13">
        <f t="shared" si="3"/>
        <v>0.364590266142882</v>
      </c>
      <c r="E5" s="13">
        <f t="shared" si="4"/>
        <v>0.0566186280642631</v>
      </c>
      <c r="F5" s="12">
        <f t="shared" si="5"/>
        <v>62.2842622799539</v>
      </c>
      <c r="G5" s="12">
        <f t="shared" si="6"/>
        <v>1693.35267756995</v>
      </c>
      <c r="H5" s="13">
        <f t="shared" si="7"/>
        <v>0.0367816244690002</v>
      </c>
      <c r="I5" s="13">
        <f t="shared" si="8"/>
        <v>0.0022183581845742</v>
      </c>
      <c r="J5" s="14">
        <f t="shared" si="9"/>
        <v>1702.08368227934</v>
      </c>
      <c r="K5" s="14"/>
      <c r="L5" s="15" t="s">
        <v>455</v>
      </c>
      <c r="M5" s="16">
        <v>48393171.9632865</v>
      </c>
      <c r="N5" s="16">
        <v>17643679.4455929</v>
      </c>
      <c r="O5" s="16">
        <v>16933526.7756995</v>
      </c>
      <c r="P5" s="16">
        <v>622842.622799539</v>
      </c>
      <c r="Q5" s="17">
        <f t="shared" si="10"/>
        <v>31459645.187587</v>
      </c>
      <c r="R5" s="18">
        <f t="shared" si="11"/>
        <v>17020836.8227934</v>
      </c>
    </row>
    <row r="6" ht="21" customHeight="1" spans="1:20">
      <c r="A6" s="11" t="str">
        <f t="shared" si="0"/>
        <v>拉扎斯网络科技（上海）有限公司</v>
      </c>
      <c r="B6" s="12">
        <f t="shared" si="1"/>
        <v>1388.93730871646</v>
      </c>
      <c r="C6" s="12">
        <f t="shared" si="2"/>
        <v>7632.31437471646</v>
      </c>
      <c r="D6" s="13">
        <f t="shared" si="3"/>
        <v>0.181981144974529</v>
      </c>
      <c r="E6" s="13">
        <f t="shared" si="4"/>
        <v>0.0445710460390612</v>
      </c>
      <c r="F6" s="12">
        <f t="shared" si="5"/>
        <v>338.24326446667</v>
      </c>
      <c r="G6" s="12">
        <f t="shared" si="6"/>
        <v>1284.68347046667</v>
      </c>
      <c r="H6" s="13">
        <f t="shared" si="7"/>
        <v>0.263289185423862</v>
      </c>
      <c r="I6" s="13">
        <f t="shared" si="8"/>
        <v>0.0120470996466828</v>
      </c>
      <c r="J6" s="14">
        <f t="shared" si="9"/>
        <v>1050.69404424979</v>
      </c>
      <c r="K6" s="14"/>
      <c r="L6" s="15" t="s">
        <v>456</v>
      </c>
      <c r="M6" s="16">
        <v>76323143.7471646</v>
      </c>
      <c r="N6" s="16">
        <v>13889373.0871646</v>
      </c>
      <c r="O6" s="16">
        <v>12846834.7046667</v>
      </c>
      <c r="P6" s="16">
        <v>3382432.6446667</v>
      </c>
      <c r="Q6" s="17">
        <f t="shared" si="10"/>
        <v>63476309.0424979</v>
      </c>
      <c r="R6" s="18">
        <f t="shared" si="11"/>
        <v>10506940.4424979</v>
      </c>
      <c r="S6" s="20"/>
      <c r="T6" s="20"/>
    </row>
    <row r="7" ht="21" customHeight="1" spans="1:20">
      <c r="A7" s="11" t="str">
        <f t="shared" si="0"/>
        <v>瑞幸咖啡（中国）有限公司</v>
      </c>
      <c r="B7" s="12">
        <f t="shared" si="1"/>
        <v>931.81307730358</v>
      </c>
      <c r="C7" s="12">
        <f t="shared" si="2"/>
        <v>306.080580303584</v>
      </c>
      <c r="D7" s="13">
        <f t="shared" si="3"/>
        <v>3.04433909651951</v>
      </c>
      <c r="E7" s="13">
        <f t="shared" si="4"/>
        <v>0.0299019137204093</v>
      </c>
      <c r="F7" s="12">
        <f t="shared" si="5"/>
        <v>540.298315539999</v>
      </c>
      <c r="G7" s="12">
        <f t="shared" si="6"/>
        <v>11207.53275036</v>
      </c>
      <c r="H7" s="13">
        <f t="shared" si="7"/>
        <v>0.0482084975859334</v>
      </c>
      <c r="I7" s="13">
        <f t="shared" si="8"/>
        <v>0.0192436282700513</v>
      </c>
      <c r="J7" s="14">
        <f t="shared" si="9"/>
        <v>391.514761763581</v>
      </c>
      <c r="K7" s="14"/>
      <c r="L7" s="15" t="s">
        <v>457</v>
      </c>
      <c r="M7" s="16">
        <v>3060805.80303584</v>
      </c>
      <c r="N7" s="16">
        <f>11979547.9430358-2661417.17</f>
        <v>9318130.7730358</v>
      </c>
      <c r="O7" s="16">
        <v>112075327.5036</v>
      </c>
      <c r="P7" s="16">
        <f>5518428.70539999-115445.55</f>
        <v>5402983.15539999</v>
      </c>
      <c r="Q7" s="17">
        <f t="shared" si="10"/>
        <v>-109014521.700564</v>
      </c>
      <c r="R7" s="18">
        <f t="shared" si="11"/>
        <v>3915147.61763581</v>
      </c>
      <c r="S7" s="19" t="s">
        <v>458</v>
      </c>
      <c r="T7" s="20"/>
    </row>
    <row r="8" ht="21" customHeight="1" spans="1:20">
      <c r="A8" s="11" t="str">
        <f t="shared" si="0"/>
        <v>北京爱奇艺科技有限公司</v>
      </c>
      <c r="B8" s="12">
        <f t="shared" si="1"/>
        <v>916.118004765338</v>
      </c>
      <c r="C8" s="12">
        <f t="shared" si="2"/>
        <v>11499.0259176563</v>
      </c>
      <c r="D8" s="13">
        <f t="shared" si="3"/>
        <v>0.0796691834008892</v>
      </c>
      <c r="E8" s="13">
        <f t="shared" si="4"/>
        <v>0.0293982583024878</v>
      </c>
      <c r="F8" s="12">
        <f t="shared" si="5"/>
        <v>1369.96164158015</v>
      </c>
      <c r="G8" s="12">
        <f t="shared" si="6"/>
        <v>33544.3755767297</v>
      </c>
      <c r="H8" s="13">
        <f t="shared" si="7"/>
        <v>0.0408402785273641</v>
      </c>
      <c r="I8" s="13">
        <f t="shared" si="8"/>
        <v>0.048793475412651</v>
      </c>
      <c r="J8" s="14">
        <f t="shared" si="9"/>
        <v>-453.843636814812</v>
      </c>
      <c r="K8" s="14"/>
      <c r="L8" s="15" t="s">
        <v>383</v>
      </c>
      <c r="M8" s="16">
        <v>114990259.176563</v>
      </c>
      <c r="N8" s="16">
        <v>9161180.04765338</v>
      </c>
      <c r="O8" s="16">
        <v>335443755.767297</v>
      </c>
      <c r="P8" s="16">
        <v>13699616.4158015</v>
      </c>
      <c r="Q8" s="17">
        <f t="shared" si="10"/>
        <v>-220453496.590734</v>
      </c>
      <c r="R8" s="18">
        <f t="shared" si="11"/>
        <v>-4538436.36814812</v>
      </c>
      <c r="S8" s="1"/>
      <c r="T8" s="1"/>
    </row>
    <row r="9" ht="21" customHeight="1" spans="1:20">
      <c r="A9" s="11" t="str">
        <f t="shared" si="0"/>
        <v>耐克商业（中国）有限公司</v>
      </c>
      <c r="B9" s="12">
        <f t="shared" si="1"/>
        <v>723.48031868584</v>
      </c>
      <c r="C9" s="12">
        <f t="shared" si="2"/>
        <v>29520.6836</v>
      </c>
      <c r="D9" s="13">
        <f t="shared" si="3"/>
        <v>0.0245075733505656</v>
      </c>
      <c r="E9" s="13">
        <f t="shared" si="4"/>
        <v>0.0232165083262833</v>
      </c>
      <c r="F9" s="12">
        <f t="shared" si="5"/>
        <v>647.430810299991</v>
      </c>
      <c r="G9" s="12">
        <f t="shared" si="6"/>
        <v>33034.8618103</v>
      </c>
      <c r="H9" s="13">
        <f t="shared" si="7"/>
        <v>0.0195984113394453</v>
      </c>
      <c r="I9" s="13">
        <f t="shared" si="8"/>
        <v>0.023059331272464</v>
      </c>
      <c r="J9" s="14">
        <f t="shared" si="9"/>
        <v>76.049508385849</v>
      </c>
      <c r="K9" s="14"/>
      <c r="L9" s="15" t="s">
        <v>423</v>
      </c>
      <c r="M9" s="16">
        <v>295206836</v>
      </c>
      <c r="N9" s="16">
        <v>7234803.1868584</v>
      </c>
      <c r="O9" s="16">
        <v>330348618.103</v>
      </c>
      <c r="P9" s="16">
        <v>6474308.10299991</v>
      </c>
      <c r="Q9" s="17">
        <f t="shared" si="10"/>
        <v>-35141782.103</v>
      </c>
      <c r="R9" s="18">
        <f t="shared" si="11"/>
        <v>760495.08385849</v>
      </c>
      <c r="S9" s="20"/>
      <c r="T9" s="20"/>
    </row>
    <row r="10" ht="21" customHeight="1" spans="1:20">
      <c r="A10" s="11" t="str">
        <f t="shared" si="0"/>
        <v>深圳市维缇网络科技有限公司</v>
      </c>
      <c r="B10" s="12">
        <f t="shared" si="1"/>
        <v>675.954192</v>
      </c>
      <c r="C10" s="12">
        <f t="shared" si="2"/>
        <v>23.835743</v>
      </c>
      <c r="D10" s="13">
        <f t="shared" si="3"/>
        <v>28.3588471313858</v>
      </c>
      <c r="E10" s="13">
        <f t="shared" si="4"/>
        <v>0.0216913932852521</v>
      </c>
      <c r="F10" s="12">
        <f t="shared" si="5"/>
        <v>736.39298265</v>
      </c>
      <c r="G10" s="12">
        <f t="shared" si="6"/>
        <v>1297.394899</v>
      </c>
      <c r="H10" s="13">
        <f t="shared" si="7"/>
        <v>0.567593554759305</v>
      </c>
      <c r="I10" s="13">
        <f t="shared" si="8"/>
        <v>0.0262278678485753</v>
      </c>
      <c r="J10" s="14">
        <f t="shared" si="9"/>
        <v>-60.43879065</v>
      </c>
      <c r="K10" s="14"/>
      <c r="L10" s="15" t="s">
        <v>386</v>
      </c>
      <c r="M10" s="16">
        <v>238357.43</v>
      </c>
      <c r="N10" s="16">
        <v>6759541.92</v>
      </c>
      <c r="O10" s="16">
        <v>12973948.99</v>
      </c>
      <c r="P10" s="16">
        <v>7363929.8265</v>
      </c>
      <c r="Q10" s="17">
        <f t="shared" si="10"/>
        <v>-12735591.56</v>
      </c>
      <c r="R10" s="18">
        <f t="shared" si="11"/>
        <v>-604387.906500001</v>
      </c>
      <c r="S10" s="1"/>
      <c r="T10" s="1"/>
    </row>
    <row r="11" ht="21" customHeight="1" spans="1:20">
      <c r="A11" s="11" t="str">
        <f t="shared" si="0"/>
        <v>上海喜马拉雅科技有限公司</v>
      </c>
      <c r="B11" s="12">
        <f t="shared" si="1"/>
        <v>497.966360187995</v>
      </c>
      <c r="C11" s="12">
        <f t="shared" si="2"/>
        <v>4907.26340650254</v>
      </c>
      <c r="D11" s="13">
        <f t="shared" si="3"/>
        <v>0.101475368028573</v>
      </c>
      <c r="E11" s="13">
        <f t="shared" si="4"/>
        <v>0.0159797576366881</v>
      </c>
      <c r="F11" s="12">
        <f t="shared" si="5"/>
        <v>641.068340903275</v>
      </c>
      <c r="G11" s="12">
        <f t="shared" si="6"/>
        <v>6868.59250316238</v>
      </c>
      <c r="H11" s="13">
        <f t="shared" si="7"/>
        <v>0.0933332907154005</v>
      </c>
      <c r="I11" s="13">
        <f t="shared" si="8"/>
        <v>0.0228327212823373</v>
      </c>
      <c r="J11" s="14">
        <f t="shared" si="9"/>
        <v>-143.10198071528</v>
      </c>
      <c r="K11" s="14"/>
      <c r="L11" s="15" t="s">
        <v>395</v>
      </c>
      <c r="M11" s="16">
        <v>49072634.0650254</v>
      </c>
      <c r="N11" s="16">
        <v>4979663.60187995</v>
      </c>
      <c r="O11" s="16">
        <v>68685925.0316238</v>
      </c>
      <c r="P11" s="16">
        <v>6410683.40903275</v>
      </c>
      <c r="Q11" s="17">
        <f t="shared" si="10"/>
        <v>-19613290.9665984</v>
      </c>
      <c r="R11" s="18">
        <f t="shared" si="11"/>
        <v>-1431019.8071528</v>
      </c>
    </row>
    <row r="12" ht="21" customHeight="1" spans="1:20">
      <c r="A12" s="11" t="s">
        <v>459</v>
      </c>
      <c r="B12" s="12">
        <f>SUM(B2:B11)</f>
        <v>13502.0184597706</v>
      </c>
      <c r="C12" s="12"/>
      <c r="D12" s="13"/>
      <c r="E12" s="13">
        <f>B12/B13</f>
        <v>0.433280237066151</v>
      </c>
      <c r="F12" s="12">
        <f>SUM(F2:F11)</f>
        <v>10271.4977102204</v>
      </c>
      <c r="G12" s="12"/>
      <c r="H12" s="13"/>
      <c r="I12" s="13">
        <f>F12/F13</f>
        <v>0.36583657218071</v>
      </c>
      <c r="J12" s="21">
        <f>SUM(J2:J11)</f>
        <v>3230.52074955019</v>
      </c>
      <c r="K12" s="22"/>
      <c r="M12" s="11"/>
      <c r="P12" s="23"/>
      <c r="Q12" s="24"/>
    </row>
    <row r="13" ht="21" customHeight="1" spans="1:20">
      <c r="A13" s="25" t="s">
        <v>460</v>
      </c>
      <c r="B13" s="26">
        <f>'毛利-收入组成'!AQ74</f>
        <v>31162.3224525452</v>
      </c>
      <c r="C13" s="27"/>
      <c r="D13" s="27"/>
      <c r="E13" s="27"/>
      <c r="F13" s="28">
        <f>'毛利-收入组成'!AQ62</f>
        <v>28076.73833426</v>
      </c>
      <c r="G13" s="29"/>
      <c r="H13" s="29"/>
      <c r="I13" s="29"/>
      <c r="J13" s="30">
        <f>B13-F13</f>
        <v>3085.58411828516</v>
      </c>
      <c r="K13" s="22"/>
      <c r="R13" s="31"/>
    </row>
    <row r="14" ht="18" customHeight="1" spans="1:20">
      <c r="A14" s="11"/>
      <c r="B14" s="11"/>
      <c r="C14" s="11"/>
      <c r="D14" s="11"/>
      <c r="E14" s="11"/>
      <c r="F14" s="11"/>
      <c r="G14" s="11"/>
      <c r="H14" s="11"/>
      <c r="I14" s="11"/>
      <c r="J14" s="22"/>
      <c r="K14" s="22"/>
      <c r="L14" s="32"/>
      <c r="M14" s="2"/>
      <c r="N14" s="33"/>
    </row>
    <row r="15" ht="22" customHeight="1" spans="1:20">
      <c r="A15" s="11"/>
      <c r="B15" s="12"/>
      <c r="C15" s="11"/>
      <c r="D15" s="11"/>
      <c r="E15" s="11"/>
      <c r="F15" s="11"/>
      <c r="G15" s="11"/>
      <c r="H15" s="11"/>
      <c r="I15" s="11"/>
      <c r="J15" s="22"/>
      <c r="K15" s="30">
        <f>K2+[31]合并毛利波动!$K$30/10000+[31]合并毛利波动!$K$564/10000</f>
        <v>-2161.78487548909</v>
      </c>
      <c r="L15" s="15" t="s">
        <v>415</v>
      </c>
      <c r="M15" s="16">
        <v>299072006.486799</v>
      </c>
      <c r="N15" s="16">
        <v>3700745.9967994</v>
      </c>
      <c r="O15" s="16">
        <v>469463066.006183</v>
      </c>
      <c r="P15" s="16">
        <v>10237055.4091169</v>
      </c>
      <c r="Q15" s="17">
        <f>M15-O15</f>
        <v>-170391059.519384</v>
      </c>
      <c r="R15" s="18">
        <f>N15-P15</f>
        <v>-6536309.4123175</v>
      </c>
    </row>
    <row r="16" ht="22" customHeight="1" spans="1:20">
      <c r="A16" s="11"/>
      <c r="B16" s="11"/>
      <c r="C16" s="11"/>
      <c r="D16" s="11"/>
      <c r="E16" s="11"/>
      <c r="F16" s="11"/>
      <c r="G16" s="11"/>
      <c r="H16" s="11"/>
      <c r="I16" s="11"/>
      <c r="J16" s="22"/>
      <c r="K16" s="22"/>
      <c r="L16" s="34" t="s">
        <v>427</v>
      </c>
      <c r="M16" s="35">
        <v>170793341.9689</v>
      </c>
      <c r="N16" s="33">
        <v>713913.628200091</v>
      </c>
      <c r="O16" s="35">
        <v>65763035.2308</v>
      </c>
      <c r="P16" s="35">
        <v>-590780.996399877</v>
      </c>
      <c r="Q16" s="17">
        <f>M16-O16</f>
        <v>105030306.7381</v>
      </c>
      <c r="R16" s="18">
        <f>N16-P16</f>
        <v>1304694.62459997</v>
      </c>
      <c r="S16" s="11"/>
    </row>
    <row r="17" ht="22" customHeight="1" spans="1:19">
      <c r="A17" s="11"/>
      <c r="B17" s="36"/>
      <c r="C17" s="11"/>
      <c r="D17" s="11"/>
      <c r="E17" s="11"/>
      <c r="F17" s="11"/>
      <c r="G17" s="11"/>
      <c r="H17" s="11"/>
      <c r="I17" s="11"/>
      <c r="J17" s="22"/>
      <c r="K17" s="22"/>
      <c r="L17" s="37" t="s">
        <v>388</v>
      </c>
      <c r="M17" s="38">
        <v>970</v>
      </c>
      <c r="N17" s="39">
        <v>2505114.85</v>
      </c>
      <c r="O17" s="40">
        <v>1078076</v>
      </c>
      <c r="P17" s="40">
        <v>7562783.88</v>
      </c>
      <c r="Q17" s="40">
        <f>M17-O17</f>
        <v>-1077106</v>
      </c>
      <c r="R17" s="41">
        <f>N17-P17</f>
        <v>-5057669.03</v>
      </c>
      <c r="S17" s="42"/>
    </row>
    <row r="18" ht="22" customHeight="1" spans="1:19">
      <c r="A18" s="11"/>
      <c r="B18" s="11"/>
      <c r="C18" s="11"/>
      <c r="D18" s="11"/>
      <c r="E18" s="11"/>
      <c r="F18" s="11"/>
      <c r="G18" s="11"/>
      <c r="H18" s="11"/>
      <c r="I18" s="11"/>
      <c r="J18" s="22"/>
      <c r="K18" s="22"/>
      <c r="L18" s="37" t="s">
        <v>386</v>
      </c>
      <c r="M18" s="38">
        <v>238357.43</v>
      </c>
      <c r="N18" s="39">
        <v>6759641.92</v>
      </c>
      <c r="O18" s="40">
        <v>12973948.99</v>
      </c>
      <c r="P18" s="40">
        <v>7363929.8265</v>
      </c>
      <c r="Q18" s="40">
        <f>M18-O18</f>
        <v>-12735591.56</v>
      </c>
      <c r="R18" s="41">
        <f>N18-P18</f>
        <v>-604287.906500001</v>
      </c>
      <c r="S18" s="18"/>
    </row>
    <row r="19" ht="22" customHeight="1" spans="1:19">
      <c r="A19" s="11"/>
      <c r="B19" s="11"/>
      <c r="C19" s="11"/>
      <c r="D19" s="11"/>
      <c r="E19" s="11"/>
      <c r="F19" s="11"/>
      <c r="G19" s="11"/>
      <c r="H19" s="11"/>
      <c r="I19" s="11"/>
      <c r="J19" s="43"/>
      <c r="K19" s="43"/>
      <c r="L19" s="44" t="s">
        <v>461</v>
      </c>
      <c r="M19" s="45">
        <v>680</v>
      </c>
      <c r="N19" s="45">
        <v>-51321.350000001</v>
      </c>
      <c r="O19" s="46">
        <v>33293.85</v>
      </c>
      <c r="P19" s="47">
        <v>92986.849999999</v>
      </c>
      <c r="Q19" s="40">
        <f>M19-O19</f>
        <v>-32613.85</v>
      </c>
      <c r="R19" s="41">
        <f>N19-P19</f>
        <v>-144308.2</v>
      </c>
      <c r="S19" s="18"/>
    </row>
    <row r="20" ht="18" customHeight="1" spans="1:19">
      <c r="J20" s="43"/>
      <c r="K20" s="43"/>
      <c r="L20" s="48" t="s">
        <v>39</v>
      </c>
      <c r="M20" s="49">
        <f>SUM(M15:M19)</f>
        <v>470105355.885699</v>
      </c>
      <c r="N20" s="49">
        <f>SUM(N15:N19)</f>
        <v>13628095.0449995</v>
      </c>
      <c r="O20" s="49">
        <f t="shared" ref="M20:R20" si="12">SUM(O15:O19)</f>
        <v>549311420.076983</v>
      </c>
      <c r="P20" s="49">
        <f t="shared" si="12"/>
        <v>24665974.969217</v>
      </c>
      <c r="Q20" s="49">
        <f t="shared" si="12"/>
        <v>-79206064.191284</v>
      </c>
      <c r="R20" s="49">
        <f t="shared" si="12"/>
        <v>-11037879.9242175</v>
      </c>
      <c r="S20" s="11"/>
    </row>
    <row r="21" ht="18" customHeight="1" spans="1:19">
      <c r="I21" s="42"/>
      <c r="J21" s="43"/>
      <c r="K21" s="43"/>
      <c r="L21" t="s">
        <v>245</v>
      </c>
      <c r="M21" s="50">
        <f t="shared" ref="M21:R21" si="13">M20/10000</f>
        <v>47010.5355885699</v>
      </c>
      <c r="N21" s="50">
        <f t="shared" si="13"/>
        <v>1362.80950449995</v>
      </c>
      <c r="O21" s="50">
        <f t="shared" si="13"/>
        <v>54931.1420076983</v>
      </c>
      <c r="P21" s="50">
        <f t="shared" si="13"/>
        <v>2466.5974969217</v>
      </c>
      <c r="Q21" s="50">
        <f t="shared" si="13"/>
        <v>-7920.6064191284</v>
      </c>
      <c r="R21" s="50">
        <f t="shared" si="13"/>
        <v>-1103.78799242175</v>
      </c>
      <c r="S21" s="11"/>
    </row>
    <row r="22" ht="18" customHeight="1" spans="1:19">
      <c r="I22" s="42"/>
      <c r="J22" s="51"/>
      <c r="K22" s="51"/>
      <c r="M22" s="2"/>
      <c r="N22" s="52"/>
      <c r="O22" s="18"/>
      <c r="P22" s="18"/>
      <c r="Q22" s="18"/>
      <c r="R22" s="11"/>
      <c r="S22" s="11"/>
    </row>
    <row r="23" spans="1:19">
      <c r="O23" s="18"/>
      <c r="P23" s="18"/>
      <c r="R23" s="18"/>
      <c r="S23" s="11"/>
    </row>
    <row r="24" ht="15" customHeight="1" spans="1:19">
      <c r="K24" s="22"/>
      <c r="L24" s="11" t="s">
        <v>462</v>
      </c>
      <c r="M24" s="18">
        <f>970</f>
        <v>970</v>
      </c>
      <c r="N24" s="18">
        <v>-32</v>
      </c>
      <c r="O24" s="18">
        <v>1078076</v>
      </c>
      <c r="P24" s="18">
        <v>-40857.3999999999</v>
      </c>
      <c r="Q24" s="18">
        <f>M24-O24</f>
        <v>-1077106</v>
      </c>
      <c r="R24" s="18">
        <f>N24-P24</f>
        <v>40825.3999999999</v>
      </c>
      <c r="S24" s="18"/>
    </row>
    <row r="25" ht="15" customHeight="1" spans="1:19">
      <c r="K25" s="22"/>
      <c r="L25" s="11" t="s">
        <v>463</v>
      </c>
      <c r="M25" s="18">
        <v>238357.43</v>
      </c>
      <c r="N25" s="18">
        <v>160.7099999999</v>
      </c>
      <c r="O25" s="18">
        <v>12979635.49</v>
      </c>
      <c r="P25" s="18">
        <v>-185783.6235</v>
      </c>
      <c r="Q25" s="18">
        <f>M25-O25</f>
        <v>-12741278.06</v>
      </c>
      <c r="R25" s="18">
        <f>N25-P25</f>
        <v>185944.3335</v>
      </c>
      <c r="S25" s="18"/>
    </row>
    <row r="26" ht="15" customHeight="1" spans="1:19">
      <c r="K26" s="22"/>
      <c r="L26" s="11" t="s">
        <v>464</v>
      </c>
      <c r="M26" s="18">
        <v>680</v>
      </c>
      <c r="N26" s="18"/>
      <c r="O26" s="18">
        <v>33293.85</v>
      </c>
      <c r="P26" s="18">
        <v>-1426.15</v>
      </c>
      <c r="Q26" s="18">
        <f>M26-O26</f>
        <v>-32613.85</v>
      </c>
      <c r="R26" s="18">
        <f>N26-P26</f>
        <v>1426.15</v>
      </c>
      <c r="S26" s="18"/>
    </row>
    <row r="27" spans="1:19">
      <c r="K27" s="22"/>
      <c r="L27" s="11" t="s">
        <v>465</v>
      </c>
      <c r="M27" s="18">
        <f t="shared" ref="M27:R27" si="14">SUM(M17:M19)-SUM(M24:M26)</f>
        <v>0</v>
      </c>
      <c r="N27" s="18">
        <f t="shared" si="14"/>
        <v>9213306.71</v>
      </c>
      <c r="O27" s="18">
        <f t="shared" si="14"/>
        <v>-5686.5</v>
      </c>
      <c r="P27" s="18">
        <f t="shared" si="14"/>
        <v>15247767.73</v>
      </c>
      <c r="Q27" s="18">
        <f t="shared" si="14"/>
        <v>5686.5</v>
      </c>
      <c r="R27" s="18">
        <f t="shared" si="14"/>
        <v>-6034461.02</v>
      </c>
      <c r="S27" s="18"/>
    </row>
    <row r="28" spans="1:19">
      <c r="K28" s="22"/>
      <c r="L28" s="11"/>
      <c r="M28" s="18"/>
      <c r="N28" s="18"/>
      <c r="O28" s="18"/>
      <c r="P28" s="18"/>
      <c r="Q28" s="18"/>
      <c r="R28" s="18"/>
      <c r="S28" s="18"/>
    </row>
    <row r="29" spans="1:19">
      <c r="L29" s="11" t="s">
        <v>466</v>
      </c>
      <c r="M29" s="18">
        <f t="shared" ref="M29:R29" si="15">M20-M27</f>
        <v>470105355.885699</v>
      </c>
      <c r="N29" s="18">
        <f t="shared" si="15"/>
        <v>4414788.33499949</v>
      </c>
      <c r="O29" s="18">
        <f t="shared" si="15"/>
        <v>549317106.576983</v>
      </c>
      <c r="P29" s="18">
        <f t="shared" si="15"/>
        <v>9418207.23921702</v>
      </c>
      <c r="Q29" s="18">
        <f t="shared" si="15"/>
        <v>-79211750.691284</v>
      </c>
      <c r="R29" s="18">
        <f t="shared" si="15"/>
        <v>-5003418.90421753</v>
      </c>
      <c r="S29" s="18"/>
    </row>
    <row r="30" spans="1:19">
      <c r="L30" s="11"/>
      <c r="M30" s="18"/>
      <c r="N30" s="18"/>
      <c r="O30" s="18"/>
      <c r="P30" s="18"/>
      <c r="Q30" s="18"/>
      <c r="R30" s="18">
        <f>R15+R16+R24+R25+R26</f>
        <v>-5003418.90421753</v>
      </c>
      <c r="S30" s="18"/>
    </row>
    <row r="31" spans="1:19">
      <c r="M31" s="42"/>
      <c r="N31" s="18"/>
      <c r="O31" s="42"/>
      <c r="P31" s="42"/>
      <c r="Q31" s="42"/>
      <c r="R31" s="42"/>
      <c r="S31" s="42"/>
    </row>
    <row r="32" spans="1:19">
      <c r="M32" s="42"/>
      <c r="N32" s="18"/>
      <c r="O32" s="42"/>
      <c r="P32" s="42"/>
      <c r="Q32" s="42"/>
      <c r="R32" s="42"/>
      <c r="S32" s="42"/>
    </row>
    <row r="33" spans="13:16">
      <c r="M33" s="42"/>
      <c r="O33" s="42"/>
      <c r="P33" s="53"/>
    </row>
    <row r="34" spans="13:16">
      <c r="M34" s="42"/>
      <c r="O34" s="42"/>
      <c r="P34" s="53"/>
    </row>
    <row r="35" spans="13:16">
      <c r="O35" s="53"/>
      <c r="P35" s="53"/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GMV-战略需求</vt:lpstr>
      <vt:lpstr>毛利-战略需求</vt:lpstr>
      <vt:lpstr>利润组成</vt:lpstr>
      <vt:lpstr>投资公司</vt:lpstr>
      <vt:lpstr>GMV销售额波动分析（分月、年）</vt:lpstr>
      <vt:lpstr>GMV销售平台占比</vt:lpstr>
      <vt:lpstr>GMV表-商品大类</vt:lpstr>
      <vt:lpstr>GMV表-品牌</vt:lpstr>
      <vt:lpstr>毛利-收入组成</vt:lpstr>
      <vt:lpstr>毛利-留存率</vt:lpstr>
      <vt:lpstr>毛利-品牌</vt:lpstr>
      <vt:lpstr>毛利-供应商</vt:lpstr>
      <vt:lpstr>前十大供应商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张丹</dc:creator>
  <cp:lastModifiedBy>王佳娟</cp:lastModifiedBy>
  <dcterms:created xsi:type="dcterms:W3CDTF">2022-05-05T09:09:00Z</dcterms:created>
  <dcterms:modified xsi:type="dcterms:W3CDTF">2026-02-28T03:17:56Z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EF5985E402274EF6A722F9BF419C9A8F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