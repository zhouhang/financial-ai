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数据源" sheetId="2" r:id="rId1"/>
    <sheet name="供应商毛利原表" sheetId="1" r:id="rId2"/>
  </sheets>
  <definedNames>
    <definedName name="_xlnm._FilterDatabase" localSheetId="1" hidden="1">供应商毛利原表!$A$1:$R$340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<sst xmlns="http://schemas.openxmlformats.org/spreadsheetml/2006/main" count="2048" uniqueCount="213">
  <si>
    <t>供应商毛利表目前能取到值的数据源</t>
  </si>
  <si>
    <t>BI损益表数据源</t>
  </si>
  <si>
    <t>数据源</t>
  </si>
  <si>
    <t>求和项:gmv</t>
  </si>
  <si>
    <t>求和项:成本</t>
  </si>
  <si>
    <t>求和项:订单毛利</t>
  </si>
  <si>
    <t>求和项:含税销售额</t>
  </si>
  <si>
    <t>求和项:含税采购成本</t>
  </si>
  <si>
    <t>求和项:含税差额收入</t>
  </si>
  <si>
    <t>BI表单-残值收入</t>
  </si>
  <si>
    <t>BI人工导入-订单收入</t>
  </si>
  <si>
    <t>BI返点数据-金蝶视图</t>
  </si>
  <si>
    <t>ERP合单数据</t>
  </si>
  <si>
    <t>ERP费用系统-费用支出单</t>
  </si>
  <si>
    <t>总计</t>
  </si>
  <si>
    <t>内部POP手工订单</t>
  </si>
  <si>
    <t>其他出库单</t>
  </si>
  <si>
    <t>外部加款单</t>
  </si>
  <si>
    <t>线下入账</t>
  </si>
  <si>
    <t>月份</t>
  </si>
  <si>
    <t>所属公司</t>
  </si>
  <si>
    <t>供应商名称</t>
  </si>
  <si>
    <t>是否关联供应商</t>
  </si>
  <si>
    <t>外部供应商名称</t>
  </si>
  <si>
    <t>商品大类</t>
  </si>
  <si>
    <t>gmv</t>
  </si>
  <si>
    <t>成本</t>
  </si>
  <si>
    <t>退款gmv</t>
  </si>
  <si>
    <t>退款成本</t>
  </si>
  <si>
    <t>总gmv</t>
  </si>
  <si>
    <t>总成本</t>
  </si>
  <si>
    <t>订单毛利</t>
  </si>
  <si>
    <t>合并毛利</t>
  </si>
  <si>
    <t>调整后gmv</t>
  </si>
  <si>
    <t>调整后成本</t>
  </si>
  <si>
    <t>调整后毛利</t>
  </si>
  <si>
    <t>武汉福禄网络科技有限公司</t>
  </si>
  <si>
    <t>一璟科技信息服务(武汉)有限公司</t>
  </si>
  <si>
    <t>非关联</t>
  </si>
  <si>
    <t>卡券</t>
  </si>
  <si>
    <t>武汉立硕科技有限公司</t>
  </si>
  <si>
    <t>上海喜马拉雅科技有限公司</t>
  </si>
  <si>
    <t>网娱</t>
  </si>
  <si>
    <t>上海季积信息科技有限公司</t>
  </si>
  <si>
    <t>上海普麦信息科技有限公司</t>
  </si>
  <si>
    <t>上海荟分信息科技有限公司</t>
  </si>
  <si>
    <t>东莞市达布嘉网络科技有限公司</t>
  </si>
  <si>
    <t>仁跃电子商务(上海)有限公司</t>
  </si>
  <si>
    <t>内部自制权益供货</t>
  </si>
  <si>
    <t>北京一击企服科技有限公司</t>
  </si>
  <si>
    <t>北京三快在线科技有限公司</t>
  </si>
  <si>
    <t>北京悦途出行网络科技有限公司</t>
  </si>
  <si>
    <t>北京爱奇艺科技有限公司</t>
  </si>
  <si>
    <t>北京特特天地科技有限公司</t>
  </si>
  <si>
    <t>北京超城联创科技有限公司</t>
  </si>
  <si>
    <t>通信</t>
  </si>
  <si>
    <t>南京六六猴信息科技有限公司</t>
  </si>
  <si>
    <t>南京捷融数科科技有限公司</t>
  </si>
  <si>
    <t>南京梦尚网络科技有限公司</t>
  </si>
  <si>
    <t>南京浦上信息科技有限公司</t>
  </si>
  <si>
    <t>南京车小保信息科技有限公司</t>
  </si>
  <si>
    <t>合肥企好服企业服务有限公司</t>
  </si>
  <si>
    <t>周口蝉益行网络科技有限公司</t>
  </si>
  <si>
    <t>四川迈向未来信息科技有限公司</t>
  </si>
  <si>
    <t>安徽奇那梦信息科技有限公司</t>
  </si>
  <si>
    <t>安徽易派网络科技有限公司</t>
  </si>
  <si>
    <t>常州市久诺通信科技有限公司</t>
  </si>
  <si>
    <t>广州丰兴信息科技有限公司</t>
  </si>
  <si>
    <t>广州吉先信息科技有限公司</t>
  </si>
  <si>
    <t>广州子轩网络科技有限公司</t>
  </si>
  <si>
    <t>库迪供应链(安徽)有限公司</t>
  </si>
  <si>
    <t>开放平台供应商</t>
  </si>
  <si>
    <t>成都彦浩信息技术有限公司</t>
  </si>
  <si>
    <t>成都极风权益网络科技有限公司</t>
  </si>
  <si>
    <t>成都林宇众创网络科技有限公司</t>
  </si>
  <si>
    <t>成都芭乐网络科技有限公司</t>
  </si>
  <si>
    <t>成都蓝色兄弟网络科技有限公司</t>
  </si>
  <si>
    <t>承德幽暗城网络科技有限公司</t>
  </si>
  <si>
    <t>承德韦惠网络科技有限公司</t>
  </si>
  <si>
    <t>网游</t>
  </si>
  <si>
    <t>新沂福之禄至信息技术有限公司</t>
  </si>
  <si>
    <t>关联</t>
  </si>
  <si>
    <t>四川茶姬企业管理有限公司</t>
  </si>
  <si>
    <t>杭州快驾智行科技有限公司</t>
  </si>
  <si>
    <t>杭州玉镜信息技术有限公司</t>
  </si>
  <si>
    <t>杭州瑞普科技有限公司</t>
  </si>
  <si>
    <t>杭州福之禄至信息技术有限公司</t>
  </si>
  <si>
    <t>深圳市腾讯计算机系统有限公司</t>
  </si>
  <si>
    <t>杭州胖果网络科技有限公司</t>
  </si>
  <si>
    <t>武汉一起游网络科技有限公司</t>
  </si>
  <si>
    <t>四川速宝网络科技有限公司</t>
  </si>
  <si>
    <t>手游</t>
  </si>
  <si>
    <t>武汉京东世纪贸易有限公司</t>
  </si>
  <si>
    <t>武汉亿禄网络科技有限公司</t>
  </si>
  <si>
    <t>武汉瓯越网视有限公司</t>
  </si>
  <si>
    <t>武汉双立网络科技有限公司</t>
  </si>
  <si>
    <t>武汉天识科技有限公司</t>
  </si>
  <si>
    <t>上海闪限网络科技有限公司</t>
  </si>
  <si>
    <t>北京蜜莱坞网络科技有限公司</t>
  </si>
  <si>
    <t>嘉兴九州信息技术有限公司</t>
  </si>
  <si>
    <t>广州唯品会电子商务有限公司</t>
  </si>
  <si>
    <t>掌阅科技股份有限公司</t>
  </si>
  <si>
    <t>福建网龙计算机网络信息技术有限公司</t>
  </si>
  <si>
    <t>武汉小狮子网络科技有限公司</t>
  </si>
  <si>
    <t>武汉岚廷科技有限公司</t>
  </si>
  <si>
    <t>武汉巨犀网络科技有限公司</t>
  </si>
  <si>
    <t>武汉市黄陂区盘龙城小游网络工作室</t>
  </si>
  <si>
    <t>武汉昌盛科技有限公司</t>
  </si>
  <si>
    <t>武汉福禄信息科技有限公司</t>
  </si>
  <si>
    <t>拉扎斯网络科技(上海)有限公司</t>
  </si>
  <si>
    <t>深圳乐播科技有限公司</t>
  </si>
  <si>
    <t>湖南风芒传媒有限公司</t>
  </si>
  <si>
    <t>武汉网娱互动科技有限公司</t>
  </si>
  <si>
    <t>武汉艾杜电子商务有限公司</t>
  </si>
  <si>
    <t>武汉萌桃网络科技有限公司</t>
  </si>
  <si>
    <t>江苏久雅通信科技有限公司</t>
  </si>
  <si>
    <t>江苏佰联数字科技有限公司</t>
  </si>
  <si>
    <t>沃熙数据技术(陕西)有限公司</t>
  </si>
  <si>
    <t>沭阳惠联信息技术有限公司</t>
  </si>
  <si>
    <t>沭阳数宇科技有限公司</t>
  </si>
  <si>
    <t>支付宝(中国)网络技术有限公司</t>
  </si>
  <si>
    <t>沭阳畅盈科技信息技术有限公司</t>
  </si>
  <si>
    <t>河北玳邦科技有限公司</t>
  </si>
  <si>
    <t>深圳七数科技有限公司</t>
  </si>
  <si>
    <t>深圳市博宽网络科技有限公司</t>
  </si>
  <si>
    <t>温州耀扬网络科技有限公司</t>
  </si>
  <si>
    <t>湖北喆胡信息技术有限公司</t>
  </si>
  <si>
    <t>湖北畅盈科技信息技术有限公司</t>
  </si>
  <si>
    <t>湖北福之禄至网络科技有限公司</t>
  </si>
  <si>
    <t>上海盒马网络科技有限公司</t>
  </si>
  <si>
    <t>北京京东世纪信息技术有限公司</t>
  </si>
  <si>
    <t>深圳市奈雪餐饮管理有限公司</t>
  </si>
  <si>
    <t>深圳美西西餐饮管理有限公司</t>
  </si>
  <si>
    <t>环胜电子商务(上海)有限公司</t>
  </si>
  <si>
    <t>金拱门(中国)有限公司</t>
  </si>
  <si>
    <t>瑞幸咖啡(中国)有限公司</t>
  </si>
  <si>
    <t>福建福禄网络科技有限公司</t>
  </si>
  <si>
    <t>北京钱袋宝支付技术有限公司</t>
  </si>
  <si>
    <t>财付通支付科技有限公司</t>
  </si>
  <si>
    <t>西藏福禄网络科技有限公司</t>
  </si>
  <si>
    <t>上海三快智送科技有限公司</t>
  </si>
  <si>
    <t>上海临冠数据科技有限公司</t>
  </si>
  <si>
    <t>上海宽娱数码科技有限公司</t>
  </si>
  <si>
    <t>上海海牙湾信息科技有限公司</t>
  </si>
  <si>
    <t>上海荣数信息技术有限公司</t>
  </si>
  <si>
    <t>北京三快科技有限公司</t>
  </si>
  <si>
    <t>北京字跳网络技术有限公司</t>
  </si>
  <si>
    <t>北京得到信息科技有限公司</t>
  </si>
  <si>
    <t>北京易行出行旅游有限公司</t>
  </si>
  <si>
    <t>华为软件技术有限公司</t>
  </si>
  <si>
    <t>南京飞翰网络科技有限公司</t>
  </si>
  <si>
    <t>古茗科技集团有限公司</t>
  </si>
  <si>
    <t>同程网络科技股份有限公司</t>
  </si>
  <si>
    <t>四川蜀信致远企业管理咨询有限公司</t>
  </si>
  <si>
    <t>天津猫眼微影科技有限公司</t>
  </si>
  <si>
    <t>安徽兑吧网络科技有限公司</t>
  </si>
  <si>
    <t>广东玄润数字信息科技股份有限公司</t>
  </si>
  <si>
    <t>支付宝(杭州)信息技术有限公司</t>
  </si>
  <si>
    <t>易点生活电子商务有限公司</t>
  </si>
  <si>
    <t>杭州乐读科技有限公司</t>
  </si>
  <si>
    <t>杭州哩塔网络技术有限公司</t>
  </si>
  <si>
    <t>永辉超市股份有限公司</t>
  </si>
  <si>
    <t>浙江天猫供应链管理有限公司</t>
  </si>
  <si>
    <t>浙江天猫技术有限公司</t>
  </si>
  <si>
    <t>深圳依时货拉拉科技有限公司</t>
  </si>
  <si>
    <t>深圳市渡渡鸟网络科技有限公司</t>
  </si>
  <si>
    <t>湖南快乐阳光互动娱乐传媒有限公司</t>
  </si>
  <si>
    <t>滴滴出行(北京)网络平台技术有限公司</t>
  </si>
  <si>
    <t>福州乾川信息技术有限公司</t>
  </si>
  <si>
    <t>西安瑜乐文化科技股份有限公司</t>
  </si>
  <si>
    <t>赛韵网络科技(上海)有限公司</t>
  </si>
  <si>
    <t>飞狐信息技术(天津)有限公司</t>
  </si>
  <si>
    <t>西藏葫芦娃网络科技有限公司</t>
  </si>
  <si>
    <t>一九零五(北京)网络科技有限公司</t>
  </si>
  <si>
    <t>上海汇畅网络科技有限公司</t>
  </si>
  <si>
    <t>上海淘票票影视文化有限公司</t>
  </si>
  <si>
    <t>上海阅文信息技术有限公司</t>
  </si>
  <si>
    <t>上海馥邑企业管理有限公司</t>
  </si>
  <si>
    <t>乐视新生代(北京)文化传媒有限公司</t>
  </si>
  <si>
    <t>北京优趣时光文化科技有限公司</t>
  </si>
  <si>
    <t>北京儒意景秀网络科技有限公司</t>
  </si>
  <si>
    <t>北京度友科技有限公司</t>
  </si>
  <si>
    <t>南昌汉颂信息科技有限公司</t>
  </si>
  <si>
    <t>广州极目未来文化科技有限公司</t>
  </si>
  <si>
    <t>广州津虹网络传媒有限公司</t>
  </si>
  <si>
    <t>广州骑安科技有限公司</t>
  </si>
  <si>
    <t>微梦创科网络科技(中国)有限公司</t>
  </si>
  <si>
    <t>杭州青奇科技有限公司</t>
  </si>
  <si>
    <t>武汉享全益网络科技有限公司</t>
  </si>
  <si>
    <t>武汉德驰立方网络科技有限公司</t>
  </si>
  <si>
    <t>武汉熠汇饮科技有限公司</t>
  </si>
  <si>
    <t>深圳市丰巢信息技术有限公司</t>
  </si>
  <si>
    <t>深圳市脸萌科技有限公司</t>
  </si>
  <si>
    <t>深圳市迅雷网络技术有限公司</t>
  </si>
  <si>
    <t>湖北异想天开生物科技有限公司</t>
  </si>
  <si>
    <t>湖南微算互联信息技术有限公司</t>
  </si>
  <si>
    <t>陕西佳之易网络科技有限公司</t>
  </si>
  <si>
    <t>连云港坤一数字科技有限责任公司</t>
  </si>
  <si>
    <t>郑州帅雄网络科技有限公司</t>
  </si>
  <si>
    <t>重庆贰叁伍科技有限责任公司</t>
  </si>
  <si>
    <t>银盛通信有限公司</t>
  </si>
  <si>
    <t>长沙可近网络科技有限公司</t>
  </si>
  <si>
    <t>长沙瑞联互动数码科技有限公司</t>
  </si>
  <si>
    <t>陕西网之聚网络科技有限公司</t>
  </si>
  <si>
    <t>馨欣信息技术(西安)有限公司</t>
  </si>
  <si>
    <t>成都俊云科技有限公司</t>
  </si>
  <si>
    <t>生活服务</t>
  </si>
  <si>
    <t>武汉康佳美贸易有限公司</t>
  </si>
  <si>
    <t>武汉福禄权益包供应</t>
  </si>
  <si>
    <t>西藏福禄付费券包供应</t>
  </si>
  <si>
    <t>武汉福禄Q音权益包供货</t>
  </si>
  <si>
    <t>武汉福禄付费券包供应</t>
  </si>
  <si>
    <t>武汉立硕权益包供应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</si>
</sst>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3" fontId="1" fillId="0" borderId="0" xfId="0" applyNumberFormat="1" applyFont="1">
      <alignment vertical="center"/>
    </xf>
    <xf numFmtId="14" fontId="1" fillId="0" borderId="0" xfId="0" applyNumberFormat="1" applyFont="1" applyAlignment="1">
      <alignment horizontal="left" vertical="center"/>
    </xf>
    <xf numFmtId="43" fontId="0" fillId="0" borderId="0" xfId="0" applyNumberFormat="1">
      <alignment vertical="center"/>
    </xf>
    <xf numFmtId="0" fontId="0" fillId="2" borderId="0" xfId="0" applyFill="1">
      <alignment vertical="center"/>
    </xf>
    <xf numFmtId="43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6.7842824074" refreshedBy="Administrator" recordCount="339">
  <cacheSource type="worksheet">
    <worksheetSource ref="A1:R340" sheet="供应商毛利原表"/>
  </cacheSource>
  <cacheFields count="18">
    <cacheField name="月份" numFmtId="14">
      <sharedItems containsSemiMixedTypes="0" containsString="0" containsNonDate="0" containsDate="1" minDate="2025-11-01T00:00:00" maxDate="2025-11-01T00:00:00" count="1">
        <d v="2025-11-01T00:00:00"/>
      </sharedItems>
    </cacheField>
    <cacheField name="数据源" numFmtId="0">
      <sharedItems count="3">
        <s v="ERP合单数据"/>
        <s v="BI人工导入-订单收入"/>
        <s v="BI表单-残值收入"/>
      </sharedItems>
    </cacheField>
    <cacheField name="所属公司" numFmtId="0">
      <sharedItems count="2">
        <s v="武汉福禄网络科技有限公司"/>
        <s v="武汉立硕科技有限公司"/>
      </sharedItems>
    </cacheField>
    <cacheField name="供应商名称" numFmtId="0">
      <sharedItems containsBlank="1" count="92">
        <s v="一璟科技信息服务(武汉)有限公司"/>
        <s v="上海喜马拉雅科技有限公司"/>
        <s v="上海季积信息科技有限公司"/>
        <s v="上海普麦信息科技有限公司"/>
        <s v="上海荟分信息科技有限公司"/>
        <s v="东莞市达布嘉网络科技有限公司"/>
        <s v="仁跃电子商务(上海)有限公司"/>
        <s v="内部自制权益供货"/>
        <s v="北京一击企服科技有限公司"/>
        <s v="北京三快在线科技有限公司"/>
        <s v="北京悦途出行网络科技有限公司"/>
        <s v="北京爱奇艺科技有限公司"/>
        <s v="北京特特天地科技有限公司"/>
        <s v="北京超城联创科技有限公司"/>
        <s v="南京六六猴信息科技有限公司"/>
        <s v="南京捷融数科科技有限公司"/>
        <s v="南京梦尚网络科技有限公司"/>
        <s v="南京浦上信息科技有限公司"/>
        <s v="南京车小保信息科技有限公司"/>
        <s v="合肥企好服企业服务有限公司"/>
        <s v="周口蝉益行网络科技有限公司"/>
        <s v="四川迈向未来信息科技有限公司"/>
        <s v="安徽奇那梦信息科技有限公司"/>
        <s v="安徽易派网络科技有限公司"/>
        <s v="常州市久诺通信科技有限公司"/>
        <s v="广州丰兴信息科技有限公司"/>
        <s v="广州吉先信息科技有限公司"/>
        <s v="广州子轩网络科技有限公司"/>
        <s v="库迪供应链(安徽)有限公司"/>
        <s v="开放平台供应商"/>
        <s v="成都彦浩信息技术有限公司"/>
        <s v="成都极风权益网络科技有限公司"/>
        <s v="成都林宇众创网络科技有限公司"/>
        <s v="成都芭乐网络科技有限公司"/>
        <s v="成都蓝色兄弟网络科技有限公司"/>
        <s v="承德幽暗城网络科技有限公司"/>
        <s v="承德韦惠网络科技有限公司"/>
        <s v="新沂福之禄至信息技术有限公司"/>
        <s v="杭州快驾智行科技有限公司"/>
        <s v="杭州玉镜信息技术有限公司"/>
        <s v="杭州瑞普科技有限公司"/>
        <s v="杭州福之禄至信息技术有限公司"/>
        <s v="杭州胖果网络科技有限公司"/>
        <s v="武汉一起游网络科技有限公司"/>
        <s v="武汉京东世纪贸易有限公司"/>
        <s v="武汉亿禄网络科技有限公司"/>
        <s v="武汉双立网络科技有限公司"/>
        <s v="武汉天识科技有限公司"/>
        <s v="武汉小狮子网络科技有限公司"/>
        <s v="武汉岚廷科技有限公司"/>
        <s v="武汉巨犀网络科技有限公司"/>
        <s v="武汉市黄陂区盘龙城小游网络工作室"/>
        <s v="武汉昌盛科技有限公司"/>
        <s v="武汉福禄信息科技有限公司"/>
        <s v="武汉福禄网络科技有限公司"/>
        <s v="武汉立硕科技有限公司"/>
        <s v="武汉网娱互动科技有限公司"/>
        <s v="武汉艾杜电子商务有限公司"/>
        <s v="武汉萌桃网络科技有限公司"/>
        <s v="江苏久雅通信科技有限公司"/>
        <s v="江苏佰联数字科技有限公司"/>
        <s v="沃熙数据技术(陕西)有限公司"/>
        <s v="沭阳惠联信息技术有限公司"/>
        <s v="沭阳数宇科技有限公司"/>
        <s v="沭阳畅盈科技信息技术有限公司"/>
        <s v="河北玳邦科技有限公司"/>
        <s v="深圳七数科技有限公司"/>
        <s v="深圳市博宽网络科技有限公司"/>
        <s v="温州耀扬网络科技有限公司"/>
        <s v="湖北喆胡信息技术有限公司"/>
        <s v="湖北畅盈科技信息技术有限公司"/>
        <s v="湖北福之禄至网络科技有限公司"/>
        <s v="瑞幸咖啡(中国)有限公司"/>
        <s v="福建福禄网络科技有限公司"/>
        <s v="西藏福禄网络科技有限公司"/>
        <s v="西藏葫芦娃网络科技有限公司"/>
        <s v="连云港坤一数字科技有限责任公司"/>
        <s v="郑州帅雄网络科技有限公司"/>
        <s v="重庆贰叁伍科技有限责任公司"/>
        <s v="银盛通信有限公司"/>
        <s v="长沙可近网络科技有限公司"/>
        <s v="长沙瑞联互动数码科技有限公司"/>
        <s v="陕西网之聚网络科技有限公司"/>
        <s v="馨欣信息技术(西安)有限公司"/>
        <m/>
        <s v="成都俊云科技有限公司"/>
        <s v="武汉康佳美贸易有限公司"/>
        <s v="武汉福禄权益包供应"/>
        <s v="西藏福禄付费券包供应"/>
        <s v="武汉福禄Q音权益包供货"/>
        <s v="武汉福禄付费券包供应"/>
        <s v="武汉立硕权益包供应"/>
      </sharedItems>
    </cacheField>
    <cacheField name="是否关联供应商" numFmtId="0">
      <sharedItems containsBlank="1" containsNumber="1" containsInteger="1" containsMixedTypes="1" count="4">
        <s v="非关联"/>
        <s v="关联"/>
        <n v="1"/>
        <m/>
      </sharedItems>
    </cacheField>
    <cacheField name="外部供应商名称" numFmtId="0">
      <sharedItems containsBlank="1" count="163">
        <s v="一璟科技信息服务(武汉)有限公司"/>
        <s v="上海喜马拉雅科技有限公司"/>
        <s v="上海季积信息科技有限公司"/>
        <s v="上海普麦信息科技有限公司"/>
        <s v="上海荟分信息科技有限公司"/>
        <s v="东莞市达布嘉网络科技有限公司"/>
        <s v="仁跃电子商务(上海)有限公司"/>
        <s v="内部自制权益供货"/>
        <s v="北京一击企服科技有限公司"/>
        <s v="北京三快在线科技有限公司"/>
        <s v="北京悦途出行网络科技有限公司"/>
        <s v="北京爱奇艺科技有限公司"/>
        <s v="北京特特天地科技有限公司"/>
        <s v="北京超城联创科技有限公司"/>
        <s v="南京六六猴信息科技有限公司"/>
        <s v="南京捷融数科科技有限公司"/>
        <s v="南京梦尚网络科技有限公司"/>
        <s v="南京浦上信息科技有限公司"/>
        <s v="南京车小保信息科技有限公司"/>
        <s v="合肥企好服企业服务有限公司"/>
        <s v="周口蝉益行网络科技有限公司"/>
        <s v="四川迈向未来信息科技有限公司"/>
        <s v="安徽奇那梦信息科技有限公司"/>
        <s v="安徽易派网络科技有限公司"/>
        <s v="常州市久诺通信科技有限公司"/>
        <s v="广州丰兴信息科技有限公司"/>
        <s v="广州吉先信息科技有限公司"/>
        <s v="广州子轩网络科技有限公司"/>
        <s v="库迪供应链(安徽)有限公司"/>
        <s v="开放平台供应商"/>
        <s v="成都彦浩信息技术有限公司"/>
        <s v="成都极风权益网络科技有限公司"/>
        <s v="成都林宇众创网络科技有限公司"/>
        <s v="成都芭乐网络科技有限公司"/>
        <s v="成都蓝色兄弟网络科技有限公司"/>
        <s v="承德幽暗城网络科技有限公司"/>
        <s v="承德韦惠网络科技有限公司"/>
        <s v="四川茶姬企业管理有限公司"/>
        <s v="杭州快驾智行科技有限公司"/>
        <s v="杭州玉镜信息技术有限公司"/>
        <s v="杭州瑞普科技有限公司"/>
        <s v="深圳市腾讯计算机系统有限公司"/>
        <s v="杭州胖果网络科技有限公司"/>
        <s v="四川速宝网络科技有限公司"/>
        <s v="武汉京东世纪贸易有限公司"/>
        <s v="武汉瓯越网视有限公司"/>
        <s v="武汉双立网络科技有限公司"/>
        <s v="上海闪限网络科技有限公司"/>
        <s v="北京蜜莱坞网络科技有限公司"/>
        <s v="嘉兴九州信息技术有限公司"/>
        <s v="广州唯品会电子商务有限公司"/>
        <s v="掌阅科技股份有限公司"/>
        <s v="福建网龙计算机网络信息技术有限公司"/>
        <s v="武汉小狮子网络科技有限公司"/>
        <s v="武汉岚廷科技有限公司"/>
        <s v="武汉巨犀网络科技有限公司"/>
        <s v="武汉市黄陂区盘龙城小游网络工作室"/>
        <s v="武汉昌盛科技有限公司"/>
        <s v="拉扎斯网络科技(上海)有限公司"/>
        <s v="深圳乐播科技有限公司"/>
        <s v="湖南风芒传媒有限公司"/>
        <s v="武汉网娱互动科技有限公司"/>
        <s v="武汉艾杜电子商务有限公司"/>
        <s v="武汉萌桃网络科技有限公司"/>
        <s v="江苏久雅通信科技有限公司"/>
        <s v="江苏佰联数字科技有限公司"/>
        <s v="沃熙数据技术(陕西)有限公司"/>
        <s v="沭阳惠联信息技术有限公司"/>
        <s v="支付宝(中国)网络技术有限公司"/>
        <s v="沭阳畅盈科技信息技术有限公司"/>
        <s v="河北玳邦科技有限公司"/>
        <s v="深圳七数科技有限公司"/>
        <s v="深圳市博宽网络科技有限公司"/>
        <s v="温州耀扬网络科技有限公司"/>
        <s v="湖北喆胡信息技术有限公司"/>
        <s v="湖北畅盈科技信息技术有限公司"/>
        <s v="上海盒马网络科技有限公司"/>
        <s v="北京京东世纪信息技术有限公司"/>
        <s v="深圳市奈雪餐饮管理有限公司"/>
        <s v="深圳美西西餐饮管理有限公司"/>
        <s v="环胜电子商务(上海)有限公司"/>
        <s v="金拱门(中国)有限公司"/>
        <s v="瑞幸咖啡(中国)有限公司"/>
        <s v="北京钱袋宝支付技术有限公司"/>
        <s v="福建福禄网络科技有限公司"/>
        <s v="财付通支付科技有限公司"/>
        <m/>
        <s v="上海三快智送科技有限公司"/>
        <s v="上海临冠数据科技有限公司"/>
        <s v="上海宽娱数码科技有限公司"/>
        <s v="上海海牙湾信息科技有限公司"/>
        <s v="上海荣数信息技术有限公司"/>
        <s v="北京三快科技有限公司"/>
        <s v="北京字跳网络技术有限公司"/>
        <s v="北京得到信息科技有限公司"/>
        <s v="北京易行出行旅游有限公司"/>
        <s v="华为软件技术有限公司"/>
        <s v="南京飞翰网络科技有限公司"/>
        <s v="古茗科技集团有限公司"/>
        <s v="同程网络科技股份有限公司"/>
        <s v="四川蜀信致远企业管理咨询有限公司"/>
        <s v="天津猫眼微影科技有限公司"/>
        <s v="安徽兑吧网络科技有限公司"/>
        <s v="广东玄润数字信息科技股份有限公司"/>
        <s v="支付宝(杭州)信息技术有限公司"/>
        <s v="易点生活电子商务有限公司"/>
        <s v="杭州乐读科技有限公司"/>
        <s v="杭州哩塔网络技术有限公司"/>
        <s v="永辉超市股份有限公司"/>
        <s v="浙江天猫供应链管理有限公司"/>
        <s v="浙江天猫技术有限公司"/>
        <s v="深圳依时货拉拉科技有限公司"/>
        <s v="深圳市渡渡鸟网络科技有限公司"/>
        <s v="湖南快乐阳光互动娱乐传媒有限公司"/>
        <s v="滴滴出行(北京)网络平台技术有限公司"/>
        <s v="福州乾川信息技术有限公司"/>
        <s v="西安瑜乐文化科技股份有限公司"/>
        <s v="西藏福禄网络科技有限公司"/>
        <s v="赛韵网络科技(上海)有限公司"/>
        <s v="飞狐信息技术(天津)有限公司"/>
        <s v="一九零五(北京)网络科技有限公司"/>
        <s v="上海汇畅网络科技有限公司"/>
        <s v="上海淘票票影视文化有限公司"/>
        <s v="上海阅文信息技术有限公司"/>
        <s v="上海馥邑企业管理有限公司"/>
        <s v="乐视新生代(北京)文化传媒有限公司"/>
        <s v="北京优趣时光文化科技有限公司"/>
        <s v="北京儒意景秀网络科技有限公司"/>
        <s v="北京度友科技有限公司"/>
        <s v="南昌汉颂信息科技有限公司"/>
        <s v="广州极目未来文化科技有限公司"/>
        <s v="广州津虹网络传媒有限公司"/>
        <s v="广州骑安科技有限公司"/>
        <s v="微梦创科网络科技(中国)有限公司"/>
        <s v="杭州青奇科技有限公司"/>
        <s v="武汉享全益网络科技有限公司"/>
        <s v="武汉德驰立方网络科技有限公司"/>
        <s v="武汉熠汇饮科技有限公司"/>
        <s v="深圳市丰巢信息技术有限公司"/>
        <s v="深圳市脸萌科技有限公司"/>
        <s v="深圳市迅雷网络技术有限公司"/>
        <s v="湖北异想天开生物科技有限公司"/>
        <s v="湖南微算互联信息技术有限公司"/>
        <s v="西藏葫芦娃网络科技有限公司"/>
        <s v="陕西佳之易网络科技有限公司"/>
        <s v="连云港坤一数字科技有限责任公司"/>
        <s v="郑州帅雄网络科技有限公司"/>
        <s v="重庆贰叁伍科技有限责任公司"/>
        <s v="银盛通信有限公司"/>
        <s v="长沙可近网络科技有限公司"/>
        <s v="长沙瑞联互动数码科技有限公司"/>
        <s v="陕西网之聚网络科技有限公司"/>
        <s v="馨欣信息技术(西安)有限公司"/>
        <s v="成都俊云科技有限公司"/>
        <s v="武汉立硕科技有限公司"/>
        <s v="湖北福之禄至网络科技有限公司"/>
        <s v="武汉康佳美贸易有限公司"/>
        <s v="武汉福禄网络科技有限公司"/>
        <s v="武汉福禄权益包供应"/>
        <s v="西藏福禄付费券包供应"/>
        <s v="武汉福禄Q音权益包供货"/>
        <s v="武汉福禄付费券包供应"/>
        <s v="武汉立硕权益包供应"/>
      </sharedItems>
    </cacheField>
    <cacheField name="商品大类" numFmtId="0">
      <sharedItems count="6">
        <s v="卡券"/>
        <s v="网娱"/>
        <s v="通信"/>
        <s v="网游"/>
        <s v="手游"/>
        <s v="生活服务"/>
      </sharedItems>
    </cacheField>
    <cacheField name="gmv" numFmtId="43">
      <sharedItems containsString="0" containsBlank="1" containsNumber="1" minValue="-5521.38" maxValue="59824028.3" count="316">
        <n v="13475.05"/>
        <n v="17855.85"/>
        <n v="26030.976"/>
        <n v="9570.97"/>
        <n v="175"/>
        <n v="88582.8"/>
        <n v="2501.56"/>
        <n v="1181.86"/>
        <m/>
        <n v="158.2"/>
        <n v="269.4"/>
        <n v="838.4"/>
        <n v="232539.86"/>
        <n v="1395.9"/>
        <n v="29970.9"/>
        <n v="491.4"/>
        <n v="273.48"/>
        <n v="0.9764"/>
        <n v="282681.36"/>
        <n v="1088605.5989"/>
        <n v="3900"/>
        <n v="162"/>
        <n v="127700.6"/>
        <n v="1984777.45"/>
        <n v="7291.5"/>
        <n v="955.12"/>
        <n v="47989.7956"/>
        <n v="19990.93"/>
        <n v="16585.5"/>
        <n v="500"/>
        <n v="143985"/>
        <n v="2979"/>
        <n v="348626.75"/>
        <n v="447781.82"/>
        <n v="64205.8"/>
        <n v="156.8"/>
        <n v="9536"/>
        <n v="28644"/>
        <n v="119877"/>
        <n v="37876.4"/>
        <n v="184.84477364"/>
        <n v="805.6"/>
        <n v="278.16"/>
        <n v="732.8"/>
        <n v="46.92"/>
        <n v="20380.75"/>
        <n v="31228.38"/>
        <n v="34.8"/>
        <n v="31419.21"/>
        <n v="32.25"/>
        <n v="42.8"/>
        <n v="18834.961"/>
        <n v="3746.23"/>
        <n v="2271.8"/>
        <n v="277.91"/>
        <n v="49148.7928"/>
        <n v="3616.35"/>
        <n v="2790.4665"/>
        <n v="4510.26"/>
        <n v="99"/>
        <n v="9800"/>
        <n v="2763.36"/>
        <n v="952.72"/>
        <n v="805.7475"/>
        <n v="18673.98"/>
        <n v="181882.76"/>
        <n v="12"/>
        <n v="17.85"/>
        <n v="1313.72355592"/>
        <n v="1.6"/>
        <n v="458708.44"/>
        <n v="293.36"/>
        <n v="11187.5"/>
        <n v="2325"/>
        <n v="140775.5"/>
        <n v="389108.5"/>
        <n v="73721.35"/>
        <n v="1600"/>
        <n v="1704235.9628"/>
        <n v="405.8"/>
        <n v="30"/>
        <n v="23.2"/>
        <n v="57618"/>
        <n v="4566457"/>
        <n v="100000"/>
        <n v="936981.627"/>
        <n v="14.9"/>
        <n v="1162748"/>
        <n v="16565.4"/>
        <n v="13.95"/>
        <n v="41.25"/>
        <n v="544953.145"/>
        <n v="59320.33"/>
        <n v="501.768"/>
        <n v="861.36"/>
        <n v="50668.8"/>
        <n v="41078"/>
        <n v="20092.5"/>
        <n v="170165"/>
        <n v="3654"/>
        <n v="443141.92"/>
        <n v="0.0006"/>
        <n v="435.77"/>
        <n v="55576.5"/>
        <n v="8932.7053"/>
        <n v="271741.5431"/>
        <n v="223680.81"/>
        <n v="450434.26"/>
        <n v="151235.5"/>
        <n v="7400"/>
        <n v="5921.4"/>
        <n v="97064.08"/>
        <n v="152487.4"/>
        <n v="190723.25"/>
        <n v="8197.2"/>
        <n v="800"/>
        <n v="266120.81"/>
        <n v="0.05"/>
        <n v="144481.25"/>
        <n v="457528.01"/>
        <n v="14214.22"/>
        <n v="3181064.84"/>
        <n v="123193.225"/>
        <n v="35682.9"/>
        <n v="1825.52"/>
        <n v="50816.7"/>
        <n v="17538.9"/>
        <n v="225883.5711"/>
        <n v="68026.7832"/>
        <n v="283350.12"/>
        <n v="656751.32"/>
        <n v="25742.55"/>
        <n v="15055.12"/>
        <n v="5123.7"/>
        <n v="7477.9"/>
        <n v="223592.053"/>
        <n v="327097.549"/>
        <n v="114124.13"/>
        <n v="128373"/>
        <n v="11533.31822489"/>
        <n v="1005"/>
        <n v="102.1"/>
        <n v="8950"/>
        <n v="1522151.07"/>
        <n v="461027.2"/>
        <n v="200.7358"/>
        <n v="245"/>
        <n v="86"/>
        <n v="20295.33"/>
        <n v="18455.74"/>
        <n v="119885.21"/>
        <n v="74007.16"/>
        <n v="21015.02"/>
        <n v="18.6"/>
        <n v="354190.5"/>
        <n v="167968.8"/>
        <n v="171061.77"/>
        <n v="221630.25"/>
        <n v="110843.58"/>
        <n v="661860.47"/>
        <n v="188211"/>
        <n v="2328"/>
        <n v="6554872.85"/>
        <n v="5769824.2225"/>
        <n v="29491.65"/>
        <n v="118.8"/>
        <n v="6227.9"/>
        <n v="115283.3"/>
        <n v="3262"/>
        <n v="286"/>
        <n v="46671"/>
        <n v="549889.5"/>
        <n v="203.1"/>
        <n v="14.4"/>
        <n v="48670.4716"/>
        <n v="27998.01"/>
        <n v="864"/>
        <n v="25413.81"/>
        <n v="2421.34"/>
        <n v="0.19"/>
        <n v="725.8"/>
        <n v="278.7"/>
        <n v="262.448"/>
        <n v="9291.9"/>
        <n v="713253.5"/>
        <n v="5392.35"/>
        <n v="14480.05"/>
        <n v="897.05"/>
        <n v="570.55"/>
        <n v="18394983.48"/>
        <n v="59824028.3"/>
        <n v="404341"/>
        <n v="90000"/>
        <n v="264561.68"/>
        <n v="19975.68"/>
        <n v="22744.6118"/>
        <n v="7573.44"/>
        <n v="0.002"/>
        <n v="12610"/>
        <n v="1066.5"/>
        <n v="2450"/>
        <n v="665.6"/>
        <n v="357485.46"/>
        <n v="260.5"/>
        <n v="10437.194"/>
        <n v="364.8"/>
        <n v="10300.95"/>
        <n v="55727.69"/>
        <n v="70045.3"/>
        <n v="232318.5"/>
        <n v="931.6"/>
        <n v="201742.81"/>
        <n v="28.5"/>
        <n v="206"/>
        <n v="291.5"/>
        <n v="11919"/>
        <n v="11003.1606"/>
        <n v="910.05"/>
        <n v="615"/>
        <n v="60.48"/>
        <n v="239.8"/>
        <n v="138"/>
        <n v="101235.23"/>
        <n v="4880.75"/>
        <n v="84"/>
        <n v="0.04"/>
        <n v="92.7"/>
        <n v="20"/>
        <n v="9206.404"/>
        <n v="30000"/>
        <n v="88910.5"/>
        <n v="11.2"/>
        <n v="26150.75"/>
        <n v="540"/>
        <n v="1725.45"/>
        <n v="1435"/>
        <n v="4439.6"/>
        <n v="1695.54"/>
        <n v="97127.2"/>
        <n v="1272.6"/>
        <n v="71840.61"/>
        <n v="7834.72"/>
        <n v="892726.11"/>
        <n v="970.1"/>
        <n v="15268.46"/>
        <n v="337590.01"/>
        <n v="210.72"/>
        <n v="278030.89"/>
        <n v="1368.2"/>
        <n v="21703.21"/>
        <n v="517659.75"/>
        <n v="34844"/>
        <n v="6692"/>
        <n v="27061.39"/>
        <n v="542.5"/>
        <n v="44838"/>
        <n v="124824.168"/>
        <n v="23771.3001"/>
        <n v="24456.35"/>
        <n v="997.6"/>
        <n v="934681.11"/>
        <n v="44.1"/>
        <n v="9935.8"/>
        <n v="15024"/>
        <n v="0.16"/>
        <n v="9443"/>
        <n v="899.1"/>
        <n v="400.12"/>
        <n v="352"/>
        <n v="35712.218"/>
        <n v="16737.04"/>
        <n v="46.4"/>
        <n v="101.71795241"/>
        <n v="459"/>
        <n v="7840.2"/>
        <n v="158156.4"/>
        <n v="460469.75"/>
        <n v="33023.4"/>
        <n v="109172.6"/>
        <n v="-0.05"/>
        <n v="98"/>
        <n v="-97.03"/>
        <n v="25.72"/>
        <n v="3012.78839999998"/>
        <n v="4879.47"/>
        <n v="9.19999999999999"/>
        <n v="25.455099999954"/>
        <n v="186625.707200052"/>
        <n v="2527.41999999998"/>
        <n v="954.719999999999"/>
        <n v="143"/>
        <n v="145"/>
        <n v="13683.3000000001"/>
        <n v="297"/>
        <n v="882.62"/>
        <n v="997.5"/>
        <n v="199.4"/>
        <n v="893.087999999995"/>
        <n v="4681.19999999996"/>
        <n v="756020.039999664"/>
        <n v="586.299999999996"/>
        <n v="17092.3999999999"/>
        <n v="4616.44999999999"/>
        <n v="58.7999999999998"/>
        <n v="93.0999999999999"/>
        <n v="388.079999999999"/>
        <n v="60.4199999999994"/>
        <n v="3001.77999999999"/>
        <n v="71295.38"/>
        <n v="559.61"/>
        <n v="157.119999999999"/>
        <n v="481.699999999999"/>
        <n v="13.8"/>
        <n v="11.5"/>
        <n v="1797"/>
        <n v="-5521.38"/>
      </sharedItems>
    </cacheField>
    <cacheField name="成本" numFmtId="43">
      <sharedItems containsString="0" containsBlank="1" containsNumber="1" minValue="-16.2199999999999" maxValue="59674360" count="318">
        <n v="13317.06"/>
        <n v="17770.9"/>
        <n v="31728"/>
        <n v="8413.1"/>
        <n v="291.6"/>
        <n v="85315"/>
        <n v="2595.4"/>
        <n v="1053.9"/>
        <n v="83271.39"/>
        <n v="22867.65"/>
        <n v="147.5"/>
        <n v="860.4"/>
        <n v="243748.08"/>
        <n v="1319.6"/>
        <n v="28871.3"/>
        <n v="454.2"/>
        <n v="208.98"/>
        <m/>
        <n v="282681.36"/>
        <n v="1319224.34"/>
        <n v="3536"/>
        <n v="160"/>
        <n v="152490"/>
        <n v="2364819.2"/>
        <n v="5402.7"/>
        <n v="848.6"/>
        <n v="34332.1"/>
        <n v="18186.3"/>
        <n v="16154"/>
        <n v="489"/>
        <n v="133575.9"/>
        <n v="143550"/>
        <n v="2970"/>
        <n v="341840.975"/>
        <n v="445901.625"/>
        <n v="64205.8"/>
        <n v="155.52"/>
        <n v="9384"/>
        <n v="28336"/>
        <n v="118588"/>
        <n v="36799.5"/>
        <n v="176.14"/>
        <n v="867"/>
        <n v="268.4"/>
        <n v="586.04"/>
        <n v="42.94"/>
        <n v="18747.8"/>
        <n v="31009.8"/>
        <n v="34.8"/>
        <n v="22972"/>
        <n v="31.8"/>
        <n v="42.4"/>
        <n v="17125.89"/>
        <n v="3510.01"/>
        <n v="2090.85"/>
        <n v="220.74"/>
        <n v="40694.45"/>
        <n v="3579.75"/>
        <n v="2505.14"/>
        <n v="4285.45"/>
        <n v="96"/>
        <n v="9350"/>
        <n v="2227.4"/>
        <n v="864.6"/>
        <n v="701.85"/>
        <n v="18111.3"/>
        <n v="160936.33"/>
        <n v="10.2"/>
        <n v="17.15"/>
        <n v="1269.1"/>
        <n v="0.0002"/>
        <n v="440254.97"/>
        <n v="36062.208"/>
        <n v="10400"/>
        <n v="2325"/>
        <n v="137254.1"/>
        <n v="379639"/>
        <n v="73984.75"/>
        <n v="1616.15"/>
        <n v="1979194.432"/>
        <n v="399"/>
        <n v="27.8"/>
        <n v="19.5"/>
        <n v="58200"/>
        <n v="4553413"/>
        <n v="99400"/>
        <n v="933534.654"/>
        <n v="14.9"/>
        <n v="2150.5"/>
        <n v="23080.03"/>
        <n v="1151120.52"/>
        <n v="39.6"/>
        <n v="198.35"/>
        <n v="30"/>
        <n v="16295.564"/>
        <n v="9.85"/>
        <n v="26.15"/>
        <n v="544286.58"/>
        <n v="58493.08"/>
        <n v="7355.7"/>
        <n v="678.99"/>
        <n v="49613.2"/>
        <n v="40872"/>
        <n v="20006"/>
        <n v="116314"/>
        <n v="3465"/>
        <n v="461265.8"/>
        <n v="0.0006"/>
        <n v="391.6017"/>
        <n v="55521.2"/>
        <n v="9628.885"/>
        <n v="408142.68"/>
        <n v="217183"/>
        <n v="443536.8"/>
        <n v="181466.1"/>
        <n v="7481.4"/>
        <n v="5815.76"/>
        <n v="96245.7"/>
        <n v="148702.31"/>
        <n v="184152.15"/>
        <n v="8191.8"/>
        <n v="799.2"/>
        <n v="252810.9"/>
        <n v="0.0005"/>
        <n v="141109.92"/>
        <n v="446273.856"/>
        <n v="13875.92"/>
        <n v="3122764.05"/>
        <n v="122031"/>
        <n v="35080.864"/>
        <n v="1814.176"/>
        <n v="55011.528"/>
        <n v="17441.424"/>
        <n v="265007.6306"/>
        <n v="67222.8565"/>
        <n v="290605.23"/>
        <n v="658378.63"/>
        <n v="25446.72"/>
        <n v="14659.84"/>
        <n v="5015.088"/>
        <n v="7459.088"/>
        <n v="252545.9664"/>
        <n v="317002.452"/>
        <n v="109189.6"/>
        <n v="128373"/>
        <n v="11055"/>
        <n v="1005"/>
        <n v="2995.2"/>
        <n v="8320"/>
        <n v="1514557"/>
        <n v="459400"/>
        <n v="87.5711"/>
        <n v="225"/>
        <n v="84"/>
        <n v="19849.354"/>
        <n v="17016.88"/>
        <n v="103915.5"/>
        <n v="70317"/>
        <n v="20211.13"/>
        <n v="17.25"/>
        <n v="348605.6"/>
        <n v="167286"/>
        <n v="179783.655"/>
        <n v="220323.75"/>
        <n v="104025.6"/>
        <n v="648024.9"/>
        <n v="184397"/>
        <n v="2328"/>
        <n v="6513843.24"/>
        <n v="5744483.65"/>
        <n v="29406.696"/>
        <n v="118.8"/>
        <n v="6046.4021"/>
        <n v="114125.4"/>
        <n v="3777"/>
        <n v="264"/>
        <n v="46624"/>
        <n v="548699.8"/>
        <n v="124.2"/>
        <n v="14"/>
        <n v="47247.3"/>
        <n v="26528.5"/>
        <n v="850.4"/>
        <n v="24525.0196"/>
        <n v="2375.7"/>
        <n v="0.0156"/>
        <n v="0.0001"/>
        <n v="616.0061"/>
        <n v="264.0031"/>
        <n v="241.5"/>
        <n v="8545"/>
        <n v="695044.044"/>
        <n v="5115.915"/>
        <n v="14734.3"/>
        <n v="721.8164"/>
        <n v="195.4159"/>
        <n v="18550848.5"/>
        <n v="59674360"/>
        <n v="403386.2"/>
        <n v="89730"/>
        <n v="265025.98"/>
        <n v="19916.19"/>
        <n v="23913.2"/>
        <n v="7109.1"/>
        <n v="12272.2565"/>
        <n v="1063.37"/>
        <n v="2427.5"/>
        <n v="652.8"/>
        <n v="356785.8"/>
        <n v="0.0187"/>
        <n v="9816"/>
        <n v="1300.48"/>
        <n v="10192.64"/>
        <n v="54929.3804"/>
        <n v="66763.226"/>
        <n v="240017.25"/>
        <n v="8015.5"/>
        <n v="172443.3"/>
        <n v="28.2"/>
        <n v="202.2"/>
        <n v="288.75"/>
        <n v="11877"/>
        <n v="10414.4044"/>
        <n v="887.8"/>
        <n v="58.408"/>
        <n v="235.2"/>
        <n v="93"/>
        <n v="98936.8"/>
        <n v="5284"/>
        <n v="80"/>
        <n v="0.0004"/>
        <n v="63.18"/>
        <n v="0.002"/>
        <n v="4594.302"/>
        <n v="29700"/>
        <n v="87974.6"/>
        <n v="0.0112"/>
        <n v="26322.05"/>
        <n v="525"/>
        <n v="23572.0506"/>
        <n v="1409.4"/>
        <n v="4002.12"/>
        <n v="0.7766"/>
        <n v="68208"/>
        <n v="1212"/>
        <n v="7470.129"/>
        <n v="6804"/>
        <n v="849382.012"/>
        <n v="840.6006"/>
        <n v="12321.2"/>
        <n v="331320.9"/>
        <n v="175.6"/>
        <n v="272601.7"/>
        <n v="1281.5"/>
        <n v="21348.59"/>
        <n v="344456.34"/>
        <n v="30567.6"/>
        <n v="723.9"/>
        <n v="49.5"/>
        <n v="5480"/>
        <n v="24849.13"/>
        <n v="388.25"/>
        <n v="42605.6"/>
        <n v="181389.37"/>
        <n v="19719.7801"/>
        <n v="23457.76"/>
        <n v="986"/>
        <n v="1058782"/>
        <n v="43.2"/>
        <n v="9766.68"/>
        <n v="14833.5"/>
        <n v="0.16"/>
        <n v="9399.3"/>
        <n v="902.85"/>
        <n v="1604.8"/>
        <n v="315.56"/>
        <n v="236.1"/>
        <n v="30661.8"/>
        <n v="15601.05"/>
        <n v="39"/>
        <n v="97.5"/>
        <n v="382.5"/>
        <n v="4451.8"/>
        <n v="154405.44"/>
        <n v="449583.12"/>
        <n v="31936.2"/>
        <n v="105141"/>
        <n v="-16.2199999999999"/>
        <n v="317.589999999999"/>
        <n v="-0.22"/>
        <n v="-0.01"/>
        <n v="-0.04"/>
        <n v="17.9899999999999"/>
        <n v="-1.92"/>
        <n v="2251.63239999997"/>
        <n v="61.4549999999996"/>
        <n v="8.5"/>
        <n v="25.455099999954"/>
        <n v="239939.314699996"/>
        <n v="415.199999999999"/>
        <n v="954.719999999999"/>
        <n v="143"/>
        <n v="145"/>
        <n v="13683.3000000001"/>
        <n v="297"/>
        <n v="496.06"/>
        <n v="997.5"/>
        <n v="199.4"/>
        <n v="82.656"/>
        <n v="4650.99999999996"/>
        <n v="750575.099999556"/>
        <n v="586.299999999996"/>
        <n v="17092.3999999999"/>
        <n v="6066.00000000001"/>
        <n v="58.7999999999998"/>
        <n v="0.0095"/>
        <n v="561"/>
        <n v="60.4199999999994"/>
      </sharedItems>
    </cacheField>
    <cacheField name="退款gmv" numFmtId="43">
      <sharedItems containsString="0" containsBlank="1" containsNumber="1" minValue="-250793.899999999" maxValue="0" count="51">
        <m/>
        <n v="-104.799999999999"/>
        <n v="-3328.89999999999"/>
        <n v="-24.8399999999999"/>
        <n v="-49.95"/>
        <n v="-106.64"/>
        <n v="-19.8"/>
        <n v="-32.13"/>
        <n v="-19883.1735"/>
        <n v="-28.8"/>
        <n v="-960"/>
        <n v="-250793.899999999"/>
        <n v="-40"/>
        <n v="-847.199999999999"/>
        <n v="-78156.8"/>
        <n v="-206"/>
        <n v="-535"/>
        <n v="-5294.70199999999"/>
        <n v="-100.2"/>
        <n v="-1307.59999999999"/>
        <n v="-3564"/>
        <n v="-0.01"/>
        <n v="-321"/>
        <n v="-1348.39999999999"/>
        <n v="-7339.12"/>
        <n v="-1002.5"/>
        <n v="-501.2"/>
        <n v="-100"/>
        <n v="-1680.93"/>
        <n v="-195"/>
        <n v="-108.249999999999"/>
        <n v="-6"/>
        <n v="-530.260823816706"/>
        <n v="-39.1499999999999"/>
        <n v="-29.42"/>
        <n v="-348"/>
        <n v="-118"/>
        <n v="-7526.1770099632"/>
        <n v="-178"/>
        <n v="-16989.89"/>
        <n v="-183.929999999999"/>
        <n v="-10"/>
        <n v="-976"/>
        <n v="-13602.28"/>
        <n v="-595"/>
        <n v="-755"/>
        <n v="-556.22"/>
        <n v="-16288.4"/>
        <n v="-485"/>
        <n v="-14.4"/>
        <n v="-15.3"/>
      </sharedItems>
    </cacheField>
    <cacheField name="退款成本" numFmtId="43">
      <sharedItems containsString="0" containsBlank="1" containsNumber="1" minValue="-266234.399999999" maxValue="0" count="52">
        <m/>
        <n v="-107.549999999999"/>
        <n v="-3662.25"/>
        <n v="-30.9499999999999"/>
        <n v="-48.5"/>
        <n v="-106.15"/>
        <n v="-19.8"/>
        <n v="-29.26"/>
        <n v="-19029.23"/>
        <n v="-28.1999999999999"/>
        <n v="-656"/>
        <n v="-266234.399999999"/>
        <n v="-24.8399999999999"/>
        <n v="-836.399999999999"/>
        <n v="-77537.3"/>
        <n v="-202"/>
        <n v="-525"/>
        <n v="-5047.19999999999"/>
        <n v="-10"/>
        <n v="-100"/>
        <n v="-1342.4"/>
        <n v="-3492"/>
        <n v="-0.0001"/>
        <n v="-312.899999999999"/>
        <n v="-1405.49999999999"/>
        <n v="-8853.3204"/>
        <n v="-1000"/>
        <n v="-498.5"/>
        <n v="-99.7"/>
        <n v="-1438.2"/>
        <n v="-193"/>
        <n v="-117.249999999999"/>
        <n v="-0.0006"/>
        <n v="-434.162999999999"/>
        <n v="-38.3505"/>
        <n v="-0.0049"/>
        <n v="-243.599999999999"/>
        <n v="-106"/>
        <n v="-7076.08059999999"/>
        <n v="-138"/>
        <n v="-15635.6999999999"/>
        <n v="-183.57"/>
        <n v="-8.5"/>
        <n v="-645"/>
        <n v="-12419.04"/>
        <n v="-438.649999999999"/>
        <n v="-714.399999999999"/>
        <n v="-525.24"/>
        <n v="-15601.5099999999"/>
        <n v="-536"/>
        <n v="-13.9"/>
        <n v="-14"/>
      </sharedItems>
    </cacheField>
    <cacheField name="总gmv" numFmtId="43">
      <sharedItems containsString="0" containsBlank="1" containsNumber="1" minValue="-5521.38" maxValue="59823025.8" count="323">
        <n v="13475.05"/>
        <n v="17855.85"/>
        <n v="26030.976"/>
        <n v="9570.97"/>
        <n v="175"/>
        <n v="88582.8"/>
        <n v="2501.56"/>
        <n v="1181.86"/>
        <m/>
        <n v="158.2"/>
        <n v="269.4"/>
        <n v="733.6"/>
        <n v="229210.96"/>
        <n v="1395.9"/>
        <n v="29970.9"/>
        <n v="491.4"/>
        <n v="273.48"/>
        <n v="0.9764"/>
        <n v="282681.36"/>
        <n v="1088605.5989"/>
        <n v="3900"/>
        <n v="162"/>
        <n v="127700.6"/>
        <n v="1984752.61"/>
        <n v="7291.5"/>
        <n v="955.12"/>
        <n v="47989.7956"/>
        <n v="19990.93"/>
        <n v="16535.5499999999"/>
        <n v="500"/>
        <n v="143985"/>
        <n v="2979"/>
        <n v="348626.75"/>
        <n v="447781.82"/>
        <n v="64205.8"/>
        <n v="156.8"/>
        <n v="9536"/>
        <n v="28644"/>
        <n v="119877"/>
        <n v="37876.4"/>
        <n v="184.84477364"/>
        <n v="805.6"/>
        <n v="278.16"/>
        <n v="732.8"/>
        <n v="46.92"/>
        <n v="20380.75"/>
        <n v="31228.38"/>
        <n v="34.8"/>
        <n v="31419.21"/>
        <n v="32.25"/>
        <n v="42.8"/>
        <n v="18834.961"/>
        <n v="3746.23"/>
        <n v="2271.8"/>
        <n v="277.91"/>
        <n v="49148.7928"/>
        <n v="3616.35"/>
        <n v="2790.4665"/>
        <n v="4510.26"/>
        <n v="99"/>
        <n v="9800"/>
        <n v="-106.64"/>
        <n v="-19.8"/>
        <n v="2763.36"/>
        <n v="952.72"/>
        <n v="805.7475"/>
        <n v="18673.98"/>
        <n v="181850.629999999"/>
        <n v="12"/>
        <n v="17.85"/>
        <n v="1313.72355592"/>
        <n v="1.6"/>
        <n v="438825.266499999"/>
        <n v="293.36"/>
        <n v="11187.5"/>
        <n v="2325"/>
        <n v="140775.5"/>
        <n v="389108.5"/>
        <n v="73721.35"/>
        <n v="1600"/>
        <n v="1704235.9628"/>
        <n v="405.8"/>
        <n v="30"/>
        <n v="23.2"/>
        <n v="57618"/>
        <n v="4566457"/>
        <n v="100000"/>
        <n v="936981.627"/>
        <n v="14.9"/>
        <n v="1162748"/>
        <n v="16565.4"/>
        <n v="13.95"/>
        <n v="41.25"/>
        <n v="544953.145"/>
        <n v="59320.33"/>
        <n v="501.768"/>
        <n v="861.36"/>
        <n v="50639.9999999999"/>
        <n v="41078"/>
        <n v="20092.5"/>
        <n v="169205"/>
        <n v="3654"/>
        <n v="192348.02"/>
        <n v="0.0006"/>
        <n v="435.77"/>
        <n v="55576.5"/>
        <n v="8932.7053"/>
        <n v="271701.5431"/>
        <n v="223680.81"/>
        <n v="449587.06"/>
        <n v="73078.6999999999"/>
        <n v="7400"/>
        <n v="5921.4"/>
        <n v="97064.08"/>
        <n v="152487.4"/>
        <n v="-206"/>
        <n v="190723.25"/>
        <n v="-535"/>
        <n v="8197.2"/>
        <n v="800"/>
        <n v="260826.108"/>
        <n v="0.05"/>
        <n v="144481.25"/>
        <n v="457528.01"/>
        <n v="14214.22"/>
        <n v="3181064.84"/>
        <n v="123193.225"/>
        <n v="35682.9"/>
        <n v="1825.52"/>
        <n v="50816.7"/>
        <n v="17538.9"/>
        <n v="225883.5711"/>
        <n v="68026.7832"/>
        <n v="283350.12"/>
        <n v="656751.32"/>
        <n v="25742.55"/>
        <n v="15055.12"/>
        <n v="5123.7"/>
        <n v="7477.9"/>
        <n v="223592.053"/>
        <n v="327097.549"/>
        <n v="114124.13"/>
        <n v="128373"/>
        <n v="11533.31822489"/>
        <n v="1005"/>
        <n v="102.1"/>
        <n v="8950"/>
        <n v="1522151.07"/>
        <n v="460926.999999999"/>
        <n v="200.7358"/>
        <n v="245"/>
        <n v="86"/>
        <n v="20295.33"/>
        <n v="18455.74"/>
        <n v="119885.21"/>
        <n v="74007.16"/>
        <n v="21015.02"/>
        <n v="18.6"/>
        <n v="354190.5"/>
        <n v="167968.8"/>
        <n v="171061.77"/>
        <n v="221630.25"/>
        <n v="110843.58"/>
        <n v="661860.47"/>
        <n v="-1307.59999999999"/>
        <n v="184647"/>
        <n v="2328"/>
        <n v="6554872.85"/>
        <n v="5769824.2225"/>
        <n v="29491.65"/>
        <n v="118.8"/>
        <n v="6227.89"/>
        <n v="115283.3"/>
        <n v="3262"/>
        <n v="286"/>
        <n v="46671"/>
        <n v="549889.5"/>
        <n v="203.1"/>
        <n v="14.4"/>
        <n v="48670.4716"/>
        <n v="27998.01"/>
        <n v="864"/>
        <n v="25413.81"/>
        <n v="2421.34"/>
        <n v="0.19"/>
        <n v="725.8"/>
        <n v="278.7"/>
        <n v="262.448"/>
        <n v="9291.9"/>
        <n v="713253.5"/>
        <n v="5071.35"/>
        <n v="14480.05"/>
        <n v="-451.349999999999"/>
        <n v="570.55"/>
        <n v="18387644.3599999"/>
        <n v="59823025.8"/>
        <n v="403839.799999999"/>
        <n v="89900"/>
        <n v="264561.68"/>
        <n v="19975.68"/>
        <n v="22744.6118"/>
        <n v="7573.44"/>
        <n v="0.002"/>
        <n v="12610"/>
        <n v="1066.5"/>
        <n v="2450"/>
        <n v="665.6"/>
        <n v="357485.46"/>
        <n v="260.5"/>
        <n v="10437.194"/>
        <n v="364.8"/>
        <n v="10300.95"/>
        <n v="55727.69"/>
        <n v="70045.3"/>
        <n v="232318.5"/>
        <n v="931.6"/>
        <n v="200061.879999999"/>
        <n v="28.5"/>
        <n v="206"/>
        <n v="291.5"/>
        <n v="11724"/>
        <n v="11003.1606"/>
        <n v="910.05"/>
        <n v="615"/>
        <n v="60.48"/>
        <n v="239.8"/>
        <n v="-108.249999999999"/>
        <n v="138"/>
        <n v="101235.23"/>
        <n v="4880.75"/>
        <n v="84"/>
        <n v="0.04"/>
        <n v="92.7"/>
        <n v="14"/>
        <n v="8676.14317618329"/>
        <n v="30000"/>
        <n v="88910.5"/>
        <n v="11.2"/>
        <n v="26150.75"/>
        <n v="540"/>
        <n v="1686.3"/>
        <n v="1435"/>
        <n v="4439.6"/>
        <n v="1666.11999999999"/>
        <n v="96779.2"/>
        <n v="1272.6"/>
        <n v="71722.61"/>
        <n v="7834.72"/>
        <n v="885199.932990036"/>
        <n v="970.1"/>
        <n v="15090.46"/>
        <n v="320600.119999999"/>
        <n v="210.72"/>
        <n v="278030.89"/>
        <n v="1368.2"/>
        <n v="21519.28"/>
        <n v="517649.75"/>
        <n v="34844"/>
        <n v="5716"/>
        <n v="13459.1099999999"/>
        <n v="-52.5"/>
        <n v="44083"/>
        <n v="124267.947999999"/>
        <n v="23771.3001"/>
        <n v="8167.94999999999"/>
        <n v="997.6"/>
        <n v="934196.11"/>
        <n v="44.1"/>
        <n v="-14.4"/>
        <n v="9935.8"/>
        <n v="15024"/>
        <n v="0.16"/>
        <n v="9443"/>
        <n v="899.1"/>
        <n v="400.12"/>
        <n v="352"/>
        <n v="35712.218"/>
        <n v="16721.7399999999"/>
        <n v="46.4"/>
        <n v="101.71795241"/>
        <n v="459"/>
        <n v="7840.2"/>
        <n v="158156.4"/>
        <n v="460469.75"/>
        <n v="33023.4"/>
        <n v="109172.6"/>
        <n v="-0.05"/>
        <n v="98"/>
        <n v="-97.03"/>
        <n v="25.72"/>
        <n v="3012.78839999998"/>
        <n v="4879.47"/>
        <n v="9.19999999999999"/>
        <n v="25.455099999954"/>
        <n v="186625.707200052"/>
        <n v="2527.41999999998"/>
        <n v="954.719999999999"/>
        <n v="143"/>
        <n v="145"/>
        <n v="13683.3000000001"/>
        <n v="297"/>
        <n v="882.62"/>
        <n v="997.5"/>
        <n v="199.4"/>
        <n v="893.087999999995"/>
        <n v="4681.19999999996"/>
        <n v="756020.039999664"/>
        <n v="586.299999999996"/>
        <n v="17092.3999999999"/>
        <n v="4616.44999999999"/>
        <n v="58.7999999999998"/>
        <n v="93.0999999999999"/>
        <n v="388.079999999999"/>
        <n v="60.4199999999994"/>
        <n v="3001.77999999999"/>
        <n v="71295.38"/>
        <n v="559.61"/>
        <n v="157.119999999999"/>
        <n v="481.699999999999"/>
        <n v="13.8"/>
        <n v="11.5"/>
        <n v="1797"/>
        <n v="-5521.38"/>
      </sharedItems>
    </cacheField>
    <cacheField name="总成本" numFmtId="43">
      <sharedItems containsString="0" containsBlank="1" containsNumber="1" minValue="-1342.4" maxValue="59673360" count="326">
        <n v="13317.06"/>
        <n v="17770.9"/>
        <n v="31728"/>
        <n v="8413.1"/>
        <n v="291.6"/>
        <n v="85315"/>
        <n v="2595.4"/>
        <n v="1053.9"/>
        <n v="83271.39"/>
        <n v="22867.65"/>
        <n v="147.5"/>
        <n v="752.85"/>
        <n v="240085.829999999"/>
        <n v="1319.6"/>
        <n v="28871.3"/>
        <n v="454.2"/>
        <n v="208.98"/>
        <m/>
        <n v="282681.36"/>
        <n v="1319224.34"/>
        <n v="3536"/>
        <n v="160"/>
        <n v="152490"/>
        <n v="2364788.25"/>
        <n v="5402.7"/>
        <n v="848.6"/>
        <n v="34332.1"/>
        <n v="18186.3"/>
        <n v="16105.5"/>
        <n v="489"/>
        <n v="133575.9"/>
        <n v="143550"/>
        <n v="2970"/>
        <n v="341840.975"/>
        <n v="445901.625"/>
        <n v="64205.8"/>
        <n v="155.52"/>
        <n v="9384"/>
        <n v="28336"/>
        <n v="118588"/>
        <n v="36799.5"/>
        <n v="176.14"/>
        <n v="867"/>
        <n v="268.4"/>
        <n v="586.04"/>
        <n v="42.94"/>
        <n v="18747.8"/>
        <n v="31009.8"/>
        <n v="34.8"/>
        <n v="22972"/>
        <n v="31.8"/>
        <n v="42.4"/>
        <n v="17125.89"/>
        <n v="3510.01"/>
        <n v="2090.85"/>
        <n v="220.74"/>
        <n v="40694.45"/>
        <n v="3579.75"/>
        <n v="2505.14"/>
        <n v="4285.45"/>
        <n v="96"/>
        <n v="9350"/>
        <n v="-106.15"/>
        <n v="-19.8"/>
        <n v="2227.4"/>
        <n v="864.6"/>
        <n v="701.85"/>
        <n v="18111.3"/>
        <n v="160907.069999999"/>
        <n v="10.2"/>
        <n v="17.15"/>
        <n v="1269.1"/>
        <n v="0.0002"/>
        <n v="421225.739999999"/>
        <n v="36062.208"/>
        <n v="10400"/>
        <n v="2325"/>
        <n v="137254.1"/>
        <n v="379639"/>
        <n v="73984.75"/>
        <n v="1616.15"/>
        <n v="1979194.432"/>
        <n v="399"/>
        <n v="27.8"/>
        <n v="19.5"/>
        <n v="58200"/>
        <n v="4553413"/>
        <n v="99400"/>
        <n v="933534.654"/>
        <n v="14.9"/>
        <n v="2150.5"/>
        <n v="23080.03"/>
        <n v="1151120.52"/>
        <n v="39.6"/>
        <n v="198.35"/>
        <n v="30"/>
        <n v="16295.564"/>
        <n v="9.85"/>
        <n v="26.15"/>
        <n v="544286.58"/>
        <n v="58493.08"/>
        <n v="7355.7"/>
        <n v="678.99"/>
        <n v="49585"/>
        <n v="40872"/>
        <n v="20006"/>
        <n v="115658"/>
        <n v="3465"/>
        <n v="195031.4"/>
        <n v="0.0006"/>
        <n v="391.6017"/>
        <n v="55521.2"/>
        <n v="9628.885"/>
        <n v="408117.84"/>
        <n v="217183"/>
        <n v="442700.4"/>
        <n v="103928.799999999"/>
        <n v="7481.4"/>
        <n v="5815.76"/>
        <n v="96245.7"/>
        <n v="148702.31"/>
        <n v="-202"/>
        <n v="184152.15"/>
        <n v="-525"/>
        <n v="8191.8"/>
        <n v="799.2"/>
        <n v="247763.7"/>
        <n v="0.0005"/>
        <n v="141109.92"/>
        <n v="446273.856"/>
        <n v="13875.92"/>
        <n v="3122764.05"/>
        <n v="122031"/>
        <n v="35080.864"/>
        <n v="1814.176"/>
        <n v="55011.528"/>
        <n v="17441.424"/>
        <n v="265007.6306"/>
        <n v="67222.8565"/>
        <n v="290605.23"/>
        <n v="658378.63"/>
        <n v="25446.72"/>
        <n v="14659.84"/>
        <n v="5015.088"/>
        <n v="7459.088"/>
        <n v="252545.9664"/>
        <n v="317002.452"/>
        <n v="109189.6"/>
        <n v="128373"/>
        <n v="11055"/>
        <n v="1005"/>
        <n v="2995.2"/>
        <n v="8320"/>
        <n v="-10"/>
        <n v="1514557"/>
        <n v="459300"/>
        <n v="87.5711"/>
        <n v="225"/>
        <n v="84"/>
        <n v="19849.354"/>
        <n v="17016.88"/>
        <n v="103915.5"/>
        <n v="70317"/>
        <n v="20211.13"/>
        <n v="17.25"/>
        <n v="348605.6"/>
        <n v="167286"/>
        <n v="179783.655"/>
        <n v="220323.75"/>
        <n v="104025.6"/>
        <n v="648024.9"/>
        <n v="-1342.4"/>
        <n v="180905"/>
        <n v="2328"/>
        <n v="6513843.24"/>
        <n v="5744483.65"/>
        <n v="29406.696"/>
        <n v="118.8"/>
        <n v="6046.402"/>
        <n v="114125.4"/>
        <n v="3777"/>
        <n v="264"/>
        <n v="46624"/>
        <n v="548699.8"/>
        <n v="124.2"/>
        <n v="14"/>
        <n v="47247.3"/>
        <n v="26528.5"/>
        <n v="850.4"/>
        <n v="24525.0196"/>
        <n v="2375.7"/>
        <n v="0.0156"/>
        <n v="0.0001"/>
        <n v="616.0061"/>
        <n v="264.0031"/>
        <n v="241.5"/>
        <n v="8545"/>
        <n v="695044.044"/>
        <n v="4803.015"/>
        <n v="14734.3"/>
        <n v="-683.683599999999"/>
        <n v="195.4159"/>
        <n v="18541995.1795999"/>
        <n v="59673360"/>
        <n v="402887.699999999"/>
        <n v="89630.2999999999"/>
        <n v="265025.98"/>
        <n v="19916.19"/>
        <n v="23913.2"/>
        <n v="7109.1"/>
        <n v="12272.2565"/>
        <n v="1063.37"/>
        <n v="2427.5"/>
        <n v="652.8"/>
        <n v="356785.8"/>
        <n v="0.0187"/>
        <n v="9816"/>
        <n v="1300.48"/>
        <n v="10192.64"/>
        <n v="54929.3804"/>
        <n v="66763.226"/>
        <n v="240017.25"/>
        <n v="8015.5"/>
        <n v="171005.099999999"/>
        <n v="28.2"/>
        <n v="202.2"/>
        <n v="288.75"/>
        <n v="11684"/>
        <n v="10414.4044"/>
        <n v="887.8"/>
        <n v="58.408"/>
        <n v="235.2"/>
        <n v="-117.249999999999"/>
        <n v="93"/>
        <n v="98936.8"/>
        <n v="5284"/>
        <n v="80"/>
        <n v="0.0004"/>
        <n v="63.18"/>
        <n v="0.0014"/>
        <n v="4160.139"/>
        <n v="29700"/>
        <n v="87974.6"/>
        <n v="0.0112"/>
        <n v="26322.05"/>
        <n v="525"/>
        <n v="23533.7000999999"/>
        <n v="1409.4"/>
        <n v="4002.12"/>
        <n v="0.7717"/>
        <n v="67964.4"/>
        <n v="1212"/>
        <n v="7364.129"/>
        <n v="6804"/>
        <n v="842305.9314"/>
        <n v="840.6006"/>
        <n v="12183.2"/>
        <n v="315685.2"/>
        <n v="175.6"/>
        <n v="272601.7"/>
        <n v="1281.5"/>
        <n v="21165.0199999999"/>
        <n v="344447.84"/>
        <n v="30567.6"/>
        <n v="723.9"/>
        <n v="49.5"/>
        <n v="4835"/>
        <n v="12430.0899999999"/>
        <n v="-50.3999999999999"/>
        <n v="41891.2"/>
        <n v="180864.129999999"/>
        <n v="19719.7801"/>
        <n v="7856.25"/>
        <n v="986"/>
        <n v="1058246"/>
        <n v="43.2"/>
        <n v="-13.9"/>
        <n v="9766.68"/>
        <n v="14833.5"/>
        <n v="0.16"/>
        <n v="9399.3"/>
        <n v="902.85"/>
        <n v="1604.8"/>
        <n v="315.56"/>
        <n v="236.1"/>
        <n v="30661.8"/>
        <n v="15587.05"/>
        <n v="39"/>
        <n v="97.5"/>
        <n v="382.5"/>
        <n v="4451.8"/>
        <n v="154405.44"/>
        <n v="449583.12"/>
        <n v="31936.2"/>
        <n v="105141"/>
        <n v="-16.2199999999999"/>
        <n v="317.589999999999"/>
        <n v="-0.22"/>
        <n v="-0.01"/>
        <n v="-0.04"/>
        <n v="17.9899999999999"/>
        <n v="-1.92"/>
        <n v="2251.63239999997"/>
        <n v="61.4549999999996"/>
        <n v="8.5"/>
        <n v="25.455099999954"/>
        <n v="239939.314699996"/>
        <n v="415.199999999999"/>
        <n v="954.719999999999"/>
        <n v="143"/>
        <n v="145"/>
        <n v="13683.3000000001"/>
        <n v="297"/>
        <n v="496.06"/>
        <n v="997.5"/>
        <n v="199.4"/>
        <n v="82.656"/>
        <n v="4650.99999999996"/>
        <n v="750575.099999556"/>
        <n v="586.299999999996"/>
        <n v="17092.3999999999"/>
        <n v="6066.00000000001"/>
        <n v="58.7999999999998"/>
        <n v="0.0095"/>
        <n v="561"/>
        <n v="60.4199999999994"/>
      </sharedItems>
    </cacheField>
    <cacheField name="订单毛利" numFmtId="43">
      <sharedItems containsString="0" containsBlank="1" containsNumber="1" minValue="-380035.639999999" maxValue="173201.91" count="314">
        <n v="157.99"/>
        <n v="84.95"/>
        <n v="-5697.024"/>
        <n v="1157.87"/>
        <n v="-116.6"/>
        <n v="3267.8"/>
        <n v="-93.84"/>
        <n v="127.96"/>
        <n v="-83271.39"/>
        <n v="-22709.45"/>
        <n v="121.9"/>
        <n v="-19.25"/>
        <n v="-10874.8699999999"/>
        <n v="76.3"/>
        <n v="1099.6"/>
        <n v="37.2"/>
        <n v="64.5"/>
        <n v="0.9764"/>
        <m/>
        <n v="-230618.7411"/>
        <n v="364"/>
        <n v="2"/>
        <n v="-24789.4"/>
        <n v="-380035.639999999"/>
        <n v="1888.8"/>
        <n v="106.52"/>
        <n v="13657.6956"/>
        <n v="1804.63"/>
        <n v="430.049999999999"/>
        <n v="11"/>
        <n v="-133575.9"/>
        <n v="435"/>
        <n v="9"/>
        <n v="6785.775"/>
        <n v="1880.195"/>
        <n v="1.28"/>
        <n v="152"/>
        <n v="308"/>
        <n v="1289"/>
        <n v="1076.9"/>
        <n v="8.70477364"/>
        <n v="-61.4"/>
        <n v="9.76"/>
        <n v="146.76"/>
        <n v="3.98"/>
        <n v="1632.95"/>
        <n v="218.58"/>
        <n v="8447.21"/>
        <n v="0.45"/>
        <n v="0.4"/>
        <n v="1709.071"/>
        <n v="236.22"/>
        <n v="180.95"/>
        <n v="57.17"/>
        <n v="8454.3428"/>
        <n v="36.6"/>
        <n v="285.3265"/>
        <n v="224.81"/>
        <n v="3"/>
        <n v="450"/>
        <n v="-0.490000000000005"/>
        <n v="535.96"/>
        <n v="88.12"/>
        <n v="103.8975"/>
        <n v="562.68"/>
        <n v="20943.56"/>
        <n v="1.8"/>
        <n v="0.7"/>
        <n v="44.62355592"/>
        <n v="1.5998"/>
        <n v="17599.5265"/>
        <n v="-35768.848"/>
        <n v="787.5"/>
        <n v="3521.4"/>
        <n v="9469.5"/>
        <n v="-263.4"/>
        <n v="-16.15"/>
        <n v="-274958.4692"/>
        <n v="6.8"/>
        <n v="2.2"/>
        <n v="3.7"/>
        <n v="-582"/>
        <n v="13044"/>
        <n v="600"/>
        <n v="3446.973"/>
        <n v="-2150.5"/>
        <n v="-23080.03"/>
        <n v="11627.48"/>
        <n v="-39.6"/>
        <n v="-198.35"/>
        <n v="-30"/>
        <n v="269.836"/>
        <n v="4.1"/>
        <n v="15.1"/>
        <n v="666.565"/>
        <n v="827.25"/>
        <n v="-6853.932"/>
        <n v="182.37"/>
        <n v="1054.99999999999"/>
        <n v="206"/>
        <n v="86.5"/>
        <n v="53547"/>
        <n v="189"/>
        <n v="-2683.37999999999"/>
        <n v="44.1683"/>
        <n v="55.3"/>
        <n v="-696.1797"/>
        <n v="-136416.2969"/>
        <n v="6497.81"/>
        <n v="6886.65999999999"/>
        <n v="-30850.0999999999"/>
        <n v="-81.4"/>
        <n v="105.64"/>
        <n v="818.38"/>
        <n v="3785.09"/>
        <n v="-4"/>
        <n v="6571.1"/>
        <n v="-10"/>
        <n v="5.4"/>
        <n v="0.8"/>
        <n v="13062.408"/>
        <n v="0.0495"/>
        <n v="3371.33"/>
        <n v="11254.154"/>
        <n v="338.3"/>
        <n v="58300.79"/>
        <n v="1162.225"/>
        <n v="602.036"/>
        <n v="11.344"/>
        <n v="-4194.828"/>
        <n v="97.476"/>
        <n v="-39124.0595"/>
        <n v="803.9267"/>
        <n v="-7255.11"/>
        <n v="-1627.31"/>
        <n v="295.83"/>
        <n v="395.28"/>
        <n v="108.612"/>
        <n v="18.812"/>
        <n v="-28953.9134"/>
        <n v="10095.097"/>
        <n v="4934.53"/>
        <n v="478.31822489"/>
        <n v="-2893.1"/>
        <n v="630"/>
        <n v="10"/>
        <n v="7594.07"/>
        <n v="1626.99999999999"/>
        <n v="113.1647"/>
        <n v="20"/>
        <n v="445.976"/>
        <n v="1438.86"/>
        <n v="15969.71"/>
        <n v="3690.16"/>
        <n v="803.89"/>
        <n v="1.35"/>
        <n v="5584.9"/>
        <n v="682.8"/>
        <n v="-8721.885"/>
        <n v="1306.5"/>
        <n v="6817.98"/>
        <n v="13835.57"/>
        <n v="34.8"/>
        <n v="3742"/>
        <n v="41029.61"/>
        <n v="25340.5725"/>
        <n v="84.954"/>
        <n v="181.488"/>
        <n v="1157.9"/>
        <n v="-515"/>
        <n v="22"/>
        <n v="47"/>
        <n v="1189.7"/>
        <n v="78.9"/>
        <n v="1423.1716"/>
        <n v="1469.51"/>
        <n v="13.6"/>
        <n v="888.7904"/>
        <n v="45.64"/>
        <n v="0.1744"/>
        <n v="-0.0001"/>
        <n v="109.7939"/>
        <n v="14.6969"/>
        <n v="20.948"/>
        <n v="746.9"/>
        <n v="18209.456"/>
        <n v="268.334999999999"/>
        <n v="-254.25"/>
        <n v="232.333599999999"/>
        <n v="375.1341"/>
        <n v="-154350.8196"/>
        <n v="149665.8"/>
        <n v="952.099999999999"/>
        <n v="269.7"/>
        <n v="-464.3"/>
        <n v="59.49"/>
        <n v="-1168.5882"/>
        <n v="464.34"/>
        <n v="0.0018"/>
        <n v="337.7435"/>
        <n v="3.13"/>
        <n v="22.5"/>
        <n v="12.8"/>
        <n v="699.66"/>
        <n v="260.4813"/>
        <n v="621.194"/>
        <n v="-935.68"/>
        <n v="108.31"/>
        <n v="798.3096"/>
        <n v="3282.074"/>
        <n v="-7698.75"/>
        <n v="-7083.9"/>
        <n v="29056.78"/>
        <n v="0.3"/>
        <n v="3.8"/>
        <n v="2.75"/>
        <n v="40"/>
        <n v="588.7562"/>
        <n v="22.25"/>
        <n v="-127758"/>
        <n v="2.072"/>
        <n v="4.6"/>
        <n v="8.99999999999999"/>
        <n v="45"/>
        <n v="2298.43"/>
        <n v="-403.25"/>
        <n v="4"/>
        <n v="0.0396"/>
        <n v="29.52"/>
        <n v="13.9986"/>
        <n v="4516.00417618329"/>
        <n v="300"/>
        <n v="935.9"/>
        <n v="11.1888"/>
        <n v="-171.3"/>
        <n v="15"/>
        <n v="-21847.4000999999"/>
        <n v="25.6"/>
        <n v="437.48"/>
        <n v="1665.34829999999"/>
        <n v="28814.7999999999"/>
        <n v="60.6"/>
        <n v="64358.481"/>
        <n v="1030.72"/>
        <n v="42894.0015900367"/>
        <n v="129.4994"/>
        <n v="2907.26"/>
        <n v="4914.91999999999"/>
        <n v="35.12"/>
        <n v="5429.19"/>
        <n v="86.7"/>
        <n v="354.26"/>
        <n v="173201.91"/>
        <n v="4276.4"/>
        <n v="76.1"/>
        <n v="49.5"/>
        <n v="881"/>
        <n v="1029.01999999999"/>
        <n v="-2.1"/>
        <n v="2191.79999999999"/>
        <n v="-56596.182"/>
        <n v="4051.52"/>
        <n v="311.699999999998"/>
        <n v="11.6"/>
        <n v="-124049.89"/>
        <n v="0.9"/>
        <n v="-0.5"/>
        <n v="169.12"/>
        <n v="190.5"/>
        <n v="43.7"/>
        <n v="-3.75"/>
        <n v="-4.8"/>
        <n v="84.56"/>
        <n v="115.9"/>
        <n v="5050.418"/>
        <n v="1134.68999999999"/>
        <n v="7.4"/>
        <n v="4.21795241"/>
        <n v="76.5"/>
        <n v="3388.4"/>
        <n v="3750.96"/>
        <n v="10886.63"/>
        <n v="1087.2"/>
        <n v="4031.6"/>
        <n v="16.2199999999999"/>
        <n v="-317.589999999999"/>
        <n v="0.169999999999999"/>
        <n v="98.01"/>
        <n v="0.04"/>
        <n v="-17.9899999999999"/>
        <n v="-97.03"/>
        <n v="1.92"/>
        <n v="25.72"/>
        <n v="761.156000000009"/>
        <n v="4818.015"/>
        <n v="0.69999999999999"/>
        <n v="-53313.6074999449"/>
        <n v="2112.21999999998"/>
        <n v="386.56"/>
        <n v="810.431999999995"/>
        <n v="30.2000000000016"/>
        <n v="5444.94000010716"/>
        <n v="-1449.55000000001"/>
        <n v="93.0904999999999"/>
        <n v="-172.92"/>
        <n v="3001.77999999999"/>
        <n v="71295.38"/>
        <n v="559.61"/>
        <n v="157.119999999999"/>
        <n v="481.699999999999"/>
        <n v="13.8"/>
        <n v="11.5"/>
        <n v="1797"/>
        <n v="-5521.38"/>
      </sharedItems>
    </cacheField>
    <cacheField name="合并毛利" numFmtId="43">
      <sharedItems containsString="0" containsBlank="1" containsNumber="1" minValue="-380035.639999999" maxValue="173201.91" count="314">
        <n v="157.99"/>
        <n v="84.95"/>
        <n v="-5697.024"/>
        <n v="1157.87"/>
        <n v="-116.6"/>
        <n v="3267.8"/>
        <n v="-93.84"/>
        <n v="127.96"/>
        <n v="-83271.39"/>
        <n v="-22709.45"/>
        <n v="121.9"/>
        <n v="-19.25"/>
        <n v="-10874.8699999999"/>
        <n v="76.3"/>
        <n v="1099.6"/>
        <n v="37.2"/>
        <n v="64.5"/>
        <n v="0.9764"/>
        <m/>
        <n v="-230618.7411"/>
        <n v="364"/>
        <n v="2"/>
        <n v="-24789.4"/>
        <n v="-380035.639999999"/>
        <n v="1888.8"/>
        <n v="106.52"/>
        <n v="13657.6956"/>
        <n v="1804.63"/>
        <n v="430.049999999999"/>
        <n v="11"/>
        <n v="-133575.9"/>
        <n v="435"/>
        <n v="9"/>
        <n v="6785.775"/>
        <n v="1880.195"/>
        <n v="1.28"/>
        <n v="152"/>
        <n v="308"/>
        <n v="1289"/>
        <n v="1076.9"/>
        <n v="8.70477364"/>
        <n v="-61.4"/>
        <n v="9.76"/>
        <n v="146.76"/>
        <n v="3.98"/>
        <n v="1632.95"/>
        <n v="218.58"/>
        <n v="8447.21"/>
        <n v="0.45"/>
        <n v="0.4"/>
        <n v="1709.071"/>
        <n v="236.22"/>
        <n v="180.95"/>
        <n v="57.17"/>
        <n v="8454.3428"/>
        <n v="36.6"/>
        <n v="285.3265"/>
        <n v="224.81"/>
        <n v="3"/>
        <n v="450"/>
        <n v="-0.490000000000005"/>
        <n v="535.96"/>
        <n v="88.12"/>
        <n v="103.8975"/>
        <n v="562.68"/>
        <n v="20943.56"/>
        <n v="1.8"/>
        <n v="0.7"/>
        <n v="44.62355592"/>
        <n v="1.5998"/>
        <n v="17599.5265"/>
        <n v="-35768.848"/>
        <n v="787.5"/>
        <n v="3521.4"/>
        <n v="9469.5"/>
        <n v="-263.4"/>
        <n v="-16.15"/>
        <n v="-274958.4692"/>
        <n v="6.8"/>
        <n v="2.2"/>
        <n v="3.7"/>
        <n v="-582"/>
        <n v="13044"/>
        <n v="600"/>
        <n v="3446.973"/>
        <n v="-2150.5"/>
        <n v="-23080.03"/>
        <n v="11627.48"/>
        <n v="-39.6"/>
        <n v="-198.35"/>
        <n v="-30"/>
        <n v="269.836"/>
        <n v="4.1"/>
        <n v="15.1"/>
        <n v="666.565"/>
        <n v="827.25"/>
        <n v="-6853.932"/>
        <n v="182.37"/>
        <n v="1054.99999999999"/>
        <n v="206"/>
        <n v="86.5"/>
        <n v="53547"/>
        <n v="189"/>
        <n v="-2683.37999999999"/>
        <n v="44.1683"/>
        <n v="55.3"/>
        <n v="-696.1797"/>
        <n v="-136416.2969"/>
        <n v="6497.81"/>
        <n v="6886.65999999999"/>
        <n v="-30850.0999999999"/>
        <n v="-81.4"/>
        <n v="105.64"/>
        <n v="818.38"/>
        <n v="3785.09"/>
        <n v="-4"/>
        <n v="6571.1"/>
        <n v="-10"/>
        <n v="5.4"/>
        <n v="0.8"/>
        <n v="13062.408"/>
        <n v="0.0495"/>
        <n v="3371.33"/>
        <n v="11254.154"/>
        <n v="338.3"/>
        <n v="58300.79"/>
        <n v="1162.225"/>
        <n v="602.036"/>
        <n v="11.344"/>
        <n v="-4194.828"/>
        <n v="97.476"/>
        <n v="-39124.0595"/>
        <n v="803.9267"/>
        <n v="-7255.11"/>
        <n v="-1627.31"/>
        <n v="295.83"/>
        <n v="395.28"/>
        <n v="108.612"/>
        <n v="18.812"/>
        <n v="-28953.9134"/>
        <n v="10095.097"/>
        <n v="4934.53"/>
        <n v="478.31822489"/>
        <n v="-2893.1"/>
        <n v="630"/>
        <n v="10"/>
        <n v="7594.07"/>
        <n v="1626.99999999999"/>
        <n v="113.1647"/>
        <n v="20"/>
        <n v="445.976"/>
        <n v="1438.86"/>
        <n v="15969.71"/>
        <n v="3690.16"/>
        <n v="803.89"/>
        <n v="1.35"/>
        <n v="5584.9"/>
        <n v="682.8"/>
        <n v="-8721.885"/>
        <n v="1306.5"/>
        <n v="6817.98"/>
        <n v="13835.57"/>
        <n v="34.8"/>
        <n v="3742"/>
        <n v="41029.61"/>
        <n v="25340.5725"/>
        <n v="84.954"/>
        <n v="181.488"/>
        <n v="1157.9"/>
        <n v="-515"/>
        <n v="22"/>
        <n v="47"/>
        <n v="1189.7"/>
        <n v="78.9"/>
        <n v="1423.1716"/>
        <n v="1469.51"/>
        <n v="13.6"/>
        <n v="888.7904"/>
        <n v="45.64"/>
        <n v="0.1744"/>
        <n v="-0.0001"/>
        <n v="109.7939"/>
        <n v="14.6969"/>
        <n v="20.948"/>
        <n v="746.9"/>
        <n v="18209.456"/>
        <n v="268.334999999999"/>
        <n v="-254.25"/>
        <n v="232.333599999999"/>
        <n v="375.1341"/>
        <n v="-154350.8196"/>
        <n v="149665.8"/>
        <n v="952.099999999999"/>
        <n v="269.7"/>
        <n v="-464.3"/>
        <n v="59.49"/>
        <n v="-1168.5882"/>
        <n v="464.34"/>
        <n v="0.0018"/>
        <n v="337.7435"/>
        <n v="3.13"/>
        <n v="22.5"/>
        <n v="12.8"/>
        <n v="699.66"/>
        <n v="260.4813"/>
        <n v="621.194"/>
        <n v="-935.68"/>
        <n v="108.31"/>
        <n v="798.3096"/>
        <n v="3282.074"/>
        <n v="-7698.75"/>
        <n v="-7083.9"/>
        <n v="29056.78"/>
        <n v="0.3"/>
        <n v="3.8"/>
        <n v="2.75"/>
        <n v="40"/>
        <n v="588.7562"/>
        <n v="22.25"/>
        <n v="-127758"/>
        <n v="2.072"/>
        <n v="4.6"/>
        <n v="8.99999999999999"/>
        <n v="45"/>
        <n v="2298.43"/>
        <n v="-403.25"/>
        <n v="4"/>
        <n v="0.0396"/>
        <n v="29.52"/>
        <n v="13.9986"/>
        <n v="4516.00417618329"/>
        <n v="300"/>
        <n v="935.9"/>
        <n v="11.1888"/>
        <n v="-171.3"/>
        <n v="15"/>
        <n v="-21847.4000999999"/>
        <n v="25.6"/>
        <n v="437.48"/>
        <n v="1665.34829999999"/>
        <n v="28814.7999999999"/>
        <n v="60.6"/>
        <n v="64358.481"/>
        <n v="1030.72"/>
        <n v="42894.0015900367"/>
        <n v="129.4994"/>
        <n v="2907.26"/>
        <n v="4914.91999999999"/>
        <n v="35.12"/>
        <n v="5429.19"/>
        <n v="86.7"/>
        <n v="354.26"/>
        <n v="173201.91"/>
        <n v="4276.4"/>
        <n v="76.1"/>
        <n v="49.5"/>
        <n v="881"/>
        <n v="1029.01999999999"/>
        <n v="-2.1"/>
        <n v="2191.79999999999"/>
        <n v="-56596.182"/>
        <n v="4051.52"/>
        <n v="311.699999999998"/>
        <n v="11.6"/>
        <n v="-124049.89"/>
        <n v="0.9"/>
        <n v="-0.5"/>
        <n v="169.12"/>
        <n v="190.5"/>
        <n v="43.7"/>
        <n v="-3.75"/>
        <n v="-4.8"/>
        <n v="84.56"/>
        <n v="115.9"/>
        <n v="5050.418"/>
        <n v="1134.68999999999"/>
        <n v="7.4"/>
        <n v="4.21795241"/>
        <n v="76.5"/>
        <n v="3388.4"/>
        <n v="3750.96"/>
        <n v="10886.63"/>
        <n v="1087.2"/>
        <n v="4031.6"/>
        <n v="16.2199999999999"/>
        <n v="-317.589999999999"/>
        <n v="0.169999999999999"/>
        <n v="98.01"/>
        <n v="0.04"/>
        <n v="-17.9899999999999"/>
        <n v="-97.03"/>
        <n v="1.92"/>
        <n v="25.72"/>
        <n v="761.156000000009"/>
        <n v="4818.015"/>
        <n v="0.69999999999999"/>
        <n v="-53313.6074999449"/>
        <n v="2112.21999999998"/>
        <n v="386.56"/>
        <n v="810.431999999995"/>
        <n v="30.2000000000016"/>
        <n v="5444.94000010716"/>
        <n v="-1449.55000000001"/>
        <n v="93.0904999999999"/>
        <n v="-172.92"/>
        <n v="3001.77999999999"/>
        <n v="71295.38"/>
        <n v="559.61"/>
        <n v="157.119999999999"/>
        <n v="481.699999999999"/>
        <n v="13.8"/>
        <n v="11.5"/>
        <n v="1797"/>
        <n v="-5521.38"/>
      </sharedItems>
    </cacheField>
    <cacheField name="调整后gmv" numFmtId="43">
      <sharedItems containsString="0" containsBlank="1" containsNumber="1" minValue="-274958.4692" maxValue="4566457" count="327">
        <n v="13475.05"/>
        <n v="17855.85"/>
        <n v="26030.976"/>
        <n v="9570.97"/>
        <n v="175"/>
        <n v="88582.8"/>
        <n v="2501.56"/>
        <n v="1181.86"/>
        <m/>
        <n v="158.2"/>
        <n v="269.4"/>
        <n v="733.6"/>
        <n v="229210.96"/>
        <n v="1395.9"/>
        <n v="29970.9"/>
        <n v="491.4"/>
        <n v="273.48"/>
        <n v="0.9764"/>
        <n v="282681.36"/>
        <n v="1088605.5989"/>
        <n v="3900"/>
        <n v="162"/>
        <n v="127700.6"/>
        <n v="1984752.61"/>
        <n v="7291.5"/>
        <n v="955.12"/>
        <n v="47989.7956"/>
        <n v="19990.93"/>
        <n v="16535.5499999999"/>
        <n v="500"/>
        <n v="143985"/>
        <n v="2979"/>
        <n v="348626.75"/>
        <n v="447781.82"/>
        <n v="64205.8"/>
        <n v="156.8"/>
        <n v="9536"/>
        <n v="28644"/>
        <n v="119877"/>
        <n v="37876.4"/>
        <n v="184.84477364"/>
        <n v="805.6"/>
        <n v="278.16"/>
        <n v="732.8"/>
        <n v="46.92"/>
        <n v="20380.75"/>
        <n v="31228.38"/>
        <n v="34.8"/>
        <n v="31419.21"/>
        <n v="32.25"/>
        <n v="42.8"/>
        <n v="18834.961"/>
        <n v="3746.23"/>
        <n v="2271.8"/>
        <n v="277.91"/>
        <n v="49148.7928"/>
        <n v="3616.35"/>
        <n v="2790.4665"/>
        <n v="4510.26"/>
        <n v="99"/>
        <n v="9800"/>
        <n v="-106.64"/>
        <n v="-19.8"/>
        <n v="2763.36"/>
        <n v="952.72"/>
        <n v="805.7475"/>
        <n v="18673.98"/>
        <n v="181850.629999999"/>
        <n v="12"/>
        <n v="17.85"/>
        <n v="1313.72355592"/>
        <n v="1.6"/>
        <n v="438825.266499999"/>
        <n v="-35768.848"/>
        <n v="787.5"/>
        <n v="2325"/>
        <n v="140775.5"/>
        <n v="389108.5"/>
        <n v="73721.35"/>
        <n v="1600"/>
        <n v="-274958.4692"/>
        <n v="405.8"/>
        <n v="30"/>
        <n v="3.7"/>
        <n v="57618"/>
        <n v="4566457"/>
        <n v="600"/>
        <n v="3446.973"/>
        <n v="14.9"/>
        <n v="-2150.5"/>
        <n v="-23080.03"/>
        <n v="11627.48"/>
        <n v="-39.6"/>
        <n v="-198.35"/>
        <n v="-30"/>
        <n v="269.836"/>
        <n v="13.95"/>
        <n v="41.25"/>
        <n v="544953.145"/>
        <n v="59320.33"/>
        <n v="501.768"/>
        <n v="861.36"/>
        <n v="50639.9999999999"/>
        <n v="41078"/>
        <n v="20092.5"/>
        <n v="169205"/>
        <n v="3654"/>
        <n v="-2683.37999999999"/>
        <n v="44.1683"/>
        <n v="55.3"/>
        <n v="-696.1797"/>
        <n v="-136416.2969"/>
        <n v="223680.81"/>
        <n v="449587.06"/>
        <n v="73078.6999999999"/>
        <n v="7400"/>
        <n v="5921.4"/>
        <n v="97064.08"/>
        <n v="152487.4"/>
        <n v="-206"/>
        <n v="6571.1"/>
        <n v="-535"/>
        <n v="8197.2"/>
        <n v="800"/>
        <n v="260826.108"/>
        <n v="0.05"/>
        <n v="144481.25"/>
        <n v="457528.01"/>
        <n v="14214.22"/>
        <n v="3181064.84"/>
        <n v="123193.225"/>
        <n v="602.036"/>
        <n v="11.344"/>
        <n v="-4194.828"/>
        <n v="97.476"/>
        <n v="-39124.0595"/>
        <n v="803.9267"/>
        <n v="-7255.11"/>
        <n v="-1627.31"/>
        <n v="295.83"/>
        <n v="395.28"/>
        <n v="108.612"/>
        <n v="18.812"/>
        <n v="-28953.9134"/>
        <n v="10095.097"/>
        <n v="4934.53"/>
        <n v="128373"/>
        <n v="478.31822489"/>
        <n v="-2893.1"/>
        <n v="630"/>
        <n v="10"/>
        <n v="7594.07"/>
        <n v="1626.99999999999"/>
        <n v="113.1647"/>
        <n v="20"/>
        <n v="2"/>
        <n v="445.976"/>
        <n v="1438.86"/>
        <n v="15969.71"/>
        <n v="3690.16"/>
        <n v="803.89"/>
        <n v="1.35"/>
        <n v="5584.9"/>
        <n v="682.8"/>
        <n v="-8721.885"/>
        <n v="1306.5"/>
        <n v="6817.98"/>
        <n v="13835.57"/>
        <n v="3742"/>
        <n v="41029.61"/>
        <n v="25340.5725"/>
        <n v="84.954"/>
        <n v="181.488"/>
        <n v="1157.9"/>
        <n v="-515"/>
        <n v="22"/>
        <n v="47"/>
        <n v="1189.7"/>
        <n v="78.9"/>
        <n v="0.4"/>
        <n v="1423.1716"/>
        <n v="1469.51"/>
        <n v="13.6"/>
        <n v="888.7904"/>
        <n v="45.64"/>
        <n v="0.1744"/>
        <n v="-0.0001"/>
        <n v="109.7939"/>
        <n v="14.6969"/>
        <n v="20.948"/>
        <n v="746.9"/>
        <n v="18209.456"/>
        <n v="268.334999999999"/>
        <n v="-254.25"/>
        <n v="232.333599999999"/>
        <n v="375.1341"/>
        <n v="-154350.8196"/>
        <n v="149665.8"/>
        <n v="952.099999999999"/>
        <n v="269.7"/>
        <n v="-464.3"/>
        <n v="59.49"/>
        <n v="-1168.5882"/>
        <n v="464.34"/>
        <n v="0.0018"/>
        <n v="337.7435"/>
        <n v="3.13"/>
        <n v="22.5"/>
        <n v="12.8"/>
        <n v="699.66"/>
        <n v="260.4813"/>
        <n v="621.194"/>
        <n v="-935.68"/>
        <n v="108.31"/>
        <n v="798.3096"/>
        <n v="3282.074"/>
        <n v="-7698.75"/>
        <n v="-7083.9"/>
        <n v="29056.78"/>
        <n v="0.3"/>
        <n v="3.8"/>
        <n v="2.75"/>
        <n v="40"/>
        <n v="588.7562"/>
        <n v="22.25"/>
        <n v="-127758"/>
        <n v="2.072"/>
        <n v="4.6"/>
        <n v="8.99999999999999"/>
        <n v="45"/>
        <n v="2298.43"/>
        <n v="-403.25"/>
        <n v="4"/>
        <n v="0.0396"/>
        <n v="29.52"/>
        <n v="13.9986"/>
        <n v="4516.00417618329"/>
        <n v="300"/>
        <n v="935.9"/>
        <n v="11.1888"/>
        <n v="-171.3"/>
        <n v="15"/>
        <n v="-21847.4000999999"/>
        <n v="25.6"/>
        <n v="437.48"/>
        <n v="1665.34829999999"/>
        <n v="28814.7999999999"/>
        <n v="60.6"/>
        <n v="64358.481"/>
        <n v="1030.72"/>
        <n v="42894.0015900367"/>
        <n v="129.4994"/>
        <n v="2907.26"/>
        <n v="4914.91999999999"/>
        <n v="35.12"/>
        <n v="5429.19"/>
        <n v="86.7"/>
        <n v="354.26"/>
        <n v="173201.91"/>
        <n v="4276.4"/>
        <n v="76.1"/>
        <n v="49.5"/>
        <n v="881"/>
        <n v="1029.01999999999"/>
        <n v="-2.1"/>
        <n v="2191.79999999999"/>
        <n v="-56596.182"/>
        <n v="4051.52"/>
        <n v="311.699999999998"/>
        <n v="11.6"/>
        <n v="-124049.89"/>
        <n v="0.9"/>
        <n v="-0.5"/>
        <n v="169.12"/>
        <n v="15024"/>
        <n v="0.16"/>
        <n v="9443"/>
        <n v="899.1"/>
        <n v="400.12"/>
        <n v="352"/>
        <n v="35712.218"/>
        <n v="16721.7399999999"/>
        <n v="46.4"/>
        <n v="101.71795241"/>
        <n v="459"/>
        <n v="7840.2"/>
        <n v="158156.4"/>
        <n v="460469.75"/>
        <n v="33023.4"/>
        <n v="109172.6"/>
        <n v="-0.05"/>
        <n v="98"/>
        <n v="-97.03"/>
        <n v="25.72"/>
        <n v="3012.78839999998"/>
        <n v="4879.47"/>
        <n v="9.19999999999999"/>
        <n v="25.455099999954"/>
        <n v="186625.707200052"/>
        <n v="2527.41999999998"/>
        <n v="954.719999999999"/>
        <n v="143"/>
        <n v="145"/>
        <n v="13683.3000000001"/>
        <n v="297"/>
        <n v="882.62"/>
        <n v="997.5"/>
        <n v="199.4"/>
        <n v="893.087999999995"/>
        <n v="4681.19999999996"/>
        <n v="756020.039999664"/>
        <n v="586.299999999996"/>
        <n v="17092.3999999999"/>
        <n v="4616.44999999999"/>
        <n v="58.7999999999998"/>
        <n v="93.0999999999999"/>
        <n v="388.079999999999"/>
        <n v="60.4199999999994"/>
        <n v="3001.77999999999"/>
        <n v="71295.38"/>
        <n v="559.61"/>
        <n v="157.119999999999"/>
        <n v="481.699999999999"/>
        <n v="13.8"/>
        <n v="11.5"/>
        <n v="1797"/>
        <n v="-5521.38"/>
      </sharedItems>
    </cacheField>
    <cacheField name="调整后成本" numFmtId="43">
      <sharedItems containsString="0" containsBlank="1" containsNumber="1" minValue="-525" maxValue="4553413" count="162">
        <n v="13317.06"/>
        <n v="17770.9"/>
        <n v="31728"/>
        <n v="8413.1"/>
        <n v="291.6"/>
        <n v="85315"/>
        <n v="2595.4"/>
        <n v="1053.9"/>
        <n v="83271.39"/>
        <n v="22867.65"/>
        <n v="147.5"/>
        <n v="752.85"/>
        <n v="240085.829999999"/>
        <n v="1319.6"/>
        <n v="28871.3"/>
        <n v="454.2"/>
        <n v="208.98"/>
        <m/>
        <n v="282681.36"/>
        <n v="1319224.34"/>
        <n v="3536"/>
        <n v="160"/>
        <n v="152490"/>
        <n v="2364788.25"/>
        <n v="5402.7"/>
        <n v="848.6"/>
        <n v="34332.1"/>
        <n v="18186.3"/>
        <n v="16105.5"/>
        <n v="489"/>
        <n v="133575.9"/>
        <n v="143550"/>
        <n v="2970"/>
        <n v="341840.975"/>
        <n v="445901.625"/>
        <n v="64205.8"/>
        <n v="155.52"/>
        <n v="9384"/>
        <n v="28336"/>
        <n v="118588"/>
        <n v="36799.5"/>
        <n v="176.14"/>
        <n v="867"/>
        <n v="268.4"/>
        <n v="586.04"/>
        <n v="42.94"/>
        <n v="18747.8"/>
        <n v="31009.8"/>
        <n v="34.8"/>
        <n v="22972"/>
        <n v="31.8"/>
        <n v="42.4"/>
        <n v="17125.89"/>
        <n v="3510.01"/>
        <n v="2090.85"/>
        <n v="220.74"/>
        <n v="40694.45"/>
        <n v="3579.75"/>
        <n v="2505.14"/>
        <n v="4285.45"/>
        <n v="96"/>
        <n v="9350"/>
        <n v="-106.15"/>
        <n v="-19.8"/>
        <n v="2227.4"/>
        <n v="864.6"/>
        <n v="701.85"/>
        <n v="18111.3"/>
        <n v="160907.069999999"/>
        <n v="10.2"/>
        <n v="17.15"/>
        <n v="1269.1"/>
        <n v="0.0002"/>
        <n v="421225.739999999"/>
        <n v="2325"/>
        <n v="137254.1"/>
        <n v="379639"/>
        <n v="73984.75"/>
        <n v="1616.15"/>
        <n v="399"/>
        <n v="27.8"/>
        <n v="58200"/>
        <n v="4553413"/>
        <n v="14.9"/>
        <n v="9.85"/>
        <n v="26.15"/>
        <n v="544286.58"/>
        <n v="58493.08"/>
        <n v="7355.7"/>
        <n v="678.99"/>
        <n v="49585"/>
        <n v="40872"/>
        <n v="20006"/>
        <n v="115658"/>
        <n v="3465"/>
        <n v="217183"/>
        <n v="442700.4"/>
        <n v="103928.799999999"/>
        <n v="7481.4"/>
        <n v="5815.76"/>
        <n v="96245.7"/>
        <n v="148702.31"/>
        <n v="-202"/>
        <n v="-525"/>
        <n v="8191.8"/>
        <n v="799.2"/>
        <n v="247763.7"/>
        <n v="0.0005"/>
        <n v="141109.92"/>
        <n v="446273.856"/>
        <n v="13875.92"/>
        <n v="3122764.05"/>
        <n v="122031"/>
        <n v="128373"/>
        <n v="14833.5"/>
        <n v="0.16"/>
        <n v="9399.3"/>
        <n v="902.85"/>
        <n v="1604.8"/>
        <n v="315.56"/>
        <n v="236.1"/>
        <n v="30661.8"/>
        <n v="15587.05"/>
        <n v="39"/>
        <n v="97.5"/>
        <n v="382.5"/>
        <n v="4451.8"/>
        <n v="154405.44"/>
        <n v="449583.12"/>
        <n v="31936.2"/>
        <n v="105141"/>
        <n v="-16.2199999999999"/>
        <n v="317.589999999999"/>
        <n v="-0.22"/>
        <n v="-0.01"/>
        <n v="-0.04"/>
        <n v="17.9899999999999"/>
        <n v="-1.92"/>
        <n v="2251.63239999997"/>
        <n v="61.4549999999996"/>
        <n v="8.5"/>
        <n v="25.455099999954"/>
        <n v="239939.314699996"/>
        <n v="415.199999999999"/>
        <n v="954.719999999999"/>
        <n v="143"/>
        <n v="145"/>
        <n v="13683.3000000001"/>
        <n v="297"/>
        <n v="496.06"/>
        <n v="997.5"/>
        <n v="199.4"/>
        <n v="82.656"/>
        <n v="4650.99999999996"/>
        <n v="750575.099999556"/>
        <n v="586.299999999996"/>
        <n v="17092.3999999999"/>
        <n v="6066.00000000001"/>
        <n v="58.7999999999998"/>
        <n v="0.0095"/>
        <n v="561"/>
        <n v="60.4199999999994"/>
      </sharedItems>
    </cacheField>
    <cacheField name="调整后毛利" numFmtId="43">
      <sharedItems containsString="0" containsBlank="1" containsNumber="1" minValue="-380035.639999999" maxValue="173201.91" count="314">
        <n v="157.99"/>
        <n v="84.95"/>
        <n v="-5697.024"/>
        <n v="1157.87"/>
        <n v="-116.6"/>
        <n v="3267.8"/>
        <n v="-93.84"/>
        <n v="127.96"/>
        <n v="-83271.39"/>
        <n v="-22709.45"/>
        <n v="121.9"/>
        <n v="-19.25"/>
        <n v="-10874.8699999999"/>
        <n v="76.3"/>
        <n v="1099.6"/>
        <n v="37.2"/>
        <n v="64.5"/>
        <n v="0.9764"/>
        <m/>
        <n v="-230618.7411"/>
        <n v="364"/>
        <n v="2"/>
        <n v="-24789.4"/>
        <n v="-380035.639999999"/>
        <n v="1888.8"/>
        <n v="106.52"/>
        <n v="13657.6956"/>
        <n v="1804.63"/>
        <n v="430.049999999999"/>
        <n v="11"/>
        <n v="-133575.9"/>
        <n v="435"/>
        <n v="9"/>
        <n v="6785.775"/>
        <n v="1880.195"/>
        <n v="1.28"/>
        <n v="152"/>
        <n v="308"/>
        <n v="1289"/>
        <n v="1076.9"/>
        <n v="8.70477364"/>
        <n v="-61.4"/>
        <n v="9.76"/>
        <n v="146.76"/>
        <n v="3.98"/>
        <n v="1632.95"/>
        <n v="218.58"/>
        <n v="8447.21"/>
        <n v="0.45"/>
        <n v="0.4"/>
        <n v="1709.071"/>
        <n v="236.22"/>
        <n v="180.95"/>
        <n v="57.17"/>
        <n v="8454.3428"/>
        <n v="36.6"/>
        <n v="285.3265"/>
        <n v="224.81"/>
        <n v="3"/>
        <n v="450"/>
        <n v="-0.490000000000005"/>
        <n v="535.96"/>
        <n v="88.12"/>
        <n v="103.8975"/>
        <n v="562.68"/>
        <n v="20943.56"/>
        <n v="1.8"/>
        <n v="0.7"/>
        <n v="44.62355592"/>
        <n v="1.5998"/>
        <n v="17599.5265"/>
        <n v="-35768.848"/>
        <n v="787.5"/>
        <n v="3521.4"/>
        <n v="9469.5"/>
        <n v="-263.4"/>
        <n v="-16.15"/>
        <n v="-274958.4692"/>
        <n v="6.8"/>
        <n v="2.2"/>
        <n v="3.7"/>
        <n v="-582"/>
        <n v="13044"/>
        <n v="600"/>
        <n v="3446.973"/>
        <n v="-2150.5"/>
        <n v="-23080.03"/>
        <n v="11627.48"/>
        <n v="-39.6"/>
        <n v="-198.35"/>
        <n v="-30"/>
        <n v="269.836"/>
        <n v="4.1"/>
        <n v="15.1"/>
        <n v="666.565"/>
        <n v="827.25"/>
        <n v="-6853.932"/>
        <n v="182.37"/>
        <n v="1054.99999999999"/>
        <n v="206"/>
        <n v="86.5"/>
        <n v="53547"/>
        <n v="189"/>
        <n v="-2683.37999999999"/>
        <n v="44.1683"/>
        <n v="55.3"/>
        <n v="-696.1797"/>
        <n v="-136416.2969"/>
        <n v="6497.81"/>
        <n v="6886.65999999999"/>
        <n v="-30850.0999999999"/>
        <n v="-81.4"/>
        <n v="105.64"/>
        <n v="818.38"/>
        <n v="3785.09"/>
        <n v="-4"/>
        <n v="6571.1"/>
        <n v="-10"/>
        <n v="5.4"/>
        <n v="0.8"/>
        <n v="13062.408"/>
        <n v="0.0495"/>
        <n v="3371.33"/>
        <n v="11254.154"/>
        <n v="338.3"/>
        <n v="58300.79"/>
        <n v="1162.225"/>
        <n v="602.036"/>
        <n v="11.344"/>
        <n v="-4194.828"/>
        <n v="97.476"/>
        <n v="-39124.0595"/>
        <n v="803.9267"/>
        <n v="-7255.11"/>
        <n v="-1627.31"/>
        <n v="295.83"/>
        <n v="395.28"/>
        <n v="108.612"/>
        <n v="18.812"/>
        <n v="-28953.9134"/>
        <n v="10095.097"/>
        <n v="4934.53"/>
        <n v="478.31822489"/>
        <n v="-2893.1"/>
        <n v="630"/>
        <n v="10"/>
        <n v="7594.07"/>
        <n v="1626.99999999999"/>
        <n v="113.1647"/>
        <n v="20"/>
        <n v="445.976"/>
        <n v="1438.86"/>
        <n v="15969.71"/>
        <n v="3690.16"/>
        <n v="803.89"/>
        <n v="1.35"/>
        <n v="5584.9"/>
        <n v="682.8"/>
        <n v="-8721.885"/>
        <n v="1306.5"/>
        <n v="6817.98"/>
        <n v="13835.57"/>
        <n v="34.8"/>
        <n v="3742"/>
        <n v="41029.61"/>
        <n v="25340.5725"/>
        <n v="84.954"/>
        <n v="181.488"/>
        <n v="1157.9"/>
        <n v="-515"/>
        <n v="22"/>
        <n v="47"/>
        <n v="1189.7"/>
        <n v="78.9"/>
        <n v="1423.1716"/>
        <n v="1469.51"/>
        <n v="13.6"/>
        <n v="888.7904"/>
        <n v="45.64"/>
        <n v="0.1744"/>
        <n v="-0.0001"/>
        <n v="109.7939"/>
        <n v="14.6969"/>
        <n v="20.948"/>
        <n v="746.9"/>
        <n v="18209.456"/>
        <n v="268.334999999999"/>
        <n v="-254.25"/>
        <n v="232.333599999999"/>
        <n v="375.1341"/>
        <n v="-154350.8196"/>
        <n v="149665.8"/>
        <n v="952.099999999999"/>
        <n v="269.7"/>
        <n v="-464.3"/>
        <n v="59.49"/>
        <n v="-1168.5882"/>
        <n v="464.34"/>
        <n v="0.0018"/>
        <n v="337.7435"/>
        <n v="3.13"/>
        <n v="22.5"/>
        <n v="12.8"/>
        <n v="699.66"/>
        <n v="260.4813"/>
        <n v="621.194"/>
        <n v="-935.68"/>
        <n v="108.31"/>
        <n v="798.3096"/>
        <n v="3282.074"/>
        <n v="-7698.75"/>
        <n v="-7083.9"/>
        <n v="29056.78"/>
        <n v="0.3"/>
        <n v="3.8"/>
        <n v="2.75"/>
        <n v="40"/>
        <n v="588.7562"/>
        <n v="22.25"/>
        <n v="-127758"/>
        <n v="2.072"/>
        <n v="4.6"/>
        <n v="8.99999999999999"/>
        <n v="45"/>
        <n v="2298.43"/>
        <n v="-403.25"/>
        <n v="4"/>
        <n v="0.0396"/>
        <n v="29.52"/>
        <n v="13.9986"/>
        <n v="4516.00417618329"/>
        <n v="300"/>
        <n v="935.9"/>
        <n v="11.1888"/>
        <n v="-171.3"/>
        <n v="15"/>
        <n v="-21847.4000999999"/>
        <n v="25.6"/>
        <n v="437.48"/>
        <n v="1665.34829999999"/>
        <n v="28814.7999999999"/>
        <n v="60.6"/>
        <n v="64358.481"/>
        <n v="1030.72"/>
        <n v="42894.0015900367"/>
        <n v="129.4994"/>
        <n v="2907.26"/>
        <n v="4914.91999999999"/>
        <n v="35.12"/>
        <n v="5429.19"/>
        <n v="86.7"/>
        <n v="354.26"/>
        <n v="173201.91"/>
        <n v="4276.4"/>
        <n v="76.1"/>
        <n v="49.5"/>
        <n v="881"/>
        <n v="1029.01999999999"/>
        <n v="-2.1"/>
        <n v="2191.79999999999"/>
        <n v="-56596.182"/>
        <n v="4051.52"/>
        <n v="311.699999999998"/>
        <n v="11.6"/>
        <n v="-124049.89"/>
        <n v="0.9"/>
        <n v="-0.5"/>
        <n v="169.12"/>
        <n v="190.5"/>
        <n v="43.7"/>
        <n v="-3.75"/>
        <n v="-4.8"/>
        <n v="84.56"/>
        <n v="115.9"/>
        <n v="5050.418"/>
        <n v="1134.68999999999"/>
        <n v="7.4"/>
        <n v="4.21795241"/>
        <n v="76.5"/>
        <n v="3388.4"/>
        <n v="3750.96"/>
        <n v="10886.63"/>
        <n v="1087.2"/>
        <n v="4031.6"/>
        <n v="16.2199999999999"/>
        <n v="-317.589999999999"/>
        <n v="0.169999999999999"/>
        <n v="98.01"/>
        <n v="0.04"/>
        <n v="-17.9899999999999"/>
        <n v="-97.03"/>
        <n v="1.92"/>
        <n v="25.72"/>
        <n v="761.156000000009"/>
        <n v="4818.015"/>
        <n v="0.69999999999999"/>
        <n v="-53313.6074999449"/>
        <n v="2112.21999999998"/>
        <n v="386.56"/>
        <n v="810.431999999995"/>
        <n v="30.2000000000016"/>
        <n v="5444.94000010716"/>
        <n v="-1449.55000000001"/>
        <n v="93.0904999999999"/>
        <n v="-172.92"/>
        <n v="3001.77999999999"/>
        <n v="71295.38"/>
        <n v="559.61"/>
        <n v="157.119999999999"/>
        <n v="481.699999999999"/>
        <n v="13.8"/>
        <n v="11.5"/>
        <n v="1797"/>
        <n v="-5521.3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0"/>
    <x v="0"/>
    <x v="0"/>
    <x v="0"/>
    <x v="1"/>
    <x v="1"/>
    <x v="0"/>
    <x v="0"/>
    <x v="1"/>
    <x v="1"/>
    <x v="1"/>
    <x v="1"/>
    <x v="1"/>
    <x v="1"/>
    <x v="1"/>
  </r>
  <r>
    <x v="0"/>
    <x v="0"/>
    <x v="1"/>
    <x v="1"/>
    <x v="0"/>
    <x v="1"/>
    <x v="1"/>
    <x v="2"/>
    <x v="2"/>
    <x v="0"/>
    <x v="0"/>
    <x v="2"/>
    <x v="2"/>
    <x v="2"/>
    <x v="2"/>
    <x v="2"/>
    <x v="2"/>
    <x v="2"/>
  </r>
  <r>
    <x v="0"/>
    <x v="0"/>
    <x v="0"/>
    <x v="2"/>
    <x v="0"/>
    <x v="2"/>
    <x v="0"/>
    <x v="3"/>
    <x v="3"/>
    <x v="0"/>
    <x v="0"/>
    <x v="3"/>
    <x v="3"/>
    <x v="3"/>
    <x v="3"/>
    <x v="3"/>
    <x v="3"/>
    <x v="3"/>
  </r>
  <r>
    <x v="0"/>
    <x v="0"/>
    <x v="0"/>
    <x v="3"/>
    <x v="0"/>
    <x v="3"/>
    <x v="0"/>
    <x v="4"/>
    <x v="4"/>
    <x v="0"/>
    <x v="0"/>
    <x v="4"/>
    <x v="4"/>
    <x v="4"/>
    <x v="4"/>
    <x v="4"/>
    <x v="4"/>
    <x v="4"/>
  </r>
  <r>
    <x v="0"/>
    <x v="0"/>
    <x v="1"/>
    <x v="3"/>
    <x v="0"/>
    <x v="3"/>
    <x v="0"/>
    <x v="5"/>
    <x v="5"/>
    <x v="0"/>
    <x v="0"/>
    <x v="5"/>
    <x v="5"/>
    <x v="5"/>
    <x v="5"/>
    <x v="5"/>
    <x v="5"/>
    <x v="5"/>
  </r>
  <r>
    <x v="0"/>
    <x v="0"/>
    <x v="0"/>
    <x v="3"/>
    <x v="0"/>
    <x v="3"/>
    <x v="1"/>
    <x v="6"/>
    <x v="6"/>
    <x v="0"/>
    <x v="0"/>
    <x v="6"/>
    <x v="6"/>
    <x v="6"/>
    <x v="6"/>
    <x v="6"/>
    <x v="6"/>
    <x v="6"/>
  </r>
  <r>
    <x v="0"/>
    <x v="0"/>
    <x v="1"/>
    <x v="3"/>
    <x v="0"/>
    <x v="3"/>
    <x v="1"/>
    <x v="7"/>
    <x v="7"/>
    <x v="0"/>
    <x v="0"/>
    <x v="7"/>
    <x v="7"/>
    <x v="7"/>
    <x v="7"/>
    <x v="7"/>
    <x v="7"/>
    <x v="7"/>
  </r>
  <r>
    <x v="0"/>
    <x v="0"/>
    <x v="0"/>
    <x v="4"/>
    <x v="0"/>
    <x v="4"/>
    <x v="0"/>
    <x v="8"/>
    <x v="8"/>
    <x v="0"/>
    <x v="0"/>
    <x v="8"/>
    <x v="8"/>
    <x v="8"/>
    <x v="8"/>
    <x v="8"/>
    <x v="8"/>
    <x v="8"/>
  </r>
  <r>
    <x v="0"/>
    <x v="0"/>
    <x v="0"/>
    <x v="4"/>
    <x v="0"/>
    <x v="4"/>
    <x v="1"/>
    <x v="9"/>
    <x v="9"/>
    <x v="0"/>
    <x v="0"/>
    <x v="9"/>
    <x v="9"/>
    <x v="9"/>
    <x v="9"/>
    <x v="9"/>
    <x v="9"/>
    <x v="9"/>
  </r>
  <r>
    <x v="0"/>
    <x v="0"/>
    <x v="1"/>
    <x v="4"/>
    <x v="0"/>
    <x v="4"/>
    <x v="1"/>
    <x v="10"/>
    <x v="10"/>
    <x v="0"/>
    <x v="0"/>
    <x v="10"/>
    <x v="10"/>
    <x v="10"/>
    <x v="10"/>
    <x v="10"/>
    <x v="10"/>
    <x v="10"/>
  </r>
  <r>
    <x v="0"/>
    <x v="0"/>
    <x v="0"/>
    <x v="5"/>
    <x v="0"/>
    <x v="5"/>
    <x v="0"/>
    <x v="11"/>
    <x v="11"/>
    <x v="1"/>
    <x v="1"/>
    <x v="11"/>
    <x v="11"/>
    <x v="11"/>
    <x v="11"/>
    <x v="11"/>
    <x v="11"/>
    <x v="11"/>
  </r>
  <r>
    <x v="0"/>
    <x v="0"/>
    <x v="0"/>
    <x v="5"/>
    <x v="0"/>
    <x v="5"/>
    <x v="1"/>
    <x v="12"/>
    <x v="12"/>
    <x v="2"/>
    <x v="2"/>
    <x v="12"/>
    <x v="12"/>
    <x v="12"/>
    <x v="12"/>
    <x v="12"/>
    <x v="12"/>
    <x v="12"/>
  </r>
  <r>
    <x v="0"/>
    <x v="0"/>
    <x v="0"/>
    <x v="6"/>
    <x v="0"/>
    <x v="6"/>
    <x v="0"/>
    <x v="13"/>
    <x v="13"/>
    <x v="0"/>
    <x v="0"/>
    <x v="13"/>
    <x v="13"/>
    <x v="13"/>
    <x v="13"/>
    <x v="13"/>
    <x v="13"/>
    <x v="13"/>
  </r>
  <r>
    <x v="0"/>
    <x v="0"/>
    <x v="1"/>
    <x v="6"/>
    <x v="0"/>
    <x v="6"/>
    <x v="0"/>
    <x v="14"/>
    <x v="14"/>
    <x v="0"/>
    <x v="0"/>
    <x v="14"/>
    <x v="14"/>
    <x v="14"/>
    <x v="14"/>
    <x v="14"/>
    <x v="14"/>
    <x v="14"/>
  </r>
  <r>
    <x v="0"/>
    <x v="0"/>
    <x v="0"/>
    <x v="6"/>
    <x v="0"/>
    <x v="6"/>
    <x v="1"/>
    <x v="15"/>
    <x v="15"/>
    <x v="0"/>
    <x v="0"/>
    <x v="15"/>
    <x v="15"/>
    <x v="15"/>
    <x v="15"/>
    <x v="15"/>
    <x v="15"/>
    <x v="15"/>
  </r>
  <r>
    <x v="0"/>
    <x v="0"/>
    <x v="1"/>
    <x v="6"/>
    <x v="0"/>
    <x v="6"/>
    <x v="1"/>
    <x v="16"/>
    <x v="16"/>
    <x v="0"/>
    <x v="0"/>
    <x v="16"/>
    <x v="16"/>
    <x v="16"/>
    <x v="16"/>
    <x v="16"/>
    <x v="16"/>
    <x v="16"/>
  </r>
  <r>
    <x v="0"/>
    <x v="0"/>
    <x v="1"/>
    <x v="7"/>
    <x v="0"/>
    <x v="7"/>
    <x v="0"/>
    <x v="17"/>
    <x v="17"/>
    <x v="0"/>
    <x v="0"/>
    <x v="17"/>
    <x v="17"/>
    <x v="17"/>
    <x v="17"/>
    <x v="17"/>
    <x v="17"/>
    <x v="17"/>
  </r>
  <r>
    <x v="0"/>
    <x v="0"/>
    <x v="0"/>
    <x v="8"/>
    <x v="0"/>
    <x v="8"/>
    <x v="0"/>
    <x v="18"/>
    <x v="18"/>
    <x v="0"/>
    <x v="0"/>
    <x v="18"/>
    <x v="18"/>
    <x v="18"/>
    <x v="18"/>
    <x v="18"/>
    <x v="18"/>
    <x v="18"/>
  </r>
  <r>
    <x v="0"/>
    <x v="0"/>
    <x v="1"/>
    <x v="9"/>
    <x v="0"/>
    <x v="9"/>
    <x v="0"/>
    <x v="19"/>
    <x v="19"/>
    <x v="0"/>
    <x v="0"/>
    <x v="19"/>
    <x v="19"/>
    <x v="19"/>
    <x v="19"/>
    <x v="19"/>
    <x v="19"/>
    <x v="19"/>
  </r>
  <r>
    <x v="0"/>
    <x v="0"/>
    <x v="0"/>
    <x v="10"/>
    <x v="0"/>
    <x v="10"/>
    <x v="0"/>
    <x v="20"/>
    <x v="20"/>
    <x v="0"/>
    <x v="0"/>
    <x v="20"/>
    <x v="20"/>
    <x v="20"/>
    <x v="20"/>
    <x v="20"/>
    <x v="20"/>
    <x v="20"/>
  </r>
  <r>
    <x v="0"/>
    <x v="0"/>
    <x v="1"/>
    <x v="10"/>
    <x v="0"/>
    <x v="10"/>
    <x v="0"/>
    <x v="21"/>
    <x v="21"/>
    <x v="0"/>
    <x v="0"/>
    <x v="21"/>
    <x v="21"/>
    <x v="21"/>
    <x v="21"/>
    <x v="21"/>
    <x v="21"/>
    <x v="21"/>
  </r>
  <r>
    <x v="0"/>
    <x v="0"/>
    <x v="1"/>
    <x v="11"/>
    <x v="0"/>
    <x v="11"/>
    <x v="0"/>
    <x v="22"/>
    <x v="22"/>
    <x v="0"/>
    <x v="0"/>
    <x v="22"/>
    <x v="22"/>
    <x v="22"/>
    <x v="22"/>
    <x v="22"/>
    <x v="22"/>
    <x v="22"/>
  </r>
  <r>
    <x v="0"/>
    <x v="0"/>
    <x v="1"/>
    <x v="11"/>
    <x v="0"/>
    <x v="11"/>
    <x v="1"/>
    <x v="23"/>
    <x v="23"/>
    <x v="3"/>
    <x v="3"/>
    <x v="23"/>
    <x v="23"/>
    <x v="23"/>
    <x v="23"/>
    <x v="23"/>
    <x v="23"/>
    <x v="23"/>
  </r>
  <r>
    <x v="0"/>
    <x v="0"/>
    <x v="0"/>
    <x v="12"/>
    <x v="0"/>
    <x v="12"/>
    <x v="0"/>
    <x v="24"/>
    <x v="24"/>
    <x v="0"/>
    <x v="0"/>
    <x v="24"/>
    <x v="24"/>
    <x v="24"/>
    <x v="24"/>
    <x v="24"/>
    <x v="24"/>
    <x v="24"/>
  </r>
  <r>
    <x v="0"/>
    <x v="0"/>
    <x v="1"/>
    <x v="12"/>
    <x v="0"/>
    <x v="12"/>
    <x v="0"/>
    <x v="25"/>
    <x v="25"/>
    <x v="0"/>
    <x v="0"/>
    <x v="25"/>
    <x v="25"/>
    <x v="25"/>
    <x v="25"/>
    <x v="25"/>
    <x v="25"/>
    <x v="25"/>
  </r>
  <r>
    <x v="0"/>
    <x v="0"/>
    <x v="0"/>
    <x v="12"/>
    <x v="0"/>
    <x v="12"/>
    <x v="1"/>
    <x v="26"/>
    <x v="26"/>
    <x v="0"/>
    <x v="0"/>
    <x v="26"/>
    <x v="26"/>
    <x v="26"/>
    <x v="26"/>
    <x v="26"/>
    <x v="26"/>
    <x v="26"/>
  </r>
  <r>
    <x v="0"/>
    <x v="0"/>
    <x v="1"/>
    <x v="12"/>
    <x v="0"/>
    <x v="12"/>
    <x v="1"/>
    <x v="27"/>
    <x v="27"/>
    <x v="0"/>
    <x v="0"/>
    <x v="27"/>
    <x v="27"/>
    <x v="27"/>
    <x v="27"/>
    <x v="27"/>
    <x v="27"/>
    <x v="27"/>
  </r>
  <r>
    <x v="0"/>
    <x v="0"/>
    <x v="0"/>
    <x v="13"/>
    <x v="0"/>
    <x v="13"/>
    <x v="2"/>
    <x v="28"/>
    <x v="28"/>
    <x v="4"/>
    <x v="4"/>
    <x v="28"/>
    <x v="28"/>
    <x v="28"/>
    <x v="28"/>
    <x v="28"/>
    <x v="28"/>
    <x v="28"/>
  </r>
  <r>
    <x v="0"/>
    <x v="0"/>
    <x v="1"/>
    <x v="13"/>
    <x v="0"/>
    <x v="13"/>
    <x v="2"/>
    <x v="29"/>
    <x v="29"/>
    <x v="0"/>
    <x v="0"/>
    <x v="29"/>
    <x v="29"/>
    <x v="29"/>
    <x v="29"/>
    <x v="29"/>
    <x v="29"/>
    <x v="29"/>
  </r>
  <r>
    <x v="0"/>
    <x v="0"/>
    <x v="0"/>
    <x v="14"/>
    <x v="0"/>
    <x v="14"/>
    <x v="0"/>
    <x v="8"/>
    <x v="30"/>
    <x v="0"/>
    <x v="0"/>
    <x v="8"/>
    <x v="30"/>
    <x v="30"/>
    <x v="30"/>
    <x v="8"/>
    <x v="30"/>
    <x v="30"/>
  </r>
  <r>
    <x v="0"/>
    <x v="0"/>
    <x v="0"/>
    <x v="15"/>
    <x v="0"/>
    <x v="15"/>
    <x v="0"/>
    <x v="30"/>
    <x v="31"/>
    <x v="0"/>
    <x v="0"/>
    <x v="30"/>
    <x v="31"/>
    <x v="31"/>
    <x v="31"/>
    <x v="30"/>
    <x v="31"/>
    <x v="31"/>
  </r>
  <r>
    <x v="0"/>
    <x v="0"/>
    <x v="1"/>
    <x v="15"/>
    <x v="0"/>
    <x v="15"/>
    <x v="0"/>
    <x v="31"/>
    <x v="32"/>
    <x v="0"/>
    <x v="0"/>
    <x v="31"/>
    <x v="32"/>
    <x v="32"/>
    <x v="32"/>
    <x v="31"/>
    <x v="32"/>
    <x v="32"/>
  </r>
  <r>
    <x v="0"/>
    <x v="0"/>
    <x v="0"/>
    <x v="16"/>
    <x v="0"/>
    <x v="16"/>
    <x v="0"/>
    <x v="32"/>
    <x v="33"/>
    <x v="0"/>
    <x v="0"/>
    <x v="32"/>
    <x v="33"/>
    <x v="33"/>
    <x v="33"/>
    <x v="32"/>
    <x v="33"/>
    <x v="33"/>
  </r>
  <r>
    <x v="0"/>
    <x v="0"/>
    <x v="1"/>
    <x v="16"/>
    <x v="0"/>
    <x v="16"/>
    <x v="0"/>
    <x v="33"/>
    <x v="34"/>
    <x v="0"/>
    <x v="0"/>
    <x v="33"/>
    <x v="34"/>
    <x v="34"/>
    <x v="34"/>
    <x v="33"/>
    <x v="34"/>
    <x v="34"/>
  </r>
  <r>
    <x v="0"/>
    <x v="0"/>
    <x v="0"/>
    <x v="17"/>
    <x v="0"/>
    <x v="17"/>
    <x v="0"/>
    <x v="34"/>
    <x v="35"/>
    <x v="0"/>
    <x v="0"/>
    <x v="34"/>
    <x v="35"/>
    <x v="18"/>
    <x v="18"/>
    <x v="34"/>
    <x v="35"/>
    <x v="18"/>
  </r>
  <r>
    <x v="0"/>
    <x v="0"/>
    <x v="0"/>
    <x v="18"/>
    <x v="0"/>
    <x v="18"/>
    <x v="0"/>
    <x v="35"/>
    <x v="36"/>
    <x v="0"/>
    <x v="0"/>
    <x v="35"/>
    <x v="36"/>
    <x v="35"/>
    <x v="35"/>
    <x v="35"/>
    <x v="36"/>
    <x v="35"/>
  </r>
  <r>
    <x v="0"/>
    <x v="0"/>
    <x v="1"/>
    <x v="18"/>
    <x v="0"/>
    <x v="18"/>
    <x v="0"/>
    <x v="36"/>
    <x v="37"/>
    <x v="0"/>
    <x v="0"/>
    <x v="36"/>
    <x v="37"/>
    <x v="36"/>
    <x v="36"/>
    <x v="36"/>
    <x v="37"/>
    <x v="36"/>
  </r>
  <r>
    <x v="0"/>
    <x v="0"/>
    <x v="0"/>
    <x v="19"/>
    <x v="0"/>
    <x v="19"/>
    <x v="0"/>
    <x v="37"/>
    <x v="38"/>
    <x v="0"/>
    <x v="0"/>
    <x v="37"/>
    <x v="38"/>
    <x v="37"/>
    <x v="37"/>
    <x v="37"/>
    <x v="38"/>
    <x v="37"/>
  </r>
  <r>
    <x v="0"/>
    <x v="0"/>
    <x v="1"/>
    <x v="19"/>
    <x v="0"/>
    <x v="19"/>
    <x v="0"/>
    <x v="38"/>
    <x v="39"/>
    <x v="0"/>
    <x v="0"/>
    <x v="38"/>
    <x v="39"/>
    <x v="38"/>
    <x v="38"/>
    <x v="38"/>
    <x v="39"/>
    <x v="38"/>
  </r>
  <r>
    <x v="0"/>
    <x v="0"/>
    <x v="0"/>
    <x v="20"/>
    <x v="0"/>
    <x v="20"/>
    <x v="1"/>
    <x v="39"/>
    <x v="40"/>
    <x v="0"/>
    <x v="0"/>
    <x v="39"/>
    <x v="40"/>
    <x v="39"/>
    <x v="39"/>
    <x v="39"/>
    <x v="40"/>
    <x v="39"/>
  </r>
  <r>
    <x v="0"/>
    <x v="0"/>
    <x v="0"/>
    <x v="21"/>
    <x v="0"/>
    <x v="21"/>
    <x v="0"/>
    <x v="40"/>
    <x v="41"/>
    <x v="0"/>
    <x v="0"/>
    <x v="40"/>
    <x v="41"/>
    <x v="40"/>
    <x v="40"/>
    <x v="40"/>
    <x v="41"/>
    <x v="40"/>
  </r>
  <r>
    <x v="0"/>
    <x v="0"/>
    <x v="0"/>
    <x v="21"/>
    <x v="0"/>
    <x v="21"/>
    <x v="1"/>
    <x v="41"/>
    <x v="42"/>
    <x v="0"/>
    <x v="0"/>
    <x v="41"/>
    <x v="42"/>
    <x v="41"/>
    <x v="41"/>
    <x v="41"/>
    <x v="42"/>
    <x v="41"/>
  </r>
  <r>
    <x v="0"/>
    <x v="0"/>
    <x v="1"/>
    <x v="21"/>
    <x v="0"/>
    <x v="21"/>
    <x v="1"/>
    <x v="42"/>
    <x v="43"/>
    <x v="0"/>
    <x v="0"/>
    <x v="42"/>
    <x v="43"/>
    <x v="42"/>
    <x v="42"/>
    <x v="42"/>
    <x v="43"/>
    <x v="42"/>
  </r>
  <r>
    <x v="0"/>
    <x v="0"/>
    <x v="0"/>
    <x v="22"/>
    <x v="0"/>
    <x v="22"/>
    <x v="0"/>
    <x v="43"/>
    <x v="44"/>
    <x v="0"/>
    <x v="0"/>
    <x v="43"/>
    <x v="44"/>
    <x v="43"/>
    <x v="43"/>
    <x v="43"/>
    <x v="44"/>
    <x v="43"/>
  </r>
  <r>
    <x v="0"/>
    <x v="0"/>
    <x v="1"/>
    <x v="22"/>
    <x v="0"/>
    <x v="22"/>
    <x v="0"/>
    <x v="44"/>
    <x v="45"/>
    <x v="0"/>
    <x v="0"/>
    <x v="44"/>
    <x v="45"/>
    <x v="44"/>
    <x v="44"/>
    <x v="44"/>
    <x v="45"/>
    <x v="44"/>
  </r>
  <r>
    <x v="0"/>
    <x v="0"/>
    <x v="0"/>
    <x v="22"/>
    <x v="0"/>
    <x v="22"/>
    <x v="1"/>
    <x v="45"/>
    <x v="46"/>
    <x v="0"/>
    <x v="0"/>
    <x v="45"/>
    <x v="46"/>
    <x v="45"/>
    <x v="45"/>
    <x v="45"/>
    <x v="46"/>
    <x v="45"/>
  </r>
  <r>
    <x v="0"/>
    <x v="0"/>
    <x v="1"/>
    <x v="22"/>
    <x v="0"/>
    <x v="22"/>
    <x v="1"/>
    <x v="46"/>
    <x v="47"/>
    <x v="0"/>
    <x v="0"/>
    <x v="46"/>
    <x v="47"/>
    <x v="46"/>
    <x v="46"/>
    <x v="46"/>
    <x v="47"/>
    <x v="46"/>
  </r>
  <r>
    <x v="0"/>
    <x v="0"/>
    <x v="0"/>
    <x v="23"/>
    <x v="0"/>
    <x v="23"/>
    <x v="0"/>
    <x v="47"/>
    <x v="48"/>
    <x v="0"/>
    <x v="0"/>
    <x v="47"/>
    <x v="48"/>
    <x v="18"/>
    <x v="18"/>
    <x v="47"/>
    <x v="48"/>
    <x v="18"/>
  </r>
  <r>
    <x v="0"/>
    <x v="0"/>
    <x v="0"/>
    <x v="23"/>
    <x v="0"/>
    <x v="23"/>
    <x v="1"/>
    <x v="48"/>
    <x v="49"/>
    <x v="0"/>
    <x v="0"/>
    <x v="48"/>
    <x v="49"/>
    <x v="47"/>
    <x v="47"/>
    <x v="48"/>
    <x v="49"/>
    <x v="47"/>
  </r>
  <r>
    <x v="0"/>
    <x v="0"/>
    <x v="0"/>
    <x v="24"/>
    <x v="0"/>
    <x v="24"/>
    <x v="0"/>
    <x v="49"/>
    <x v="50"/>
    <x v="0"/>
    <x v="0"/>
    <x v="49"/>
    <x v="50"/>
    <x v="48"/>
    <x v="48"/>
    <x v="49"/>
    <x v="50"/>
    <x v="48"/>
  </r>
  <r>
    <x v="0"/>
    <x v="0"/>
    <x v="1"/>
    <x v="24"/>
    <x v="0"/>
    <x v="24"/>
    <x v="0"/>
    <x v="50"/>
    <x v="51"/>
    <x v="0"/>
    <x v="0"/>
    <x v="50"/>
    <x v="51"/>
    <x v="49"/>
    <x v="49"/>
    <x v="50"/>
    <x v="51"/>
    <x v="49"/>
  </r>
  <r>
    <x v="0"/>
    <x v="0"/>
    <x v="0"/>
    <x v="25"/>
    <x v="0"/>
    <x v="25"/>
    <x v="0"/>
    <x v="51"/>
    <x v="52"/>
    <x v="0"/>
    <x v="0"/>
    <x v="51"/>
    <x v="52"/>
    <x v="50"/>
    <x v="50"/>
    <x v="51"/>
    <x v="52"/>
    <x v="50"/>
  </r>
  <r>
    <x v="0"/>
    <x v="0"/>
    <x v="1"/>
    <x v="25"/>
    <x v="0"/>
    <x v="25"/>
    <x v="0"/>
    <x v="52"/>
    <x v="53"/>
    <x v="0"/>
    <x v="0"/>
    <x v="52"/>
    <x v="53"/>
    <x v="51"/>
    <x v="51"/>
    <x v="52"/>
    <x v="53"/>
    <x v="51"/>
  </r>
  <r>
    <x v="0"/>
    <x v="0"/>
    <x v="0"/>
    <x v="25"/>
    <x v="0"/>
    <x v="25"/>
    <x v="1"/>
    <x v="53"/>
    <x v="54"/>
    <x v="0"/>
    <x v="0"/>
    <x v="53"/>
    <x v="54"/>
    <x v="52"/>
    <x v="52"/>
    <x v="53"/>
    <x v="54"/>
    <x v="52"/>
  </r>
  <r>
    <x v="0"/>
    <x v="0"/>
    <x v="1"/>
    <x v="25"/>
    <x v="0"/>
    <x v="25"/>
    <x v="1"/>
    <x v="54"/>
    <x v="55"/>
    <x v="0"/>
    <x v="0"/>
    <x v="54"/>
    <x v="55"/>
    <x v="53"/>
    <x v="53"/>
    <x v="54"/>
    <x v="55"/>
    <x v="53"/>
  </r>
  <r>
    <x v="0"/>
    <x v="0"/>
    <x v="0"/>
    <x v="26"/>
    <x v="0"/>
    <x v="26"/>
    <x v="0"/>
    <x v="55"/>
    <x v="56"/>
    <x v="0"/>
    <x v="0"/>
    <x v="55"/>
    <x v="56"/>
    <x v="54"/>
    <x v="54"/>
    <x v="55"/>
    <x v="56"/>
    <x v="54"/>
  </r>
  <r>
    <x v="0"/>
    <x v="0"/>
    <x v="1"/>
    <x v="26"/>
    <x v="0"/>
    <x v="26"/>
    <x v="0"/>
    <x v="56"/>
    <x v="57"/>
    <x v="0"/>
    <x v="0"/>
    <x v="56"/>
    <x v="57"/>
    <x v="55"/>
    <x v="55"/>
    <x v="56"/>
    <x v="57"/>
    <x v="55"/>
  </r>
  <r>
    <x v="0"/>
    <x v="0"/>
    <x v="0"/>
    <x v="26"/>
    <x v="0"/>
    <x v="26"/>
    <x v="1"/>
    <x v="57"/>
    <x v="58"/>
    <x v="0"/>
    <x v="0"/>
    <x v="57"/>
    <x v="58"/>
    <x v="56"/>
    <x v="56"/>
    <x v="57"/>
    <x v="58"/>
    <x v="56"/>
  </r>
  <r>
    <x v="0"/>
    <x v="0"/>
    <x v="1"/>
    <x v="26"/>
    <x v="0"/>
    <x v="26"/>
    <x v="1"/>
    <x v="58"/>
    <x v="59"/>
    <x v="0"/>
    <x v="0"/>
    <x v="58"/>
    <x v="59"/>
    <x v="57"/>
    <x v="57"/>
    <x v="58"/>
    <x v="59"/>
    <x v="57"/>
  </r>
  <r>
    <x v="0"/>
    <x v="0"/>
    <x v="0"/>
    <x v="27"/>
    <x v="0"/>
    <x v="27"/>
    <x v="0"/>
    <x v="59"/>
    <x v="60"/>
    <x v="0"/>
    <x v="0"/>
    <x v="59"/>
    <x v="60"/>
    <x v="58"/>
    <x v="58"/>
    <x v="59"/>
    <x v="60"/>
    <x v="58"/>
  </r>
  <r>
    <x v="0"/>
    <x v="0"/>
    <x v="1"/>
    <x v="27"/>
    <x v="0"/>
    <x v="27"/>
    <x v="0"/>
    <x v="60"/>
    <x v="61"/>
    <x v="0"/>
    <x v="0"/>
    <x v="60"/>
    <x v="61"/>
    <x v="59"/>
    <x v="59"/>
    <x v="60"/>
    <x v="61"/>
    <x v="59"/>
  </r>
  <r>
    <x v="0"/>
    <x v="0"/>
    <x v="0"/>
    <x v="28"/>
    <x v="0"/>
    <x v="28"/>
    <x v="0"/>
    <x v="8"/>
    <x v="17"/>
    <x v="5"/>
    <x v="5"/>
    <x v="61"/>
    <x v="62"/>
    <x v="60"/>
    <x v="60"/>
    <x v="61"/>
    <x v="62"/>
    <x v="60"/>
  </r>
  <r>
    <x v="0"/>
    <x v="0"/>
    <x v="0"/>
    <x v="29"/>
    <x v="0"/>
    <x v="29"/>
    <x v="0"/>
    <x v="8"/>
    <x v="17"/>
    <x v="6"/>
    <x v="6"/>
    <x v="62"/>
    <x v="63"/>
    <x v="18"/>
    <x v="18"/>
    <x v="62"/>
    <x v="63"/>
    <x v="18"/>
  </r>
  <r>
    <x v="0"/>
    <x v="0"/>
    <x v="0"/>
    <x v="30"/>
    <x v="0"/>
    <x v="30"/>
    <x v="0"/>
    <x v="61"/>
    <x v="62"/>
    <x v="0"/>
    <x v="0"/>
    <x v="63"/>
    <x v="64"/>
    <x v="61"/>
    <x v="61"/>
    <x v="63"/>
    <x v="64"/>
    <x v="61"/>
  </r>
  <r>
    <x v="0"/>
    <x v="0"/>
    <x v="1"/>
    <x v="30"/>
    <x v="0"/>
    <x v="30"/>
    <x v="0"/>
    <x v="62"/>
    <x v="63"/>
    <x v="0"/>
    <x v="0"/>
    <x v="64"/>
    <x v="65"/>
    <x v="62"/>
    <x v="62"/>
    <x v="64"/>
    <x v="65"/>
    <x v="62"/>
  </r>
  <r>
    <x v="0"/>
    <x v="0"/>
    <x v="0"/>
    <x v="30"/>
    <x v="0"/>
    <x v="30"/>
    <x v="1"/>
    <x v="63"/>
    <x v="64"/>
    <x v="0"/>
    <x v="0"/>
    <x v="65"/>
    <x v="66"/>
    <x v="63"/>
    <x v="63"/>
    <x v="65"/>
    <x v="66"/>
    <x v="63"/>
  </r>
  <r>
    <x v="0"/>
    <x v="0"/>
    <x v="1"/>
    <x v="30"/>
    <x v="0"/>
    <x v="30"/>
    <x v="1"/>
    <x v="64"/>
    <x v="65"/>
    <x v="0"/>
    <x v="0"/>
    <x v="66"/>
    <x v="67"/>
    <x v="64"/>
    <x v="64"/>
    <x v="66"/>
    <x v="67"/>
    <x v="64"/>
  </r>
  <r>
    <x v="0"/>
    <x v="0"/>
    <x v="0"/>
    <x v="31"/>
    <x v="0"/>
    <x v="31"/>
    <x v="1"/>
    <x v="65"/>
    <x v="66"/>
    <x v="7"/>
    <x v="7"/>
    <x v="67"/>
    <x v="68"/>
    <x v="65"/>
    <x v="65"/>
    <x v="67"/>
    <x v="68"/>
    <x v="65"/>
  </r>
  <r>
    <x v="0"/>
    <x v="0"/>
    <x v="0"/>
    <x v="32"/>
    <x v="0"/>
    <x v="32"/>
    <x v="1"/>
    <x v="66"/>
    <x v="67"/>
    <x v="0"/>
    <x v="0"/>
    <x v="68"/>
    <x v="69"/>
    <x v="66"/>
    <x v="66"/>
    <x v="68"/>
    <x v="69"/>
    <x v="66"/>
  </r>
  <r>
    <x v="0"/>
    <x v="0"/>
    <x v="0"/>
    <x v="33"/>
    <x v="0"/>
    <x v="33"/>
    <x v="0"/>
    <x v="67"/>
    <x v="68"/>
    <x v="0"/>
    <x v="0"/>
    <x v="69"/>
    <x v="70"/>
    <x v="67"/>
    <x v="67"/>
    <x v="69"/>
    <x v="70"/>
    <x v="67"/>
  </r>
  <r>
    <x v="0"/>
    <x v="0"/>
    <x v="0"/>
    <x v="34"/>
    <x v="0"/>
    <x v="34"/>
    <x v="0"/>
    <x v="68"/>
    <x v="69"/>
    <x v="0"/>
    <x v="0"/>
    <x v="70"/>
    <x v="71"/>
    <x v="68"/>
    <x v="68"/>
    <x v="70"/>
    <x v="71"/>
    <x v="68"/>
  </r>
  <r>
    <x v="0"/>
    <x v="0"/>
    <x v="0"/>
    <x v="35"/>
    <x v="0"/>
    <x v="35"/>
    <x v="0"/>
    <x v="69"/>
    <x v="70"/>
    <x v="0"/>
    <x v="0"/>
    <x v="71"/>
    <x v="72"/>
    <x v="69"/>
    <x v="69"/>
    <x v="71"/>
    <x v="72"/>
    <x v="69"/>
  </r>
  <r>
    <x v="0"/>
    <x v="0"/>
    <x v="0"/>
    <x v="36"/>
    <x v="0"/>
    <x v="36"/>
    <x v="3"/>
    <x v="70"/>
    <x v="71"/>
    <x v="8"/>
    <x v="8"/>
    <x v="72"/>
    <x v="73"/>
    <x v="70"/>
    <x v="70"/>
    <x v="72"/>
    <x v="73"/>
    <x v="70"/>
  </r>
  <r>
    <x v="0"/>
    <x v="0"/>
    <x v="0"/>
    <x v="37"/>
    <x v="1"/>
    <x v="37"/>
    <x v="0"/>
    <x v="71"/>
    <x v="72"/>
    <x v="0"/>
    <x v="0"/>
    <x v="73"/>
    <x v="74"/>
    <x v="71"/>
    <x v="71"/>
    <x v="73"/>
    <x v="17"/>
    <x v="71"/>
  </r>
  <r>
    <x v="0"/>
    <x v="0"/>
    <x v="1"/>
    <x v="37"/>
    <x v="1"/>
    <x v="37"/>
    <x v="0"/>
    <x v="72"/>
    <x v="73"/>
    <x v="0"/>
    <x v="0"/>
    <x v="74"/>
    <x v="75"/>
    <x v="72"/>
    <x v="72"/>
    <x v="74"/>
    <x v="17"/>
    <x v="72"/>
  </r>
  <r>
    <x v="0"/>
    <x v="0"/>
    <x v="1"/>
    <x v="38"/>
    <x v="0"/>
    <x v="38"/>
    <x v="0"/>
    <x v="73"/>
    <x v="74"/>
    <x v="0"/>
    <x v="0"/>
    <x v="75"/>
    <x v="76"/>
    <x v="18"/>
    <x v="18"/>
    <x v="75"/>
    <x v="74"/>
    <x v="18"/>
  </r>
  <r>
    <x v="0"/>
    <x v="0"/>
    <x v="0"/>
    <x v="39"/>
    <x v="0"/>
    <x v="39"/>
    <x v="3"/>
    <x v="74"/>
    <x v="75"/>
    <x v="0"/>
    <x v="0"/>
    <x v="76"/>
    <x v="77"/>
    <x v="73"/>
    <x v="73"/>
    <x v="76"/>
    <x v="75"/>
    <x v="73"/>
  </r>
  <r>
    <x v="0"/>
    <x v="0"/>
    <x v="1"/>
    <x v="39"/>
    <x v="0"/>
    <x v="39"/>
    <x v="3"/>
    <x v="75"/>
    <x v="76"/>
    <x v="0"/>
    <x v="0"/>
    <x v="77"/>
    <x v="78"/>
    <x v="74"/>
    <x v="74"/>
    <x v="77"/>
    <x v="76"/>
    <x v="74"/>
  </r>
  <r>
    <x v="0"/>
    <x v="0"/>
    <x v="0"/>
    <x v="40"/>
    <x v="0"/>
    <x v="40"/>
    <x v="2"/>
    <x v="76"/>
    <x v="77"/>
    <x v="0"/>
    <x v="0"/>
    <x v="78"/>
    <x v="79"/>
    <x v="75"/>
    <x v="75"/>
    <x v="78"/>
    <x v="77"/>
    <x v="75"/>
  </r>
  <r>
    <x v="0"/>
    <x v="0"/>
    <x v="1"/>
    <x v="40"/>
    <x v="0"/>
    <x v="40"/>
    <x v="2"/>
    <x v="77"/>
    <x v="78"/>
    <x v="0"/>
    <x v="0"/>
    <x v="79"/>
    <x v="80"/>
    <x v="76"/>
    <x v="76"/>
    <x v="79"/>
    <x v="78"/>
    <x v="76"/>
  </r>
  <r>
    <x v="0"/>
    <x v="0"/>
    <x v="0"/>
    <x v="41"/>
    <x v="1"/>
    <x v="41"/>
    <x v="1"/>
    <x v="78"/>
    <x v="79"/>
    <x v="0"/>
    <x v="0"/>
    <x v="80"/>
    <x v="81"/>
    <x v="77"/>
    <x v="77"/>
    <x v="80"/>
    <x v="17"/>
    <x v="77"/>
  </r>
  <r>
    <x v="0"/>
    <x v="0"/>
    <x v="1"/>
    <x v="42"/>
    <x v="0"/>
    <x v="42"/>
    <x v="0"/>
    <x v="79"/>
    <x v="80"/>
    <x v="0"/>
    <x v="0"/>
    <x v="81"/>
    <x v="82"/>
    <x v="78"/>
    <x v="78"/>
    <x v="81"/>
    <x v="79"/>
    <x v="78"/>
  </r>
  <r>
    <x v="0"/>
    <x v="0"/>
    <x v="0"/>
    <x v="42"/>
    <x v="0"/>
    <x v="42"/>
    <x v="1"/>
    <x v="80"/>
    <x v="81"/>
    <x v="0"/>
    <x v="0"/>
    <x v="82"/>
    <x v="83"/>
    <x v="79"/>
    <x v="79"/>
    <x v="82"/>
    <x v="80"/>
    <x v="79"/>
  </r>
  <r>
    <x v="0"/>
    <x v="0"/>
    <x v="0"/>
    <x v="43"/>
    <x v="1"/>
    <x v="43"/>
    <x v="4"/>
    <x v="81"/>
    <x v="82"/>
    <x v="0"/>
    <x v="0"/>
    <x v="83"/>
    <x v="84"/>
    <x v="80"/>
    <x v="80"/>
    <x v="83"/>
    <x v="17"/>
    <x v="80"/>
  </r>
  <r>
    <x v="0"/>
    <x v="0"/>
    <x v="0"/>
    <x v="44"/>
    <x v="0"/>
    <x v="44"/>
    <x v="0"/>
    <x v="82"/>
    <x v="83"/>
    <x v="0"/>
    <x v="0"/>
    <x v="84"/>
    <x v="85"/>
    <x v="81"/>
    <x v="81"/>
    <x v="84"/>
    <x v="81"/>
    <x v="81"/>
  </r>
  <r>
    <x v="0"/>
    <x v="0"/>
    <x v="1"/>
    <x v="44"/>
    <x v="0"/>
    <x v="44"/>
    <x v="0"/>
    <x v="83"/>
    <x v="84"/>
    <x v="0"/>
    <x v="0"/>
    <x v="85"/>
    <x v="86"/>
    <x v="82"/>
    <x v="82"/>
    <x v="85"/>
    <x v="82"/>
    <x v="82"/>
  </r>
  <r>
    <x v="0"/>
    <x v="0"/>
    <x v="0"/>
    <x v="45"/>
    <x v="1"/>
    <x v="45"/>
    <x v="1"/>
    <x v="84"/>
    <x v="85"/>
    <x v="0"/>
    <x v="0"/>
    <x v="86"/>
    <x v="87"/>
    <x v="83"/>
    <x v="83"/>
    <x v="86"/>
    <x v="17"/>
    <x v="83"/>
  </r>
  <r>
    <x v="0"/>
    <x v="0"/>
    <x v="1"/>
    <x v="45"/>
    <x v="1"/>
    <x v="45"/>
    <x v="1"/>
    <x v="85"/>
    <x v="86"/>
    <x v="0"/>
    <x v="0"/>
    <x v="87"/>
    <x v="88"/>
    <x v="84"/>
    <x v="84"/>
    <x v="87"/>
    <x v="17"/>
    <x v="84"/>
  </r>
  <r>
    <x v="0"/>
    <x v="0"/>
    <x v="0"/>
    <x v="46"/>
    <x v="0"/>
    <x v="46"/>
    <x v="1"/>
    <x v="86"/>
    <x v="87"/>
    <x v="0"/>
    <x v="0"/>
    <x v="88"/>
    <x v="89"/>
    <x v="18"/>
    <x v="18"/>
    <x v="88"/>
    <x v="83"/>
    <x v="18"/>
  </r>
  <r>
    <x v="0"/>
    <x v="0"/>
    <x v="0"/>
    <x v="47"/>
    <x v="1"/>
    <x v="47"/>
    <x v="0"/>
    <x v="8"/>
    <x v="88"/>
    <x v="0"/>
    <x v="0"/>
    <x v="8"/>
    <x v="90"/>
    <x v="85"/>
    <x v="85"/>
    <x v="89"/>
    <x v="17"/>
    <x v="85"/>
  </r>
  <r>
    <x v="0"/>
    <x v="0"/>
    <x v="0"/>
    <x v="47"/>
    <x v="1"/>
    <x v="9"/>
    <x v="0"/>
    <x v="8"/>
    <x v="89"/>
    <x v="0"/>
    <x v="0"/>
    <x v="8"/>
    <x v="91"/>
    <x v="86"/>
    <x v="86"/>
    <x v="90"/>
    <x v="17"/>
    <x v="86"/>
  </r>
  <r>
    <x v="0"/>
    <x v="0"/>
    <x v="0"/>
    <x v="47"/>
    <x v="1"/>
    <x v="48"/>
    <x v="1"/>
    <x v="87"/>
    <x v="90"/>
    <x v="0"/>
    <x v="0"/>
    <x v="89"/>
    <x v="92"/>
    <x v="87"/>
    <x v="87"/>
    <x v="91"/>
    <x v="17"/>
    <x v="87"/>
  </r>
  <r>
    <x v="0"/>
    <x v="0"/>
    <x v="0"/>
    <x v="47"/>
    <x v="1"/>
    <x v="49"/>
    <x v="1"/>
    <x v="8"/>
    <x v="91"/>
    <x v="0"/>
    <x v="0"/>
    <x v="8"/>
    <x v="93"/>
    <x v="88"/>
    <x v="88"/>
    <x v="92"/>
    <x v="17"/>
    <x v="88"/>
  </r>
  <r>
    <x v="0"/>
    <x v="0"/>
    <x v="0"/>
    <x v="47"/>
    <x v="1"/>
    <x v="50"/>
    <x v="0"/>
    <x v="8"/>
    <x v="92"/>
    <x v="0"/>
    <x v="0"/>
    <x v="8"/>
    <x v="94"/>
    <x v="89"/>
    <x v="89"/>
    <x v="93"/>
    <x v="17"/>
    <x v="89"/>
  </r>
  <r>
    <x v="0"/>
    <x v="0"/>
    <x v="0"/>
    <x v="47"/>
    <x v="1"/>
    <x v="51"/>
    <x v="1"/>
    <x v="8"/>
    <x v="93"/>
    <x v="0"/>
    <x v="0"/>
    <x v="8"/>
    <x v="95"/>
    <x v="90"/>
    <x v="90"/>
    <x v="94"/>
    <x v="17"/>
    <x v="90"/>
  </r>
  <r>
    <x v="0"/>
    <x v="0"/>
    <x v="0"/>
    <x v="47"/>
    <x v="1"/>
    <x v="52"/>
    <x v="3"/>
    <x v="88"/>
    <x v="94"/>
    <x v="0"/>
    <x v="0"/>
    <x v="90"/>
    <x v="96"/>
    <x v="91"/>
    <x v="91"/>
    <x v="95"/>
    <x v="17"/>
    <x v="91"/>
  </r>
  <r>
    <x v="0"/>
    <x v="0"/>
    <x v="0"/>
    <x v="48"/>
    <x v="0"/>
    <x v="53"/>
    <x v="1"/>
    <x v="89"/>
    <x v="95"/>
    <x v="0"/>
    <x v="0"/>
    <x v="91"/>
    <x v="97"/>
    <x v="92"/>
    <x v="92"/>
    <x v="96"/>
    <x v="84"/>
    <x v="92"/>
  </r>
  <r>
    <x v="0"/>
    <x v="0"/>
    <x v="1"/>
    <x v="48"/>
    <x v="0"/>
    <x v="53"/>
    <x v="1"/>
    <x v="90"/>
    <x v="96"/>
    <x v="0"/>
    <x v="0"/>
    <x v="92"/>
    <x v="98"/>
    <x v="93"/>
    <x v="93"/>
    <x v="97"/>
    <x v="85"/>
    <x v="93"/>
  </r>
  <r>
    <x v="0"/>
    <x v="0"/>
    <x v="0"/>
    <x v="49"/>
    <x v="0"/>
    <x v="54"/>
    <x v="0"/>
    <x v="91"/>
    <x v="97"/>
    <x v="0"/>
    <x v="0"/>
    <x v="93"/>
    <x v="99"/>
    <x v="94"/>
    <x v="94"/>
    <x v="98"/>
    <x v="86"/>
    <x v="94"/>
  </r>
  <r>
    <x v="0"/>
    <x v="0"/>
    <x v="1"/>
    <x v="49"/>
    <x v="0"/>
    <x v="54"/>
    <x v="0"/>
    <x v="92"/>
    <x v="98"/>
    <x v="0"/>
    <x v="0"/>
    <x v="94"/>
    <x v="100"/>
    <x v="95"/>
    <x v="95"/>
    <x v="99"/>
    <x v="87"/>
    <x v="95"/>
  </r>
  <r>
    <x v="0"/>
    <x v="0"/>
    <x v="0"/>
    <x v="49"/>
    <x v="0"/>
    <x v="54"/>
    <x v="1"/>
    <x v="93"/>
    <x v="99"/>
    <x v="0"/>
    <x v="0"/>
    <x v="95"/>
    <x v="101"/>
    <x v="96"/>
    <x v="96"/>
    <x v="100"/>
    <x v="88"/>
    <x v="96"/>
  </r>
  <r>
    <x v="0"/>
    <x v="0"/>
    <x v="1"/>
    <x v="49"/>
    <x v="0"/>
    <x v="54"/>
    <x v="1"/>
    <x v="94"/>
    <x v="100"/>
    <x v="0"/>
    <x v="0"/>
    <x v="96"/>
    <x v="102"/>
    <x v="97"/>
    <x v="97"/>
    <x v="101"/>
    <x v="89"/>
    <x v="97"/>
  </r>
  <r>
    <x v="0"/>
    <x v="0"/>
    <x v="0"/>
    <x v="49"/>
    <x v="0"/>
    <x v="54"/>
    <x v="3"/>
    <x v="95"/>
    <x v="101"/>
    <x v="9"/>
    <x v="9"/>
    <x v="97"/>
    <x v="103"/>
    <x v="98"/>
    <x v="98"/>
    <x v="102"/>
    <x v="90"/>
    <x v="98"/>
  </r>
  <r>
    <x v="0"/>
    <x v="0"/>
    <x v="0"/>
    <x v="50"/>
    <x v="0"/>
    <x v="55"/>
    <x v="4"/>
    <x v="96"/>
    <x v="102"/>
    <x v="0"/>
    <x v="0"/>
    <x v="98"/>
    <x v="104"/>
    <x v="99"/>
    <x v="99"/>
    <x v="103"/>
    <x v="91"/>
    <x v="99"/>
  </r>
  <r>
    <x v="0"/>
    <x v="0"/>
    <x v="1"/>
    <x v="50"/>
    <x v="0"/>
    <x v="55"/>
    <x v="4"/>
    <x v="97"/>
    <x v="103"/>
    <x v="0"/>
    <x v="0"/>
    <x v="99"/>
    <x v="105"/>
    <x v="100"/>
    <x v="100"/>
    <x v="104"/>
    <x v="92"/>
    <x v="100"/>
  </r>
  <r>
    <x v="0"/>
    <x v="0"/>
    <x v="0"/>
    <x v="51"/>
    <x v="0"/>
    <x v="56"/>
    <x v="1"/>
    <x v="98"/>
    <x v="104"/>
    <x v="10"/>
    <x v="10"/>
    <x v="100"/>
    <x v="106"/>
    <x v="101"/>
    <x v="101"/>
    <x v="105"/>
    <x v="93"/>
    <x v="101"/>
  </r>
  <r>
    <x v="0"/>
    <x v="0"/>
    <x v="0"/>
    <x v="52"/>
    <x v="0"/>
    <x v="57"/>
    <x v="0"/>
    <x v="99"/>
    <x v="105"/>
    <x v="0"/>
    <x v="0"/>
    <x v="101"/>
    <x v="107"/>
    <x v="102"/>
    <x v="102"/>
    <x v="106"/>
    <x v="94"/>
    <x v="102"/>
  </r>
  <r>
    <x v="0"/>
    <x v="0"/>
    <x v="0"/>
    <x v="53"/>
    <x v="1"/>
    <x v="58"/>
    <x v="0"/>
    <x v="100"/>
    <x v="106"/>
    <x v="11"/>
    <x v="11"/>
    <x v="102"/>
    <x v="108"/>
    <x v="103"/>
    <x v="103"/>
    <x v="107"/>
    <x v="17"/>
    <x v="103"/>
  </r>
  <r>
    <x v="0"/>
    <x v="0"/>
    <x v="0"/>
    <x v="53"/>
    <x v="1"/>
    <x v="59"/>
    <x v="1"/>
    <x v="101"/>
    <x v="107"/>
    <x v="0"/>
    <x v="0"/>
    <x v="103"/>
    <x v="109"/>
    <x v="18"/>
    <x v="18"/>
    <x v="8"/>
    <x v="17"/>
    <x v="18"/>
  </r>
  <r>
    <x v="0"/>
    <x v="0"/>
    <x v="0"/>
    <x v="53"/>
    <x v="1"/>
    <x v="60"/>
    <x v="1"/>
    <x v="102"/>
    <x v="108"/>
    <x v="0"/>
    <x v="0"/>
    <x v="104"/>
    <x v="110"/>
    <x v="104"/>
    <x v="104"/>
    <x v="108"/>
    <x v="17"/>
    <x v="104"/>
  </r>
  <r>
    <x v="0"/>
    <x v="0"/>
    <x v="1"/>
    <x v="54"/>
    <x v="1"/>
    <x v="17"/>
    <x v="0"/>
    <x v="103"/>
    <x v="109"/>
    <x v="0"/>
    <x v="0"/>
    <x v="105"/>
    <x v="111"/>
    <x v="105"/>
    <x v="105"/>
    <x v="109"/>
    <x v="17"/>
    <x v="105"/>
  </r>
  <r>
    <x v="0"/>
    <x v="0"/>
    <x v="0"/>
    <x v="55"/>
    <x v="1"/>
    <x v="9"/>
    <x v="0"/>
    <x v="104"/>
    <x v="110"/>
    <x v="0"/>
    <x v="0"/>
    <x v="106"/>
    <x v="112"/>
    <x v="106"/>
    <x v="106"/>
    <x v="110"/>
    <x v="17"/>
    <x v="106"/>
  </r>
  <r>
    <x v="0"/>
    <x v="0"/>
    <x v="0"/>
    <x v="55"/>
    <x v="1"/>
    <x v="11"/>
    <x v="1"/>
    <x v="105"/>
    <x v="111"/>
    <x v="12"/>
    <x v="12"/>
    <x v="107"/>
    <x v="113"/>
    <x v="107"/>
    <x v="107"/>
    <x v="111"/>
    <x v="17"/>
    <x v="107"/>
  </r>
  <r>
    <x v="0"/>
    <x v="0"/>
    <x v="0"/>
    <x v="56"/>
    <x v="0"/>
    <x v="61"/>
    <x v="3"/>
    <x v="106"/>
    <x v="112"/>
    <x v="0"/>
    <x v="0"/>
    <x v="108"/>
    <x v="114"/>
    <x v="108"/>
    <x v="108"/>
    <x v="112"/>
    <x v="95"/>
    <x v="108"/>
  </r>
  <r>
    <x v="0"/>
    <x v="0"/>
    <x v="0"/>
    <x v="57"/>
    <x v="0"/>
    <x v="62"/>
    <x v="0"/>
    <x v="107"/>
    <x v="113"/>
    <x v="13"/>
    <x v="13"/>
    <x v="109"/>
    <x v="115"/>
    <x v="109"/>
    <x v="109"/>
    <x v="113"/>
    <x v="96"/>
    <x v="109"/>
  </r>
  <r>
    <x v="0"/>
    <x v="0"/>
    <x v="0"/>
    <x v="58"/>
    <x v="0"/>
    <x v="63"/>
    <x v="0"/>
    <x v="108"/>
    <x v="114"/>
    <x v="14"/>
    <x v="14"/>
    <x v="110"/>
    <x v="116"/>
    <x v="110"/>
    <x v="110"/>
    <x v="114"/>
    <x v="97"/>
    <x v="110"/>
  </r>
  <r>
    <x v="0"/>
    <x v="0"/>
    <x v="0"/>
    <x v="59"/>
    <x v="0"/>
    <x v="64"/>
    <x v="2"/>
    <x v="109"/>
    <x v="115"/>
    <x v="0"/>
    <x v="0"/>
    <x v="111"/>
    <x v="117"/>
    <x v="111"/>
    <x v="111"/>
    <x v="115"/>
    <x v="98"/>
    <x v="111"/>
  </r>
  <r>
    <x v="0"/>
    <x v="0"/>
    <x v="0"/>
    <x v="60"/>
    <x v="0"/>
    <x v="65"/>
    <x v="0"/>
    <x v="110"/>
    <x v="116"/>
    <x v="0"/>
    <x v="0"/>
    <x v="112"/>
    <x v="118"/>
    <x v="112"/>
    <x v="112"/>
    <x v="116"/>
    <x v="99"/>
    <x v="112"/>
  </r>
  <r>
    <x v="0"/>
    <x v="0"/>
    <x v="1"/>
    <x v="60"/>
    <x v="0"/>
    <x v="65"/>
    <x v="0"/>
    <x v="111"/>
    <x v="117"/>
    <x v="0"/>
    <x v="0"/>
    <x v="113"/>
    <x v="119"/>
    <x v="113"/>
    <x v="113"/>
    <x v="117"/>
    <x v="100"/>
    <x v="113"/>
  </r>
  <r>
    <x v="0"/>
    <x v="0"/>
    <x v="0"/>
    <x v="61"/>
    <x v="0"/>
    <x v="66"/>
    <x v="3"/>
    <x v="112"/>
    <x v="118"/>
    <x v="0"/>
    <x v="0"/>
    <x v="114"/>
    <x v="120"/>
    <x v="114"/>
    <x v="114"/>
    <x v="118"/>
    <x v="101"/>
    <x v="114"/>
  </r>
  <r>
    <x v="0"/>
    <x v="0"/>
    <x v="0"/>
    <x v="62"/>
    <x v="0"/>
    <x v="67"/>
    <x v="0"/>
    <x v="8"/>
    <x v="17"/>
    <x v="15"/>
    <x v="15"/>
    <x v="115"/>
    <x v="121"/>
    <x v="115"/>
    <x v="115"/>
    <x v="119"/>
    <x v="102"/>
    <x v="115"/>
  </r>
  <r>
    <x v="0"/>
    <x v="0"/>
    <x v="0"/>
    <x v="63"/>
    <x v="1"/>
    <x v="68"/>
    <x v="0"/>
    <x v="113"/>
    <x v="119"/>
    <x v="0"/>
    <x v="0"/>
    <x v="116"/>
    <x v="122"/>
    <x v="116"/>
    <x v="116"/>
    <x v="120"/>
    <x v="17"/>
    <x v="116"/>
  </r>
  <r>
    <x v="0"/>
    <x v="0"/>
    <x v="0"/>
    <x v="64"/>
    <x v="0"/>
    <x v="69"/>
    <x v="0"/>
    <x v="8"/>
    <x v="17"/>
    <x v="16"/>
    <x v="16"/>
    <x v="117"/>
    <x v="123"/>
    <x v="117"/>
    <x v="117"/>
    <x v="121"/>
    <x v="103"/>
    <x v="117"/>
  </r>
  <r>
    <x v="0"/>
    <x v="0"/>
    <x v="0"/>
    <x v="65"/>
    <x v="0"/>
    <x v="70"/>
    <x v="2"/>
    <x v="114"/>
    <x v="120"/>
    <x v="0"/>
    <x v="0"/>
    <x v="118"/>
    <x v="124"/>
    <x v="118"/>
    <x v="118"/>
    <x v="122"/>
    <x v="104"/>
    <x v="118"/>
  </r>
  <r>
    <x v="0"/>
    <x v="0"/>
    <x v="1"/>
    <x v="65"/>
    <x v="0"/>
    <x v="70"/>
    <x v="2"/>
    <x v="115"/>
    <x v="121"/>
    <x v="0"/>
    <x v="0"/>
    <x v="119"/>
    <x v="125"/>
    <x v="119"/>
    <x v="119"/>
    <x v="123"/>
    <x v="105"/>
    <x v="119"/>
  </r>
  <r>
    <x v="0"/>
    <x v="0"/>
    <x v="0"/>
    <x v="66"/>
    <x v="0"/>
    <x v="71"/>
    <x v="3"/>
    <x v="116"/>
    <x v="122"/>
    <x v="17"/>
    <x v="17"/>
    <x v="120"/>
    <x v="126"/>
    <x v="120"/>
    <x v="120"/>
    <x v="124"/>
    <x v="106"/>
    <x v="120"/>
  </r>
  <r>
    <x v="0"/>
    <x v="0"/>
    <x v="0"/>
    <x v="67"/>
    <x v="0"/>
    <x v="72"/>
    <x v="4"/>
    <x v="117"/>
    <x v="123"/>
    <x v="0"/>
    <x v="0"/>
    <x v="121"/>
    <x v="127"/>
    <x v="121"/>
    <x v="121"/>
    <x v="125"/>
    <x v="107"/>
    <x v="121"/>
  </r>
  <r>
    <x v="0"/>
    <x v="0"/>
    <x v="0"/>
    <x v="68"/>
    <x v="0"/>
    <x v="73"/>
    <x v="3"/>
    <x v="118"/>
    <x v="124"/>
    <x v="0"/>
    <x v="0"/>
    <x v="122"/>
    <x v="128"/>
    <x v="122"/>
    <x v="122"/>
    <x v="126"/>
    <x v="108"/>
    <x v="122"/>
  </r>
  <r>
    <x v="0"/>
    <x v="0"/>
    <x v="1"/>
    <x v="68"/>
    <x v="0"/>
    <x v="73"/>
    <x v="3"/>
    <x v="119"/>
    <x v="125"/>
    <x v="0"/>
    <x v="0"/>
    <x v="123"/>
    <x v="129"/>
    <x v="123"/>
    <x v="123"/>
    <x v="127"/>
    <x v="109"/>
    <x v="123"/>
  </r>
  <r>
    <x v="0"/>
    <x v="0"/>
    <x v="0"/>
    <x v="69"/>
    <x v="0"/>
    <x v="74"/>
    <x v="1"/>
    <x v="120"/>
    <x v="126"/>
    <x v="0"/>
    <x v="0"/>
    <x v="124"/>
    <x v="130"/>
    <x v="124"/>
    <x v="124"/>
    <x v="128"/>
    <x v="110"/>
    <x v="124"/>
  </r>
  <r>
    <x v="0"/>
    <x v="0"/>
    <x v="0"/>
    <x v="70"/>
    <x v="0"/>
    <x v="75"/>
    <x v="0"/>
    <x v="121"/>
    <x v="127"/>
    <x v="0"/>
    <x v="0"/>
    <x v="125"/>
    <x v="131"/>
    <x v="125"/>
    <x v="125"/>
    <x v="129"/>
    <x v="111"/>
    <x v="125"/>
  </r>
  <r>
    <x v="0"/>
    <x v="0"/>
    <x v="1"/>
    <x v="70"/>
    <x v="0"/>
    <x v="75"/>
    <x v="0"/>
    <x v="122"/>
    <x v="128"/>
    <x v="0"/>
    <x v="0"/>
    <x v="126"/>
    <x v="132"/>
    <x v="126"/>
    <x v="126"/>
    <x v="130"/>
    <x v="112"/>
    <x v="126"/>
  </r>
  <r>
    <x v="0"/>
    <x v="0"/>
    <x v="0"/>
    <x v="71"/>
    <x v="1"/>
    <x v="76"/>
    <x v="0"/>
    <x v="123"/>
    <x v="129"/>
    <x v="0"/>
    <x v="0"/>
    <x v="127"/>
    <x v="133"/>
    <x v="127"/>
    <x v="127"/>
    <x v="131"/>
    <x v="17"/>
    <x v="127"/>
  </r>
  <r>
    <x v="0"/>
    <x v="0"/>
    <x v="1"/>
    <x v="71"/>
    <x v="1"/>
    <x v="76"/>
    <x v="0"/>
    <x v="124"/>
    <x v="130"/>
    <x v="0"/>
    <x v="0"/>
    <x v="128"/>
    <x v="134"/>
    <x v="128"/>
    <x v="128"/>
    <x v="132"/>
    <x v="17"/>
    <x v="128"/>
  </r>
  <r>
    <x v="0"/>
    <x v="0"/>
    <x v="0"/>
    <x v="71"/>
    <x v="1"/>
    <x v="77"/>
    <x v="0"/>
    <x v="125"/>
    <x v="131"/>
    <x v="0"/>
    <x v="0"/>
    <x v="129"/>
    <x v="135"/>
    <x v="129"/>
    <x v="129"/>
    <x v="133"/>
    <x v="17"/>
    <x v="129"/>
  </r>
  <r>
    <x v="0"/>
    <x v="0"/>
    <x v="1"/>
    <x v="71"/>
    <x v="1"/>
    <x v="77"/>
    <x v="0"/>
    <x v="126"/>
    <x v="132"/>
    <x v="0"/>
    <x v="0"/>
    <x v="130"/>
    <x v="136"/>
    <x v="130"/>
    <x v="130"/>
    <x v="134"/>
    <x v="17"/>
    <x v="130"/>
  </r>
  <r>
    <x v="0"/>
    <x v="0"/>
    <x v="0"/>
    <x v="71"/>
    <x v="1"/>
    <x v="37"/>
    <x v="0"/>
    <x v="127"/>
    <x v="133"/>
    <x v="0"/>
    <x v="0"/>
    <x v="131"/>
    <x v="137"/>
    <x v="131"/>
    <x v="131"/>
    <x v="135"/>
    <x v="17"/>
    <x v="131"/>
  </r>
  <r>
    <x v="0"/>
    <x v="0"/>
    <x v="1"/>
    <x v="71"/>
    <x v="1"/>
    <x v="37"/>
    <x v="0"/>
    <x v="128"/>
    <x v="134"/>
    <x v="0"/>
    <x v="0"/>
    <x v="132"/>
    <x v="138"/>
    <x v="132"/>
    <x v="132"/>
    <x v="136"/>
    <x v="17"/>
    <x v="132"/>
  </r>
  <r>
    <x v="0"/>
    <x v="0"/>
    <x v="0"/>
    <x v="71"/>
    <x v="1"/>
    <x v="44"/>
    <x v="0"/>
    <x v="129"/>
    <x v="135"/>
    <x v="0"/>
    <x v="0"/>
    <x v="133"/>
    <x v="139"/>
    <x v="133"/>
    <x v="133"/>
    <x v="137"/>
    <x v="17"/>
    <x v="133"/>
  </r>
  <r>
    <x v="0"/>
    <x v="0"/>
    <x v="1"/>
    <x v="71"/>
    <x v="1"/>
    <x v="44"/>
    <x v="0"/>
    <x v="130"/>
    <x v="136"/>
    <x v="0"/>
    <x v="0"/>
    <x v="134"/>
    <x v="140"/>
    <x v="134"/>
    <x v="134"/>
    <x v="138"/>
    <x v="17"/>
    <x v="134"/>
  </r>
  <r>
    <x v="0"/>
    <x v="0"/>
    <x v="0"/>
    <x v="71"/>
    <x v="1"/>
    <x v="78"/>
    <x v="0"/>
    <x v="131"/>
    <x v="137"/>
    <x v="0"/>
    <x v="0"/>
    <x v="135"/>
    <x v="141"/>
    <x v="135"/>
    <x v="135"/>
    <x v="139"/>
    <x v="17"/>
    <x v="135"/>
  </r>
  <r>
    <x v="0"/>
    <x v="0"/>
    <x v="1"/>
    <x v="71"/>
    <x v="1"/>
    <x v="78"/>
    <x v="0"/>
    <x v="132"/>
    <x v="138"/>
    <x v="0"/>
    <x v="0"/>
    <x v="136"/>
    <x v="142"/>
    <x v="136"/>
    <x v="136"/>
    <x v="140"/>
    <x v="17"/>
    <x v="136"/>
  </r>
  <r>
    <x v="0"/>
    <x v="0"/>
    <x v="0"/>
    <x v="71"/>
    <x v="1"/>
    <x v="79"/>
    <x v="0"/>
    <x v="133"/>
    <x v="139"/>
    <x v="0"/>
    <x v="0"/>
    <x v="137"/>
    <x v="143"/>
    <x v="137"/>
    <x v="137"/>
    <x v="141"/>
    <x v="17"/>
    <x v="137"/>
  </r>
  <r>
    <x v="0"/>
    <x v="0"/>
    <x v="1"/>
    <x v="71"/>
    <x v="1"/>
    <x v="79"/>
    <x v="0"/>
    <x v="134"/>
    <x v="140"/>
    <x v="0"/>
    <x v="0"/>
    <x v="138"/>
    <x v="144"/>
    <x v="138"/>
    <x v="138"/>
    <x v="142"/>
    <x v="17"/>
    <x v="138"/>
  </r>
  <r>
    <x v="0"/>
    <x v="0"/>
    <x v="0"/>
    <x v="71"/>
    <x v="1"/>
    <x v="80"/>
    <x v="0"/>
    <x v="135"/>
    <x v="141"/>
    <x v="0"/>
    <x v="0"/>
    <x v="139"/>
    <x v="145"/>
    <x v="139"/>
    <x v="139"/>
    <x v="143"/>
    <x v="17"/>
    <x v="139"/>
  </r>
  <r>
    <x v="0"/>
    <x v="0"/>
    <x v="1"/>
    <x v="71"/>
    <x v="1"/>
    <x v="80"/>
    <x v="0"/>
    <x v="136"/>
    <x v="142"/>
    <x v="0"/>
    <x v="0"/>
    <x v="140"/>
    <x v="146"/>
    <x v="140"/>
    <x v="140"/>
    <x v="144"/>
    <x v="17"/>
    <x v="140"/>
  </r>
  <r>
    <x v="0"/>
    <x v="0"/>
    <x v="0"/>
    <x v="71"/>
    <x v="1"/>
    <x v="81"/>
    <x v="0"/>
    <x v="137"/>
    <x v="143"/>
    <x v="0"/>
    <x v="0"/>
    <x v="141"/>
    <x v="147"/>
    <x v="141"/>
    <x v="141"/>
    <x v="145"/>
    <x v="17"/>
    <x v="141"/>
  </r>
  <r>
    <x v="0"/>
    <x v="0"/>
    <x v="1"/>
    <x v="72"/>
    <x v="0"/>
    <x v="82"/>
    <x v="0"/>
    <x v="138"/>
    <x v="144"/>
    <x v="0"/>
    <x v="0"/>
    <x v="142"/>
    <x v="148"/>
    <x v="18"/>
    <x v="18"/>
    <x v="146"/>
    <x v="113"/>
    <x v="18"/>
  </r>
  <r>
    <x v="0"/>
    <x v="0"/>
    <x v="0"/>
    <x v="73"/>
    <x v="1"/>
    <x v="83"/>
    <x v="0"/>
    <x v="139"/>
    <x v="145"/>
    <x v="0"/>
    <x v="0"/>
    <x v="143"/>
    <x v="149"/>
    <x v="142"/>
    <x v="142"/>
    <x v="147"/>
    <x v="17"/>
    <x v="142"/>
  </r>
  <r>
    <x v="0"/>
    <x v="0"/>
    <x v="1"/>
    <x v="73"/>
    <x v="1"/>
    <x v="83"/>
    <x v="0"/>
    <x v="140"/>
    <x v="146"/>
    <x v="0"/>
    <x v="0"/>
    <x v="144"/>
    <x v="150"/>
    <x v="18"/>
    <x v="18"/>
    <x v="8"/>
    <x v="17"/>
    <x v="18"/>
  </r>
  <r>
    <x v="0"/>
    <x v="0"/>
    <x v="0"/>
    <x v="73"/>
    <x v="1"/>
    <x v="37"/>
    <x v="0"/>
    <x v="141"/>
    <x v="147"/>
    <x v="0"/>
    <x v="0"/>
    <x v="145"/>
    <x v="151"/>
    <x v="143"/>
    <x v="143"/>
    <x v="148"/>
    <x v="17"/>
    <x v="143"/>
  </r>
  <r>
    <x v="0"/>
    <x v="0"/>
    <x v="1"/>
    <x v="73"/>
    <x v="1"/>
    <x v="37"/>
    <x v="0"/>
    <x v="142"/>
    <x v="148"/>
    <x v="0"/>
    <x v="0"/>
    <x v="146"/>
    <x v="152"/>
    <x v="144"/>
    <x v="144"/>
    <x v="149"/>
    <x v="17"/>
    <x v="144"/>
  </r>
  <r>
    <x v="0"/>
    <x v="0"/>
    <x v="0"/>
    <x v="73"/>
    <x v="1"/>
    <x v="84"/>
    <x v="0"/>
    <x v="8"/>
    <x v="17"/>
    <x v="0"/>
    <x v="18"/>
    <x v="8"/>
    <x v="153"/>
    <x v="145"/>
    <x v="145"/>
    <x v="150"/>
    <x v="17"/>
    <x v="145"/>
  </r>
  <r>
    <x v="0"/>
    <x v="0"/>
    <x v="0"/>
    <x v="73"/>
    <x v="1"/>
    <x v="85"/>
    <x v="0"/>
    <x v="143"/>
    <x v="149"/>
    <x v="0"/>
    <x v="0"/>
    <x v="147"/>
    <x v="154"/>
    <x v="146"/>
    <x v="146"/>
    <x v="151"/>
    <x v="17"/>
    <x v="146"/>
  </r>
  <r>
    <x v="0"/>
    <x v="0"/>
    <x v="1"/>
    <x v="73"/>
    <x v="1"/>
    <x v="85"/>
    <x v="0"/>
    <x v="144"/>
    <x v="150"/>
    <x v="18"/>
    <x v="19"/>
    <x v="148"/>
    <x v="155"/>
    <x v="147"/>
    <x v="147"/>
    <x v="152"/>
    <x v="17"/>
    <x v="147"/>
  </r>
  <r>
    <x v="0"/>
    <x v="0"/>
    <x v="0"/>
    <x v="74"/>
    <x v="1"/>
    <x v="86"/>
    <x v="0"/>
    <x v="145"/>
    <x v="151"/>
    <x v="0"/>
    <x v="0"/>
    <x v="149"/>
    <x v="156"/>
    <x v="148"/>
    <x v="148"/>
    <x v="153"/>
    <x v="17"/>
    <x v="148"/>
  </r>
  <r>
    <x v="0"/>
    <x v="0"/>
    <x v="0"/>
    <x v="74"/>
    <x v="1"/>
    <x v="87"/>
    <x v="0"/>
    <x v="146"/>
    <x v="152"/>
    <x v="0"/>
    <x v="0"/>
    <x v="150"/>
    <x v="157"/>
    <x v="149"/>
    <x v="149"/>
    <x v="154"/>
    <x v="17"/>
    <x v="149"/>
  </r>
  <r>
    <x v="0"/>
    <x v="0"/>
    <x v="0"/>
    <x v="74"/>
    <x v="1"/>
    <x v="88"/>
    <x v="1"/>
    <x v="147"/>
    <x v="153"/>
    <x v="0"/>
    <x v="0"/>
    <x v="151"/>
    <x v="158"/>
    <x v="21"/>
    <x v="21"/>
    <x v="155"/>
    <x v="17"/>
    <x v="21"/>
  </r>
  <r>
    <x v="0"/>
    <x v="0"/>
    <x v="0"/>
    <x v="74"/>
    <x v="1"/>
    <x v="1"/>
    <x v="1"/>
    <x v="148"/>
    <x v="154"/>
    <x v="0"/>
    <x v="0"/>
    <x v="152"/>
    <x v="159"/>
    <x v="150"/>
    <x v="150"/>
    <x v="156"/>
    <x v="17"/>
    <x v="150"/>
  </r>
  <r>
    <x v="0"/>
    <x v="0"/>
    <x v="1"/>
    <x v="74"/>
    <x v="1"/>
    <x v="1"/>
    <x v="1"/>
    <x v="149"/>
    <x v="155"/>
    <x v="0"/>
    <x v="0"/>
    <x v="153"/>
    <x v="160"/>
    <x v="151"/>
    <x v="151"/>
    <x v="157"/>
    <x v="17"/>
    <x v="151"/>
  </r>
  <r>
    <x v="0"/>
    <x v="0"/>
    <x v="0"/>
    <x v="74"/>
    <x v="1"/>
    <x v="89"/>
    <x v="1"/>
    <x v="150"/>
    <x v="156"/>
    <x v="0"/>
    <x v="0"/>
    <x v="154"/>
    <x v="161"/>
    <x v="152"/>
    <x v="152"/>
    <x v="158"/>
    <x v="17"/>
    <x v="152"/>
  </r>
  <r>
    <x v="0"/>
    <x v="0"/>
    <x v="1"/>
    <x v="74"/>
    <x v="1"/>
    <x v="89"/>
    <x v="1"/>
    <x v="151"/>
    <x v="157"/>
    <x v="0"/>
    <x v="0"/>
    <x v="155"/>
    <x v="162"/>
    <x v="153"/>
    <x v="153"/>
    <x v="159"/>
    <x v="17"/>
    <x v="153"/>
  </r>
  <r>
    <x v="0"/>
    <x v="0"/>
    <x v="0"/>
    <x v="74"/>
    <x v="1"/>
    <x v="90"/>
    <x v="1"/>
    <x v="152"/>
    <x v="158"/>
    <x v="0"/>
    <x v="0"/>
    <x v="156"/>
    <x v="163"/>
    <x v="154"/>
    <x v="154"/>
    <x v="160"/>
    <x v="17"/>
    <x v="154"/>
  </r>
  <r>
    <x v="0"/>
    <x v="0"/>
    <x v="1"/>
    <x v="74"/>
    <x v="1"/>
    <x v="90"/>
    <x v="1"/>
    <x v="153"/>
    <x v="159"/>
    <x v="0"/>
    <x v="0"/>
    <x v="157"/>
    <x v="164"/>
    <x v="155"/>
    <x v="155"/>
    <x v="161"/>
    <x v="17"/>
    <x v="155"/>
  </r>
  <r>
    <x v="0"/>
    <x v="0"/>
    <x v="0"/>
    <x v="74"/>
    <x v="1"/>
    <x v="76"/>
    <x v="0"/>
    <x v="154"/>
    <x v="160"/>
    <x v="0"/>
    <x v="0"/>
    <x v="158"/>
    <x v="165"/>
    <x v="156"/>
    <x v="156"/>
    <x v="162"/>
    <x v="17"/>
    <x v="156"/>
  </r>
  <r>
    <x v="0"/>
    <x v="0"/>
    <x v="1"/>
    <x v="74"/>
    <x v="1"/>
    <x v="76"/>
    <x v="0"/>
    <x v="155"/>
    <x v="161"/>
    <x v="0"/>
    <x v="0"/>
    <x v="159"/>
    <x v="166"/>
    <x v="157"/>
    <x v="157"/>
    <x v="163"/>
    <x v="17"/>
    <x v="157"/>
  </r>
  <r>
    <x v="0"/>
    <x v="0"/>
    <x v="0"/>
    <x v="74"/>
    <x v="1"/>
    <x v="91"/>
    <x v="0"/>
    <x v="156"/>
    <x v="162"/>
    <x v="0"/>
    <x v="0"/>
    <x v="160"/>
    <x v="167"/>
    <x v="158"/>
    <x v="158"/>
    <x v="164"/>
    <x v="17"/>
    <x v="158"/>
  </r>
  <r>
    <x v="0"/>
    <x v="0"/>
    <x v="1"/>
    <x v="74"/>
    <x v="1"/>
    <x v="91"/>
    <x v="0"/>
    <x v="157"/>
    <x v="163"/>
    <x v="0"/>
    <x v="0"/>
    <x v="161"/>
    <x v="168"/>
    <x v="159"/>
    <x v="159"/>
    <x v="165"/>
    <x v="17"/>
    <x v="159"/>
  </r>
  <r>
    <x v="0"/>
    <x v="0"/>
    <x v="0"/>
    <x v="74"/>
    <x v="1"/>
    <x v="91"/>
    <x v="1"/>
    <x v="158"/>
    <x v="164"/>
    <x v="0"/>
    <x v="0"/>
    <x v="162"/>
    <x v="169"/>
    <x v="160"/>
    <x v="160"/>
    <x v="166"/>
    <x v="17"/>
    <x v="160"/>
  </r>
  <r>
    <x v="0"/>
    <x v="0"/>
    <x v="1"/>
    <x v="74"/>
    <x v="1"/>
    <x v="91"/>
    <x v="1"/>
    <x v="159"/>
    <x v="165"/>
    <x v="0"/>
    <x v="0"/>
    <x v="163"/>
    <x v="170"/>
    <x v="161"/>
    <x v="161"/>
    <x v="167"/>
    <x v="17"/>
    <x v="161"/>
  </r>
  <r>
    <x v="0"/>
    <x v="0"/>
    <x v="0"/>
    <x v="74"/>
    <x v="1"/>
    <x v="9"/>
    <x v="0"/>
    <x v="8"/>
    <x v="17"/>
    <x v="19"/>
    <x v="20"/>
    <x v="164"/>
    <x v="171"/>
    <x v="162"/>
    <x v="162"/>
    <x v="47"/>
    <x v="17"/>
    <x v="162"/>
  </r>
  <r>
    <x v="0"/>
    <x v="0"/>
    <x v="0"/>
    <x v="74"/>
    <x v="1"/>
    <x v="92"/>
    <x v="0"/>
    <x v="160"/>
    <x v="166"/>
    <x v="20"/>
    <x v="21"/>
    <x v="165"/>
    <x v="172"/>
    <x v="163"/>
    <x v="163"/>
    <x v="168"/>
    <x v="17"/>
    <x v="163"/>
  </r>
  <r>
    <x v="0"/>
    <x v="0"/>
    <x v="1"/>
    <x v="74"/>
    <x v="1"/>
    <x v="92"/>
    <x v="0"/>
    <x v="161"/>
    <x v="167"/>
    <x v="0"/>
    <x v="0"/>
    <x v="166"/>
    <x v="173"/>
    <x v="18"/>
    <x v="18"/>
    <x v="8"/>
    <x v="17"/>
    <x v="18"/>
  </r>
  <r>
    <x v="0"/>
    <x v="0"/>
    <x v="0"/>
    <x v="74"/>
    <x v="1"/>
    <x v="77"/>
    <x v="0"/>
    <x v="162"/>
    <x v="168"/>
    <x v="0"/>
    <x v="0"/>
    <x v="167"/>
    <x v="174"/>
    <x v="164"/>
    <x v="164"/>
    <x v="169"/>
    <x v="17"/>
    <x v="164"/>
  </r>
  <r>
    <x v="0"/>
    <x v="0"/>
    <x v="1"/>
    <x v="74"/>
    <x v="1"/>
    <x v="77"/>
    <x v="0"/>
    <x v="163"/>
    <x v="169"/>
    <x v="0"/>
    <x v="0"/>
    <x v="168"/>
    <x v="175"/>
    <x v="165"/>
    <x v="165"/>
    <x v="170"/>
    <x v="17"/>
    <x v="165"/>
  </r>
  <r>
    <x v="0"/>
    <x v="0"/>
    <x v="0"/>
    <x v="74"/>
    <x v="1"/>
    <x v="93"/>
    <x v="0"/>
    <x v="164"/>
    <x v="170"/>
    <x v="0"/>
    <x v="0"/>
    <x v="169"/>
    <x v="176"/>
    <x v="166"/>
    <x v="166"/>
    <x v="171"/>
    <x v="17"/>
    <x v="166"/>
  </r>
  <r>
    <x v="0"/>
    <x v="0"/>
    <x v="0"/>
    <x v="74"/>
    <x v="1"/>
    <x v="94"/>
    <x v="1"/>
    <x v="165"/>
    <x v="171"/>
    <x v="0"/>
    <x v="0"/>
    <x v="170"/>
    <x v="177"/>
    <x v="18"/>
    <x v="18"/>
    <x v="8"/>
    <x v="17"/>
    <x v="18"/>
  </r>
  <r>
    <x v="0"/>
    <x v="0"/>
    <x v="0"/>
    <x v="74"/>
    <x v="1"/>
    <x v="95"/>
    <x v="0"/>
    <x v="166"/>
    <x v="172"/>
    <x v="21"/>
    <x v="22"/>
    <x v="171"/>
    <x v="178"/>
    <x v="167"/>
    <x v="167"/>
    <x v="172"/>
    <x v="17"/>
    <x v="167"/>
  </r>
  <r>
    <x v="0"/>
    <x v="0"/>
    <x v="1"/>
    <x v="74"/>
    <x v="1"/>
    <x v="95"/>
    <x v="0"/>
    <x v="167"/>
    <x v="173"/>
    <x v="0"/>
    <x v="0"/>
    <x v="172"/>
    <x v="179"/>
    <x v="168"/>
    <x v="168"/>
    <x v="173"/>
    <x v="17"/>
    <x v="168"/>
  </r>
  <r>
    <x v="0"/>
    <x v="0"/>
    <x v="0"/>
    <x v="74"/>
    <x v="1"/>
    <x v="96"/>
    <x v="1"/>
    <x v="168"/>
    <x v="174"/>
    <x v="0"/>
    <x v="0"/>
    <x v="173"/>
    <x v="180"/>
    <x v="169"/>
    <x v="169"/>
    <x v="174"/>
    <x v="17"/>
    <x v="169"/>
  </r>
  <r>
    <x v="0"/>
    <x v="0"/>
    <x v="1"/>
    <x v="74"/>
    <x v="1"/>
    <x v="96"/>
    <x v="1"/>
    <x v="169"/>
    <x v="175"/>
    <x v="0"/>
    <x v="0"/>
    <x v="174"/>
    <x v="181"/>
    <x v="170"/>
    <x v="170"/>
    <x v="175"/>
    <x v="17"/>
    <x v="170"/>
  </r>
  <r>
    <x v="0"/>
    <x v="0"/>
    <x v="0"/>
    <x v="74"/>
    <x v="1"/>
    <x v="17"/>
    <x v="0"/>
    <x v="170"/>
    <x v="176"/>
    <x v="0"/>
    <x v="0"/>
    <x v="175"/>
    <x v="182"/>
    <x v="171"/>
    <x v="171"/>
    <x v="176"/>
    <x v="17"/>
    <x v="171"/>
  </r>
  <r>
    <x v="0"/>
    <x v="0"/>
    <x v="1"/>
    <x v="74"/>
    <x v="1"/>
    <x v="17"/>
    <x v="0"/>
    <x v="171"/>
    <x v="177"/>
    <x v="0"/>
    <x v="0"/>
    <x v="176"/>
    <x v="183"/>
    <x v="172"/>
    <x v="172"/>
    <x v="177"/>
    <x v="17"/>
    <x v="172"/>
  </r>
  <r>
    <x v="0"/>
    <x v="0"/>
    <x v="0"/>
    <x v="74"/>
    <x v="1"/>
    <x v="97"/>
    <x v="0"/>
    <x v="172"/>
    <x v="178"/>
    <x v="0"/>
    <x v="0"/>
    <x v="177"/>
    <x v="184"/>
    <x v="173"/>
    <x v="173"/>
    <x v="178"/>
    <x v="17"/>
    <x v="173"/>
  </r>
  <r>
    <x v="0"/>
    <x v="0"/>
    <x v="1"/>
    <x v="74"/>
    <x v="1"/>
    <x v="97"/>
    <x v="0"/>
    <x v="173"/>
    <x v="179"/>
    <x v="0"/>
    <x v="0"/>
    <x v="178"/>
    <x v="185"/>
    <x v="49"/>
    <x v="49"/>
    <x v="179"/>
    <x v="17"/>
    <x v="49"/>
  </r>
  <r>
    <x v="0"/>
    <x v="0"/>
    <x v="0"/>
    <x v="74"/>
    <x v="1"/>
    <x v="97"/>
    <x v="1"/>
    <x v="174"/>
    <x v="180"/>
    <x v="0"/>
    <x v="0"/>
    <x v="179"/>
    <x v="186"/>
    <x v="174"/>
    <x v="174"/>
    <x v="180"/>
    <x v="17"/>
    <x v="174"/>
  </r>
  <r>
    <x v="0"/>
    <x v="0"/>
    <x v="1"/>
    <x v="74"/>
    <x v="1"/>
    <x v="97"/>
    <x v="1"/>
    <x v="175"/>
    <x v="181"/>
    <x v="0"/>
    <x v="0"/>
    <x v="180"/>
    <x v="187"/>
    <x v="175"/>
    <x v="175"/>
    <x v="181"/>
    <x v="17"/>
    <x v="175"/>
  </r>
  <r>
    <x v="0"/>
    <x v="0"/>
    <x v="0"/>
    <x v="74"/>
    <x v="1"/>
    <x v="97"/>
    <x v="2"/>
    <x v="176"/>
    <x v="182"/>
    <x v="0"/>
    <x v="0"/>
    <x v="181"/>
    <x v="188"/>
    <x v="176"/>
    <x v="176"/>
    <x v="182"/>
    <x v="17"/>
    <x v="176"/>
  </r>
  <r>
    <x v="0"/>
    <x v="0"/>
    <x v="0"/>
    <x v="74"/>
    <x v="1"/>
    <x v="98"/>
    <x v="0"/>
    <x v="177"/>
    <x v="183"/>
    <x v="0"/>
    <x v="0"/>
    <x v="182"/>
    <x v="189"/>
    <x v="177"/>
    <x v="177"/>
    <x v="183"/>
    <x v="17"/>
    <x v="177"/>
  </r>
  <r>
    <x v="0"/>
    <x v="0"/>
    <x v="1"/>
    <x v="74"/>
    <x v="1"/>
    <x v="98"/>
    <x v="0"/>
    <x v="178"/>
    <x v="184"/>
    <x v="0"/>
    <x v="0"/>
    <x v="183"/>
    <x v="190"/>
    <x v="178"/>
    <x v="178"/>
    <x v="184"/>
    <x v="17"/>
    <x v="178"/>
  </r>
  <r>
    <x v="0"/>
    <x v="0"/>
    <x v="0"/>
    <x v="74"/>
    <x v="1"/>
    <x v="99"/>
    <x v="0"/>
    <x v="179"/>
    <x v="185"/>
    <x v="0"/>
    <x v="0"/>
    <x v="184"/>
    <x v="191"/>
    <x v="179"/>
    <x v="179"/>
    <x v="185"/>
    <x v="17"/>
    <x v="179"/>
  </r>
  <r>
    <x v="0"/>
    <x v="0"/>
    <x v="1"/>
    <x v="74"/>
    <x v="1"/>
    <x v="99"/>
    <x v="0"/>
    <x v="8"/>
    <x v="186"/>
    <x v="0"/>
    <x v="0"/>
    <x v="8"/>
    <x v="192"/>
    <x v="180"/>
    <x v="180"/>
    <x v="186"/>
    <x v="17"/>
    <x v="180"/>
  </r>
  <r>
    <x v="0"/>
    <x v="0"/>
    <x v="0"/>
    <x v="74"/>
    <x v="1"/>
    <x v="100"/>
    <x v="0"/>
    <x v="180"/>
    <x v="187"/>
    <x v="0"/>
    <x v="0"/>
    <x v="185"/>
    <x v="193"/>
    <x v="181"/>
    <x v="181"/>
    <x v="187"/>
    <x v="17"/>
    <x v="181"/>
  </r>
  <r>
    <x v="0"/>
    <x v="0"/>
    <x v="1"/>
    <x v="74"/>
    <x v="1"/>
    <x v="100"/>
    <x v="0"/>
    <x v="181"/>
    <x v="188"/>
    <x v="0"/>
    <x v="0"/>
    <x v="186"/>
    <x v="194"/>
    <x v="182"/>
    <x v="182"/>
    <x v="188"/>
    <x v="17"/>
    <x v="182"/>
  </r>
  <r>
    <x v="0"/>
    <x v="0"/>
    <x v="0"/>
    <x v="74"/>
    <x v="1"/>
    <x v="101"/>
    <x v="0"/>
    <x v="182"/>
    <x v="189"/>
    <x v="0"/>
    <x v="0"/>
    <x v="187"/>
    <x v="195"/>
    <x v="183"/>
    <x v="183"/>
    <x v="189"/>
    <x v="17"/>
    <x v="183"/>
  </r>
  <r>
    <x v="0"/>
    <x v="0"/>
    <x v="1"/>
    <x v="74"/>
    <x v="1"/>
    <x v="101"/>
    <x v="0"/>
    <x v="183"/>
    <x v="190"/>
    <x v="0"/>
    <x v="0"/>
    <x v="188"/>
    <x v="196"/>
    <x v="184"/>
    <x v="184"/>
    <x v="190"/>
    <x v="17"/>
    <x v="184"/>
  </r>
  <r>
    <x v="0"/>
    <x v="0"/>
    <x v="0"/>
    <x v="74"/>
    <x v="1"/>
    <x v="102"/>
    <x v="0"/>
    <x v="184"/>
    <x v="191"/>
    <x v="0"/>
    <x v="0"/>
    <x v="189"/>
    <x v="197"/>
    <x v="185"/>
    <x v="185"/>
    <x v="191"/>
    <x v="17"/>
    <x v="185"/>
  </r>
  <r>
    <x v="0"/>
    <x v="0"/>
    <x v="0"/>
    <x v="74"/>
    <x v="1"/>
    <x v="103"/>
    <x v="0"/>
    <x v="185"/>
    <x v="192"/>
    <x v="22"/>
    <x v="23"/>
    <x v="190"/>
    <x v="198"/>
    <x v="186"/>
    <x v="186"/>
    <x v="192"/>
    <x v="17"/>
    <x v="186"/>
  </r>
  <r>
    <x v="0"/>
    <x v="0"/>
    <x v="0"/>
    <x v="74"/>
    <x v="1"/>
    <x v="50"/>
    <x v="0"/>
    <x v="186"/>
    <x v="193"/>
    <x v="0"/>
    <x v="0"/>
    <x v="191"/>
    <x v="199"/>
    <x v="187"/>
    <x v="187"/>
    <x v="193"/>
    <x v="17"/>
    <x v="187"/>
  </r>
  <r>
    <x v="0"/>
    <x v="0"/>
    <x v="0"/>
    <x v="74"/>
    <x v="1"/>
    <x v="58"/>
    <x v="0"/>
    <x v="187"/>
    <x v="194"/>
    <x v="23"/>
    <x v="24"/>
    <x v="192"/>
    <x v="200"/>
    <x v="188"/>
    <x v="188"/>
    <x v="194"/>
    <x v="17"/>
    <x v="188"/>
  </r>
  <r>
    <x v="0"/>
    <x v="0"/>
    <x v="1"/>
    <x v="74"/>
    <x v="1"/>
    <x v="58"/>
    <x v="0"/>
    <x v="188"/>
    <x v="195"/>
    <x v="0"/>
    <x v="0"/>
    <x v="193"/>
    <x v="201"/>
    <x v="189"/>
    <x v="189"/>
    <x v="195"/>
    <x v="17"/>
    <x v="189"/>
  </r>
  <r>
    <x v="0"/>
    <x v="0"/>
    <x v="0"/>
    <x v="74"/>
    <x v="1"/>
    <x v="68"/>
    <x v="0"/>
    <x v="189"/>
    <x v="196"/>
    <x v="24"/>
    <x v="25"/>
    <x v="194"/>
    <x v="202"/>
    <x v="190"/>
    <x v="190"/>
    <x v="196"/>
    <x v="17"/>
    <x v="190"/>
  </r>
  <r>
    <x v="0"/>
    <x v="0"/>
    <x v="1"/>
    <x v="74"/>
    <x v="1"/>
    <x v="68"/>
    <x v="0"/>
    <x v="190"/>
    <x v="197"/>
    <x v="25"/>
    <x v="26"/>
    <x v="195"/>
    <x v="203"/>
    <x v="191"/>
    <x v="191"/>
    <x v="197"/>
    <x v="17"/>
    <x v="191"/>
  </r>
  <r>
    <x v="0"/>
    <x v="0"/>
    <x v="0"/>
    <x v="74"/>
    <x v="1"/>
    <x v="104"/>
    <x v="2"/>
    <x v="191"/>
    <x v="198"/>
    <x v="26"/>
    <x v="27"/>
    <x v="196"/>
    <x v="204"/>
    <x v="192"/>
    <x v="192"/>
    <x v="198"/>
    <x v="17"/>
    <x v="192"/>
  </r>
  <r>
    <x v="0"/>
    <x v="0"/>
    <x v="1"/>
    <x v="74"/>
    <x v="1"/>
    <x v="104"/>
    <x v="2"/>
    <x v="192"/>
    <x v="199"/>
    <x v="27"/>
    <x v="28"/>
    <x v="197"/>
    <x v="205"/>
    <x v="193"/>
    <x v="193"/>
    <x v="199"/>
    <x v="17"/>
    <x v="193"/>
  </r>
  <r>
    <x v="0"/>
    <x v="0"/>
    <x v="0"/>
    <x v="74"/>
    <x v="1"/>
    <x v="105"/>
    <x v="0"/>
    <x v="193"/>
    <x v="200"/>
    <x v="0"/>
    <x v="0"/>
    <x v="198"/>
    <x v="206"/>
    <x v="194"/>
    <x v="194"/>
    <x v="200"/>
    <x v="17"/>
    <x v="194"/>
  </r>
  <r>
    <x v="0"/>
    <x v="0"/>
    <x v="1"/>
    <x v="74"/>
    <x v="1"/>
    <x v="105"/>
    <x v="0"/>
    <x v="194"/>
    <x v="201"/>
    <x v="0"/>
    <x v="0"/>
    <x v="199"/>
    <x v="207"/>
    <x v="195"/>
    <x v="195"/>
    <x v="201"/>
    <x v="17"/>
    <x v="195"/>
  </r>
  <r>
    <x v="0"/>
    <x v="0"/>
    <x v="0"/>
    <x v="74"/>
    <x v="1"/>
    <x v="106"/>
    <x v="1"/>
    <x v="195"/>
    <x v="202"/>
    <x v="0"/>
    <x v="0"/>
    <x v="200"/>
    <x v="208"/>
    <x v="196"/>
    <x v="196"/>
    <x v="202"/>
    <x v="17"/>
    <x v="196"/>
  </r>
  <r>
    <x v="0"/>
    <x v="0"/>
    <x v="1"/>
    <x v="74"/>
    <x v="1"/>
    <x v="106"/>
    <x v="1"/>
    <x v="196"/>
    <x v="203"/>
    <x v="0"/>
    <x v="0"/>
    <x v="201"/>
    <x v="209"/>
    <x v="197"/>
    <x v="197"/>
    <x v="203"/>
    <x v="17"/>
    <x v="197"/>
  </r>
  <r>
    <x v="0"/>
    <x v="0"/>
    <x v="1"/>
    <x v="74"/>
    <x v="1"/>
    <x v="107"/>
    <x v="0"/>
    <x v="197"/>
    <x v="70"/>
    <x v="0"/>
    <x v="0"/>
    <x v="202"/>
    <x v="72"/>
    <x v="198"/>
    <x v="198"/>
    <x v="204"/>
    <x v="17"/>
    <x v="198"/>
  </r>
  <r>
    <x v="0"/>
    <x v="0"/>
    <x v="0"/>
    <x v="74"/>
    <x v="1"/>
    <x v="108"/>
    <x v="0"/>
    <x v="198"/>
    <x v="204"/>
    <x v="0"/>
    <x v="0"/>
    <x v="203"/>
    <x v="210"/>
    <x v="199"/>
    <x v="199"/>
    <x v="205"/>
    <x v="17"/>
    <x v="199"/>
  </r>
  <r>
    <x v="0"/>
    <x v="0"/>
    <x v="1"/>
    <x v="74"/>
    <x v="1"/>
    <x v="108"/>
    <x v="0"/>
    <x v="199"/>
    <x v="205"/>
    <x v="0"/>
    <x v="0"/>
    <x v="204"/>
    <x v="211"/>
    <x v="200"/>
    <x v="200"/>
    <x v="206"/>
    <x v="17"/>
    <x v="200"/>
  </r>
  <r>
    <x v="0"/>
    <x v="0"/>
    <x v="0"/>
    <x v="74"/>
    <x v="1"/>
    <x v="109"/>
    <x v="0"/>
    <x v="200"/>
    <x v="206"/>
    <x v="0"/>
    <x v="0"/>
    <x v="205"/>
    <x v="212"/>
    <x v="201"/>
    <x v="201"/>
    <x v="207"/>
    <x v="17"/>
    <x v="201"/>
  </r>
  <r>
    <x v="0"/>
    <x v="0"/>
    <x v="0"/>
    <x v="74"/>
    <x v="1"/>
    <x v="110"/>
    <x v="0"/>
    <x v="201"/>
    <x v="207"/>
    <x v="0"/>
    <x v="0"/>
    <x v="206"/>
    <x v="213"/>
    <x v="202"/>
    <x v="202"/>
    <x v="208"/>
    <x v="17"/>
    <x v="202"/>
  </r>
  <r>
    <x v="0"/>
    <x v="0"/>
    <x v="1"/>
    <x v="74"/>
    <x v="1"/>
    <x v="110"/>
    <x v="0"/>
    <x v="202"/>
    <x v="208"/>
    <x v="0"/>
    <x v="0"/>
    <x v="207"/>
    <x v="214"/>
    <x v="203"/>
    <x v="203"/>
    <x v="209"/>
    <x v="17"/>
    <x v="203"/>
  </r>
  <r>
    <x v="0"/>
    <x v="0"/>
    <x v="0"/>
    <x v="74"/>
    <x v="1"/>
    <x v="111"/>
    <x v="0"/>
    <x v="203"/>
    <x v="209"/>
    <x v="0"/>
    <x v="0"/>
    <x v="208"/>
    <x v="215"/>
    <x v="204"/>
    <x v="204"/>
    <x v="210"/>
    <x v="17"/>
    <x v="204"/>
  </r>
  <r>
    <x v="0"/>
    <x v="0"/>
    <x v="0"/>
    <x v="74"/>
    <x v="1"/>
    <x v="78"/>
    <x v="0"/>
    <x v="204"/>
    <x v="210"/>
    <x v="0"/>
    <x v="0"/>
    <x v="209"/>
    <x v="216"/>
    <x v="205"/>
    <x v="205"/>
    <x v="211"/>
    <x v="17"/>
    <x v="205"/>
  </r>
  <r>
    <x v="0"/>
    <x v="0"/>
    <x v="0"/>
    <x v="74"/>
    <x v="1"/>
    <x v="112"/>
    <x v="0"/>
    <x v="205"/>
    <x v="211"/>
    <x v="0"/>
    <x v="0"/>
    <x v="210"/>
    <x v="217"/>
    <x v="206"/>
    <x v="206"/>
    <x v="212"/>
    <x v="17"/>
    <x v="206"/>
  </r>
  <r>
    <x v="0"/>
    <x v="0"/>
    <x v="1"/>
    <x v="74"/>
    <x v="1"/>
    <x v="112"/>
    <x v="0"/>
    <x v="206"/>
    <x v="212"/>
    <x v="0"/>
    <x v="0"/>
    <x v="211"/>
    <x v="218"/>
    <x v="207"/>
    <x v="207"/>
    <x v="213"/>
    <x v="17"/>
    <x v="207"/>
  </r>
  <r>
    <x v="0"/>
    <x v="0"/>
    <x v="0"/>
    <x v="74"/>
    <x v="1"/>
    <x v="41"/>
    <x v="1"/>
    <x v="207"/>
    <x v="213"/>
    <x v="0"/>
    <x v="0"/>
    <x v="212"/>
    <x v="219"/>
    <x v="208"/>
    <x v="208"/>
    <x v="214"/>
    <x v="17"/>
    <x v="208"/>
  </r>
  <r>
    <x v="0"/>
    <x v="0"/>
    <x v="1"/>
    <x v="74"/>
    <x v="1"/>
    <x v="41"/>
    <x v="1"/>
    <x v="208"/>
    <x v="214"/>
    <x v="0"/>
    <x v="0"/>
    <x v="213"/>
    <x v="220"/>
    <x v="209"/>
    <x v="209"/>
    <x v="215"/>
    <x v="17"/>
    <x v="209"/>
  </r>
  <r>
    <x v="0"/>
    <x v="0"/>
    <x v="0"/>
    <x v="74"/>
    <x v="1"/>
    <x v="41"/>
    <x v="3"/>
    <x v="209"/>
    <x v="215"/>
    <x v="0"/>
    <x v="0"/>
    <x v="214"/>
    <x v="221"/>
    <x v="210"/>
    <x v="210"/>
    <x v="216"/>
    <x v="17"/>
    <x v="210"/>
  </r>
  <r>
    <x v="0"/>
    <x v="0"/>
    <x v="1"/>
    <x v="74"/>
    <x v="1"/>
    <x v="41"/>
    <x v="3"/>
    <x v="210"/>
    <x v="216"/>
    <x v="0"/>
    <x v="0"/>
    <x v="215"/>
    <x v="222"/>
    <x v="211"/>
    <x v="211"/>
    <x v="217"/>
    <x v="17"/>
    <x v="211"/>
  </r>
  <r>
    <x v="0"/>
    <x v="0"/>
    <x v="0"/>
    <x v="74"/>
    <x v="1"/>
    <x v="79"/>
    <x v="0"/>
    <x v="211"/>
    <x v="217"/>
    <x v="28"/>
    <x v="29"/>
    <x v="216"/>
    <x v="223"/>
    <x v="212"/>
    <x v="212"/>
    <x v="218"/>
    <x v="17"/>
    <x v="212"/>
  </r>
  <r>
    <x v="0"/>
    <x v="0"/>
    <x v="1"/>
    <x v="74"/>
    <x v="1"/>
    <x v="79"/>
    <x v="0"/>
    <x v="212"/>
    <x v="218"/>
    <x v="0"/>
    <x v="0"/>
    <x v="217"/>
    <x v="224"/>
    <x v="213"/>
    <x v="213"/>
    <x v="219"/>
    <x v="17"/>
    <x v="213"/>
  </r>
  <r>
    <x v="0"/>
    <x v="0"/>
    <x v="0"/>
    <x v="74"/>
    <x v="1"/>
    <x v="73"/>
    <x v="3"/>
    <x v="213"/>
    <x v="219"/>
    <x v="0"/>
    <x v="0"/>
    <x v="218"/>
    <x v="225"/>
    <x v="214"/>
    <x v="214"/>
    <x v="220"/>
    <x v="17"/>
    <x v="214"/>
  </r>
  <r>
    <x v="0"/>
    <x v="0"/>
    <x v="1"/>
    <x v="74"/>
    <x v="1"/>
    <x v="75"/>
    <x v="0"/>
    <x v="214"/>
    <x v="220"/>
    <x v="0"/>
    <x v="0"/>
    <x v="219"/>
    <x v="226"/>
    <x v="215"/>
    <x v="215"/>
    <x v="221"/>
    <x v="17"/>
    <x v="215"/>
  </r>
  <r>
    <x v="0"/>
    <x v="0"/>
    <x v="0"/>
    <x v="74"/>
    <x v="1"/>
    <x v="113"/>
    <x v="1"/>
    <x v="215"/>
    <x v="221"/>
    <x v="29"/>
    <x v="30"/>
    <x v="220"/>
    <x v="227"/>
    <x v="216"/>
    <x v="216"/>
    <x v="222"/>
    <x v="17"/>
    <x v="216"/>
  </r>
  <r>
    <x v="0"/>
    <x v="0"/>
    <x v="0"/>
    <x v="74"/>
    <x v="1"/>
    <x v="114"/>
    <x v="0"/>
    <x v="216"/>
    <x v="222"/>
    <x v="0"/>
    <x v="0"/>
    <x v="221"/>
    <x v="228"/>
    <x v="217"/>
    <x v="217"/>
    <x v="223"/>
    <x v="17"/>
    <x v="217"/>
  </r>
  <r>
    <x v="0"/>
    <x v="0"/>
    <x v="1"/>
    <x v="74"/>
    <x v="1"/>
    <x v="114"/>
    <x v="0"/>
    <x v="217"/>
    <x v="223"/>
    <x v="0"/>
    <x v="0"/>
    <x v="222"/>
    <x v="229"/>
    <x v="218"/>
    <x v="218"/>
    <x v="224"/>
    <x v="17"/>
    <x v="218"/>
  </r>
  <r>
    <x v="0"/>
    <x v="0"/>
    <x v="0"/>
    <x v="74"/>
    <x v="1"/>
    <x v="82"/>
    <x v="0"/>
    <x v="218"/>
    <x v="144"/>
    <x v="0"/>
    <x v="0"/>
    <x v="223"/>
    <x v="148"/>
    <x v="219"/>
    <x v="219"/>
    <x v="225"/>
    <x v="17"/>
    <x v="219"/>
  </r>
  <r>
    <x v="0"/>
    <x v="0"/>
    <x v="0"/>
    <x v="74"/>
    <x v="1"/>
    <x v="115"/>
    <x v="0"/>
    <x v="219"/>
    <x v="224"/>
    <x v="0"/>
    <x v="0"/>
    <x v="224"/>
    <x v="230"/>
    <x v="220"/>
    <x v="220"/>
    <x v="226"/>
    <x v="17"/>
    <x v="220"/>
  </r>
  <r>
    <x v="0"/>
    <x v="0"/>
    <x v="0"/>
    <x v="74"/>
    <x v="1"/>
    <x v="116"/>
    <x v="0"/>
    <x v="220"/>
    <x v="225"/>
    <x v="0"/>
    <x v="0"/>
    <x v="225"/>
    <x v="231"/>
    <x v="221"/>
    <x v="221"/>
    <x v="227"/>
    <x v="17"/>
    <x v="221"/>
  </r>
  <r>
    <x v="0"/>
    <x v="0"/>
    <x v="0"/>
    <x v="74"/>
    <x v="1"/>
    <x v="117"/>
    <x v="0"/>
    <x v="8"/>
    <x v="17"/>
    <x v="30"/>
    <x v="31"/>
    <x v="226"/>
    <x v="232"/>
    <x v="222"/>
    <x v="222"/>
    <x v="228"/>
    <x v="17"/>
    <x v="222"/>
  </r>
  <r>
    <x v="0"/>
    <x v="0"/>
    <x v="0"/>
    <x v="74"/>
    <x v="1"/>
    <x v="117"/>
    <x v="1"/>
    <x v="221"/>
    <x v="226"/>
    <x v="0"/>
    <x v="0"/>
    <x v="227"/>
    <x v="233"/>
    <x v="223"/>
    <x v="223"/>
    <x v="229"/>
    <x v="17"/>
    <x v="223"/>
  </r>
  <r>
    <x v="0"/>
    <x v="0"/>
    <x v="0"/>
    <x v="74"/>
    <x v="1"/>
    <x v="118"/>
    <x v="3"/>
    <x v="222"/>
    <x v="227"/>
    <x v="0"/>
    <x v="0"/>
    <x v="228"/>
    <x v="234"/>
    <x v="224"/>
    <x v="224"/>
    <x v="230"/>
    <x v="17"/>
    <x v="224"/>
  </r>
  <r>
    <x v="0"/>
    <x v="0"/>
    <x v="0"/>
    <x v="74"/>
    <x v="1"/>
    <x v="119"/>
    <x v="1"/>
    <x v="223"/>
    <x v="228"/>
    <x v="0"/>
    <x v="0"/>
    <x v="229"/>
    <x v="235"/>
    <x v="225"/>
    <x v="225"/>
    <x v="231"/>
    <x v="17"/>
    <x v="225"/>
  </r>
  <r>
    <x v="0"/>
    <x v="0"/>
    <x v="1"/>
    <x v="74"/>
    <x v="1"/>
    <x v="119"/>
    <x v="1"/>
    <x v="224"/>
    <x v="229"/>
    <x v="0"/>
    <x v="0"/>
    <x v="230"/>
    <x v="236"/>
    <x v="226"/>
    <x v="226"/>
    <x v="232"/>
    <x v="17"/>
    <x v="226"/>
  </r>
  <r>
    <x v="0"/>
    <x v="0"/>
    <x v="0"/>
    <x v="75"/>
    <x v="1"/>
    <x v="86"/>
    <x v="0"/>
    <x v="225"/>
    <x v="230"/>
    <x v="0"/>
    <x v="0"/>
    <x v="231"/>
    <x v="237"/>
    <x v="227"/>
    <x v="227"/>
    <x v="233"/>
    <x v="17"/>
    <x v="227"/>
  </r>
  <r>
    <x v="0"/>
    <x v="0"/>
    <x v="0"/>
    <x v="75"/>
    <x v="1"/>
    <x v="120"/>
    <x v="1"/>
    <x v="226"/>
    <x v="231"/>
    <x v="0"/>
    <x v="0"/>
    <x v="232"/>
    <x v="238"/>
    <x v="228"/>
    <x v="228"/>
    <x v="234"/>
    <x v="17"/>
    <x v="228"/>
  </r>
  <r>
    <x v="0"/>
    <x v="0"/>
    <x v="0"/>
    <x v="75"/>
    <x v="1"/>
    <x v="87"/>
    <x v="0"/>
    <x v="227"/>
    <x v="232"/>
    <x v="31"/>
    <x v="32"/>
    <x v="233"/>
    <x v="239"/>
    <x v="229"/>
    <x v="229"/>
    <x v="235"/>
    <x v="17"/>
    <x v="229"/>
  </r>
  <r>
    <x v="0"/>
    <x v="0"/>
    <x v="0"/>
    <x v="75"/>
    <x v="1"/>
    <x v="1"/>
    <x v="1"/>
    <x v="228"/>
    <x v="233"/>
    <x v="32"/>
    <x v="33"/>
    <x v="234"/>
    <x v="240"/>
    <x v="230"/>
    <x v="230"/>
    <x v="236"/>
    <x v="17"/>
    <x v="230"/>
  </r>
  <r>
    <x v="0"/>
    <x v="0"/>
    <x v="0"/>
    <x v="75"/>
    <x v="1"/>
    <x v="89"/>
    <x v="1"/>
    <x v="229"/>
    <x v="234"/>
    <x v="0"/>
    <x v="0"/>
    <x v="235"/>
    <x v="241"/>
    <x v="231"/>
    <x v="231"/>
    <x v="237"/>
    <x v="17"/>
    <x v="231"/>
  </r>
  <r>
    <x v="0"/>
    <x v="0"/>
    <x v="0"/>
    <x v="75"/>
    <x v="1"/>
    <x v="121"/>
    <x v="3"/>
    <x v="230"/>
    <x v="235"/>
    <x v="0"/>
    <x v="0"/>
    <x v="236"/>
    <x v="242"/>
    <x v="232"/>
    <x v="232"/>
    <x v="238"/>
    <x v="17"/>
    <x v="232"/>
  </r>
  <r>
    <x v="0"/>
    <x v="0"/>
    <x v="0"/>
    <x v="75"/>
    <x v="1"/>
    <x v="122"/>
    <x v="0"/>
    <x v="231"/>
    <x v="236"/>
    <x v="0"/>
    <x v="0"/>
    <x v="237"/>
    <x v="243"/>
    <x v="233"/>
    <x v="233"/>
    <x v="239"/>
    <x v="17"/>
    <x v="233"/>
  </r>
  <r>
    <x v="0"/>
    <x v="0"/>
    <x v="0"/>
    <x v="75"/>
    <x v="1"/>
    <x v="123"/>
    <x v="1"/>
    <x v="232"/>
    <x v="237"/>
    <x v="0"/>
    <x v="0"/>
    <x v="238"/>
    <x v="244"/>
    <x v="234"/>
    <x v="234"/>
    <x v="240"/>
    <x v="17"/>
    <x v="234"/>
  </r>
  <r>
    <x v="0"/>
    <x v="0"/>
    <x v="1"/>
    <x v="75"/>
    <x v="1"/>
    <x v="123"/>
    <x v="1"/>
    <x v="233"/>
    <x v="238"/>
    <x v="0"/>
    <x v="0"/>
    <x v="239"/>
    <x v="245"/>
    <x v="235"/>
    <x v="235"/>
    <x v="241"/>
    <x v="17"/>
    <x v="235"/>
  </r>
  <r>
    <x v="0"/>
    <x v="0"/>
    <x v="0"/>
    <x v="75"/>
    <x v="1"/>
    <x v="124"/>
    <x v="0"/>
    <x v="234"/>
    <x v="239"/>
    <x v="33"/>
    <x v="34"/>
    <x v="240"/>
    <x v="246"/>
    <x v="236"/>
    <x v="236"/>
    <x v="242"/>
    <x v="17"/>
    <x v="236"/>
  </r>
  <r>
    <x v="0"/>
    <x v="0"/>
    <x v="1"/>
    <x v="75"/>
    <x v="1"/>
    <x v="124"/>
    <x v="0"/>
    <x v="235"/>
    <x v="240"/>
    <x v="0"/>
    <x v="0"/>
    <x v="241"/>
    <x v="247"/>
    <x v="237"/>
    <x v="237"/>
    <x v="243"/>
    <x v="17"/>
    <x v="237"/>
  </r>
  <r>
    <x v="0"/>
    <x v="0"/>
    <x v="0"/>
    <x v="75"/>
    <x v="1"/>
    <x v="125"/>
    <x v="1"/>
    <x v="236"/>
    <x v="241"/>
    <x v="0"/>
    <x v="0"/>
    <x v="242"/>
    <x v="248"/>
    <x v="238"/>
    <x v="238"/>
    <x v="244"/>
    <x v="17"/>
    <x v="238"/>
  </r>
  <r>
    <x v="0"/>
    <x v="0"/>
    <x v="0"/>
    <x v="75"/>
    <x v="1"/>
    <x v="9"/>
    <x v="0"/>
    <x v="237"/>
    <x v="242"/>
    <x v="34"/>
    <x v="35"/>
    <x v="243"/>
    <x v="249"/>
    <x v="239"/>
    <x v="239"/>
    <x v="245"/>
    <x v="17"/>
    <x v="239"/>
  </r>
  <r>
    <x v="0"/>
    <x v="0"/>
    <x v="0"/>
    <x v="75"/>
    <x v="1"/>
    <x v="126"/>
    <x v="1"/>
    <x v="238"/>
    <x v="243"/>
    <x v="35"/>
    <x v="36"/>
    <x v="244"/>
    <x v="250"/>
    <x v="240"/>
    <x v="240"/>
    <x v="246"/>
    <x v="17"/>
    <x v="240"/>
  </r>
  <r>
    <x v="0"/>
    <x v="0"/>
    <x v="1"/>
    <x v="75"/>
    <x v="1"/>
    <x v="127"/>
    <x v="1"/>
    <x v="239"/>
    <x v="244"/>
    <x v="0"/>
    <x v="0"/>
    <x v="245"/>
    <x v="251"/>
    <x v="241"/>
    <x v="241"/>
    <x v="247"/>
    <x v="17"/>
    <x v="241"/>
  </r>
  <r>
    <x v="0"/>
    <x v="0"/>
    <x v="0"/>
    <x v="75"/>
    <x v="1"/>
    <x v="128"/>
    <x v="1"/>
    <x v="240"/>
    <x v="245"/>
    <x v="36"/>
    <x v="37"/>
    <x v="246"/>
    <x v="252"/>
    <x v="242"/>
    <x v="242"/>
    <x v="248"/>
    <x v="17"/>
    <x v="242"/>
  </r>
  <r>
    <x v="0"/>
    <x v="0"/>
    <x v="0"/>
    <x v="75"/>
    <x v="1"/>
    <x v="94"/>
    <x v="1"/>
    <x v="241"/>
    <x v="246"/>
    <x v="0"/>
    <x v="0"/>
    <x v="247"/>
    <x v="253"/>
    <x v="243"/>
    <x v="243"/>
    <x v="249"/>
    <x v="17"/>
    <x v="243"/>
  </r>
  <r>
    <x v="0"/>
    <x v="0"/>
    <x v="0"/>
    <x v="75"/>
    <x v="1"/>
    <x v="11"/>
    <x v="1"/>
    <x v="242"/>
    <x v="247"/>
    <x v="37"/>
    <x v="38"/>
    <x v="248"/>
    <x v="254"/>
    <x v="244"/>
    <x v="244"/>
    <x v="250"/>
    <x v="17"/>
    <x v="244"/>
  </r>
  <r>
    <x v="0"/>
    <x v="0"/>
    <x v="0"/>
    <x v="75"/>
    <x v="1"/>
    <x v="96"/>
    <x v="1"/>
    <x v="243"/>
    <x v="248"/>
    <x v="0"/>
    <x v="0"/>
    <x v="249"/>
    <x v="255"/>
    <x v="245"/>
    <x v="245"/>
    <x v="251"/>
    <x v="17"/>
    <x v="245"/>
  </r>
  <r>
    <x v="0"/>
    <x v="0"/>
    <x v="0"/>
    <x v="75"/>
    <x v="1"/>
    <x v="129"/>
    <x v="1"/>
    <x v="244"/>
    <x v="249"/>
    <x v="38"/>
    <x v="39"/>
    <x v="250"/>
    <x v="256"/>
    <x v="246"/>
    <x v="246"/>
    <x v="252"/>
    <x v="17"/>
    <x v="246"/>
  </r>
  <r>
    <x v="0"/>
    <x v="0"/>
    <x v="0"/>
    <x v="75"/>
    <x v="1"/>
    <x v="98"/>
    <x v="0"/>
    <x v="245"/>
    <x v="250"/>
    <x v="39"/>
    <x v="40"/>
    <x v="251"/>
    <x v="257"/>
    <x v="247"/>
    <x v="247"/>
    <x v="253"/>
    <x v="17"/>
    <x v="247"/>
  </r>
  <r>
    <x v="0"/>
    <x v="0"/>
    <x v="0"/>
    <x v="75"/>
    <x v="1"/>
    <x v="130"/>
    <x v="1"/>
    <x v="246"/>
    <x v="251"/>
    <x v="0"/>
    <x v="0"/>
    <x v="252"/>
    <x v="258"/>
    <x v="248"/>
    <x v="248"/>
    <x v="254"/>
    <x v="17"/>
    <x v="248"/>
  </r>
  <r>
    <x v="0"/>
    <x v="0"/>
    <x v="0"/>
    <x v="75"/>
    <x v="1"/>
    <x v="131"/>
    <x v="1"/>
    <x v="247"/>
    <x v="252"/>
    <x v="0"/>
    <x v="0"/>
    <x v="253"/>
    <x v="259"/>
    <x v="249"/>
    <x v="249"/>
    <x v="255"/>
    <x v="17"/>
    <x v="249"/>
  </r>
  <r>
    <x v="0"/>
    <x v="0"/>
    <x v="0"/>
    <x v="75"/>
    <x v="1"/>
    <x v="132"/>
    <x v="0"/>
    <x v="248"/>
    <x v="253"/>
    <x v="0"/>
    <x v="0"/>
    <x v="254"/>
    <x v="260"/>
    <x v="250"/>
    <x v="250"/>
    <x v="256"/>
    <x v="17"/>
    <x v="250"/>
  </r>
  <r>
    <x v="0"/>
    <x v="0"/>
    <x v="0"/>
    <x v="75"/>
    <x v="1"/>
    <x v="28"/>
    <x v="0"/>
    <x v="249"/>
    <x v="254"/>
    <x v="40"/>
    <x v="41"/>
    <x v="255"/>
    <x v="261"/>
    <x v="251"/>
    <x v="251"/>
    <x v="257"/>
    <x v="17"/>
    <x v="251"/>
  </r>
  <r>
    <x v="0"/>
    <x v="0"/>
    <x v="0"/>
    <x v="75"/>
    <x v="1"/>
    <x v="133"/>
    <x v="1"/>
    <x v="250"/>
    <x v="255"/>
    <x v="41"/>
    <x v="42"/>
    <x v="256"/>
    <x v="262"/>
    <x v="252"/>
    <x v="252"/>
    <x v="258"/>
    <x v="17"/>
    <x v="252"/>
  </r>
  <r>
    <x v="0"/>
    <x v="0"/>
    <x v="0"/>
    <x v="75"/>
    <x v="1"/>
    <x v="51"/>
    <x v="1"/>
    <x v="251"/>
    <x v="256"/>
    <x v="0"/>
    <x v="0"/>
    <x v="257"/>
    <x v="263"/>
    <x v="253"/>
    <x v="253"/>
    <x v="259"/>
    <x v="17"/>
    <x v="253"/>
  </r>
  <r>
    <x v="0"/>
    <x v="0"/>
    <x v="0"/>
    <x v="75"/>
    <x v="1"/>
    <x v="134"/>
    <x v="0"/>
    <x v="115"/>
    <x v="257"/>
    <x v="0"/>
    <x v="0"/>
    <x v="119"/>
    <x v="264"/>
    <x v="254"/>
    <x v="254"/>
    <x v="260"/>
    <x v="17"/>
    <x v="254"/>
  </r>
  <r>
    <x v="0"/>
    <x v="0"/>
    <x v="0"/>
    <x v="75"/>
    <x v="1"/>
    <x v="135"/>
    <x v="0"/>
    <x v="59"/>
    <x v="258"/>
    <x v="0"/>
    <x v="0"/>
    <x v="59"/>
    <x v="265"/>
    <x v="255"/>
    <x v="255"/>
    <x v="261"/>
    <x v="17"/>
    <x v="255"/>
  </r>
  <r>
    <x v="0"/>
    <x v="0"/>
    <x v="0"/>
    <x v="75"/>
    <x v="1"/>
    <x v="136"/>
    <x v="1"/>
    <x v="252"/>
    <x v="259"/>
    <x v="42"/>
    <x v="43"/>
    <x v="258"/>
    <x v="266"/>
    <x v="256"/>
    <x v="256"/>
    <x v="262"/>
    <x v="17"/>
    <x v="256"/>
  </r>
  <r>
    <x v="0"/>
    <x v="0"/>
    <x v="0"/>
    <x v="75"/>
    <x v="1"/>
    <x v="137"/>
    <x v="0"/>
    <x v="253"/>
    <x v="260"/>
    <x v="43"/>
    <x v="44"/>
    <x v="259"/>
    <x v="267"/>
    <x v="257"/>
    <x v="257"/>
    <x v="263"/>
    <x v="17"/>
    <x v="257"/>
  </r>
  <r>
    <x v="0"/>
    <x v="0"/>
    <x v="0"/>
    <x v="75"/>
    <x v="1"/>
    <x v="138"/>
    <x v="0"/>
    <x v="254"/>
    <x v="261"/>
    <x v="44"/>
    <x v="45"/>
    <x v="260"/>
    <x v="268"/>
    <x v="258"/>
    <x v="258"/>
    <x v="264"/>
    <x v="17"/>
    <x v="258"/>
  </r>
  <r>
    <x v="0"/>
    <x v="0"/>
    <x v="0"/>
    <x v="75"/>
    <x v="1"/>
    <x v="78"/>
    <x v="0"/>
    <x v="255"/>
    <x v="262"/>
    <x v="45"/>
    <x v="46"/>
    <x v="261"/>
    <x v="269"/>
    <x v="259"/>
    <x v="259"/>
    <x v="265"/>
    <x v="17"/>
    <x v="259"/>
  </r>
  <r>
    <x v="0"/>
    <x v="0"/>
    <x v="0"/>
    <x v="75"/>
    <x v="1"/>
    <x v="139"/>
    <x v="1"/>
    <x v="256"/>
    <x v="263"/>
    <x v="46"/>
    <x v="47"/>
    <x v="262"/>
    <x v="270"/>
    <x v="260"/>
    <x v="260"/>
    <x v="266"/>
    <x v="17"/>
    <x v="260"/>
  </r>
  <r>
    <x v="0"/>
    <x v="0"/>
    <x v="0"/>
    <x v="75"/>
    <x v="1"/>
    <x v="140"/>
    <x v="1"/>
    <x v="257"/>
    <x v="264"/>
    <x v="0"/>
    <x v="0"/>
    <x v="263"/>
    <x v="271"/>
    <x v="261"/>
    <x v="261"/>
    <x v="267"/>
    <x v="17"/>
    <x v="261"/>
  </r>
  <r>
    <x v="0"/>
    <x v="0"/>
    <x v="0"/>
    <x v="75"/>
    <x v="1"/>
    <x v="141"/>
    <x v="0"/>
    <x v="258"/>
    <x v="265"/>
    <x v="47"/>
    <x v="48"/>
    <x v="264"/>
    <x v="272"/>
    <x v="262"/>
    <x v="262"/>
    <x v="268"/>
    <x v="17"/>
    <x v="262"/>
  </r>
  <r>
    <x v="0"/>
    <x v="0"/>
    <x v="1"/>
    <x v="75"/>
    <x v="1"/>
    <x v="141"/>
    <x v="0"/>
    <x v="259"/>
    <x v="266"/>
    <x v="0"/>
    <x v="0"/>
    <x v="265"/>
    <x v="273"/>
    <x v="263"/>
    <x v="263"/>
    <x v="269"/>
    <x v="17"/>
    <x v="263"/>
  </r>
  <r>
    <x v="0"/>
    <x v="0"/>
    <x v="0"/>
    <x v="75"/>
    <x v="1"/>
    <x v="142"/>
    <x v="1"/>
    <x v="260"/>
    <x v="267"/>
    <x v="48"/>
    <x v="49"/>
    <x v="266"/>
    <x v="274"/>
    <x v="264"/>
    <x v="264"/>
    <x v="270"/>
    <x v="17"/>
    <x v="264"/>
  </r>
  <r>
    <x v="0"/>
    <x v="0"/>
    <x v="0"/>
    <x v="75"/>
    <x v="1"/>
    <x v="82"/>
    <x v="0"/>
    <x v="261"/>
    <x v="268"/>
    <x v="0"/>
    <x v="0"/>
    <x v="267"/>
    <x v="275"/>
    <x v="265"/>
    <x v="265"/>
    <x v="271"/>
    <x v="17"/>
    <x v="265"/>
  </r>
  <r>
    <x v="0"/>
    <x v="0"/>
    <x v="0"/>
    <x v="75"/>
    <x v="1"/>
    <x v="143"/>
    <x v="0"/>
    <x v="8"/>
    <x v="17"/>
    <x v="49"/>
    <x v="50"/>
    <x v="268"/>
    <x v="276"/>
    <x v="266"/>
    <x v="266"/>
    <x v="272"/>
    <x v="17"/>
    <x v="266"/>
  </r>
  <r>
    <x v="0"/>
    <x v="0"/>
    <x v="0"/>
    <x v="75"/>
    <x v="1"/>
    <x v="144"/>
    <x v="3"/>
    <x v="262"/>
    <x v="269"/>
    <x v="0"/>
    <x v="0"/>
    <x v="269"/>
    <x v="277"/>
    <x v="267"/>
    <x v="267"/>
    <x v="273"/>
    <x v="17"/>
    <x v="267"/>
  </r>
  <r>
    <x v="0"/>
    <x v="0"/>
    <x v="0"/>
    <x v="76"/>
    <x v="0"/>
    <x v="145"/>
    <x v="0"/>
    <x v="263"/>
    <x v="270"/>
    <x v="0"/>
    <x v="0"/>
    <x v="270"/>
    <x v="278"/>
    <x v="268"/>
    <x v="268"/>
    <x v="274"/>
    <x v="114"/>
    <x v="268"/>
  </r>
  <r>
    <x v="0"/>
    <x v="0"/>
    <x v="0"/>
    <x v="77"/>
    <x v="0"/>
    <x v="146"/>
    <x v="1"/>
    <x v="264"/>
    <x v="271"/>
    <x v="0"/>
    <x v="0"/>
    <x v="271"/>
    <x v="279"/>
    <x v="18"/>
    <x v="18"/>
    <x v="275"/>
    <x v="115"/>
    <x v="18"/>
  </r>
  <r>
    <x v="0"/>
    <x v="0"/>
    <x v="0"/>
    <x v="78"/>
    <x v="0"/>
    <x v="147"/>
    <x v="0"/>
    <x v="265"/>
    <x v="272"/>
    <x v="0"/>
    <x v="0"/>
    <x v="272"/>
    <x v="280"/>
    <x v="269"/>
    <x v="269"/>
    <x v="276"/>
    <x v="116"/>
    <x v="269"/>
  </r>
  <r>
    <x v="0"/>
    <x v="0"/>
    <x v="0"/>
    <x v="79"/>
    <x v="0"/>
    <x v="148"/>
    <x v="2"/>
    <x v="266"/>
    <x v="273"/>
    <x v="0"/>
    <x v="0"/>
    <x v="273"/>
    <x v="281"/>
    <x v="270"/>
    <x v="270"/>
    <x v="277"/>
    <x v="117"/>
    <x v="270"/>
  </r>
  <r>
    <x v="0"/>
    <x v="0"/>
    <x v="1"/>
    <x v="79"/>
    <x v="0"/>
    <x v="148"/>
    <x v="2"/>
    <x v="77"/>
    <x v="274"/>
    <x v="0"/>
    <x v="0"/>
    <x v="79"/>
    <x v="282"/>
    <x v="271"/>
    <x v="271"/>
    <x v="79"/>
    <x v="118"/>
    <x v="271"/>
  </r>
  <r>
    <x v="0"/>
    <x v="0"/>
    <x v="0"/>
    <x v="80"/>
    <x v="0"/>
    <x v="149"/>
    <x v="0"/>
    <x v="267"/>
    <x v="275"/>
    <x v="0"/>
    <x v="0"/>
    <x v="274"/>
    <x v="283"/>
    <x v="272"/>
    <x v="272"/>
    <x v="278"/>
    <x v="119"/>
    <x v="272"/>
  </r>
  <r>
    <x v="0"/>
    <x v="0"/>
    <x v="1"/>
    <x v="80"/>
    <x v="0"/>
    <x v="149"/>
    <x v="0"/>
    <x v="268"/>
    <x v="276"/>
    <x v="0"/>
    <x v="0"/>
    <x v="275"/>
    <x v="284"/>
    <x v="273"/>
    <x v="273"/>
    <x v="279"/>
    <x v="120"/>
    <x v="273"/>
  </r>
  <r>
    <x v="0"/>
    <x v="0"/>
    <x v="0"/>
    <x v="80"/>
    <x v="0"/>
    <x v="149"/>
    <x v="1"/>
    <x v="269"/>
    <x v="277"/>
    <x v="0"/>
    <x v="0"/>
    <x v="276"/>
    <x v="285"/>
    <x v="274"/>
    <x v="274"/>
    <x v="280"/>
    <x v="121"/>
    <x v="274"/>
  </r>
  <r>
    <x v="0"/>
    <x v="0"/>
    <x v="1"/>
    <x v="80"/>
    <x v="0"/>
    <x v="149"/>
    <x v="1"/>
    <x v="270"/>
    <x v="278"/>
    <x v="50"/>
    <x v="51"/>
    <x v="277"/>
    <x v="286"/>
    <x v="275"/>
    <x v="275"/>
    <x v="281"/>
    <x v="122"/>
    <x v="275"/>
  </r>
  <r>
    <x v="0"/>
    <x v="0"/>
    <x v="0"/>
    <x v="80"/>
    <x v="0"/>
    <x v="149"/>
    <x v="3"/>
    <x v="271"/>
    <x v="279"/>
    <x v="0"/>
    <x v="0"/>
    <x v="278"/>
    <x v="287"/>
    <x v="276"/>
    <x v="276"/>
    <x v="282"/>
    <x v="123"/>
    <x v="276"/>
  </r>
  <r>
    <x v="0"/>
    <x v="0"/>
    <x v="0"/>
    <x v="81"/>
    <x v="0"/>
    <x v="150"/>
    <x v="0"/>
    <x v="272"/>
    <x v="280"/>
    <x v="0"/>
    <x v="0"/>
    <x v="279"/>
    <x v="288"/>
    <x v="277"/>
    <x v="277"/>
    <x v="283"/>
    <x v="124"/>
    <x v="277"/>
  </r>
  <r>
    <x v="0"/>
    <x v="0"/>
    <x v="1"/>
    <x v="81"/>
    <x v="0"/>
    <x v="150"/>
    <x v="0"/>
    <x v="273"/>
    <x v="281"/>
    <x v="0"/>
    <x v="0"/>
    <x v="280"/>
    <x v="289"/>
    <x v="278"/>
    <x v="278"/>
    <x v="284"/>
    <x v="125"/>
    <x v="278"/>
  </r>
  <r>
    <x v="0"/>
    <x v="0"/>
    <x v="0"/>
    <x v="81"/>
    <x v="0"/>
    <x v="150"/>
    <x v="1"/>
    <x v="274"/>
    <x v="282"/>
    <x v="0"/>
    <x v="0"/>
    <x v="281"/>
    <x v="290"/>
    <x v="279"/>
    <x v="279"/>
    <x v="285"/>
    <x v="126"/>
    <x v="279"/>
  </r>
  <r>
    <x v="0"/>
    <x v="0"/>
    <x v="0"/>
    <x v="82"/>
    <x v="0"/>
    <x v="151"/>
    <x v="3"/>
    <x v="275"/>
    <x v="283"/>
    <x v="0"/>
    <x v="0"/>
    <x v="282"/>
    <x v="291"/>
    <x v="280"/>
    <x v="280"/>
    <x v="286"/>
    <x v="127"/>
    <x v="280"/>
  </r>
  <r>
    <x v="0"/>
    <x v="0"/>
    <x v="1"/>
    <x v="82"/>
    <x v="0"/>
    <x v="151"/>
    <x v="3"/>
    <x v="276"/>
    <x v="284"/>
    <x v="0"/>
    <x v="0"/>
    <x v="283"/>
    <x v="292"/>
    <x v="281"/>
    <x v="281"/>
    <x v="287"/>
    <x v="128"/>
    <x v="281"/>
  </r>
  <r>
    <x v="0"/>
    <x v="0"/>
    <x v="0"/>
    <x v="83"/>
    <x v="0"/>
    <x v="152"/>
    <x v="3"/>
    <x v="277"/>
    <x v="285"/>
    <x v="0"/>
    <x v="0"/>
    <x v="284"/>
    <x v="293"/>
    <x v="282"/>
    <x v="282"/>
    <x v="288"/>
    <x v="129"/>
    <x v="282"/>
  </r>
  <r>
    <x v="0"/>
    <x v="0"/>
    <x v="1"/>
    <x v="83"/>
    <x v="0"/>
    <x v="152"/>
    <x v="3"/>
    <x v="278"/>
    <x v="286"/>
    <x v="0"/>
    <x v="0"/>
    <x v="285"/>
    <x v="294"/>
    <x v="283"/>
    <x v="283"/>
    <x v="289"/>
    <x v="130"/>
    <x v="283"/>
  </r>
  <r>
    <x v="0"/>
    <x v="1"/>
    <x v="0"/>
    <x v="84"/>
    <x v="0"/>
    <x v="86"/>
    <x v="1"/>
    <x v="8"/>
    <x v="287"/>
    <x v="0"/>
    <x v="0"/>
    <x v="8"/>
    <x v="295"/>
    <x v="284"/>
    <x v="284"/>
    <x v="8"/>
    <x v="131"/>
    <x v="284"/>
  </r>
  <r>
    <x v="0"/>
    <x v="1"/>
    <x v="0"/>
    <x v="85"/>
    <x v="0"/>
    <x v="153"/>
    <x v="4"/>
    <x v="8"/>
    <x v="288"/>
    <x v="0"/>
    <x v="0"/>
    <x v="8"/>
    <x v="296"/>
    <x v="285"/>
    <x v="285"/>
    <x v="8"/>
    <x v="132"/>
    <x v="285"/>
  </r>
  <r>
    <x v="0"/>
    <x v="1"/>
    <x v="0"/>
    <x v="84"/>
    <x v="0"/>
    <x v="86"/>
    <x v="0"/>
    <x v="279"/>
    <x v="289"/>
    <x v="0"/>
    <x v="0"/>
    <x v="286"/>
    <x v="297"/>
    <x v="286"/>
    <x v="286"/>
    <x v="290"/>
    <x v="133"/>
    <x v="286"/>
  </r>
  <r>
    <x v="0"/>
    <x v="1"/>
    <x v="0"/>
    <x v="84"/>
    <x v="0"/>
    <x v="86"/>
    <x v="3"/>
    <x v="280"/>
    <x v="290"/>
    <x v="0"/>
    <x v="0"/>
    <x v="287"/>
    <x v="298"/>
    <x v="287"/>
    <x v="287"/>
    <x v="291"/>
    <x v="134"/>
    <x v="287"/>
  </r>
  <r>
    <x v="0"/>
    <x v="1"/>
    <x v="0"/>
    <x v="74"/>
    <x v="1"/>
    <x v="117"/>
    <x v="0"/>
    <x v="8"/>
    <x v="291"/>
    <x v="0"/>
    <x v="0"/>
    <x v="8"/>
    <x v="299"/>
    <x v="288"/>
    <x v="288"/>
    <x v="8"/>
    <x v="135"/>
    <x v="288"/>
  </r>
  <r>
    <x v="0"/>
    <x v="1"/>
    <x v="0"/>
    <x v="28"/>
    <x v="0"/>
    <x v="28"/>
    <x v="0"/>
    <x v="8"/>
    <x v="292"/>
    <x v="0"/>
    <x v="0"/>
    <x v="8"/>
    <x v="300"/>
    <x v="289"/>
    <x v="289"/>
    <x v="8"/>
    <x v="136"/>
    <x v="289"/>
  </r>
  <r>
    <x v="0"/>
    <x v="1"/>
    <x v="0"/>
    <x v="84"/>
    <x v="0"/>
    <x v="86"/>
    <x v="2"/>
    <x v="281"/>
    <x v="17"/>
    <x v="0"/>
    <x v="0"/>
    <x v="288"/>
    <x v="17"/>
    <x v="290"/>
    <x v="290"/>
    <x v="292"/>
    <x v="17"/>
    <x v="290"/>
  </r>
  <r>
    <x v="0"/>
    <x v="1"/>
    <x v="1"/>
    <x v="84"/>
    <x v="0"/>
    <x v="86"/>
    <x v="0"/>
    <x v="8"/>
    <x v="293"/>
    <x v="0"/>
    <x v="0"/>
    <x v="8"/>
    <x v="301"/>
    <x v="291"/>
    <x v="291"/>
    <x v="8"/>
    <x v="137"/>
    <x v="291"/>
  </r>
  <r>
    <x v="0"/>
    <x v="1"/>
    <x v="1"/>
    <x v="84"/>
    <x v="0"/>
    <x v="86"/>
    <x v="5"/>
    <x v="282"/>
    <x v="17"/>
    <x v="0"/>
    <x v="0"/>
    <x v="289"/>
    <x v="17"/>
    <x v="292"/>
    <x v="292"/>
    <x v="293"/>
    <x v="17"/>
    <x v="292"/>
  </r>
  <r>
    <x v="0"/>
    <x v="1"/>
    <x v="1"/>
    <x v="57"/>
    <x v="0"/>
    <x v="62"/>
    <x v="5"/>
    <x v="283"/>
    <x v="294"/>
    <x v="0"/>
    <x v="0"/>
    <x v="290"/>
    <x v="302"/>
    <x v="293"/>
    <x v="293"/>
    <x v="294"/>
    <x v="138"/>
    <x v="293"/>
  </r>
  <r>
    <x v="0"/>
    <x v="1"/>
    <x v="0"/>
    <x v="55"/>
    <x v="1"/>
    <x v="154"/>
    <x v="3"/>
    <x v="284"/>
    <x v="295"/>
    <x v="0"/>
    <x v="0"/>
    <x v="291"/>
    <x v="303"/>
    <x v="294"/>
    <x v="294"/>
    <x v="295"/>
    <x v="139"/>
    <x v="294"/>
  </r>
  <r>
    <x v="0"/>
    <x v="1"/>
    <x v="0"/>
    <x v="74"/>
    <x v="1"/>
    <x v="117"/>
    <x v="3"/>
    <x v="285"/>
    <x v="296"/>
    <x v="0"/>
    <x v="0"/>
    <x v="292"/>
    <x v="304"/>
    <x v="295"/>
    <x v="295"/>
    <x v="296"/>
    <x v="140"/>
    <x v="295"/>
  </r>
  <r>
    <x v="0"/>
    <x v="1"/>
    <x v="1"/>
    <x v="71"/>
    <x v="1"/>
    <x v="155"/>
    <x v="0"/>
    <x v="286"/>
    <x v="297"/>
    <x v="0"/>
    <x v="0"/>
    <x v="293"/>
    <x v="305"/>
    <x v="18"/>
    <x v="18"/>
    <x v="297"/>
    <x v="141"/>
    <x v="18"/>
  </r>
  <r>
    <x v="0"/>
    <x v="1"/>
    <x v="1"/>
    <x v="9"/>
    <x v="0"/>
    <x v="9"/>
    <x v="0"/>
    <x v="287"/>
    <x v="298"/>
    <x v="0"/>
    <x v="0"/>
    <x v="294"/>
    <x v="306"/>
    <x v="296"/>
    <x v="296"/>
    <x v="298"/>
    <x v="142"/>
    <x v="296"/>
  </r>
  <r>
    <x v="0"/>
    <x v="1"/>
    <x v="1"/>
    <x v="57"/>
    <x v="0"/>
    <x v="62"/>
    <x v="0"/>
    <x v="288"/>
    <x v="299"/>
    <x v="0"/>
    <x v="0"/>
    <x v="295"/>
    <x v="307"/>
    <x v="297"/>
    <x v="297"/>
    <x v="299"/>
    <x v="143"/>
    <x v="297"/>
  </r>
  <r>
    <x v="0"/>
    <x v="1"/>
    <x v="1"/>
    <x v="22"/>
    <x v="0"/>
    <x v="22"/>
    <x v="5"/>
    <x v="289"/>
    <x v="300"/>
    <x v="0"/>
    <x v="0"/>
    <x v="296"/>
    <x v="308"/>
    <x v="18"/>
    <x v="18"/>
    <x v="300"/>
    <x v="144"/>
    <x v="18"/>
  </r>
  <r>
    <x v="0"/>
    <x v="1"/>
    <x v="1"/>
    <x v="23"/>
    <x v="0"/>
    <x v="23"/>
    <x v="5"/>
    <x v="290"/>
    <x v="301"/>
    <x v="0"/>
    <x v="0"/>
    <x v="297"/>
    <x v="309"/>
    <x v="18"/>
    <x v="18"/>
    <x v="301"/>
    <x v="145"/>
    <x v="18"/>
  </r>
  <r>
    <x v="0"/>
    <x v="1"/>
    <x v="1"/>
    <x v="30"/>
    <x v="0"/>
    <x v="30"/>
    <x v="5"/>
    <x v="291"/>
    <x v="302"/>
    <x v="0"/>
    <x v="0"/>
    <x v="298"/>
    <x v="310"/>
    <x v="18"/>
    <x v="18"/>
    <x v="302"/>
    <x v="146"/>
    <x v="18"/>
  </r>
  <r>
    <x v="0"/>
    <x v="1"/>
    <x v="1"/>
    <x v="60"/>
    <x v="0"/>
    <x v="65"/>
    <x v="5"/>
    <x v="292"/>
    <x v="303"/>
    <x v="0"/>
    <x v="0"/>
    <x v="299"/>
    <x v="311"/>
    <x v="18"/>
    <x v="18"/>
    <x v="303"/>
    <x v="147"/>
    <x v="18"/>
  </r>
  <r>
    <x v="0"/>
    <x v="1"/>
    <x v="1"/>
    <x v="6"/>
    <x v="0"/>
    <x v="6"/>
    <x v="5"/>
    <x v="293"/>
    <x v="304"/>
    <x v="0"/>
    <x v="0"/>
    <x v="300"/>
    <x v="312"/>
    <x v="18"/>
    <x v="18"/>
    <x v="304"/>
    <x v="148"/>
    <x v="18"/>
  </r>
  <r>
    <x v="0"/>
    <x v="1"/>
    <x v="1"/>
    <x v="86"/>
    <x v="0"/>
    <x v="156"/>
    <x v="5"/>
    <x v="294"/>
    <x v="305"/>
    <x v="0"/>
    <x v="0"/>
    <x v="301"/>
    <x v="313"/>
    <x v="298"/>
    <x v="298"/>
    <x v="305"/>
    <x v="149"/>
    <x v="298"/>
  </r>
  <r>
    <x v="0"/>
    <x v="1"/>
    <x v="1"/>
    <x v="40"/>
    <x v="0"/>
    <x v="40"/>
    <x v="2"/>
    <x v="295"/>
    <x v="306"/>
    <x v="0"/>
    <x v="0"/>
    <x v="302"/>
    <x v="314"/>
    <x v="18"/>
    <x v="18"/>
    <x v="306"/>
    <x v="150"/>
    <x v="18"/>
  </r>
  <r>
    <x v="0"/>
    <x v="1"/>
    <x v="1"/>
    <x v="57"/>
    <x v="0"/>
    <x v="62"/>
    <x v="2"/>
    <x v="296"/>
    <x v="307"/>
    <x v="0"/>
    <x v="0"/>
    <x v="303"/>
    <x v="315"/>
    <x v="18"/>
    <x v="18"/>
    <x v="307"/>
    <x v="151"/>
    <x v="18"/>
  </r>
  <r>
    <x v="0"/>
    <x v="1"/>
    <x v="1"/>
    <x v="68"/>
    <x v="0"/>
    <x v="73"/>
    <x v="3"/>
    <x v="297"/>
    <x v="308"/>
    <x v="0"/>
    <x v="0"/>
    <x v="304"/>
    <x v="316"/>
    <x v="299"/>
    <x v="299"/>
    <x v="308"/>
    <x v="152"/>
    <x v="299"/>
  </r>
  <r>
    <x v="0"/>
    <x v="1"/>
    <x v="1"/>
    <x v="30"/>
    <x v="0"/>
    <x v="30"/>
    <x v="1"/>
    <x v="298"/>
    <x v="309"/>
    <x v="0"/>
    <x v="0"/>
    <x v="305"/>
    <x v="317"/>
    <x v="300"/>
    <x v="300"/>
    <x v="309"/>
    <x v="153"/>
    <x v="300"/>
  </r>
  <r>
    <x v="0"/>
    <x v="1"/>
    <x v="1"/>
    <x v="74"/>
    <x v="1"/>
    <x v="117"/>
    <x v="1"/>
    <x v="299"/>
    <x v="310"/>
    <x v="0"/>
    <x v="0"/>
    <x v="306"/>
    <x v="318"/>
    <x v="301"/>
    <x v="301"/>
    <x v="310"/>
    <x v="154"/>
    <x v="301"/>
  </r>
  <r>
    <x v="0"/>
    <x v="1"/>
    <x v="1"/>
    <x v="22"/>
    <x v="0"/>
    <x v="22"/>
    <x v="1"/>
    <x v="300"/>
    <x v="311"/>
    <x v="0"/>
    <x v="0"/>
    <x v="307"/>
    <x v="319"/>
    <x v="18"/>
    <x v="18"/>
    <x v="311"/>
    <x v="155"/>
    <x v="18"/>
  </r>
  <r>
    <x v="0"/>
    <x v="1"/>
    <x v="1"/>
    <x v="57"/>
    <x v="0"/>
    <x v="62"/>
    <x v="1"/>
    <x v="301"/>
    <x v="312"/>
    <x v="0"/>
    <x v="0"/>
    <x v="308"/>
    <x v="320"/>
    <x v="18"/>
    <x v="18"/>
    <x v="312"/>
    <x v="156"/>
    <x v="18"/>
  </r>
  <r>
    <x v="0"/>
    <x v="1"/>
    <x v="1"/>
    <x v="11"/>
    <x v="0"/>
    <x v="11"/>
    <x v="1"/>
    <x v="302"/>
    <x v="313"/>
    <x v="0"/>
    <x v="0"/>
    <x v="309"/>
    <x v="321"/>
    <x v="302"/>
    <x v="302"/>
    <x v="313"/>
    <x v="157"/>
    <x v="302"/>
  </r>
  <r>
    <x v="0"/>
    <x v="1"/>
    <x v="1"/>
    <x v="6"/>
    <x v="0"/>
    <x v="6"/>
    <x v="1"/>
    <x v="303"/>
    <x v="314"/>
    <x v="0"/>
    <x v="0"/>
    <x v="310"/>
    <x v="322"/>
    <x v="18"/>
    <x v="18"/>
    <x v="314"/>
    <x v="158"/>
    <x v="18"/>
  </r>
  <r>
    <x v="0"/>
    <x v="1"/>
    <x v="1"/>
    <x v="74"/>
    <x v="1"/>
    <x v="117"/>
    <x v="5"/>
    <x v="304"/>
    <x v="315"/>
    <x v="0"/>
    <x v="0"/>
    <x v="311"/>
    <x v="323"/>
    <x v="303"/>
    <x v="303"/>
    <x v="315"/>
    <x v="159"/>
    <x v="303"/>
  </r>
  <r>
    <x v="0"/>
    <x v="1"/>
    <x v="1"/>
    <x v="74"/>
    <x v="1"/>
    <x v="117"/>
    <x v="3"/>
    <x v="305"/>
    <x v="316"/>
    <x v="0"/>
    <x v="0"/>
    <x v="312"/>
    <x v="324"/>
    <x v="304"/>
    <x v="304"/>
    <x v="316"/>
    <x v="160"/>
    <x v="304"/>
  </r>
  <r>
    <x v="0"/>
    <x v="1"/>
    <x v="1"/>
    <x v="39"/>
    <x v="0"/>
    <x v="39"/>
    <x v="3"/>
    <x v="306"/>
    <x v="317"/>
    <x v="0"/>
    <x v="0"/>
    <x v="313"/>
    <x v="325"/>
    <x v="18"/>
    <x v="18"/>
    <x v="317"/>
    <x v="161"/>
    <x v="18"/>
  </r>
  <r>
    <x v="0"/>
    <x v="2"/>
    <x v="0"/>
    <x v="54"/>
    <x v="2"/>
    <x v="157"/>
    <x v="0"/>
    <x v="307"/>
    <x v="17"/>
    <x v="0"/>
    <x v="0"/>
    <x v="314"/>
    <x v="17"/>
    <x v="305"/>
    <x v="305"/>
    <x v="318"/>
    <x v="17"/>
    <x v="305"/>
  </r>
  <r>
    <x v="0"/>
    <x v="2"/>
    <x v="0"/>
    <x v="87"/>
    <x v="3"/>
    <x v="158"/>
    <x v="0"/>
    <x v="308"/>
    <x v="17"/>
    <x v="0"/>
    <x v="0"/>
    <x v="315"/>
    <x v="17"/>
    <x v="306"/>
    <x v="306"/>
    <x v="319"/>
    <x v="17"/>
    <x v="306"/>
  </r>
  <r>
    <x v="0"/>
    <x v="2"/>
    <x v="0"/>
    <x v="84"/>
    <x v="3"/>
    <x v="86"/>
    <x v="0"/>
    <x v="309"/>
    <x v="17"/>
    <x v="0"/>
    <x v="0"/>
    <x v="316"/>
    <x v="17"/>
    <x v="307"/>
    <x v="307"/>
    <x v="320"/>
    <x v="17"/>
    <x v="307"/>
  </r>
  <r>
    <x v="0"/>
    <x v="2"/>
    <x v="0"/>
    <x v="54"/>
    <x v="2"/>
    <x v="157"/>
    <x v="1"/>
    <x v="310"/>
    <x v="17"/>
    <x v="0"/>
    <x v="0"/>
    <x v="317"/>
    <x v="17"/>
    <x v="308"/>
    <x v="308"/>
    <x v="321"/>
    <x v="17"/>
    <x v="308"/>
  </r>
  <r>
    <x v="0"/>
    <x v="2"/>
    <x v="0"/>
    <x v="88"/>
    <x v="3"/>
    <x v="159"/>
    <x v="0"/>
    <x v="311"/>
    <x v="17"/>
    <x v="0"/>
    <x v="0"/>
    <x v="318"/>
    <x v="17"/>
    <x v="309"/>
    <x v="309"/>
    <x v="322"/>
    <x v="17"/>
    <x v="309"/>
  </r>
  <r>
    <x v="0"/>
    <x v="2"/>
    <x v="0"/>
    <x v="89"/>
    <x v="3"/>
    <x v="160"/>
    <x v="0"/>
    <x v="312"/>
    <x v="17"/>
    <x v="0"/>
    <x v="0"/>
    <x v="319"/>
    <x v="17"/>
    <x v="310"/>
    <x v="310"/>
    <x v="323"/>
    <x v="17"/>
    <x v="310"/>
  </r>
  <r>
    <x v="0"/>
    <x v="2"/>
    <x v="0"/>
    <x v="90"/>
    <x v="3"/>
    <x v="161"/>
    <x v="0"/>
    <x v="313"/>
    <x v="17"/>
    <x v="0"/>
    <x v="0"/>
    <x v="320"/>
    <x v="17"/>
    <x v="311"/>
    <x v="311"/>
    <x v="324"/>
    <x v="17"/>
    <x v="311"/>
  </r>
  <r>
    <x v="0"/>
    <x v="2"/>
    <x v="1"/>
    <x v="91"/>
    <x v="3"/>
    <x v="162"/>
    <x v="0"/>
    <x v="314"/>
    <x v="17"/>
    <x v="0"/>
    <x v="0"/>
    <x v="321"/>
    <x v="17"/>
    <x v="312"/>
    <x v="312"/>
    <x v="325"/>
    <x v="17"/>
    <x v="312"/>
  </r>
  <r>
    <x v="0"/>
    <x v="2"/>
    <x v="1"/>
    <x v="84"/>
    <x v="3"/>
    <x v="86"/>
    <x v="0"/>
    <x v="315"/>
    <x v="17"/>
    <x v="0"/>
    <x v="0"/>
    <x v="322"/>
    <x v="17"/>
    <x v="313"/>
    <x v="313"/>
    <x v="326"/>
    <x v="17"/>
    <x v="3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7" firstHeaderRow="0" firstDataRow="1" firstDataCol="1"/>
  <pivotFields count="18">
    <pivotField compact="0" numFmtId="14" showAll="0">
      <items count="2"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17">
        <item x="315"/>
        <item x="281"/>
        <item x="279"/>
        <item x="101"/>
        <item x="197"/>
        <item x="225"/>
        <item x="117"/>
        <item x="264"/>
        <item x="179"/>
        <item x="17"/>
        <item x="69"/>
        <item x="285"/>
        <item x="231"/>
        <item x="313"/>
        <item x="66"/>
        <item x="312"/>
        <item x="89"/>
        <item x="173"/>
        <item x="86"/>
        <item x="67"/>
        <item x="153"/>
        <item x="227"/>
        <item x="81"/>
        <item x="286"/>
        <item x="282"/>
        <item x="212"/>
        <item x="80"/>
        <item x="49"/>
        <item x="47"/>
        <item x="90"/>
        <item x="50"/>
        <item x="261"/>
        <item x="271"/>
        <item x="44"/>
        <item x="303"/>
        <item x="306"/>
        <item x="219"/>
        <item x="224"/>
        <item x="147"/>
        <item x="226"/>
        <item x="304"/>
        <item x="280"/>
        <item x="59"/>
        <item x="272"/>
        <item x="141"/>
        <item x="165"/>
        <item x="221"/>
        <item x="290"/>
        <item x="291"/>
        <item x="35"/>
        <item x="310"/>
        <item x="9"/>
        <item x="21"/>
        <item x="4"/>
        <item x="40"/>
        <item x="296"/>
        <item x="145"/>
        <item x="172"/>
        <item x="213"/>
        <item x="246"/>
        <item x="220"/>
        <item x="146"/>
        <item x="203"/>
        <item x="182"/>
        <item x="10"/>
        <item x="16"/>
        <item x="54"/>
        <item x="42"/>
        <item x="181"/>
        <item x="169"/>
        <item x="214"/>
        <item x="71"/>
        <item x="293"/>
        <item x="268"/>
        <item x="205"/>
        <item x="305"/>
        <item x="267"/>
        <item x="79"/>
        <item x="102"/>
        <item x="273"/>
        <item x="311"/>
        <item x="15"/>
        <item x="29"/>
        <item x="93"/>
        <item x="233"/>
        <item x="254"/>
        <item x="309"/>
        <item x="188"/>
        <item x="300"/>
        <item x="218"/>
        <item x="201"/>
        <item x="180"/>
        <item x="43"/>
        <item x="115"/>
        <item x="41"/>
        <item x="63"/>
        <item x="11"/>
        <item x="94"/>
        <item x="176"/>
        <item x="294"/>
        <item x="297"/>
        <item x="187"/>
        <item x="266"/>
        <item x="217"/>
        <item x="210"/>
        <item x="62"/>
        <item x="289"/>
        <item x="25"/>
        <item x="243"/>
        <item x="295"/>
        <item x="259"/>
        <item x="140"/>
        <item x="199"/>
        <item x="7"/>
        <item x="239"/>
        <item x="68"/>
        <item x="248"/>
        <item x="13"/>
        <item x="235"/>
        <item x="77"/>
        <item x="237"/>
        <item x="234"/>
        <item x="314"/>
        <item x="124"/>
        <item x="53"/>
        <item x="73"/>
        <item x="161"/>
        <item x="178"/>
        <item x="200"/>
        <item x="6"/>
        <item x="288"/>
        <item x="61"/>
        <item x="57"/>
        <item x="31"/>
        <item x="307"/>
        <item x="283"/>
        <item x="168"/>
        <item x="56"/>
        <item x="99"/>
        <item x="52"/>
        <item x="20"/>
        <item x="236"/>
        <item x="58"/>
        <item x="302"/>
        <item x="298"/>
        <item x="284"/>
        <item x="223"/>
        <item x="133"/>
        <item x="185"/>
        <item x="110"/>
        <item x="166"/>
        <item x="252"/>
        <item x="24"/>
        <item x="109"/>
        <item x="134"/>
        <item x="196"/>
        <item x="241"/>
        <item x="274"/>
        <item x="114"/>
        <item x="104"/>
        <item x="142"/>
        <item x="228"/>
        <item x="183"/>
        <item x="265"/>
        <item x="36"/>
        <item x="3"/>
        <item x="60"/>
        <item x="262"/>
        <item x="206"/>
        <item x="204"/>
        <item x="216"/>
        <item x="72"/>
        <item x="139"/>
        <item x="215"/>
        <item x="198"/>
        <item x="0"/>
        <item x="292"/>
        <item x="120"/>
        <item x="186"/>
        <item x="263"/>
        <item x="132"/>
        <item x="244"/>
        <item x="88"/>
        <item x="28"/>
        <item x="270"/>
        <item x="301"/>
        <item x="126"/>
        <item x="1"/>
        <item x="149"/>
        <item x="64"/>
        <item x="51"/>
        <item x="194"/>
        <item x="27"/>
        <item x="97"/>
        <item x="148"/>
        <item x="45"/>
        <item x="152"/>
        <item x="249"/>
        <item x="195"/>
        <item x="257"/>
        <item x="258"/>
        <item x="177"/>
        <item x="131"/>
        <item x="2"/>
        <item x="232"/>
        <item x="253"/>
        <item x="175"/>
        <item x="37"/>
        <item x="164"/>
        <item x="14"/>
        <item x="229"/>
        <item x="46"/>
        <item x="48"/>
        <item x="277"/>
        <item x="251"/>
        <item x="123"/>
        <item x="269"/>
        <item x="39"/>
        <item x="96"/>
        <item x="255"/>
        <item x="170"/>
        <item x="26"/>
        <item x="174"/>
        <item x="55"/>
        <item x="95"/>
        <item x="125"/>
        <item x="103"/>
        <item x="207"/>
        <item x="82"/>
        <item x="92"/>
        <item x="34"/>
        <item x="128"/>
        <item x="208"/>
        <item x="308"/>
        <item x="240"/>
        <item x="76"/>
        <item x="151"/>
        <item x="5"/>
        <item x="230"/>
        <item x="192"/>
        <item x="111"/>
        <item x="238"/>
        <item x="84"/>
        <item x="222"/>
        <item x="278"/>
        <item x="158"/>
        <item x="137"/>
        <item x="167"/>
        <item x="38"/>
        <item x="150"/>
        <item x="122"/>
        <item x="256"/>
        <item x="22"/>
        <item x="138"/>
        <item x="74"/>
        <item x="30"/>
        <item x="118"/>
        <item x="108"/>
        <item x="112"/>
        <item x="275"/>
        <item x="155"/>
        <item x="98"/>
        <item x="156"/>
        <item x="65"/>
        <item x="287"/>
        <item x="160"/>
        <item x="113"/>
        <item x="211"/>
        <item x="157"/>
        <item x="135"/>
        <item x="106"/>
        <item x="127"/>
        <item x="209"/>
        <item x="12"/>
        <item x="193"/>
        <item x="116"/>
        <item x="105"/>
        <item x="247"/>
        <item x="18"/>
        <item x="129"/>
        <item x="136"/>
        <item x="245"/>
        <item x="32"/>
        <item x="154"/>
        <item x="202"/>
        <item x="75"/>
        <item x="191"/>
        <item x="100"/>
        <item x="33"/>
        <item x="107"/>
        <item x="119"/>
        <item x="70"/>
        <item x="276"/>
        <item x="144"/>
        <item x="250"/>
        <item x="91"/>
        <item x="171"/>
        <item x="130"/>
        <item x="159"/>
        <item x="184"/>
        <item x="299"/>
        <item x="242"/>
        <item x="260"/>
        <item x="85"/>
        <item x="19"/>
        <item x="87"/>
        <item x="143"/>
        <item x="78"/>
        <item x="23"/>
        <item x="121"/>
        <item x="83"/>
        <item x="163"/>
        <item x="162"/>
        <item x="189"/>
        <item x="190"/>
        <item x="8"/>
        <item t="default"/>
      </items>
    </pivotField>
    <pivotField dataField="1" compact="0" showAll="0">
      <items count="319">
        <item x="287"/>
        <item x="293"/>
        <item x="289"/>
        <item x="291"/>
        <item x="290"/>
        <item x="186"/>
        <item x="70"/>
        <item x="230"/>
        <item x="123"/>
        <item x="107"/>
        <item x="232"/>
        <item x="315"/>
        <item x="236"/>
        <item x="185"/>
        <item x="209"/>
        <item x="271"/>
        <item x="242"/>
        <item x="296"/>
        <item x="95"/>
        <item x="67"/>
        <item x="179"/>
        <item x="87"/>
        <item x="68"/>
        <item x="159"/>
        <item x="292"/>
        <item x="82"/>
        <item x="297"/>
        <item x="96"/>
        <item x="81"/>
        <item x="218"/>
        <item x="93"/>
        <item x="50"/>
        <item x="48"/>
        <item x="279"/>
        <item x="91"/>
        <item x="51"/>
        <item x="45"/>
        <item x="268"/>
        <item x="258"/>
        <item x="224"/>
        <item x="314"/>
        <item x="317"/>
        <item x="295"/>
        <item x="231"/>
        <item x="229"/>
        <item x="308"/>
        <item x="153"/>
        <item x="151"/>
        <item x="226"/>
        <item x="60"/>
        <item x="280"/>
        <item x="171"/>
        <item x="178"/>
        <item x="301"/>
        <item x="302"/>
        <item x="10"/>
        <item x="36"/>
        <item x="21"/>
        <item x="251"/>
        <item x="41"/>
        <item x="195"/>
        <item x="92"/>
        <item x="307"/>
        <item x="219"/>
        <item x="16"/>
        <item x="55"/>
        <item x="152"/>
        <item x="225"/>
        <item x="276"/>
        <item x="189"/>
        <item x="175"/>
        <item x="188"/>
        <item x="43"/>
        <item x="220"/>
        <item x="4"/>
        <item x="304"/>
        <item x="275"/>
        <item x="288"/>
        <item x="281"/>
        <item x="261"/>
        <item x="108"/>
        <item x="80"/>
        <item x="299"/>
        <item x="15"/>
        <item x="29"/>
        <item x="305"/>
        <item x="238"/>
        <item x="316"/>
        <item x="44"/>
        <item x="311"/>
        <item x="187"/>
        <item x="207"/>
        <item x="100"/>
        <item x="64"/>
        <item x="194"/>
        <item x="257"/>
        <item x="121"/>
        <item x="248"/>
        <item x="25"/>
        <item x="182"/>
        <item x="11"/>
        <item x="63"/>
        <item x="42"/>
        <item x="223"/>
        <item x="273"/>
        <item x="300"/>
        <item x="266"/>
        <item x="306"/>
        <item x="146"/>
        <item x="7"/>
        <item x="205"/>
        <item x="244"/>
        <item x="69"/>
        <item x="253"/>
        <item x="211"/>
        <item x="13"/>
        <item x="240"/>
        <item x="274"/>
        <item x="78"/>
        <item x="130"/>
        <item x="54"/>
        <item x="88"/>
        <item x="62"/>
        <item x="294"/>
        <item x="74"/>
        <item x="167"/>
        <item x="184"/>
        <item x="206"/>
        <item x="58"/>
        <item x="6"/>
        <item x="32"/>
        <item x="147"/>
        <item x="105"/>
        <item x="53"/>
        <item x="20"/>
        <item x="57"/>
        <item x="174"/>
        <item x="241"/>
        <item x="59"/>
        <item x="282"/>
        <item x="233"/>
        <item x="309"/>
        <item x="139"/>
        <item x="192"/>
        <item x="228"/>
        <item x="24"/>
        <item x="259"/>
        <item x="116"/>
        <item x="172"/>
        <item x="313"/>
        <item x="246"/>
        <item x="203"/>
        <item x="99"/>
        <item x="140"/>
        <item x="245"/>
        <item x="115"/>
        <item x="216"/>
        <item x="120"/>
        <item x="148"/>
        <item x="3"/>
        <item x="190"/>
        <item x="61"/>
        <item x="37"/>
        <item x="272"/>
        <item x="110"/>
        <item x="269"/>
        <item x="210"/>
        <item x="212"/>
        <item x="73"/>
        <item x="222"/>
        <item x="145"/>
        <item x="221"/>
        <item x="204"/>
        <item x="249"/>
        <item x="0"/>
        <item x="303"/>
        <item x="126"/>
        <item x="138"/>
        <item x="193"/>
        <item x="270"/>
        <item x="278"/>
        <item x="28"/>
        <item x="94"/>
        <item x="155"/>
        <item x="312"/>
        <item x="52"/>
        <item x="132"/>
        <item x="1"/>
        <item x="65"/>
        <item x="27"/>
        <item x="46"/>
        <item x="264"/>
        <item x="154"/>
        <item x="201"/>
        <item x="103"/>
        <item x="158"/>
        <item x="254"/>
        <item x="9"/>
        <item x="49"/>
        <item x="89"/>
        <item x="265"/>
        <item x="239"/>
        <item x="202"/>
        <item x="183"/>
        <item x="260"/>
        <item x="137"/>
        <item x="237"/>
        <item x="181"/>
        <item x="38"/>
        <item x="14"/>
        <item x="170"/>
        <item x="234"/>
        <item x="256"/>
        <item x="277"/>
        <item x="47"/>
        <item x="2"/>
        <item x="285"/>
        <item x="26"/>
        <item x="129"/>
        <item x="72"/>
        <item x="40"/>
        <item x="56"/>
        <item x="102"/>
        <item x="262"/>
        <item x="176"/>
        <item x="180"/>
        <item x="101"/>
        <item x="213"/>
        <item x="131"/>
        <item x="109"/>
        <item x="83"/>
        <item x="98"/>
        <item x="35"/>
        <item x="214"/>
        <item x="134"/>
        <item x="243"/>
        <item x="157"/>
        <item x="77"/>
        <item x="8"/>
        <item x="5"/>
        <item x="235"/>
        <item x="199"/>
        <item x="117"/>
        <item x="227"/>
        <item x="85"/>
        <item x="156"/>
        <item x="164"/>
        <item x="286"/>
        <item x="143"/>
        <item x="173"/>
        <item x="104"/>
        <item x="39"/>
        <item x="128"/>
        <item x="144"/>
        <item x="30"/>
        <item x="75"/>
        <item x="124"/>
        <item x="31"/>
        <item x="118"/>
        <item x="22"/>
        <item x="283"/>
        <item x="66"/>
        <item x="161"/>
        <item x="217"/>
        <item x="162"/>
        <item x="263"/>
        <item x="114"/>
        <item x="119"/>
        <item x="166"/>
        <item x="112"/>
        <item x="163"/>
        <item x="298"/>
        <item x="215"/>
        <item x="12"/>
        <item x="141"/>
        <item x="122"/>
        <item x="133"/>
        <item x="200"/>
        <item x="252"/>
        <item x="18"/>
        <item x="135"/>
        <item x="142"/>
        <item x="250"/>
        <item x="33"/>
        <item x="255"/>
        <item x="160"/>
        <item x="208"/>
        <item x="76"/>
        <item x="198"/>
        <item x="111"/>
        <item x="71"/>
        <item x="113"/>
        <item x="34"/>
        <item x="125"/>
        <item x="284"/>
        <item x="150"/>
        <item x="106"/>
        <item x="97"/>
        <item x="177"/>
        <item x="165"/>
        <item x="136"/>
        <item x="191"/>
        <item x="310"/>
        <item x="247"/>
        <item x="86"/>
        <item x="267"/>
        <item x="90"/>
        <item x="19"/>
        <item x="149"/>
        <item x="79"/>
        <item x="23"/>
        <item x="127"/>
        <item x="84"/>
        <item x="169"/>
        <item x="168"/>
        <item x="196"/>
        <item x="197"/>
        <item x="17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315">
        <item x="23"/>
        <item x="77"/>
        <item x="19"/>
        <item x="190"/>
        <item x="107"/>
        <item x="30"/>
        <item x="219"/>
        <item x="264"/>
        <item x="8"/>
        <item x="260"/>
        <item x="296"/>
        <item x="131"/>
        <item x="71"/>
        <item x="110"/>
        <item x="139"/>
        <item x="22"/>
        <item x="86"/>
        <item x="9"/>
        <item x="236"/>
        <item x="12"/>
        <item x="158"/>
        <item x="210"/>
        <item x="133"/>
        <item x="211"/>
        <item x="96"/>
        <item x="2"/>
        <item x="313"/>
        <item x="129"/>
        <item x="143"/>
        <item x="103"/>
        <item x="85"/>
        <item x="134"/>
        <item x="302"/>
        <item x="196"/>
        <item x="206"/>
        <item x="106"/>
        <item x="81"/>
        <item x="169"/>
        <item x="194"/>
        <item x="225"/>
        <item x="285"/>
        <item x="75"/>
        <item x="187"/>
        <item x="89"/>
        <item x="304"/>
        <item x="234"/>
        <item x="4"/>
        <item x="290"/>
        <item x="6"/>
        <item x="111"/>
        <item x="41"/>
        <item x="88"/>
        <item x="90"/>
        <item x="11"/>
        <item x="289"/>
        <item x="76"/>
        <item x="117"/>
        <item x="271"/>
        <item x="115"/>
        <item x="270"/>
        <item x="258"/>
        <item x="266"/>
        <item x="60"/>
        <item x="180"/>
        <item x="198"/>
        <item x="227"/>
        <item x="288"/>
        <item x="121"/>
        <item x="286"/>
        <item x="179"/>
        <item x="213"/>
        <item x="49"/>
        <item x="48"/>
        <item x="295"/>
        <item x="67"/>
        <item x="119"/>
        <item x="265"/>
        <item x="17"/>
        <item x="35"/>
        <item x="155"/>
        <item x="69"/>
        <item x="66"/>
        <item x="291"/>
        <item x="21"/>
        <item x="220"/>
        <item x="79"/>
        <item x="215"/>
        <item x="58"/>
        <item x="200"/>
        <item x="80"/>
        <item x="214"/>
        <item x="44"/>
        <item x="226"/>
        <item x="92"/>
        <item x="277"/>
        <item x="221"/>
        <item x="118"/>
        <item x="78"/>
        <item x="276"/>
        <item x="40"/>
        <item x="222"/>
        <item x="32"/>
        <item x="42"/>
        <item x="145"/>
        <item x="29"/>
        <item x="233"/>
        <item x="128"/>
        <item x="311"/>
        <item x="263"/>
        <item x="202"/>
        <item x="176"/>
        <item x="310"/>
        <item x="229"/>
        <item x="182"/>
        <item x="235"/>
        <item x="93"/>
        <item x="284"/>
        <item x="138"/>
        <item x="149"/>
        <item x="183"/>
        <item x="170"/>
        <item x="218"/>
        <item x="201"/>
        <item x="237"/>
        <item x="292"/>
        <item x="228"/>
        <item x="300"/>
        <item x="162"/>
        <item x="248"/>
        <item x="55"/>
        <item x="15"/>
        <item x="216"/>
        <item x="269"/>
        <item x="104"/>
        <item x="68"/>
        <item x="223"/>
        <item x="178"/>
        <item x="171"/>
        <item x="255"/>
        <item x="105"/>
        <item x="53"/>
        <item x="195"/>
        <item x="241"/>
        <item x="16"/>
        <item x="254"/>
        <item x="13"/>
        <item x="278"/>
        <item x="173"/>
        <item x="272"/>
        <item x="1"/>
        <item x="166"/>
        <item x="100"/>
        <item x="250"/>
        <item x="62"/>
        <item x="303"/>
        <item x="130"/>
        <item x="287"/>
        <item x="63"/>
        <item x="112"/>
        <item x="25"/>
        <item x="207"/>
        <item x="137"/>
        <item x="181"/>
        <item x="148"/>
        <item x="273"/>
        <item x="10"/>
        <item x="7"/>
        <item x="245"/>
        <item x="43"/>
        <item x="36"/>
        <item x="308"/>
        <item x="0"/>
        <item x="267"/>
        <item x="52"/>
        <item x="167"/>
        <item x="97"/>
        <item x="102"/>
        <item x="268"/>
        <item x="99"/>
        <item x="46"/>
        <item x="57"/>
        <item x="188"/>
        <item x="51"/>
        <item x="204"/>
        <item x="186"/>
        <item x="193"/>
        <item x="91"/>
        <item x="56"/>
        <item x="135"/>
        <item x="231"/>
        <item x="37"/>
        <item x="262"/>
        <item x="199"/>
        <item x="124"/>
        <item x="251"/>
        <item x="20"/>
        <item x="189"/>
        <item x="298"/>
        <item x="136"/>
        <item x="28"/>
        <item x="31"/>
        <item x="238"/>
        <item x="150"/>
        <item x="59"/>
        <item x="197"/>
        <item x="142"/>
        <item x="309"/>
        <item x="61"/>
        <item x="307"/>
        <item x="64"/>
        <item x="217"/>
        <item x="83"/>
        <item x="127"/>
        <item x="205"/>
        <item x="144"/>
        <item x="94"/>
        <item x="157"/>
        <item x="203"/>
        <item x="184"/>
        <item x="293"/>
        <item x="72"/>
        <item x="208"/>
        <item x="154"/>
        <item x="132"/>
        <item x="299"/>
        <item x="113"/>
        <item x="95"/>
        <item x="256"/>
        <item x="177"/>
        <item x="232"/>
        <item x="192"/>
        <item x="257"/>
        <item x="243"/>
        <item x="98"/>
        <item x="39"/>
        <item x="282"/>
        <item x="14"/>
        <item x="275"/>
        <item x="3"/>
        <item x="168"/>
        <item x="126"/>
        <item x="172"/>
        <item x="38"/>
        <item x="159"/>
        <item x="174"/>
        <item x="151"/>
        <item x="175"/>
        <item x="147"/>
        <item x="45"/>
        <item x="239"/>
        <item x="50"/>
        <item x="312"/>
        <item x="27"/>
        <item x="34"/>
        <item x="24"/>
        <item x="297"/>
        <item x="259"/>
        <item x="224"/>
        <item x="246"/>
        <item x="305"/>
        <item x="5"/>
        <item x="209"/>
        <item x="122"/>
        <item x="279"/>
        <item x="84"/>
        <item x="73"/>
        <item x="153"/>
        <item x="163"/>
        <item x="280"/>
        <item x="114"/>
        <item x="283"/>
        <item x="261"/>
        <item x="253"/>
        <item x="230"/>
        <item x="294"/>
        <item x="247"/>
        <item x="141"/>
        <item x="274"/>
        <item x="249"/>
        <item x="301"/>
        <item x="156"/>
        <item x="108"/>
        <item x="116"/>
        <item x="33"/>
        <item x="160"/>
        <item x="109"/>
        <item x="146"/>
        <item x="47"/>
        <item x="54"/>
        <item x="74"/>
        <item x="140"/>
        <item x="281"/>
        <item x="123"/>
        <item x="87"/>
        <item x="82"/>
        <item x="120"/>
        <item x="26"/>
        <item x="161"/>
        <item x="152"/>
        <item x="70"/>
        <item x="185"/>
        <item x="65"/>
        <item x="165"/>
        <item x="240"/>
        <item x="212"/>
        <item x="164"/>
        <item x="244"/>
        <item x="101"/>
        <item x="125"/>
        <item x="242"/>
        <item x="306"/>
        <item x="191"/>
        <item x="252"/>
        <item x="18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gmv" fld="7" baseField="0" baseItem="0"/>
    <dataField name="求和项:成本" fld="8" baseField="0" baseItem="0"/>
    <dataField name="求和项:订单毛利" fld="13" baseField="0" baseItem="0"/>
  </dataFields>
  <formats count="4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dataOnly="0" labelOnly="1" fieldPosition="0">
        <references count="1">
          <reference field="4294967294" count="1">
            <x v="2"/>
          </reference>
        </references>
      </pivotArea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H27" sqref="H27"/>
    </sheetView>
  </sheetViews>
  <sheetFormatPr defaultColWidth="9" defaultRowHeight="13.5"/>
  <cols>
    <col min="1" max="1" width="20.375"/>
    <col min="2" max="3" width="18.25" style="5"/>
    <col min="4" max="4" width="16.125" style="5"/>
    <col min="5" max="5" width="9" style="5"/>
    <col min="7" max="7" width="21.375" customWidth="1"/>
    <col min="8" max="9" width="18.25" style="5"/>
    <col min="10" max="10" width="16" style="5"/>
  </cols>
  <sheetData>
    <row r="1" spans="1:10">
      <c r="A1" s="6" t="s">
        <v>0</v>
      </c>
      <c r="B1" s="7"/>
      <c r="G1" s="6" t="s">
        <v>1</v>
      </c>
    </row>
    <row r="3" spans="1:10">
      <c r="A3" t="s">
        <v>2</v>
      </c>
      <c r="B3" s="5" t="s">
        <v>3</v>
      </c>
      <c r="C3" s="5" t="s">
        <v>4</v>
      </c>
      <c r="D3" s="5" t="s">
        <v>5</v>
      </c>
      <c r="G3" t="s">
        <v>2</v>
      </c>
      <c r="H3" s="5" t="s">
        <v>6</v>
      </c>
      <c r="I3" s="5" t="s">
        <v>7</v>
      </c>
      <c r="J3" s="5" t="s">
        <v>8</v>
      </c>
    </row>
    <row r="4" spans="1:10">
      <c r="A4" t="s">
        <v>9</v>
      </c>
      <c r="B4" s="5">
        <v>71796.51</v>
      </c>
      <c r="D4" s="5">
        <v>71796.51</v>
      </c>
      <c r="G4" t="s">
        <v>9</v>
      </c>
      <c r="H4" s="5">
        <v>71796.51</v>
      </c>
      <c r="J4" s="5">
        <v>71796.51</v>
      </c>
    </row>
    <row r="5" spans="1:10">
      <c r="A5" t="s">
        <v>10</v>
      </c>
      <c r="B5" s="5">
        <v>998899.098699716</v>
      </c>
      <c r="C5" s="5">
        <v>1039668.39269955</v>
      </c>
      <c r="D5" s="5">
        <v>-40769.2939998378</v>
      </c>
      <c r="G5" t="s">
        <v>11</v>
      </c>
      <c r="H5" s="5">
        <v>7099063.75</v>
      </c>
      <c r="I5" s="5">
        <v>3603594.78</v>
      </c>
      <c r="J5" s="5">
        <v>3495468.97</v>
      </c>
    </row>
    <row r="6" spans="1:10">
      <c r="A6" t="s">
        <v>12</v>
      </c>
      <c r="B6" s="5">
        <v>127222630.738707</v>
      </c>
      <c r="C6" s="5">
        <v>128185735.4982</v>
      </c>
      <c r="D6" s="5">
        <v>-952572.522726919</v>
      </c>
      <c r="G6" t="s">
        <v>13</v>
      </c>
      <c r="I6" s="5">
        <v>26603.2</v>
      </c>
      <c r="J6" s="5">
        <v>-26603.2</v>
      </c>
    </row>
    <row r="7" spans="1:10">
      <c r="A7" t="s">
        <v>14</v>
      </c>
      <c r="B7" s="5">
        <v>128293326.347407</v>
      </c>
      <c r="C7" s="5">
        <v>129225403.8909</v>
      </c>
      <c r="D7" s="5">
        <v>-921545.306726757</v>
      </c>
      <c r="G7" t="s">
        <v>12</v>
      </c>
      <c r="H7" s="5">
        <v>126745206.4464</v>
      </c>
      <c r="I7" s="5">
        <v>127698186.2695</v>
      </c>
      <c r="J7" s="5">
        <v>-952979.823100001</v>
      </c>
    </row>
    <row r="8" spans="1:10">
      <c r="G8" t="s">
        <v>15</v>
      </c>
      <c r="H8" s="5">
        <v>39928</v>
      </c>
      <c r="I8" s="5">
        <v>34705.53</v>
      </c>
      <c r="J8" s="5">
        <v>5222.47</v>
      </c>
    </row>
    <row r="9" spans="1:10">
      <c r="G9" t="s">
        <v>16</v>
      </c>
      <c r="H9" s="5">
        <v>739</v>
      </c>
      <c r="I9" s="5">
        <v>739</v>
      </c>
    </row>
    <row r="10" spans="1:10">
      <c r="G10" t="s">
        <v>17</v>
      </c>
      <c r="H10" s="5">
        <v>-891.4</v>
      </c>
      <c r="J10" s="5">
        <v>-891.4</v>
      </c>
    </row>
    <row r="11" spans="1:10">
      <c r="G11" t="s">
        <v>18</v>
      </c>
      <c r="H11" s="5">
        <v>5201754.19</v>
      </c>
      <c r="I11" s="5">
        <v>5292028.76</v>
      </c>
      <c r="J11" s="5">
        <v>-90274.5700000008</v>
      </c>
    </row>
    <row r="12" spans="1:10">
      <c r="G12" t="s">
        <v>14</v>
      </c>
      <c r="H12" s="5">
        <v>139157596.4964</v>
      </c>
      <c r="I12" s="5">
        <v>136655857.5395</v>
      </c>
      <c r="J12" s="5">
        <v>2501738.9569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0"/>
  <sheetViews>
    <sheetView tabSelected="1" workbookViewId="0">
      <pane ySplit="1" topLeftCell="A299" activePane="bottomLeft" state="frozen"/>
      <selection/>
      <selection pane="bottomLeft" activeCell="B306" sqref="B306"/>
    </sheetView>
  </sheetViews>
  <sheetFormatPr defaultColWidth="9" defaultRowHeight="13.5"/>
  <cols>
    <col min="2" max="2" width="23.5" customWidth="1"/>
    <col min="3" max="3" width="19" customWidth="1"/>
    <col min="4" max="4" width="17.25" customWidth="1"/>
    <col min="5" max="5" width="7" customWidth="1"/>
    <col min="6" max="6" width="21.25" customWidth="1"/>
    <col min="8" max="18" width="11.75" customWidth="1"/>
  </cols>
  <sheetData>
    <row r="1" spans="1:18">
      <c r="A1" s="1" t="s">
        <v>19</v>
      </c>
      <c r="B1" s="2" t="s">
        <v>2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</row>
    <row r="2" spans="1:18">
      <c r="A2" s="4">
        <v>45962</v>
      </c>
      <c r="B2" s="2" t="s">
        <v>12</v>
      </c>
      <c r="C2" s="2" t="s">
        <v>36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13475.05</v>
      </c>
      <c r="I2" s="3">
        <v>13317.06</v>
      </c>
      <c r="J2" s="3"/>
      <c r="K2" s="3"/>
      <c r="L2" s="3">
        <v>13475.05</v>
      </c>
      <c r="M2" s="3">
        <v>13317.06</v>
      </c>
      <c r="N2" s="3">
        <v>157.99</v>
      </c>
      <c r="O2" s="3">
        <v>157.99</v>
      </c>
      <c r="P2" s="3">
        <v>13475.05</v>
      </c>
      <c r="Q2" s="3">
        <v>13317.06</v>
      </c>
      <c r="R2" s="3">
        <v>157.99</v>
      </c>
    </row>
    <row r="3" spans="1:18">
      <c r="A3" s="4">
        <v>45962</v>
      </c>
      <c r="B3" s="2" t="s">
        <v>12</v>
      </c>
      <c r="C3" s="2" t="s">
        <v>40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17855.85</v>
      </c>
      <c r="I3" s="3">
        <v>17770.9</v>
      </c>
      <c r="J3" s="3"/>
      <c r="K3" s="3"/>
      <c r="L3" s="3">
        <v>17855.85</v>
      </c>
      <c r="M3" s="3">
        <v>17770.9</v>
      </c>
      <c r="N3" s="3">
        <v>84.95</v>
      </c>
      <c r="O3" s="3">
        <v>84.95</v>
      </c>
      <c r="P3" s="3">
        <v>17855.85</v>
      </c>
      <c r="Q3" s="3">
        <v>17770.9</v>
      </c>
      <c r="R3" s="3">
        <v>84.95</v>
      </c>
    </row>
    <row r="4" spans="1:18">
      <c r="A4" s="4">
        <v>45962</v>
      </c>
      <c r="B4" s="2" t="s">
        <v>12</v>
      </c>
      <c r="C4" s="2" t="s">
        <v>40</v>
      </c>
      <c r="D4" s="2" t="s">
        <v>41</v>
      </c>
      <c r="E4" s="2" t="s">
        <v>38</v>
      </c>
      <c r="F4" s="2" t="s">
        <v>41</v>
      </c>
      <c r="G4" s="2" t="s">
        <v>42</v>
      </c>
      <c r="H4" s="3">
        <v>26030.976</v>
      </c>
      <c r="I4" s="3">
        <v>31728</v>
      </c>
      <c r="J4" s="3"/>
      <c r="K4" s="3"/>
      <c r="L4" s="3">
        <v>26030.976</v>
      </c>
      <c r="M4" s="3">
        <v>31728</v>
      </c>
      <c r="N4" s="3">
        <v>-5697.024</v>
      </c>
      <c r="O4" s="3">
        <v>-5697.024</v>
      </c>
      <c r="P4" s="3">
        <v>26030.976</v>
      </c>
      <c r="Q4" s="3">
        <v>31728</v>
      </c>
      <c r="R4" s="3">
        <v>-5697.024</v>
      </c>
    </row>
    <row r="5" spans="1:18">
      <c r="A5" s="4">
        <v>45962</v>
      </c>
      <c r="B5" s="2" t="s">
        <v>12</v>
      </c>
      <c r="C5" s="2" t="s">
        <v>36</v>
      </c>
      <c r="D5" s="2" t="s">
        <v>43</v>
      </c>
      <c r="E5" s="2" t="s">
        <v>38</v>
      </c>
      <c r="F5" s="2" t="s">
        <v>43</v>
      </c>
      <c r="G5" s="2" t="s">
        <v>39</v>
      </c>
      <c r="H5" s="3">
        <v>9570.97</v>
      </c>
      <c r="I5" s="3">
        <v>8413.1</v>
      </c>
      <c r="J5" s="3"/>
      <c r="K5" s="3"/>
      <c r="L5" s="3">
        <v>9570.97</v>
      </c>
      <c r="M5" s="3">
        <v>8413.1</v>
      </c>
      <c r="N5" s="3">
        <v>1157.87</v>
      </c>
      <c r="O5" s="3">
        <v>1157.87</v>
      </c>
      <c r="P5" s="3">
        <v>9570.97</v>
      </c>
      <c r="Q5" s="3">
        <v>8413.1</v>
      </c>
      <c r="R5" s="3">
        <v>1157.87</v>
      </c>
    </row>
    <row r="6" spans="1:18">
      <c r="A6" s="4">
        <v>45962</v>
      </c>
      <c r="B6" s="2" t="s">
        <v>12</v>
      </c>
      <c r="C6" s="2" t="s">
        <v>36</v>
      </c>
      <c r="D6" s="2" t="s">
        <v>44</v>
      </c>
      <c r="E6" s="2" t="s">
        <v>38</v>
      </c>
      <c r="F6" s="2" t="s">
        <v>44</v>
      </c>
      <c r="G6" s="2" t="s">
        <v>39</v>
      </c>
      <c r="H6" s="3">
        <v>175</v>
      </c>
      <c r="I6" s="3">
        <v>291.6</v>
      </c>
      <c r="J6" s="3"/>
      <c r="K6" s="3"/>
      <c r="L6" s="3">
        <v>175</v>
      </c>
      <c r="M6" s="3">
        <v>291.6</v>
      </c>
      <c r="N6" s="3">
        <v>-116.6</v>
      </c>
      <c r="O6" s="3">
        <v>-116.6</v>
      </c>
      <c r="P6" s="3">
        <v>175</v>
      </c>
      <c r="Q6" s="3">
        <v>291.6</v>
      </c>
      <c r="R6" s="3">
        <v>-116.6</v>
      </c>
    </row>
    <row r="7" spans="1:18">
      <c r="A7" s="4">
        <v>45962</v>
      </c>
      <c r="B7" s="2" t="s">
        <v>12</v>
      </c>
      <c r="C7" s="2" t="s">
        <v>40</v>
      </c>
      <c r="D7" s="2" t="s">
        <v>44</v>
      </c>
      <c r="E7" s="2" t="s">
        <v>38</v>
      </c>
      <c r="F7" s="2" t="s">
        <v>44</v>
      </c>
      <c r="G7" s="2" t="s">
        <v>39</v>
      </c>
      <c r="H7" s="3">
        <v>88582.8</v>
      </c>
      <c r="I7" s="3">
        <v>85315</v>
      </c>
      <c r="J7" s="3"/>
      <c r="K7" s="3"/>
      <c r="L7" s="3">
        <v>88582.8</v>
      </c>
      <c r="M7" s="3">
        <v>85315</v>
      </c>
      <c r="N7" s="3">
        <v>3267.8</v>
      </c>
      <c r="O7" s="3">
        <v>3267.8</v>
      </c>
      <c r="P7" s="3">
        <v>88582.8</v>
      </c>
      <c r="Q7" s="3">
        <v>85315</v>
      </c>
      <c r="R7" s="3">
        <v>3267.8</v>
      </c>
    </row>
    <row r="8" spans="1:18">
      <c r="A8" s="4">
        <v>45962</v>
      </c>
      <c r="B8" s="2" t="s">
        <v>12</v>
      </c>
      <c r="C8" s="2" t="s">
        <v>36</v>
      </c>
      <c r="D8" s="2" t="s">
        <v>44</v>
      </c>
      <c r="E8" s="2" t="s">
        <v>38</v>
      </c>
      <c r="F8" s="2" t="s">
        <v>44</v>
      </c>
      <c r="G8" s="2" t="s">
        <v>42</v>
      </c>
      <c r="H8" s="3">
        <v>2501.56</v>
      </c>
      <c r="I8" s="3">
        <v>2595.4</v>
      </c>
      <c r="J8" s="3"/>
      <c r="K8" s="3"/>
      <c r="L8" s="3">
        <v>2501.56</v>
      </c>
      <c r="M8" s="3">
        <v>2595.4</v>
      </c>
      <c r="N8" s="3">
        <v>-93.84</v>
      </c>
      <c r="O8" s="3">
        <v>-93.84</v>
      </c>
      <c r="P8" s="3">
        <v>2501.56</v>
      </c>
      <c r="Q8" s="3">
        <v>2595.4</v>
      </c>
      <c r="R8" s="3">
        <v>-93.84</v>
      </c>
    </row>
    <row r="9" spans="1:18">
      <c r="A9" s="4">
        <v>45962</v>
      </c>
      <c r="B9" s="2" t="s">
        <v>12</v>
      </c>
      <c r="C9" s="2" t="s">
        <v>40</v>
      </c>
      <c r="D9" s="2" t="s">
        <v>44</v>
      </c>
      <c r="E9" s="2" t="s">
        <v>38</v>
      </c>
      <c r="F9" s="2" t="s">
        <v>44</v>
      </c>
      <c r="G9" s="2" t="s">
        <v>42</v>
      </c>
      <c r="H9" s="3">
        <v>1181.86</v>
      </c>
      <c r="I9" s="3">
        <v>1053.9</v>
      </c>
      <c r="J9" s="3"/>
      <c r="K9" s="3"/>
      <c r="L9" s="3">
        <v>1181.86</v>
      </c>
      <c r="M9" s="3">
        <v>1053.9</v>
      </c>
      <c r="N9" s="3">
        <v>127.96</v>
      </c>
      <c r="O9" s="3">
        <v>127.96</v>
      </c>
      <c r="P9" s="3">
        <v>1181.86</v>
      </c>
      <c r="Q9" s="3">
        <v>1053.9</v>
      </c>
      <c r="R9" s="3">
        <v>127.96</v>
      </c>
    </row>
    <row r="10" spans="1:18">
      <c r="A10" s="4">
        <v>45962</v>
      </c>
      <c r="B10" s="2" t="s">
        <v>12</v>
      </c>
      <c r="C10" s="2" t="s">
        <v>36</v>
      </c>
      <c r="D10" s="2" t="s">
        <v>45</v>
      </c>
      <c r="E10" s="2" t="s">
        <v>38</v>
      </c>
      <c r="F10" s="2" t="s">
        <v>45</v>
      </c>
      <c r="G10" s="2" t="s">
        <v>39</v>
      </c>
      <c r="H10" s="3"/>
      <c r="I10" s="3">
        <v>83271.39</v>
      </c>
      <c r="J10" s="3"/>
      <c r="K10" s="3"/>
      <c r="L10" s="3"/>
      <c r="M10" s="3">
        <v>83271.39</v>
      </c>
      <c r="N10" s="3">
        <v>-83271.39</v>
      </c>
      <c r="O10" s="3">
        <v>-83271.39</v>
      </c>
      <c r="P10" s="3"/>
      <c r="Q10" s="3">
        <v>83271.39</v>
      </c>
      <c r="R10" s="3">
        <v>-83271.39</v>
      </c>
    </row>
    <row r="11" spans="1:18">
      <c r="A11" s="4">
        <v>45962</v>
      </c>
      <c r="B11" s="2" t="s">
        <v>12</v>
      </c>
      <c r="C11" s="2" t="s">
        <v>36</v>
      </c>
      <c r="D11" s="2" t="s">
        <v>45</v>
      </c>
      <c r="E11" s="2" t="s">
        <v>38</v>
      </c>
      <c r="F11" s="2" t="s">
        <v>45</v>
      </c>
      <c r="G11" s="2" t="s">
        <v>42</v>
      </c>
      <c r="H11" s="3">
        <v>158.2</v>
      </c>
      <c r="I11" s="3">
        <v>22867.65</v>
      </c>
      <c r="J11" s="3"/>
      <c r="K11" s="3"/>
      <c r="L11" s="3">
        <v>158.2</v>
      </c>
      <c r="M11" s="3">
        <v>22867.65</v>
      </c>
      <c r="N11" s="3">
        <v>-22709.45</v>
      </c>
      <c r="O11" s="3">
        <v>-22709.45</v>
      </c>
      <c r="P11" s="3">
        <v>158.2</v>
      </c>
      <c r="Q11" s="3">
        <v>22867.65</v>
      </c>
      <c r="R11" s="3">
        <v>-22709.45</v>
      </c>
    </row>
    <row r="12" spans="1:18">
      <c r="A12" s="4">
        <v>45962</v>
      </c>
      <c r="B12" s="2" t="s">
        <v>12</v>
      </c>
      <c r="C12" s="2" t="s">
        <v>40</v>
      </c>
      <c r="D12" s="2" t="s">
        <v>45</v>
      </c>
      <c r="E12" s="2" t="s">
        <v>38</v>
      </c>
      <c r="F12" s="2" t="s">
        <v>45</v>
      </c>
      <c r="G12" s="2" t="s">
        <v>42</v>
      </c>
      <c r="H12" s="3">
        <v>269.4</v>
      </c>
      <c r="I12" s="3">
        <v>147.5</v>
      </c>
      <c r="J12" s="3"/>
      <c r="K12" s="3"/>
      <c r="L12" s="3">
        <v>269.4</v>
      </c>
      <c r="M12" s="3">
        <v>147.5</v>
      </c>
      <c r="N12" s="3">
        <v>121.9</v>
      </c>
      <c r="O12" s="3">
        <v>121.9</v>
      </c>
      <c r="P12" s="3">
        <v>269.4</v>
      </c>
      <c r="Q12" s="3">
        <v>147.5</v>
      </c>
      <c r="R12" s="3">
        <v>121.9</v>
      </c>
    </row>
    <row r="13" spans="1:18">
      <c r="A13" s="4">
        <v>45962</v>
      </c>
      <c r="B13" s="2" t="s">
        <v>12</v>
      </c>
      <c r="C13" s="2" t="s">
        <v>36</v>
      </c>
      <c r="D13" s="2" t="s">
        <v>46</v>
      </c>
      <c r="E13" s="2" t="s">
        <v>38</v>
      </c>
      <c r="F13" s="2" t="s">
        <v>46</v>
      </c>
      <c r="G13" s="2" t="s">
        <v>39</v>
      </c>
      <c r="H13" s="3">
        <v>838.4</v>
      </c>
      <c r="I13" s="3">
        <v>860.4</v>
      </c>
      <c r="J13" s="3">
        <v>-104.799999999999</v>
      </c>
      <c r="K13" s="3">
        <v>-107.549999999999</v>
      </c>
      <c r="L13" s="3">
        <v>733.6</v>
      </c>
      <c r="M13" s="3">
        <v>752.85</v>
      </c>
      <c r="N13" s="3">
        <v>-19.25</v>
      </c>
      <c r="O13" s="3">
        <v>-19.25</v>
      </c>
      <c r="P13" s="3">
        <v>733.6</v>
      </c>
      <c r="Q13" s="3">
        <v>752.85</v>
      </c>
      <c r="R13" s="3">
        <v>-19.25</v>
      </c>
    </row>
    <row r="14" spans="1:18">
      <c r="A14" s="4">
        <v>45962</v>
      </c>
      <c r="B14" s="2" t="s">
        <v>12</v>
      </c>
      <c r="C14" s="2" t="s">
        <v>36</v>
      </c>
      <c r="D14" s="2" t="s">
        <v>46</v>
      </c>
      <c r="E14" s="2" t="s">
        <v>38</v>
      </c>
      <c r="F14" s="2" t="s">
        <v>46</v>
      </c>
      <c r="G14" s="2" t="s">
        <v>42</v>
      </c>
      <c r="H14" s="3">
        <v>232539.86</v>
      </c>
      <c r="I14" s="3">
        <v>243748.08</v>
      </c>
      <c r="J14" s="3">
        <v>-3328.89999999999</v>
      </c>
      <c r="K14" s="3">
        <v>-3662.25</v>
      </c>
      <c r="L14" s="3">
        <v>229210.96</v>
      </c>
      <c r="M14" s="3">
        <v>240085.829999999</v>
      </c>
      <c r="N14" s="3">
        <v>-10874.8699999999</v>
      </c>
      <c r="O14" s="3">
        <v>-10874.8699999999</v>
      </c>
      <c r="P14" s="3">
        <v>229210.96</v>
      </c>
      <c r="Q14" s="3">
        <v>240085.829999999</v>
      </c>
      <c r="R14" s="3">
        <v>-10874.8699999999</v>
      </c>
    </row>
    <row r="15" spans="1:18">
      <c r="A15" s="4">
        <v>45962</v>
      </c>
      <c r="B15" s="2" t="s">
        <v>12</v>
      </c>
      <c r="C15" s="2" t="s">
        <v>36</v>
      </c>
      <c r="D15" s="2" t="s">
        <v>47</v>
      </c>
      <c r="E15" s="2" t="s">
        <v>38</v>
      </c>
      <c r="F15" s="2" t="s">
        <v>47</v>
      </c>
      <c r="G15" s="2" t="s">
        <v>39</v>
      </c>
      <c r="H15" s="3">
        <v>1395.9</v>
      </c>
      <c r="I15" s="3">
        <v>1319.6</v>
      </c>
      <c r="J15" s="3"/>
      <c r="K15" s="3"/>
      <c r="L15" s="3">
        <v>1395.9</v>
      </c>
      <c r="M15" s="3">
        <v>1319.6</v>
      </c>
      <c r="N15" s="3">
        <v>76.3</v>
      </c>
      <c r="O15" s="3">
        <v>76.3</v>
      </c>
      <c r="P15" s="3">
        <v>1395.9</v>
      </c>
      <c r="Q15" s="3">
        <v>1319.6</v>
      </c>
      <c r="R15" s="3">
        <v>76.3</v>
      </c>
    </row>
    <row r="16" spans="1:18">
      <c r="A16" s="4">
        <v>45962</v>
      </c>
      <c r="B16" s="2" t="s">
        <v>12</v>
      </c>
      <c r="C16" s="2" t="s">
        <v>40</v>
      </c>
      <c r="D16" s="2" t="s">
        <v>47</v>
      </c>
      <c r="E16" s="2" t="s">
        <v>38</v>
      </c>
      <c r="F16" s="2" t="s">
        <v>47</v>
      </c>
      <c r="G16" s="2" t="s">
        <v>39</v>
      </c>
      <c r="H16" s="3">
        <v>29970.9</v>
      </c>
      <c r="I16" s="3">
        <v>28871.3</v>
      </c>
      <c r="J16" s="3"/>
      <c r="K16" s="3"/>
      <c r="L16" s="3">
        <v>29970.9</v>
      </c>
      <c r="M16" s="3">
        <v>28871.3</v>
      </c>
      <c r="N16" s="3">
        <v>1099.6</v>
      </c>
      <c r="O16" s="3">
        <v>1099.6</v>
      </c>
      <c r="P16" s="3">
        <v>29970.9</v>
      </c>
      <c r="Q16" s="3">
        <v>28871.3</v>
      </c>
      <c r="R16" s="3">
        <v>1099.6</v>
      </c>
    </row>
    <row r="17" spans="1:18">
      <c r="A17" s="4">
        <v>45962</v>
      </c>
      <c r="B17" s="2" t="s">
        <v>12</v>
      </c>
      <c r="C17" s="2" t="s">
        <v>36</v>
      </c>
      <c r="D17" s="2" t="s">
        <v>47</v>
      </c>
      <c r="E17" s="2" t="s">
        <v>38</v>
      </c>
      <c r="F17" s="2" t="s">
        <v>47</v>
      </c>
      <c r="G17" s="2" t="s">
        <v>42</v>
      </c>
      <c r="H17" s="3">
        <v>491.4</v>
      </c>
      <c r="I17" s="3">
        <v>454.2</v>
      </c>
      <c r="J17" s="3"/>
      <c r="K17" s="3"/>
      <c r="L17" s="3">
        <v>491.4</v>
      </c>
      <c r="M17" s="3">
        <v>454.2</v>
      </c>
      <c r="N17" s="3">
        <v>37.2</v>
      </c>
      <c r="O17" s="3">
        <v>37.2</v>
      </c>
      <c r="P17" s="3">
        <v>491.4</v>
      </c>
      <c r="Q17" s="3">
        <v>454.2</v>
      </c>
      <c r="R17" s="3">
        <v>37.2</v>
      </c>
    </row>
    <row r="18" spans="1:18">
      <c r="A18" s="4">
        <v>45962</v>
      </c>
      <c r="B18" s="2" t="s">
        <v>12</v>
      </c>
      <c r="C18" s="2" t="s">
        <v>40</v>
      </c>
      <c r="D18" s="2" t="s">
        <v>47</v>
      </c>
      <c r="E18" s="2" t="s">
        <v>38</v>
      </c>
      <c r="F18" s="2" t="s">
        <v>47</v>
      </c>
      <c r="G18" s="2" t="s">
        <v>42</v>
      </c>
      <c r="H18" s="3">
        <v>273.48</v>
      </c>
      <c r="I18" s="3">
        <v>208.98</v>
      </c>
      <c r="J18" s="3"/>
      <c r="K18" s="3"/>
      <c r="L18" s="3">
        <v>273.48</v>
      </c>
      <c r="M18" s="3">
        <v>208.98</v>
      </c>
      <c r="N18" s="3">
        <v>64.5</v>
      </c>
      <c r="O18" s="3">
        <v>64.5</v>
      </c>
      <c r="P18" s="3">
        <v>273.48</v>
      </c>
      <c r="Q18" s="3">
        <v>208.98</v>
      </c>
      <c r="R18" s="3">
        <v>64.5</v>
      </c>
    </row>
    <row r="19" spans="1:18">
      <c r="A19" s="4">
        <v>45962</v>
      </c>
      <c r="B19" s="2" t="s">
        <v>12</v>
      </c>
      <c r="C19" s="2" t="s">
        <v>40</v>
      </c>
      <c r="D19" s="2" t="s">
        <v>48</v>
      </c>
      <c r="E19" s="2" t="s">
        <v>38</v>
      </c>
      <c r="F19" s="2" t="s">
        <v>48</v>
      </c>
      <c r="G19" s="2" t="s">
        <v>39</v>
      </c>
      <c r="H19" s="3">
        <v>0.9764</v>
      </c>
      <c r="I19" s="3"/>
      <c r="J19" s="3"/>
      <c r="K19" s="3"/>
      <c r="L19" s="3">
        <v>0.9764</v>
      </c>
      <c r="M19" s="3"/>
      <c r="N19" s="3">
        <v>0.9764</v>
      </c>
      <c r="O19" s="3">
        <v>0.9764</v>
      </c>
      <c r="P19" s="3">
        <v>0.9764</v>
      </c>
      <c r="Q19" s="3"/>
      <c r="R19" s="3">
        <v>0.9764</v>
      </c>
    </row>
    <row r="20" spans="1:18">
      <c r="A20" s="4">
        <v>45962</v>
      </c>
      <c r="B20" s="2" t="s">
        <v>12</v>
      </c>
      <c r="C20" s="2" t="s">
        <v>36</v>
      </c>
      <c r="D20" s="2" t="s">
        <v>49</v>
      </c>
      <c r="E20" s="2" t="s">
        <v>38</v>
      </c>
      <c r="F20" s="2" t="s">
        <v>49</v>
      </c>
      <c r="G20" s="2" t="s">
        <v>39</v>
      </c>
      <c r="H20" s="3">
        <v>282681.36</v>
      </c>
      <c r="I20" s="3">
        <v>282681.36</v>
      </c>
      <c r="J20" s="3"/>
      <c r="K20" s="3"/>
      <c r="L20" s="3">
        <v>282681.36</v>
      </c>
      <c r="M20" s="3">
        <v>282681.36</v>
      </c>
      <c r="N20" s="3"/>
      <c r="O20" s="3"/>
      <c r="P20" s="3">
        <v>282681.36</v>
      </c>
      <c r="Q20" s="3">
        <v>282681.36</v>
      </c>
      <c r="R20" s="3"/>
    </row>
    <row r="21" spans="1:18">
      <c r="A21" s="4">
        <v>45962</v>
      </c>
      <c r="B21" s="2" t="s">
        <v>12</v>
      </c>
      <c r="C21" s="2" t="s">
        <v>40</v>
      </c>
      <c r="D21" s="2" t="s">
        <v>50</v>
      </c>
      <c r="E21" s="2" t="s">
        <v>38</v>
      </c>
      <c r="F21" s="2" t="s">
        <v>50</v>
      </c>
      <c r="G21" s="2" t="s">
        <v>39</v>
      </c>
      <c r="H21" s="3">
        <v>1088605.5989</v>
      </c>
      <c r="I21" s="3">
        <v>1319224.34</v>
      </c>
      <c r="J21" s="3"/>
      <c r="K21" s="3"/>
      <c r="L21" s="3">
        <v>1088605.5989</v>
      </c>
      <c r="M21" s="3">
        <v>1319224.34</v>
      </c>
      <c r="N21" s="3">
        <v>-230618.7411</v>
      </c>
      <c r="O21" s="3">
        <v>-230618.7411</v>
      </c>
      <c r="P21" s="3">
        <v>1088605.5989</v>
      </c>
      <c r="Q21" s="3">
        <v>1319224.34</v>
      </c>
      <c r="R21" s="3">
        <v>-230618.7411</v>
      </c>
    </row>
    <row r="22" spans="1:18">
      <c r="A22" s="4">
        <v>45962</v>
      </c>
      <c r="B22" s="2" t="s">
        <v>12</v>
      </c>
      <c r="C22" s="2" t="s">
        <v>36</v>
      </c>
      <c r="D22" s="2" t="s">
        <v>51</v>
      </c>
      <c r="E22" s="2" t="s">
        <v>38</v>
      </c>
      <c r="F22" s="2" t="s">
        <v>51</v>
      </c>
      <c r="G22" s="2" t="s">
        <v>39</v>
      </c>
      <c r="H22" s="3">
        <v>3900</v>
      </c>
      <c r="I22" s="3">
        <v>3536</v>
      </c>
      <c r="J22" s="3"/>
      <c r="K22" s="3"/>
      <c r="L22" s="3">
        <v>3900</v>
      </c>
      <c r="M22" s="3">
        <v>3536</v>
      </c>
      <c r="N22" s="3">
        <v>364</v>
      </c>
      <c r="O22" s="3">
        <v>364</v>
      </c>
      <c r="P22" s="3">
        <v>3900</v>
      </c>
      <c r="Q22" s="3">
        <v>3536</v>
      </c>
      <c r="R22" s="3">
        <v>364</v>
      </c>
    </row>
    <row r="23" spans="1:18">
      <c r="A23" s="4">
        <v>45962</v>
      </c>
      <c r="B23" s="2" t="s">
        <v>12</v>
      </c>
      <c r="C23" s="2" t="s">
        <v>40</v>
      </c>
      <c r="D23" s="2" t="s">
        <v>51</v>
      </c>
      <c r="E23" s="2" t="s">
        <v>38</v>
      </c>
      <c r="F23" s="2" t="s">
        <v>51</v>
      </c>
      <c r="G23" s="2" t="s">
        <v>39</v>
      </c>
      <c r="H23" s="3">
        <v>162</v>
      </c>
      <c r="I23" s="3">
        <v>160</v>
      </c>
      <c r="J23" s="3"/>
      <c r="K23" s="3"/>
      <c r="L23" s="3">
        <v>162</v>
      </c>
      <c r="M23" s="3">
        <v>160</v>
      </c>
      <c r="N23" s="3">
        <v>2</v>
      </c>
      <c r="O23" s="3">
        <v>2</v>
      </c>
      <c r="P23" s="3">
        <v>162</v>
      </c>
      <c r="Q23" s="3">
        <v>160</v>
      </c>
      <c r="R23" s="3">
        <v>2</v>
      </c>
    </row>
    <row r="24" spans="1:18">
      <c r="A24" s="4">
        <v>45962</v>
      </c>
      <c r="B24" s="2" t="s">
        <v>12</v>
      </c>
      <c r="C24" s="2" t="s">
        <v>40</v>
      </c>
      <c r="D24" s="2" t="s">
        <v>52</v>
      </c>
      <c r="E24" s="2" t="s">
        <v>38</v>
      </c>
      <c r="F24" s="2" t="s">
        <v>52</v>
      </c>
      <c r="G24" s="2" t="s">
        <v>39</v>
      </c>
      <c r="H24" s="3">
        <v>127700.6</v>
      </c>
      <c r="I24" s="3">
        <v>152490</v>
      </c>
      <c r="J24" s="3"/>
      <c r="K24" s="3"/>
      <c r="L24" s="3">
        <v>127700.6</v>
      </c>
      <c r="M24" s="3">
        <v>152490</v>
      </c>
      <c r="N24" s="3">
        <v>-24789.4</v>
      </c>
      <c r="O24" s="3">
        <v>-24789.4</v>
      </c>
      <c r="P24" s="3">
        <v>127700.6</v>
      </c>
      <c r="Q24" s="3">
        <v>152490</v>
      </c>
      <c r="R24" s="3">
        <v>-24789.4</v>
      </c>
    </row>
    <row r="25" spans="1:18">
      <c r="A25" s="4">
        <v>45962</v>
      </c>
      <c r="B25" s="2" t="s">
        <v>12</v>
      </c>
      <c r="C25" s="2" t="s">
        <v>40</v>
      </c>
      <c r="D25" s="2" t="s">
        <v>52</v>
      </c>
      <c r="E25" s="2" t="s">
        <v>38</v>
      </c>
      <c r="F25" s="2" t="s">
        <v>52</v>
      </c>
      <c r="G25" s="2" t="s">
        <v>42</v>
      </c>
      <c r="H25" s="3">
        <v>1984777.45</v>
      </c>
      <c r="I25" s="3">
        <v>2364819.2</v>
      </c>
      <c r="J25" s="3">
        <v>-24.8399999999999</v>
      </c>
      <c r="K25" s="3">
        <v>-30.9499999999999</v>
      </c>
      <c r="L25" s="3">
        <v>1984752.61</v>
      </c>
      <c r="M25" s="3">
        <v>2364788.25</v>
      </c>
      <c r="N25" s="3">
        <v>-380035.639999999</v>
      </c>
      <c r="O25" s="3">
        <v>-380035.639999999</v>
      </c>
      <c r="P25" s="3">
        <v>1984752.61</v>
      </c>
      <c r="Q25" s="3">
        <v>2364788.25</v>
      </c>
      <c r="R25" s="3">
        <v>-380035.639999999</v>
      </c>
    </row>
    <row r="26" spans="1:18">
      <c r="A26" s="4">
        <v>45962</v>
      </c>
      <c r="B26" s="2" t="s">
        <v>12</v>
      </c>
      <c r="C26" s="2" t="s">
        <v>36</v>
      </c>
      <c r="D26" s="2" t="s">
        <v>53</v>
      </c>
      <c r="E26" s="2" t="s">
        <v>38</v>
      </c>
      <c r="F26" s="2" t="s">
        <v>53</v>
      </c>
      <c r="G26" s="2" t="s">
        <v>39</v>
      </c>
      <c r="H26" s="3">
        <v>7291.5</v>
      </c>
      <c r="I26" s="3">
        <v>5402.7</v>
      </c>
      <c r="J26" s="3"/>
      <c r="K26" s="3"/>
      <c r="L26" s="3">
        <v>7291.5</v>
      </c>
      <c r="M26" s="3">
        <v>5402.7</v>
      </c>
      <c r="N26" s="3">
        <v>1888.8</v>
      </c>
      <c r="O26" s="3">
        <v>1888.8</v>
      </c>
      <c r="P26" s="3">
        <v>7291.5</v>
      </c>
      <c r="Q26" s="3">
        <v>5402.7</v>
      </c>
      <c r="R26" s="3">
        <v>1888.8</v>
      </c>
    </row>
    <row r="27" spans="1:18">
      <c r="A27" s="4">
        <v>45962</v>
      </c>
      <c r="B27" s="2" t="s">
        <v>12</v>
      </c>
      <c r="C27" s="2" t="s">
        <v>40</v>
      </c>
      <c r="D27" s="2" t="s">
        <v>53</v>
      </c>
      <c r="E27" s="2" t="s">
        <v>38</v>
      </c>
      <c r="F27" s="2" t="s">
        <v>53</v>
      </c>
      <c r="G27" s="2" t="s">
        <v>39</v>
      </c>
      <c r="H27" s="3">
        <v>955.12</v>
      </c>
      <c r="I27" s="3">
        <v>848.6</v>
      </c>
      <c r="J27" s="3"/>
      <c r="K27" s="3"/>
      <c r="L27" s="3">
        <v>955.12</v>
      </c>
      <c r="M27" s="3">
        <v>848.6</v>
      </c>
      <c r="N27" s="3">
        <v>106.52</v>
      </c>
      <c r="O27" s="3">
        <v>106.52</v>
      </c>
      <c r="P27" s="3">
        <v>955.12</v>
      </c>
      <c r="Q27" s="3">
        <v>848.6</v>
      </c>
      <c r="R27" s="3">
        <v>106.52</v>
      </c>
    </row>
    <row r="28" spans="1:18">
      <c r="A28" s="4">
        <v>45962</v>
      </c>
      <c r="B28" s="2" t="s">
        <v>12</v>
      </c>
      <c r="C28" s="2" t="s">
        <v>36</v>
      </c>
      <c r="D28" s="2" t="s">
        <v>53</v>
      </c>
      <c r="E28" s="2" t="s">
        <v>38</v>
      </c>
      <c r="F28" s="2" t="s">
        <v>53</v>
      </c>
      <c r="G28" s="2" t="s">
        <v>42</v>
      </c>
      <c r="H28" s="3">
        <v>47989.7956</v>
      </c>
      <c r="I28" s="3">
        <v>34332.1</v>
      </c>
      <c r="J28" s="3"/>
      <c r="K28" s="3"/>
      <c r="L28" s="3">
        <v>47989.7956</v>
      </c>
      <c r="M28" s="3">
        <v>34332.1</v>
      </c>
      <c r="N28" s="3">
        <v>13657.6956</v>
      </c>
      <c r="O28" s="3">
        <v>13657.6956</v>
      </c>
      <c r="P28" s="3">
        <v>47989.7956</v>
      </c>
      <c r="Q28" s="3">
        <v>34332.1</v>
      </c>
      <c r="R28" s="3">
        <v>13657.6956</v>
      </c>
    </row>
    <row r="29" spans="1:18">
      <c r="A29" s="4">
        <v>45962</v>
      </c>
      <c r="B29" s="2" t="s">
        <v>12</v>
      </c>
      <c r="C29" s="2" t="s">
        <v>40</v>
      </c>
      <c r="D29" s="2" t="s">
        <v>53</v>
      </c>
      <c r="E29" s="2" t="s">
        <v>38</v>
      </c>
      <c r="F29" s="2" t="s">
        <v>53</v>
      </c>
      <c r="G29" s="2" t="s">
        <v>42</v>
      </c>
      <c r="H29" s="3">
        <v>19990.93</v>
      </c>
      <c r="I29" s="3">
        <v>18186.3</v>
      </c>
      <c r="J29" s="3"/>
      <c r="K29" s="3"/>
      <c r="L29" s="3">
        <v>19990.93</v>
      </c>
      <c r="M29" s="3">
        <v>18186.3</v>
      </c>
      <c r="N29" s="3">
        <v>1804.63</v>
      </c>
      <c r="O29" s="3">
        <v>1804.63</v>
      </c>
      <c r="P29" s="3">
        <v>19990.93</v>
      </c>
      <c r="Q29" s="3">
        <v>18186.3</v>
      </c>
      <c r="R29" s="3">
        <v>1804.63</v>
      </c>
    </row>
    <row r="30" spans="1:18">
      <c r="A30" s="4">
        <v>45962</v>
      </c>
      <c r="B30" s="2" t="s">
        <v>12</v>
      </c>
      <c r="C30" s="2" t="s">
        <v>36</v>
      </c>
      <c r="D30" s="2" t="s">
        <v>54</v>
      </c>
      <c r="E30" s="2" t="s">
        <v>38</v>
      </c>
      <c r="F30" s="2" t="s">
        <v>54</v>
      </c>
      <c r="G30" s="2" t="s">
        <v>55</v>
      </c>
      <c r="H30" s="3">
        <v>16585.5</v>
      </c>
      <c r="I30" s="3">
        <v>16154</v>
      </c>
      <c r="J30" s="3">
        <v>-49.95</v>
      </c>
      <c r="K30" s="3">
        <v>-48.5</v>
      </c>
      <c r="L30" s="3">
        <v>16535.5499999999</v>
      </c>
      <c r="M30" s="3">
        <v>16105.5</v>
      </c>
      <c r="N30" s="3">
        <v>430.049999999999</v>
      </c>
      <c r="O30" s="3">
        <v>430.049999999999</v>
      </c>
      <c r="P30" s="3">
        <v>16535.5499999999</v>
      </c>
      <c r="Q30" s="3">
        <v>16105.5</v>
      </c>
      <c r="R30" s="3">
        <v>430.049999999999</v>
      </c>
    </row>
    <row r="31" spans="1:18">
      <c r="A31" s="4">
        <v>45962</v>
      </c>
      <c r="B31" s="2" t="s">
        <v>12</v>
      </c>
      <c r="C31" s="2" t="s">
        <v>40</v>
      </c>
      <c r="D31" s="2" t="s">
        <v>54</v>
      </c>
      <c r="E31" s="2" t="s">
        <v>38</v>
      </c>
      <c r="F31" s="2" t="s">
        <v>54</v>
      </c>
      <c r="G31" s="2" t="s">
        <v>55</v>
      </c>
      <c r="H31" s="3">
        <v>500</v>
      </c>
      <c r="I31" s="3">
        <v>489</v>
      </c>
      <c r="J31" s="3"/>
      <c r="K31" s="3"/>
      <c r="L31" s="3">
        <v>500</v>
      </c>
      <c r="M31" s="3">
        <v>489</v>
      </c>
      <c r="N31" s="3">
        <v>11</v>
      </c>
      <c r="O31" s="3">
        <v>11</v>
      </c>
      <c r="P31" s="3">
        <v>500</v>
      </c>
      <c r="Q31" s="3">
        <v>489</v>
      </c>
      <c r="R31" s="3">
        <v>11</v>
      </c>
    </row>
    <row r="32" spans="1:18">
      <c r="A32" s="4">
        <v>45962</v>
      </c>
      <c r="B32" s="2" t="s">
        <v>12</v>
      </c>
      <c r="C32" s="2" t="s">
        <v>36</v>
      </c>
      <c r="D32" s="2" t="s">
        <v>56</v>
      </c>
      <c r="E32" s="2" t="s">
        <v>38</v>
      </c>
      <c r="F32" s="2" t="s">
        <v>56</v>
      </c>
      <c r="G32" s="2" t="s">
        <v>39</v>
      </c>
      <c r="H32" s="3"/>
      <c r="I32" s="3">
        <v>133575.9</v>
      </c>
      <c r="J32" s="3"/>
      <c r="K32" s="3"/>
      <c r="L32" s="3"/>
      <c r="M32" s="3">
        <v>133575.9</v>
      </c>
      <c r="N32" s="3">
        <v>-133575.9</v>
      </c>
      <c r="O32" s="3">
        <v>-133575.9</v>
      </c>
      <c r="P32" s="3"/>
      <c r="Q32" s="3">
        <v>133575.9</v>
      </c>
      <c r="R32" s="3">
        <v>-133575.9</v>
      </c>
    </row>
    <row r="33" spans="1:18">
      <c r="A33" s="4">
        <v>45962</v>
      </c>
      <c r="B33" s="2" t="s">
        <v>12</v>
      </c>
      <c r="C33" s="2" t="s">
        <v>36</v>
      </c>
      <c r="D33" s="2" t="s">
        <v>57</v>
      </c>
      <c r="E33" s="2" t="s">
        <v>38</v>
      </c>
      <c r="F33" s="2" t="s">
        <v>57</v>
      </c>
      <c r="G33" s="2" t="s">
        <v>39</v>
      </c>
      <c r="H33" s="3">
        <v>143985</v>
      </c>
      <c r="I33" s="3">
        <v>143550</v>
      </c>
      <c r="J33" s="3"/>
      <c r="K33" s="3"/>
      <c r="L33" s="3">
        <v>143985</v>
      </c>
      <c r="M33" s="3">
        <v>143550</v>
      </c>
      <c r="N33" s="3">
        <v>435</v>
      </c>
      <c r="O33" s="3">
        <v>435</v>
      </c>
      <c r="P33" s="3">
        <v>143985</v>
      </c>
      <c r="Q33" s="3">
        <v>143550</v>
      </c>
      <c r="R33" s="3">
        <v>435</v>
      </c>
    </row>
    <row r="34" spans="1:18">
      <c r="A34" s="4">
        <v>45962</v>
      </c>
      <c r="B34" s="2" t="s">
        <v>12</v>
      </c>
      <c r="C34" s="2" t="s">
        <v>40</v>
      </c>
      <c r="D34" s="2" t="s">
        <v>57</v>
      </c>
      <c r="E34" s="2" t="s">
        <v>38</v>
      </c>
      <c r="F34" s="2" t="s">
        <v>57</v>
      </c>
      <c r="G34" s="2" t="s">
        <v>39</v>
      </c>
      <c r="H34" s="3">
        <v>2979</v>
      </c>
      <c r="I34" s="3">
        <v>2970</v>
      </c>
      <c r="J34" s="3"/>
      <c r="K34" s="3"/>
      <c r="L34" s="3">
        <v>2979</v>
      </c>
      <c r="M34" s="3">
        <v>2970</v>
      </c>
      <c r="N34" s="3">
        <v>9</v>
      </c>
      <c r="O34" s="3">
        <v>9</v>
      </c>
      <c r="P34" s="3">
        <v>2979</v>
      </c>
      <c r="Q34" s="3">
        <v>2970</v>
      </c>
      <c r="R34" s="3">
        <v>9</v>
      </c>
    </row>
    <row r="35" spans="1:18">
      <c r="A35" s="4">
        <v>45962</v>
      </c>
      <c r="B35" s="2" t="s">
        <v>12</v>
      </c>
      <c r="C35" s="2" t="s">
        <v>36</v>
      </c>
      <c r="D35" s="2" t="s">
        <v>58</v>
      </c>
      <c r="E35" s="2" t="s">
        <v>38</v>
      </c>
      <c r="F35" s="2" t="s">
        <v>58</v>
      </c>
      <c r="G35" s="2" t="s">
        <v>39</v>
      </c>
      <c r="H35" s="3">
        <v>348626.75</v>
      </c>
      <c r="I35" s="3">
        <v>341840.975</v>
      </c>
      <c r="J35" s="3"/>
      <c r="K35" s="3"/>
      <c r="L35" s="3">
        <v>348626.75</v>
      </c>
      <c r="M35" s="3">
        <v>341840.975</v>
      </c>
      <c r="N35" s="3">
        <v>6785.775</v>
      </c>
      <c r="O35" s="3">
        <v>6785.775</v>
      </c>
      <c r="P35" s="3">
        <v>348626.75</v>
      </c>
      <c r="Q35" s="3">
        <v>341840.975</v>
      </c>
      <c r="R35" s="3">
        <v>6785.775</v>
      </c>
    </row>
    <row r="36" spans="1:18">
      <c r="A36" s="4">
        <v>45962</v>
      </c>
      <c r="B36" s="2" t="s">
        <v>12</v>
      </c>
      <c r="C36" s="2" t="s">
        <v>40</v>
      </c>
      <c r="D36" s="2" t="s">
        <v>58</v>
      </c>
      <c r="E36" s="2" t="s">
        <v>38</v>
      </c>
      <c r="F36" s="2" t="s">
        <v>58</v>
      </c>
      <c r="G36" s="2" t="s">
        <v>39</v>
      </c>
      <c r="H36" s="3">
        <v>447781.82</v>
      </c>
      <c r="I36" s="3">
        <v>445901.625</v>
      </c>
      <c r="J36" s="3"/>
      <c r="K36" s="3"/>
      <c r="L36" s="3">
        <v>447781.82</v>
      </c>
      <c r="M36" s="3">
        <v>445901.625</v>
      </c>
      <c r="N36" s="3">
        <v>1880.195</v>
      </c>
      <c r="O36" s="3">
        <v>1880.195</v>
      </c>
      <c r="P36" s="3">
        <v>447781.82</v>
      </c>
      <c r="Q36" s="3">
        <v>445901.625</v>
      </c>
      <c r="R36" s="3">
        <v>1880.195</v>
      </c>
    </row>
    <row r="37" spans="1:18">
      <c r="A37" s="4">
        <v>45962</v>
      </c>
      <c r="B37" s="2" t="s">
        <v>12</v>
      </c>
      <c r="C37" s="2" t="s">
        <v>36</v>
      </c>
      <c r="D37" s="2" t="s">
        <v>59</v>
      </c>
      <c r="E37" s="2" t="s">
        <v>38</v>
      </c>
      <c r="F37" s="2" t="s">
        <v>59</v>
      </c>
      <c r="G37" s="2" t="s">
        <v>39</v>
      </c>
      <c r="H37" s="3">
        <v>64205.8</v>
      </c>
      <c r="I37" s="3">
        <v>64205.8</v>
      </c>
      <c r="J37" s="3"/>
      <c r="K37" s="3"/>
      <c r="L37" s="3">
        <v>64205.8</v>
      </c>
      <c r="M37" s="3">
        <v>64205.8</v>
      </c>
      <c r="N37" s="3"/>
      <c r="O37" s="3"/>
      <c r="P37" s="3">
        <v>64205.8</v>
      </c>
      <c r="Q37" s="3">
        <v>64205.8</v>
      </c>
      <c r="R37" s="3"/>
    </row>
    <row r="38" spans="1:18">
      <c r="A38" s="4">
        <v>45962</v>
      </c>
      <c r="B38" s="2" t="s">
        <v>12</v>
      </c>
      <c r="C38" s="2" t="s">
        <v>36</v>
      </c>
      <c r="D38" s="2" t="s">
        <v>60</v>
      </c>
      <c r="E38" s="2" t="s">
        <v>38</v>
      </c>
      <c r="F38" s="2" t="s">
        <v>60</v>
      </c>
      <c r="G38" s="2" t="s">
        <v>39</v>
      </c>
      <c r="H38" s="3">
        <v>156.8</v>
      </c>
      <c r="I38" s="3">
        <v>155.52</v>
      </c>
      <c r="J38" s="3"/>
      <c r="K38" s="3"/>
      <c r="L38" s="3">
        <v>156.8</v>
      </c>
      <c r="M38" s="3">
        <v>155.52</v>
      </c>
      <c r="N38" s="3">
        <v>1.28</v>
      </c>
      <c r="O38" s="3">
        <v>1.28</v>
      </c>
      <c r="P38" s="3">
        <v>156.8</v>
      </c>
      <c r="Q38" s="3">
        <v>155.52</v>
      </c>
      <c r="R38" s="3">
        <v>1.28</v>
      </c>
    </row>
    <row r="39" spans="1:18">
      <c r="A39" s="4">
        <v>45962</v>
      </c>
      <c r="B39" s="2" t="s">
        <v>12</v>
      </c>
      <c r="C39" s="2" t="s">
        <v>40</v>
      </c>
      <c r="D39" s="2" t="s">
        <v>60</v>
      </c>
      <c r="E39" s="2" t="s">
        <v>38</v>
      </c>
      <c r="F39" s="2" t="s">
        <v>60</v>
      </c>
      <c r="G39" s="2" t="s">
        <v>39</v>
      </c>
      <c r="H39" s="3">
        <v>9536</v>
      </c>
      <c r="I39" s="3">
        <v>9384</v>
      </c>
      <c r="J39" s="3"/>
      <c r="K39" s="3"/>
      <c r="L39" s="3">
        <v>9536</v>
      </c>
      <c r="M39" s="3">
        <v>9384</v>
      </c>
      <c r="N39" s="3">
        <v>152</v>
      </c>
      <c r="O39" s="3">
        <v>152</v>
      </c>
      <c r="P39" s="3">
        <v>9536</v>
      </c>
      <c r="Q39" s="3">
        <v>9384</v>
      </c>
      <c r="R39" s="3">
        <v>152</v>
      </c>
    </row>
    <row r="40" spans="1:18">
      <c r="A40" s="4">
        <v>45962</v>
      </c>
      <c r="B40" s="2" t="s">
        <v>12</v>
      </c>
      <c r="C40" s="2" t="s">
        <v>36</v>
      </c>
      <c r="D40" s="2" t="s">
        <v>61</v>
      </c>
      <c r="E40" s="2" t="s">
        <v>38</v>
      </c>
      <c r="F40" s="2" t="s">
        <v>61</v>
      </c>
      <c r="G40" s="2" t="s">
        <v>39</v>
      </c>
      <c r="H40" s="3">
        <v>28644</v>
      </c>
      <c r="I40" s="3">
        <v>28336</v>
      </c>
      <c r="J40" s="3"/>
      <c r="K40" s="3"/>
      <c r="L40" s="3">
        <v>28644</v>
      </c>
      <c r="M40" s="3">
        <v>28336</v>
      </c>
      <c r="N40" s="3">
        <v>308</v>
      </c>
      <c r="O40" s="3">
        <v>308</v>
      </c>
      <c r="P40" s="3">
        <v>28644</v>
      </c>
      <c r="Q40" s="3">
        <v>28336</v>
      </c>
      <c r="R40" s="3">
        <v>308</v>
      </c>
    </row>
    <row r="41" spans="1:18">
      <c r="A41" s="4">
        <v>45962</v>
      </c>
      <c r="B41" s="2" t="s">
        <v>12</v>
      </c>
      <c r="C41" s="2" t="s">
        <v>40</v>
      </c>
      <c r="D41" s="2" t="s">
        <v>61</v>
      </c>
      <c r="E41" s="2" t="s">
        <v>38</v>
      </c>
      <c r="F41" s="2" t="s">
        <v>61</v>
      </c>
      <c r="G41" s="2" t="s">
        <v>39</v>
      </c>
      <c r="H41" s="3">
        <v>119877</v>
      </c>
      <c r="I41" s="3">
        <v>118588</v>
      </c>
      <c r="J41" s="3"/>
      <c r="K41" s="3"/>
      <c r="L41" s="3">
        <v>119877</v>
      </c>
      <c r="M41" s="3">
        <v>118588</v>
      </c>
      <c r="N41" s="3">
        <v>1289</v>
      </c>
      <c r="O41" s="3">
        <v>1289</v>
      </c>
      <c r="P41" s="3">
        <v>119877</v>
      </c>
      <c r="Q41" s="3">
        <v>118588</v>
      </c>
      <c r="R41" s="3">
        <v>1289</v>
      </c>
    </row>
    <row r="42" spans="1:18">
      <c r="A42" s="4">
        <v>45962</v>
      </c>
      <c r="B42" s="2" t="s">
        <v>12</v>
      </c>
      <c r="C42" s="2" t="s">
        <v>36</v>
      </c>
      <c r="D42" s="2" t="s">
        <v>62</v>
      </c>
      <c r="E42" s="2" t="s">
        <v>38</v>
      </c>
      <c r="F42" s="2" t="s">
        <v>62</v>
      </c>
      <c r="G42" s="2" t="s">
        <v>42</v>
      </c>
      <c r="H42" s="3">
        <v>37876.4</v>
      </c>
      <c r="I42" s="3">
        <v>36799.5</v>
      </c>
      <c r="J42" s="3"/>
      <c r="K42" s="3"/>
      <c r="L42" s="3">
        <v>37876.4</v>
      </c>
      <c r="M42" s="3">
        <v>36799.5</v>
      </c>
      <c r="N42" s="3">
        <v>1076.9</v>
      </c>
      <c r="O42" s="3">
        <v>1076.9</v>
      </c>
      <c r="P42" s="3">
        <v>37876.4</v>
      </c>
      <c r="Q42" s="3">
        <v>36799.5</v>
      </c>
      <c r="R42" s="3">
        <v>1076.9</v>
      </c>
    </row>
    <row r="43" spans="1:18">
      <c r="A43" s="4">
        <v>45962</v>
      </c>
      <c r="B43" s="2" t="s">
        <v>12</v>
      </c>
      <c r="C43" s="2" t="s">
        <v>36</v>
      </c>
      <c r="D43" s="2" t="s">
        <v>63</v>
      </c>
      <c r="E43" s="2" t="s">
        <v>38</v>
      </c>
      <c r="F43" s="2" t="s">
        <v>63</v>
      </c>
      <c r="G43" s="2" t="s">
        <v>39</v>
      </c>
      <c r="H43" s="3">
        <v>184.84477364</v>
      </c>
      <c r="I43" s="3">
        <v>176.14</v>
      </c>
      <c r="J43" s="3"/>
      <c r="K43" s="3"/>
      <c r="L43" s="3">
        <v>184.84477364</v>
      </c>
      <c r="M43" s="3">
        <v>176.14</v>
      </c>
      <c r="N43" s="3">
        <v>8.70477364</v>
      </c>
      <c r="O43" s="3">
        <v>8.70477364</v>
      </c>
      <c r="P43" s="3">
        <v>184.84477364</v>
      </c>
      <c r="Q43" s="3">
        <v>176.14</v>
      </c>
      <c r="R43" s="3">
        <v>8.70477364</v>
      </c>
    </row>
    <row r="44" spans="1:18">
      <c r="A44" s="4">
        <v>45962</v>
      </c>
      <c r="B44" s="2" t="s">
        <v>12</v>
      </c>
      <c r="C44" s="2" t="s">
        <v>36</v>
      </c>
      <c r="D44" s="2" t="s">
        <v>63</v>
      </c>
      <c r="E44" s="2" t="s">
        <v>38</v>
      </c>
      <c r="F44" s="2" t="s">
        <v>63</v>
      </c>
      <c r="G44" s="2" t="s">
        <v>42</v>
      </c>
      <c r="H44" s="3">
        <v>805.6</v>
      </c>
      <c r="I44" s="3">
        <v>867</v>
      </c>
      <c r="J44" s="3"/>
      <c r="K44" s="3"/>
      <c r="L44" s="3">
        <v>805.6</v>
      </c>
      <c r="M44" s="3">
        <v>867</v>
      </c>
      <c r="N44" s="3">
        <v>-61.4</v>
      </c>
      <c r="O44" s="3">
        <v>-61.4</v>
      </c>
      <c r="P44" s="3">
        <v>805.6</v>
      </c>
      <c r="Q44" s="3">
        <v>867</v>
      </c>
      <c r="R44" s="3">
        <v>-61.4</v>
      </c>
    </row>
    <row r="45" spans="1:18">
      <c r="A45" s="4">
        <v>45962</v>
      </c>
      <c r="B45" s="2" t="s">
        <v>12</v>
      </c>
      <c r="C45" s="2" t="s">
        <v>40</v>
      </c>
      <c r="D45" s="2" t="s">
        <v>63</v>
      </c>
      <c r="E45" s="2" t="s">
        <v>38</v>
      </c>
      <c r="F45" s="2" t="s">
        <v>63</v>
      </c>
      <c r="G45" s="2" t="s">
        <v>42</v>
      </c>
      <c r="H45" s="3">
        <v>278.16</v>
      </c>
      <c r="I45" s="3">
        <v>268.4</v>
      </c>
      <c r="J45" s="3"/>
      <c r="K45" s="3"/>
      <c r="L45" s="3">
        <v>278.16</v>
      </c>
      <c r="M45" s="3">
        <v>268.4</v>
      </c>
      <c r="N45" s="3">
        <v>9.76</v>
      </c>
      <c r="O45" s="3">
        <v>9.76</v>
      </c>
      <c r="P45" s="3">
        <v>278.16</v>
      </c>
      <c r="Q45" s="3">
        <v>268.4</v>
      </c>
      <c r="R45" s="3">
        <v>9.76</v>
      </c>
    </row>
    <row r="46" spans="1:18">
      <c r="A46" s="4">
        <v>45962</v>
      </c>
      <c r="B46" s="2" t="s">
        <v>12</v>
      </c>
      <c r="C46" s="2" t="s">
        <v>36</v>
      </c>
      <c r="D46" s="2" t="s">
        <v>64</v>
      </c>
      <c r="E46" s="2" t="s">
        <v>38</v>
      </c>
      <c r="F46" s="2" t="s">
        <v>64</v>
      </c>
      <c r="G46" s="2" t="s">
        <v>39</v>
      </c>
      <c r="H46" s="3">
        <v>732.8</v>
      </c>
      <c r="I46" s="3">
        <v>586.04</v>
      </c>
      <c r="J46" s="3"/>
      <c r="K46" s="3"/>
      <c r="L46" s="3">
        <v>732.8</v>
      </c>
      <c r="M46" s="3">
        <v>586.04</v>
      </c>
      <c r="N46" s="3">
        <v>146.76</v>
      </c>
      <c r="O46" s="3">
        <v>146.76</v>
      </c>
      <c r="P46" s="3">
        <v>732.8</v>
      </c>
      <c r="Q46" s="3">
        <v>586.04</v>
      </c>
      <c r="R46" s="3">
        <v>146.76</v>
      </c>
    </row>
    <row r="47" spans="1:18">
      <c r="A47" s="4">
        <v>45962</v>
      </c>
      <c r="B47" s="2" t="s">
        <v>12</v>
      </c>
      <c r="C47" s="2" t="s">
        <v>40</v>
      </c>
      <c r="D47" s="2" t="s">
        <v>64</v>
      </c>
      <c r="E47" s="2" t="s">
        <v>38</v>
      </c>
      <c r="F47" s="2" t="s">
        <v>64</v>
      </c>
      <c r="G47" s="2" t="s">
        <v>39</v>
      </c>
      <c r="H47" s="3">
        <v>46.92</v>
      </c>
      <c r="I47" s="3">
        <v>42.94</v>
      </c>
      <c r="J47" s="3"/>
      <c r="K47" s="3"/>
      <c r="L47" s="3">
        <v>46.92</v>
      </c>
      <c r="M47" s="3">
        <v>42.94</v>
      </c>
      <c r="N47" s="3">
        <v>3.98</v>
      </c>
      <c r="O47" s="3">
        <v>3.98</v>
      </c>
      <c r="P47" s="3">
        <v>46.92</v>
      </c>
      <c r="Q47" s="3">
        <v>42.94</v>
      </c>
      <c r="R47" s="3">
        <v>3.98</v>
      </c>
    </row>
    <row r="48" spans="1:18">
      <c r="A48" s="4">
        <v>45962</v>
      </c>
      <c r="B48" s="2" t="s">
        <v>12</v>
      </c>
      <c r="C48" s="2" t="s">
        <v>36</v>
      </c>
      <c r="D48" s="2" t="s">
        <v>64</v>
      </c>
      <c r="E48" s="2" t="s">
        <v>38</v>
      </c>
      <c r="F48" s="2" t="s">
        <v>64</v>
      </c>
      <c r="G48" s="2" t="s">
        <v>42</v>
      </c>
      <c r="H48" s="3">
        <v>20380.75</v>
      </c>
      <c r="I48" s="3">
        <v>18747.8</v>
      </c>
      <c r="J48" s="3"/>
      <c r="K48" s="3"/>
      <c r="L48" s="3">
        <v>20380.75</v>
      </c>
      <c r="M48" s="3">
        <v>18747.8</v>
      </c>
      <c r="N48" s="3">
        <v>1632.95</v>
      </c>
      <c r="O48" s="3">
        <v>1632.95</v>
      </c>
      <c r="P48" s="3">
        <v>20380.75</v>
      </c>
      <c r="Q48" s="3">
        <v>18747.8</v>
      </c>
      <c r="R48" s="3">
        <v>1632.95</v>
      </c>
    </row>
    <row r="49" spans="1:18">
      <c r="A49" s="4">
        <v>45962</v>
      </c>
      <c r="B49" s="2" t="s">
        <v>12</v>
      </c>
      <c r="C49" s="2" t="s">
        <v>40</v>
      </c>
      <c r="D49" s="2" t="s">
        <v>64</v>
      </c>
      <c r="E49" s="2" t="s">
        <v>38</v>
      </c>
      <c r="F49" s="2" t="s">
        <v>64</v>
      </c>
      <c r="G49" s="2" t="s">
        <v>42</v>
      </c>
      <c r="H49" s="3">
        <v>31228.38</v>
      </c>
      <c r="I49" s="3">
        <v>31009.8</v>
      </c>
      <c r="J49" s="3"/>
      <c r="K49" s="3"/>
      <c r="L49" s="3">
        <v>31228.38</v>
      </c>
      <c r="M49" s="3">
        <v>31009.8</v>
      </c>
      <c r="N49" s="3">
        <v>218.58</v>
      </c>
      <c r="O49" s="3">
        <v>218.58</v>
      </c>
      <c r="P49" s="3">
        <v>31228.38</v>
      </c>
      <c r="Q49" s="3">
        <v>31009.8</v>
      </c>
      <c r="R49" s="3">
        <v>218.58</v>
      </c>
    </row>
    <row r="50" spans="1:18">
      <c r="A50" s="4">
        <v>45962</v>
      </c>
      <c r="B50" s="2" t="s">
        <v>12</v>
      </c>
      <c r="C50" s="2" t="s">
        <v>36</v>
      </c>
      <c r="D50" s="2" t="s">
        <v>65</v>
      </c>
      <c r="E50" s="2" t="s">
        <v>38</v>
      </c>
      <c r="F50" s="2" t="s">
        <v>65</v>
      </c>
      <c r="G50" s="2" t="s">
        <v>39</v>
      </c>
      <c r="H50" s="3">
        <v>34.8</v>
      </c>
      <c r="I50" s="3">
        <v>34.8</v>
      </c>
      <c r="J50" s="3"/>
      <c r="K50" s="3"/>
      <c r="L50" s="3">
        <v>34.8</v>
      </c>
      <c r="M50" s="3">
        <v>34.8</v>
      </c>
      <c r="N50" s="3"/>
      <c r="O50" s="3"/>
      <c r="P50" s="3">
        <v>34.8</v>
      </c>
      <c r="Q50" s="3">
        <v>34.8</v>
      </c>
      <c r="R50" s="3"/>
    </row>
    <row r="51" spans="1:18">
      <c r="A51" s="4">
        <v>45962</v>
      </c>
      <c r="B51" s="2" t="s">
        <v>12</v>
      </c>
      <c r="C51" s="2" t="s">
        <v>36</v>
      </c>
      <c r="D51" s="2" t="s">
        <v>65</v>
      </c>
      <c r="E51" s="2" t="s">
        <v>38</v>
      </c>
      <c r="F51" s="2" t="s">
        <v>65</v>
      </c>
      <c r="G51" s="2" t="s">
        <v>42</v>
      </c>
      <c r="H51" s="3">
        <v>31419.21</v>
      </c>
      <c r="I51" s="3">
        <v>22972</v>
      </c>
      <c r="J51" s="3"/>
      <c r="K51" s="3"/>
      <c r="L51" s="3">
        <v>31419.21</v>
      </c>
      <c r="M51" s="3">
        <v>22972</v>
      </c>
      <c r="N51" s="3">
        <v>8447.21</v>
      </c>
      <c r="O51" s="3">
        <v>8447.21</v>
      </c>
      <c r="P51" s="3">
        <v>31419.21</v>
      </c>
      <c r="Q51" s="3">
        <v>22972</v>
      </c>
      <c r="R51" s="3">
        <v>8447.21</v>
      </c>
    </row>
    <row r="52" spans="1:18">
      <c r="A52" s="4">
        <v>45962</v>
      </c>
      <c r="B52" s="2" t="s">
        <v>12</v>
      </c>
      <c r="C52" s="2" t="s">
        <v>36</v>
      </c>
      <c r="D52" s="2" t="s">
        <v>66</v>
      </c>
      <c r="E52" s="2" t="s">
        <v>38</v>
      </c>
      <c r="F52" s="2" t="s">
        <v>66</v>
      </c>
      <c r="G52" s="2" t="s">
        <v>39</v>
      </c>
      <c r="H52" s="3">
        <v>32.25</v>
      </c>
      <c r="I52" s="3">
        <v>31.8</v>
      </c>
      <c r="J52" s="3"/>
      <c r="K52" s="3"/>
      <c r="L52" s="3">
        <v>32.25</v>
      </c>
      <c r="M52" s="3">
        <v>31.8</v>
      </c>
      <c r="N52" s="3">
        <v>0.45</v>
      </c>
      <c r="O52" s="3">
        <v>0.45</v>
      </c>
      <c r="P52" s="3">
        <v>32.25</v>
      </c>
      <c r="Q52" s="3">
        <v>31.8</v>
      </c>
      <c r="R52" s="3">
        <v>0.45</v>
      </c>
    </row>
    <row r="53" spans="1:18">
      <c r="A53" s="4">
        <v>45962</v>
      </c>
      <c r="B53" s="2" t="s">
        <v>12</v>
      </c>
      <c r="C53" s="2" t="s">
        <v>40</v>
      </c>
      <c r="D53" s="2" t="s">
        <v>66</v>
      </c>
      <c r="E53" s="2" t="s">
        <v>38</v>
      </c>
      <c r="F53" s="2" t="s">
        <v>66</v>
      </c>
      <c r="G53" s="2" t="s">
        <v>39</v>
      </c>
      <c r="H53" s="3">
        <v>42.8</v>
      </c>
      <c r="I53" s="3">
        <v>42.4</v>
      </c>
      <c r="J53" s="3"/>
      <c r="K53" s="3"/>
      <c r="L53" s="3">
        <v>42.8</v>
      </c>
      <c r="M53" s="3">
        <v>42.4</v>
      </c>
      <c r="N53" s="3">
        <v>0.4</v>
      </c>
      <c r="O53" s="3">
        <v>0.4</v>
      </c>
      <c r="P53" s="3">
        <v>42.8</v>
      </c>
      <c r="Q53" s="3">
        <v>42.4</v>
      </c>
      <c r="R53" s="3">
        <v>0.4</v>
      </c>
    </row>
    <row r="54" spans="1:18">
      <c r="A54" s="4">
        <v>45962</v>
      </c>
      <c r="B54" s="2" t="s">
        <v>12</v>
      </c>
      <c r="C54" s="2" t="s">
        <v>36</v>
      </c>
      <c r="D54" s="2" t="s">
        <v>67</v>
      </c>
      <c r="E54" s="2" t="s">
        <v>38</v>
      </c>
      <c r="F54" s="2" t="s">
        <v>67</v>
      </c>
      <c r="G54" s="2" t="s">
        <v>39</v>
      </c>
      <c r="H54" s="3">
        <v>18834.961</v>
      </c>
      <c r="I54" s="3">
        <v>17125.89</v>
      </c>
      <c r="J54" s="3"/>
      <c r="K54" s="3"/>
      <c r="L54" s="3">
        <v>18834.961</v>
      </c>
      <c r="M54" s="3">
        <v>17125.89</v>
      </c>
      <c r="N54" s="3">
        <v>1709.071</v>
      </c>
      <c r="O54" s="3">
        <v>1709.071</v>
      </c>
      <c r="P54" s="3">
        <v>18834.961</v>
      </c>
      <c r="Q54" s="3">
        <v>17125.89</v>
      </c>
      <c r="R54" s="3">
        <v>1709.071</v>
      </c>
    </row>
    <row r="55" spans="1:18">
      <c r="A55" s="4">
        <v>45962</v>
      </c>
      <c r="B55" s="2" t="s">
        <v>12</v>
      </c>
      <c r="C55" s="2" t="s">
        <v>40</v>
      </c>
      <c r="D55" s="2" t="s">
        <v>67</v>
      </c>
      <c r="E55" s="2" t="s">
        <v>38</v>
      </c>
      <c r="F55" s="2" t="s">
        <v>67</v>
      </c>
      <c r="G55" s="2" t="s">
        <v>39</v>
      </c>
      <c r="H55" s="3">
        <v>3746.23</v>
      </c>
      <c r="I55" s="3">
        <v>3510.01</v>
      </c>
      <c r="J55" s="3"/>
      <c r="K55" s="3"/>
      <c r="L55" s="3">
        <v>3746.23</v>
      </c>
      <c r="M55" s="3">
        <v>3510.01</v>
      </c>
      <c r="N55" s="3">
        <v>236.22</v>
      </c>
      <c r="O55" s="3">
        <v>236.22</v>
      </c>
      <c r="P55" s="3">
        <v>3746.23</v>
      </c>
      <c r="Q55" s="3">
        <v>3510.01</v>
      </c>
      <c r="R55" s="3">
        <v>236.22</v>
      </c>
    </row>
    <row r="56" spans="1:18">
      <c r="A56" s="4">
        <v>45962</v>
      </c>
      <c r="B56" s="2" t="s">
        <v>12</v>
      </c>
      <c r="C56" s="2" t="s">
        <v>36</v>
      </c>
      <c r="D56" s="2" t="s">
        <v>67</v>
      </c>
      <c r="E56" s="2" t="s">
        <v>38</v>
      </c>
      <c r="F56" s="2" t="s">
        <v>67</v>
      </c>
      <c r="G56" s="2" t="s">
        <v>42</v>
      </c>
      <c r="H56" s="3">
        <v>2271.8</v>
      </c>
      <c r="I56" s="3">
        <v>2090.85</v>
      </c>
      <c r="J56" s="3"/>
      <c r="K56" s="3"/>
      <c r="L56" s="3">
        <v>2271.8</v>
      </c>
      <c r="M56" s="3">
        <v>2090.85</v>
      </c>
      <c r="N56" s="3">
        <v>180.95</v>
      </c>
      <c r="O56" s="3">
        <v>180.95</v>
      </c>
      <c r="P56" s="3">
        <v>2271.8</v>
      </c>
      <c r="Q56" s="3">
        <v>2090.85</v>
      </c>
      <c r="R56" s="3">
        <v>180.95</v>
      </c>
    </row>
    <row r="57" spans="1:18">
      <c r="A57" s="4">
        <v>45962</v>
      </c>
      <c r="B57" s="2" t="s">
        <v>12</v>
      </c>
      <c r="C57" s="2" t="s">
        <v>40</v>
      </c>
      <c r="D57" s="2" t="s">
        <v>67</v>
      </c>
      <c r="E57" s="2" t="s">
        <v>38</v>
      </c>
      <c r="F57" s="2" t="s">
        <v>67</v>
      </c>
      <c r="G57" s="2" t="s">
        <v>42</v>
      </c>
      <c r="H57" s="3">
        <v>277.91</v>
      </c>
      <c r="I57" s="3">
        <v>220.74</v>
      </c>
      <c r="J57" s="3"/>
      <c r="K57" s="3"/>
      <c r="L57" s="3">
        <v>277.91</v>
      </c>
      <c r="M57" s="3">
        <v>220.74</v>
      </c>
      <c r="N57" s="3">
        <v>57.17</v>
      </c>
      <c r="O57" s="3">
        <v>57.17</v>
      </c>
      <c r="P57" s="3">
        <v>277.91</v>
      </c>
      <c r="Q57" s="3">
        <v>220.74</v>
      </c>
      <c r="R57" s="3">
        <v>57.17</v>
      </c>
    </row>
    <row r="58" spans="1:18">
      <c r="A58" s="4">
        <v>45962</v>
      </c>
      <c r="B58" s="2" t="s">
        <v>12</v>
      </c>
      <c r="C58" s="2" t="s">
        <v>36</v>
      </c>
      <c r="D58" s="2" t="s">
        <v>68</v>
      </c>
      <c r="E58" s="2" t="s">
        <v>38</v>
      </c>
      <c r="F58" s="2" t="s">
        <v>68</v>
      </c>
      <c r="G58" s="2" t="s">
        <v>39</v>
      </c>
      <c r="H58" s="3">
        <v>49148.7928</v>
      </c>
      <c r="I58" s="3">
        <v>40694.45</v>
      </c>
      <c r="J58" s="3"/>
      <c r="K58" s="3"/>
      <c r="L58" s="3">
        <v>49148.7928</v>
      </c>
      <c r="M58" s="3">
        <v>40694.45</v>
      </c>
      <c r="N58" s="3">
        <v>8454.3428</v>
      </c>
      <c r="O58" s="3">
        <v>8454.3428</v>
      </c>
      <c r="P58" s="3">
        <v>49148.7928</v>
      </c>
      <c r="Q58" s="3">
        <v>40694.45</v>
      </c>
      <c r="R58" s="3">
        <v>8454.3428</v>
      </c>
    </row>
    <row r="59" spans="1:18">
      <c r="A59" s="4">
        <v>45962</v>
      </c>
      <c r="B59" s="2" t="s">
        <v>12</v>
      </c>
      <c r="C59" s="2" t="s">
        <v>40</v>
      </c>
      <c r="D59" s="2" t="s">
        <v>68</v>
      </c>
      <c r="E59" s="2" t="s">
        <v>38</v>
      </c>
      <c r="F59" s="2" t="s">
        <v>68</v>
      </c>
      <c r="G59" s="2" t="s">
        <v>39</v>
      </c>
      <c r="H59" s="3">
        <v>3616.35</v>
      </c>
      <c r="I59" s="3">
        <v>3579.75</v>
      </c>
      <c r="J59" s="3"/>
      <c r="K59" s="3"/>
      <c r="L59" s="3">
        <v>3616.35</v>
      </c>
      <c r="M59" s="3">
        <v>3579.75</v>
      </c>
      <c r="N59" s="3">
        <v>36.6</v>
      </c>
      <c r="O59" s="3">
        <v>36.6</v>
      </c>
      <c r="P59" s="3">
        <v>3616.35</v>
      </c>
      <c r="Q59" s="3">
        <v>3579.75</v>
      </c>
      <c r="R59" s="3">
        <v>36.6</v>
      </c>
    </row>
    <row r="60" spans="1:18">
      <c r="A60" s="4">
        <v>45962</v>
      </c>
      <c r="B60" s="2" t="s">
        <v>12</v>
      </c>
      <c r="C60" s="2" t="s">
        <v>36</v>
      </c>
      <c r="D60" s="2" t="s">
        <v>68</v>
      </c>
      <c r="E60" s="2" t="s">
        <v>38</v>
      </c>
      <c r="F60" s="2" t="s">
        <v>68</v>
      </c>
      <c r="G60" s="2" t="s">
        <v>42</v>
      </c>
      <c r="H60" s="3">
        <v>2790.4665</v>
      </c>
      <c r="I60" s="3">
        <v>2505.14</v>
      </c>
      <c r="J60" s="3"/>
      <c r="K60" s="3"/>
      <c r="L60" s="3">
        <v>2790.4665</v>
      </c>
      <c r="M60" s="3">
        <v>2505.14</v>
      </c>
      <c r="N60" s="3">
        <v>285.3265</v>
      </c>
      <c r="O60" s="3">
        <v>285.3265</v>
      </c>
      <c r="P60" s="3">
        <v>2790.4665</v>
      </c>
      <c r="Q60" s="3">
        <v>2505.14</v>
      </c>
      <c r="R60" s="3">
        <v>285.3265</v>
      </c>
    </row>
    <row r="61" spans="1:18">
      <c r="A61" s="4">
        <v>45962</v>
      </c>
      <c r="B61" s="2" t="s">
        <v>12</v>
      </c>
      <c r="C61" s="2" t="s">
        <v>40</v>
      </c>
      <c r="D61" s="2" t="s">
        <v>68</v>
      </c>
      <c r="E61" s="2" t="s">
        <v>38</v>
      </c>
      <c r="F61" s="2" t="s">
        <v>68</v>
      </c>
      <c r="G61" s="2" t="s">
        <v>42</v>
      </c>
      <c r="H61" s="3">
        <v>4510.26</v>
      </c>
      <c r="I61" s="3">
        <v>4285.45</v>
      </c>
      <c r="J61" s="3"/>
      <c r="K61" s="3"/>
      <c r="L61" s="3">
        <v>4510.26</v>
      </c>
      <c r="M61" s="3">
        <v>4285.45</v>
      </c>
      <c r="N61" s="3">
        <v>224.81</v>
      </c>
      <c r="O61" s="3">
        <v>224.81</v>
      </c>
      <c r="P61" s="3">
        <v>4510.26</v>
      </c>
      <c r="Q61" s="3">
        <v>4285.45</v>
      </c>
      <c r="R61" s="3">
        <v>224.81</v>
      </c>
    </row>
    <row r="62" spans="1:18">
      <c r="A62" s="4">
        <v>45962</v>
      </c>
      <c r="B62" s="2" t="s">
        <v>12</v>
      </c>
      <c r="C62" s="2" t="s">
        <v>36</v>
      </c>
      <c r="D62" s="2" t="s">
        <v>69</v>
      </c>
      <c r="E62" s="2" t="s">
        <v>38</v>
      </c>
      <c r="F62" s="2" t="s">
        <v>69</v>
      </c>
      <c r="G62" s="2" t="s">
        <v>39</v>
      </c>
      <c r="H62" s="3">
        <v>99</v>
      </c>
      <c r="I62" s="3">
        <v>96</v>
      </c>
      <c r="J62" s="3"/>
      <c r="K62" s="3"/>
      <c r="L62" s="3">
        <v>99</v>
      </c>
      <c r="M62" s="3">
        <v>96</v>
      </c>
      <c r="N62" s="3">
        <v>3</v>
      </c>
      <c r="O62" s="3">
        <v>3</v>
      </c>
      <c r="P62" s="3">
        <v>99</v>
      </c>
      <c r="Q62" s="3">
        <v>96</v>
      </c>
      <c r="R62" s="3">
        <v>3</v>
      </c>
    </row>
    <row r="63" spans="1:18">
      <c r="A63" s="4">
        <v>45962</v>
      </c>
      <c r="B63" s="2" t="s">
        <v>12</v>
      </c>
      <c r="C63" s="2" t="s">
        <v>40</v>
      </c>
      <c r="D63" s="2" t="s">
        <v>69</v>
      </c>
      <c r="E63" s="2" t="s">
        <v>38</v>
      </c>
      <c r="F63" s="2" t="s">
        <v>69</v>
      </c>
      <c r="G63" s="2" t="s">
        <v>39</v>
      </c>
      <c r="H63" s="3">
        <v>9800</v>
      </c>
      <c r="I63" s="3">
        <v>9350</v>
      </c>
      <c r="J63" s="3"/>
      <c r="K63" s="3"/>
      <c r="L63" s="3">
        <v>9800</v>
      </c>
      <c r="M63" s="3">
        <v>9350</v>
      </c>
      <c r="N63" s="3">
        <v>450</v>
      </c>
      <c r="O63" s="3">
        <v>450</v>
      </c>
      <c r="P63" s="3">
        <v>9800</v>
      </c>
      <c r="Q63" s="3">
        <v>9350</v>
      </c>
      <c r="R63" s="3">
        <v>450</v>
      </c>
    </row>
    <row r="64" spans="1:18">
      <c r="A64" s="4">
        <v>45962</v>
      </c>
      <c r="B64" s="2" t="s">
        <v>12</v>
      </c>
      <c r="C64" s="2" t="s">
        <v>36</v>
      </c>
      <c r="D64" s="2" t="s">
        <v>70</v>
      </c>
      <c r="E64" s="2" t="s">
        <v>38</v>
      </c>
      <c r="F64" s="2" t="s">
        <v>70</v>
      </c>
      <c r="G64" s="2" t="s">
        <v>39</v>
      </c>
      <c r="H64" s="3"/>
      <c r="I64" s="3"/>
      <c r="J64" s="3">
        <v>-106.64</v>
      </c>
      <c r="K64" s="3">
        <v>-106.15</v>
      </c>
      <c r="L64" s="3">
        <v>-106.64</v>
      </c>
      <c r="M64" s="3">
        <v>-106.15</v>
      </c>
      <c r="N64" s="3">
        <v>-0.490000000000005</v>
      </c>
      <c r="O64" s="3">
        <v>-0.490000000000005</v>
      </c>
      <c r="P64" s="3">
        <v>-106.64</v>
      </c>
      <c r="Q64" s="3">
        <v>-106.15</v>
      </c>
      <c r="R64" s="3">
        <v>-0.490000000000005</v>
      </c>
    </row>
    <row r="65" spans="1:18">
      <c r="A65" s="4">
        <v>45962</v>
      </c>
      <c r="B65" s="2" t="s">
        <v>12</v>
      </c>
      <c r="C65" s="2" t="s">
        <v>36</v>
      </c>
      <c r="D65" s="2" t="s">
        <v>71</v>
      </c>
      <c r="E65" s="2" t="s">
        <v>38</v>
      </c>
      <c r="F65" s="2" t="s">
        <v>71</v>
      </c>
      <c r="G65" s="2" t="s">
        <v>39</v>
      </c>
      <c r="H65" s="3"/>
      <c r="I65" s="3"/>
      <c r="J65" s="3">
        <v>-19.8</v>
      </c>
      <c r="K65" s="3">
        <v>-19.8</v>
      </c>
      <c r="L65" s="3">
        <v>-19.8</v>
      </c>
      <c r="M65" s="3">
        <v>-19.8</v>
      </c>
      <c r="N65" s="3"/>
      <c r="O65" s="3"/>
      <c r="P65" s="3">
        <v>-19.8</v>
      </c>
      <c r="Q65" s="3">
        <v>-19.8</v>
      </c>
      <c r="R65" s="3"/>
    </row>
    <row r="66" spans="1:18">
      <c r="A66" s="4">
        <v>45962</v>
      </c>
      <c r="B66" s="2" t="s">
        <v>12</v>
      </c>
      <c r="C66" s="2" t="s">
        <v>36</v>
      </c>
      <c r="D66" s="2" t="s">
        <v>72</v>
      </c>
      <c r="E66" s="2" t="s">
        <v>38</v>
      </c>
      <c r="F66" s="2" t="s">
        <v>72</v>
      </c>
      <c r="G66" s="2" t="s">
        <v>39</v>
      </c>
      <c r="H66" s="3">
        <v>2763.36</v>
      </c>
      <c r="I66" s="3">
        <v>2227.4</v>
      </c>
      <c r="J66" s="3"/>
      <c r="K66" s="3"/>
      <c r="L66" s="3">
        <v>2763.36</v>
      </c>
      <c r="M66" s="3">
        <v>2227.4</v>
      </c>
      <c r="N66" s="3">
        <v>535.96</v>
      </c>
      <c r="O66" s="3">
        <v>535.96</v>
      </c>
      <c r="P66" s="3">
        <v>2763.36</v>
      </c>
      <c r="Q66" s="3">
        <v>2227.4</v>
      </c>
      <c r="R66" s="3">
        <v>535.96</v>
      </c>
    </row>
    <row r="67" spans="1:18">
      <c r="A67" s="4">
        <v>45962</v>
      </c>
      <c r="B67" s="2" t="s">
        <v>12</v>
      </c>
      <c r="C67" s="2" t="s">
        <v>40</v>
      </c>
      <c r="D67" s="2" t="s">
        <v>72</v>
      </c>
      <c r="E67" s="2" t="s">
        <v>38</v>
      </c>
      <c r="F67" s="2" t="s">
        <v>72</v>
      </c>
      <c r="G67" s="2" t="s">
        <v>39</v>
      </c>
      <c r="H67" s="3">
        <v>952.72</v>
      </c>
      <c r="I67" s="3">
        <v>864.6</v>
      </c>
      <c r="J67" s="3"/>
      <c r="K67" s="3"/>
      <c r="L67" s="3">
        <v>952.72</v>
      </c>
      <c r="M67" s="3">
        <v>864.6</v>
      </c>
      <c r="N67" s="3">
        <v>88.12</v>
      </c>
      <c r="O67" s="3">
        <v>88.12</v>
      </c>
      <c r="P67" s="3">
        <v>952.72</v>
      </c>
      <c r="Q67" s="3">
        <v>864.6</v>
      </c>
      <c r="R67" s="3">
        <v>88.12</v>
      </c>
    </row>
    <row r="68" spans="1:18">
      <c r="A68" s="4">
        <v>45962</v>
      </c>
      <c r="B68" s="2" t="s">
        <v>12</v>
      </c>
      <c r="C68" s="2" t="s">
        <v>36</v>
      </c>
      <c r="D68" s="2" t="s">
        <v>72</v>
      </c>
      <c r="E68" s="2" t="s">
        <v>38</v>
      </c>
      <c r="F68" s="2" t="s">
        <v>72</v>
      </c>
      <c r="G68" s="2" t="s">
        <v>42</v>
      </c>
      <c r="H68" s="3">
        <v>805.7475</v>
      </c>
      <c r="I68" s="3">
        <v>701.85</v>
      </c>
      <c r="J68" s="3"/>
      <c r="K68" s="3"/>
      <c r="L68" s="3">
        <v>805.7475</v>
      </c>
      <c r="M68" s="3">
        <v>701.85</v>
      </c>
      <c r="N68" s="3">
        <v>103.8975</v>
      </c>
      <c r="O68" s="3">
        <v>103.8975</v>
      </c>
      <c r="P68" s="3">
        <v>805.7475</v>
      </c>
      <c r="Q68" s="3">
        <v>701.85</v>
      </c>
      <c r="R68" s="3">
        <v>103.8975</v>
      </c>
    </row>
    <row r="69" spans="1:18">
      <c r="A69" s="4">
        <v>45962</v>
      </c>
      <c r="B69" s="2" t="s">
        <v>12</v>
      </c>
      <c r="C69" s="2" t="s">
        <v>40</v>
      </c>
      <c r="D69" s="2" t="s">
        <v>72</v>
      </c>
      <c r="E69" s="2" t="s">
        <v>38</v>
      </c>
      <c r="F69" s="2" t="s">
        <v>72</v>
      </c>
      <c r="G69" s="2" t="s">
        <v>42</v>
      </c>
      <c r="H69" s="3">
        <v>18673.98</v>
      </c>
      <c r="I69" s="3">
        <v>18111.3</v>
      </c>
      <c r="J69" s="3"/>
      <c r="K69" s="3"/>
      <c r="L69" s="3">
        <v>18673.98</v>
      </c>
      <c r="M69" s="3">
        <v>18111.3</v>
      </c>
      <c r="N69" s="3">
        <v>562.68</v>
      </c>
      <c r="O69" s="3">
        <v>562.68</v>
      </c>
      <c r="P69" s="3">
        <v>18673.98</v>
      </c>
      <c r="Q69" s="3">
        <v>18111.3</v>
      </c>
      <c r="R69" s="3">
        <v>562.68</v>
      </c>
    </row>
    <row r="70" spans="1:18">
      <c r="A70" s="4">
        <v>45962</v>
      </c>
      <c r="B70" s="2" t="s">
        <v>12</v>
      </c>
      <c r="C70" s="2" t="s">
        <v>36</v>
      </c>
      <c r="D70" s="2" t="s">
        <v>73</v>
      </c>
      <c r="E70" s="2" t="s">
        <v>38</v>
      </c>
      <c r="F70" s="2" t="s">
        <v>73</v>
      </c>
      <c r="G70" s="2" t="s">
        <v>42</v>
      </c>
      <c r="H70" s="3">
        <v>181882.76</v>
      </c>
      <c r="I70" s="3">
        <v>160936.33</v>
      </c>
      <c r="J70" s="3">
        <v>-32.13</v>
      </c>
      <c r="K70" s="3">
        <v>-29.26</v>
      </c>
      <c r="L70" s="3">
        <v>181850.629999999</v>
      </c>
      <c r="M70" s="3">
        <v>160907.069999999</v>
      </c>
      <c r="N70" s="3">
        <v>20943.56</v>
      </c>
      <c r="O70" s="3">
        <v>20943.56</v>
      </c>
      <c r="P70" s="3">
        <v>181850.629999999</v>
      </c>
      <c r="Q70" s="3">
        <v>160907.069999999</v>
      </c>
      <c r="R70" s="3">
        <v>20943.56</v>
      </c>
    </row>
    <row r="71" spans="1:18">
      <c r="A71" s="4">
        <v>45962</v>
      </c>
      <c r="B71" s="2" t="s">
        <v>12</v>
      </c>
      <c r="C71" s="2" t="s">
        <v>36</v>
      </c>
      <c r="D71" s="2" t="s">
        <v>74</v>
      </c>
      <c r="E71" s="2" t="s">
        <v>38</v>
      </c>
      <c r="F71" s="2" t="s">
        <v>74</v>
      </c>
      <c r="G71" s="2" t="s">
        <v>42</v>
      </c>
      <c r="H71" s="3">
        <v>12</v>
      </c>
      <c r="I71" s="3">
        <v>10.2</v>
      </c>
      <c r="J71" s="3"/>
      <c r="K71" s="3"/>
      <c r="L71" s="3">
        <v>12</v>
      </c>
      <c r="M71" s="3">
        <v>10.2</v>
      </c>
      <c r="N71" s="3">
        <v>1.8</v>
      </c>
      <c r="O71" s="3">
        <v>1.8</v>
      </c>
      <c r="P71" s="3">
        <v>12</v>
      </c>
      <c r="Q71" s="3">
        <v>10.2</v>
      </c>
      <c r="R71" s="3">
        <v>1.8</v>
      </c>
    </row>
    <row r="72" spans="1:18">
      <c r="A72" s="4">
        <v>45962</v>
      </c>
      <c r="B72" s="2" t="s">
        <v>12</v>
      </c>
      <c r="C72" s="2" t="s">
        <v>36</v>
      </c>
      <c r="D72" s="2" t="s">
        <v>75</v>
      </c>
      <c r="E72" s="2" t="s">
        <v>38</v>
      </c>
      <c r="F72" s="2" t="s">
        <v>75</v>
      </c>
      <c r="G72" s="2" t="s">
        <v>39</v>
      </c>
      <c r="H72" s="3">
        <v>17.85</v>
      </c>
      <c r="I72" s="3">
        <v>17.15</v>
      </c>
      <c r="J72" s="3"/>
      <c r="K72" s="3"/>
      <c r="L72" s="3">
        <v>17.85</v>
      </c>
      <c r="M72" s="3">
        <v>17.15</v>
      </c>
      <c r="N72" s="3">
        <v>0.7</v>
      </c>
      <c r="O72" s="3">
        <v>0.7</v>
      </c>
      <c r="P72" s="3">
        <v>17.85</v>
      </c>
      <c r="Q72" s="3">
        <v>17.15</v>
      </c>
      <c r="R72" s="3">
        <v>0.7</v>
      </c>
    </row>
    <row r="73" spans="1:18">
      <c r="A73" s="4">
        <v>45962</v>
      </c>
      <c r="B73" s="2" t="s">
        <v>12</v>
      </c>
      <c r="C73" s="2" t="s">
        <v>36</v>
      </c>
      <c r="D73" s="2" t="s">
        <v>76</v>
      </c>
      <c r="E73" s="2" t="s">
        <v>38</v>
      </c>
      <c r="F73" s="2" t="s">
        <v>76</v>
      </c>
      <c r="G73" s="2" t="s">
        <v>39</v>
      </c>
      <c r="H73" s="3">
        <v>1313.72355592</v>
      </c>
      <c r="I73" s="3">
        <v>1269.1</v>
      </c>
      <c r="J73" s="3"/>
      <c r="K73" s="3"/>
      <c r="L73" s="3">
        <v>1313.72355592</v>
      </c>
      <c r="M73" s="3">
        <v>1269.1</v>
      </c>
      <c r="N73" s="3">
        <v>44.62355592</v>
      </c>
      <c r="O73" s="3">
        <v>44.62355592</v>
      </c>
      <c r="P73" s="3">
        <v>1313.72355592</v>
      </c>
      <c r="Q73" s="3">
        <v>1269.1</v>
      </c>
      <c r="R73" s="3">
        <v>44.62355592</v>
      </c>
    </row>
    <row r="74" spans="1:18">
      <c r="A74" s="4">
        <v>45962</v>
      </c>
      <c r="B74" s="2" t="s">
        <v>12</v>
      </c>
      <c r="C74" s="2" t="s">
        <v>36</v>
      </c>
      <c r="D74" s="2" t="s">
        <v>77</v>
      </c>
      <c r="E74" s="2" t="s">
        <v>38</v>
      </c>
      <c r="F74" s="2" t="s">
        <v>77</v>
      </c>
      <c r="G74" s="2" t="s">
        <v>39</v>
      </c>
      <c r="H74" s="3">
        <v>1.6</v>
      </c>
      <c r="I74" s="3">
        <v>0.0002</v>
      </c>
      <c r="J74" s="3"/>
      <c r="K74" s="3"/>
      <c r="L74" s="3">
        <v>1.6</v>
      </c>
      <c r="M74" s="3">
        <v>0.0002</v>
      </c>
      <c r="N74" s="3">
        <v>1.5998</v>
      </c>
      <c r="O74" s="3">
        <v>1.5998</v>
      </c>
      <c r="P74" s="3">
        <v>1.6</v>
      </c>
      <c r="Q74" s="3">
        <v>0.0002</v>
      </c>
      <c r="R74" s="3">
        <v>1.5998</v>
      </c>
    </row>
    <row r="75" spans="1:18">
      <c r="A75" s="4">
        <v>45962</v>
      </c>
      <c r="B75" s="2" t="s">
        <v>12</v>
      </c>
      <c r="C75" s="2" t="s">
        <v>36</v>
      </c>
      <c r="D75" s="2" t="s">
        <v>78</v>
      </c>
      <c r="E75" s="2" t="s">
        <v>38</v>
      </c>
      <c r="F75" s="2" t="s">
        <v>78</v>
      </c>
      <c r="G75" s="2" t="s">
        <v>79</v>
      </c>
      <c r="H75" s="3">
        <v>458708.44</v>
      </c>
      <c r="I75" s="3">
        <v>440254.97</v>
      </c>
      <c r="J75" s="3">
        <v>-19883.1735</v>
      </c>
      <c r="K75" s="3">
        <v>-19029.23</v>
      </c>
      <c r="L75" s="3">
        <v>438825.266499999</v>
      </c>
      <c r="M75" s="3">
        <v>421225.739999999</v>
      </c>
      <c r="N75" s="3">
        <v>17599.5265</v>
      </c>
      <c r="O75" s="3">
        <v>17599.5265</v>
      </c>
      <c r="P75" s="3">
        <v>438825.266499999</v>
      </c>
      <c r="Q75" s="3">
        <v>421225.739999999</v>
      </c>
      <c r="R75" s="3">
        <v>17599.5265</v>
      </c>
    </row>
    <row r="76" spans="1:18">
      <c r="A76" s="4">
        <v>45962</v>
      </c>
      <c r="B76" s="2" t="s">
        <v>12</v>
      </c>
      <c r="C76" s="2" t="s">
        <v>36</v>
      </c>
      <c r="D76" s="2" t="s">
        <v>80</v>
      </c>
      <c r="E76" s="2" t="s">
        <v>81</v>
      </c>
      <c r="F76" s="2" t="s">
        <v>82</v>
      </c>
      <c r="G76" s="2" t="s">
        <v>39</v>
      </c>
      <c r="H76" s="3">
        <v>293.36</v>
      </c>
      <c r="I76" s="3">
        <v>36062.208</v>
      </c>
      <c r="J76" s="3"/>
      <c r="K76" s="3"/>
      <c r="L76" s="3">
        <v>293.36</v>
      </c>
      <c r="M76" s="3">
        <v>36062.208</v>
      </c>
      <c r="N76" s="3">
        <v>-35768.848</v>
      </c>
      <c r="O76" s="3">
        <v>-35768.848</v>
      </c>
      <c r="P76" s="3">
        <v>-35768.848</v>
      </c>
      <c r="Q76" s="3"/>
      <c r="R76" s="3">
        <v>-35768.848</v>
      </c>
    </row>
    <row r="77" spans="1:18">
      <c r="A77" s="4">
        <v>45962</v>
      </c>
      <c r="B77" s="2" t="s">
        <v>12</v>
      </c>
      <c r="C77" s="2" t="s">
        <v>40</v>
      </c>
      <c r="D77" s="2" t="s">
        <v>80</v>
      </c>
      <c r="E77" s="2" t="s">
        <v>81</v>
      </c>
      <c r="F77" s="2" t="s">
        <v>82</v>
      </c>
      <c r="G77" s="2" t="s">
        <v>39</v>
      </c>
      <c r="H77" s="3">
        <v>11187.5</v>
      </c>
      <c r="I77" s="3">
        <v>10400</v>
      </c>
      <c r="J77" s="3"/>
      <c r="K77" s="3"/>
      <c r="L77" s="3">
        <v>11187.5</v>
      </c>
      <c r="M77" s="3">
        <v>10400</v>
      </c>
      <c r="N77" s="3">
        <v>787.5</v>
      </c>
      <c r="O77" s="3">
        <v>787.5</v>
      </c>
      <c r="P77" s="3">
        <v>787.5</v>
      </c>
      <c r="Q77" s="3"/>
      <c r="R77" s="3">
        <v>787.5</v>
      </c>
    </row>
    <row r="78" spans="1:18">
      <c r="A78" s="4">
        <v>45962</v>
      </c>
      <c r="B78" s="2" t="s">
        <v>12</v>
      </c>
      <c r="C78" s="2" t="s">
        <v>40</v>
      </c>
      <c r="D78" s="2" t="s">
        <v>83</v>
      </c>
      <c r="E78" s="2" t="s">
        <v>38</v>
      </c>
      <c r="F78" s="2" t="s">
        <v>83</v>
      </c>
      <c r="G78" s="2" t="s">
        <v>39</v>
      </c>
      <c r="H78" s="3">
        <v>2325</v>
      </c>
      <c r="I78" s="3">
        <v>2325</v>
      </c>
      <c r="J78" s="3"/>
      <c r="K78" s="3"/>
      <c r="L78" s="3">
        <v>2325</v>
      </c>
      <c r="M78" s="3">
        <v>2325</v>
      </c>
      <c r="N78" s="3"/>
      <c r="O78" s="3"/>
      <c r="P78" s="3">
        <v>2325</v>
      </c>
      <c r="Q78" s="3">
        <v>2325</v>
      </c>
      <c r="R78" s="3"/>
    </row>
    <row r="79" spans="1:18">
      <c r="A79" s="4">
        <v>45962</v>
      </c>
      <c r="B79" s="2" t="s">
        <v>12</v>
      </c>
      <c r="C79" s="2" t="s">
        <v>36</v>
      </c>
      <c r="D79" s="2" t="s">
        <v>84</v>
      </c>
      <c r="E79" s="2" t="s">
        <v>38</v>
      </c>
      <c r="F79" s="2" t="s">
        <v>84</v>
      </c>
      <c r="G79" s="2" t="s">
        <v>79</v>
      </c>
      <c r="H79" s="3">
        <v>140775.5</v>
      </c>
      <c r="I79" s="3">
        <v>137254.1</v>
      </c>
      <c r="J79" s="3"/>
      <c r="K79" s="3"/>
      <c r="L79" s="3">
        <v>140775.5</v>
      </c>
      <c r="M79" s="3">
        <v>137254.1</v>
      </c>
      <c r="N79" s="3">
        <v>3521.4</v>
      </c>
      <c r="O79" s="3">
        <v>3521.4</v>
      </c>
      <c r="P79" s="3">
        <v>140775.5</v>
      </c>
      <c r="Q79" s="3">
        <v>137254.1</v>
      </c>
      <c r="R79" s="3">
        <v>3521.4</v>
      </c>
    </row>
    <row r="80" spans="1:18">
      <c r="A80" s="4">
        <v>45962</v>
      </c>
      <c r="B80" s="2" t="s">
        <v>12</v>
      </c>
      <c r="C80" s="2" t="s">
        <v>40</v>
      </c>
      <c r="D80" s="2" t="s">
        <v>84</v>
      </c>
      <c r="E80" s="2" t="s">
        <v>38</v>
      </c>
      <c r="F80" s="2" t="s">
        <v>84</v>
      </c>
      <c r="G80" s="2" t="s">
        <v>79</v>
      </c>
      <c r="H80" s="3">
        <v>389108.5</v>
      </c>
      <c r="I80" s="3">
        <v>379639</v>
      </c>
      <c r="J80" s="3"/>
      <c r="K80" s="3"/>
      <c r="L80" s="3">
        <v>389108.5</v>
      </c>
      <c r="M80" s="3">
        <v>379639</v>
      </c>
      <c r="N80" s="3">
        <v>9469.5</v>
      </c>
      <c r="O80" s="3">
        <v>9469.5</v>
      </c>
      <c r="P80" s="3">
        <v>389108.5</v>
      </c>
      <c r="Q80" s="3">
        <v>379639</v>
      </c>
      <c r="R80" s="3">
        <v>9469.5</v>
      </c>
    </row>
    <row r="81" spans="1:18">
      <c r="A81" s="4">
        <v>45962</v>
      </c>
      <c r="B81" s="2" t="s">
        <v>12</v>
      </c>
      <c r="C81" s="2" t="s">
        <v>36</v>
      </c>
      <c r="D81" s="2" t="s">
        <v>85</v>
      </c>
      <c r="E81" s="2" t="s">
        <v>38</v>
      </c>
      <c r="F81" s="2" t="s">
        <v>85</v>
      </c>
      <c r="G81" s="2" t="s">
        <v>55</v>
      </c>
      <c r="H81" s="3">
        <v>73721.35</v>
      </c>
      <c r="I81" s="3">
        <v>73984.75</v>
      </c>
      <c r="J81" s="3"/>
      <c r="K81" s="3"/>
      <c r="L81" s="3">
        <v>73721.35</v>
      </c>
      <c r="M81" s="3">
        <v>73984.75</v>
      </c>
      <c r="N81" s="3">
        <v>-263.4</v>
      </c>
      <c r="O81" s="3">
        <v>-263.4</v>
      </c>
      <c r="P81" s="3">
        <v>73721.35</v>
      </c>
      <c r="Q81" s="3">
        <v>73984.75</v>
      </c>
      <c r="R81" s="3">
        <v>-263.4</v>
      </c>
    </row>
    <row r="82" spans="1:18">
      <c r="A82" s="4">
        <v>45962</v>
      </c>
      <c r="B82" s="2" t="s">
        <v>12</v>
      </c>
      <c r="C82" s="2" t="s">
        <v>40</v>
      </c>
      <c r="D82" s="2" t="s">
        <v>85</v>
      </c>
      <c r="E82" s="2" t="s">
        <v>38</v>
      </c>
      <c r="F82" s="2" t="s">
        <v>85</v>
      </c>
      <c r="G82" s="2" t="s">
        <v>55</v>
      </c>
      <c r="H82" s="3">
        <v>1600</v>
      </c>
      <c r="I82" s="3">
        <v>1616.15</v>
      </c>
      <c r="J82" s="3"/>
      <c r="K82" s="3"/>
      <c r="L82" s="3">
        <v>1600</v>
      </c>
      <c r="M82" s="3">
        <v>1616.15</v>
      </c>
      <c r="N82" s="3">
        <v>-16.15</v>
      </c>
      <c r="O82" s="3">
        <v>-16.15</v>
      </c>
      <c r="P82" s="3">
        <v>1600</v>
      </c>
      <c r="Q82" s="3">
        <v>1616.15</v>
      </c>
      <c r="R82" s="3">
        <v>-16.15</v>
      </c>
    </row>
    <row r="83" spans="1:18">
      <c r="A83" s="4">
        <v>45962</v>
      </c>
      <c r="B83" s="2" t="s">
        <v>12</v>
      </c>
      <c r="C83" s="2" t="s">
        <v>36</v>
      </c>
      <c r="D83" s="2" t="s">
        <v>86</v>
      </c>
      <c r="E83" s="2" t="s">
        <v>81</v>
      </c>
      <c r="F83" s="2" t="s">
        <v>87</v>
      </c>
      <c r="G83" s="2" t="s">
        <v>42</v>
      </c>
      <c r="H83" s="3">
        <v>1704235.9628</v>
      </c>
      <c r="I83" s="3">
        <v>1979194.432</v>
      </c>
      <c r="J83" s="3"/>
      <c r="K83" s="3"/>
      <c r="L83" s="3">
        <v>1704235.9628</v>
      </c>
      <c r="M83" s="3">
        <v>1979194.432</v>
      </c>
      <c r="N83" s="3">
        <v>-274958.4692</v>
      </c>
      <c r="O83" s="3">
        <v>-274958.4692</v>
      </c>
      <c r="P83" s="3">
        <v>-274958.4692</v>
      </c>
      <c r="Q83" s="3"/>
      <c r="R83" s="3">
        <v>-274958.4692</v>
      </c>
    </row>
    <row r="84" spans="1:18">
      <c r="A84" s="4">
        <v>45962</v>
      </c>
      <c r="B84" s="2" t="s">
        <v>12</v>
      </c>
      <c r="C84" s="2" t="s">
        <v>40</v>
      </c>
      <c r="D84" s="2" t="s">
        <v>88</v>
      </c>
      <c r="E84" s="2" t="s">
        <v>38</v>
      </c>
      <c r="F84" s="2" t="s">
        <v>88</v>
      </c>
      <c r="G84" s="2" t="s">
        <v>39</v>
      </c>
      <c r="H84" s="3">
        <v>405.8</v>
      </c>
      <c r="I84" s="3">
        <v>399</v>
      </c>
      <c r="J84" s="3"/>
      <c r="K84" s="3"/>
      <c r="L84" s="3">
        <v>405.8</v>
      </c>
      <c r="M84" s="3">
        <v>399</v>
      </c>
      <c r="N84" s="3">
        <v>6.8</v>
      </c>
      <c r="O84" s="3">
        <v>6.8</v>
      </c>
      <c r="P84" s="3">
        <v>405.8</v>
      </c>
      <c r="Q84" s="3">
        <v>399</v>
      </c>
      <c r="R84" s="3">
        <v>6.8</v>
      </c>
    </row>
    <row r="85" spans="1:18">
      <c r="A85" s="4">
        <v>45962</v>
      </c>
      <c r="B85" s="2" t="s">
        <v>12</v>
      </c>
      <c r="C85" s="2" t="s">
        <v>36</v>
      </c>
      <c r="D85" s="2" t="s">
        <v>88</v>
      </c>
      <c r="E85" s="2" t="s">
        <v>38</v>
      </c>
      <c r="F85" s="2" t="s">
        <v>88</v>
      </c>
      <c r="G85" s="2" t="s">
        <v>42</v>
      </c>
      <c r="H85" s="3">
        <v>30</v>
      </c>
      <c r="I85" s="3">
        <v>27.8</v>
      </c>
      <c r="J85" s="3"/>
      <c r="K85" s="3"/>
      <c r="L85" s="3">
        <v>30</v>
      </c>
      <c r="M85" s="3">
        <v>27.8</v>
      </c>
      <c r="N85" s="3">
        <v>2.2</v>
      </c>
      <c r="O85" s="3">
        <v>2.2</v>
      </c>
      <c r="P85" s="3">
        <v>30</v>
      </c>
      <c r="Q85" s="3">
        <v>27.8</v>
      </c>
      <c r="R85" s="3">
        <v>2.2</v>
      </c>
    </row>
    <row r="86" spans="1:18">
      <c r="A86" s="4">
        <v>45962</v>
      </c>
      <c r="B86" s="2" t="s">
        <v>12</v>
      </c>
      <c r="C86" s="2" t="s">
        <v>36</v>
      </c>
      <c r="D86" s="2" t="s">
        <v>89</v>
      </c>
      <c r="E86" s="2" t="s">
        <v>81</v>
      </c>
      <c r="F86" s="2" t="s">
        <v>90</v>
      </c>
      <c r="G86" s="2" t="s">
        <v>91</v>
      </c>
      <c r="H86" s="3">
        <v>23.2</v>
      </c>
      <c r="I86" s="3">
        <v>19.5</v>
      </c>
      <c r="J86" s="3"/>
      <c r="K86" s="3"/>
      <c r="L86" s="3">
        <v>23.2</v>
      </c>
      <c r="M86" s="3">
        <v>19.5</v>
      </c>
      <c r="N86" s="3">
        <v>3.7</v>
      </c>
      <c r="O86" s="3">
        <v>3.7</v>
      </c>
      <c r="P86" s="3">
        <v>3.7</v>
      </c>
      <c r="Q86" s="3"/>
      <c r="R86" s="3">
        <v>3.7</v>
      </c>
    </row>
    <row r="87" spans="1:18">
      <c r="A87" s="4">
        <v>45962</v>
      </c>
      <c r="B87" s="2" t="s">
        <v>12</v>
      </c>
      <c r="C87" s="2" t="s">
        <v>36</v>
      </c>
      <c r="D87" s="2" t="s">
        <v>92</v>
      </c>
      <c r="E87" s="2" t="s">
        <v>38</v>
      </c>
      <c r="F87" s="2" t="s">
        <v>92</v>
      </c>
      <c r="G87" s="2" t="s">
        <v>39</v>
      </c>
      <c r="H87" s="3">
        <v>57618</v>
      </c>
      <c r="I87" s="3">
        <v>58200</v>
      </c>
      <c r="J87" s="3"/>
      <c r="K87" s="3"/>
      <c r="L87" s="3">
        <v>57618</v>
      </c>
      <c r="M87" s="3">
        <v>58200</v>
      </c>
      <c r="N87" s="3">
        <v>-582</v>
      </c>
      <c r="O87" s="3">
        <v>-582</v>
      </c>
      <c r="P87" s="3">
        <v>57618</v>
      </c>
      <c r="Q87" s="3">
        <v>58200</v>
      </c>
      <c r="R87" s="3">
        <v>-582</v>
      </c>
    </row>
    <row r="88" spans="1:18">
      <c r="A88" s="4">
        <v>45962</v>
      </c>
      <c r="B88" s="2" t="s">
        <v>12</v>
      </c>
      <c r="C88" s="2" t="s">
        <v>40</v>
      </c>
      <c r="D88" s="2" t="s">
        <v>92</v>
      </c>
      <c r="E88" s="2" t="s">
        <v>38</v>
      </c>
      <c r="F88" s="2" t="s">
        <v>92</v>
      </c>
      <c r="G88" s="2" t="s">
        <v>39</v>
      </c>
      <c r="H88" s="3">
        <v>4566457</v>
      </c>
      <c r="I88" s="3">
        <v>4553413</v>
      </c>
      <c r="J88" s="3"/>
      <c r="K88" s="3"/>
      <c r="L88" s="3">
        <v>4566457</v>
      </c>
      <c r="M88" s="3">
        <v>4553413</v>
      </c>
      <c r="N88" s="3">
        <v>13044</v>
      </c>
      <c r="O88" s="3">
        <v>13044</v>
      </c>
      <c r="P88" s="3">
        <v>4566457</v>
      </c>
      <c r="Q88" s="3">
        <v>4553413</v>
      </c>
      <c r="R88" s="3">
        <v>13044</v>
      </c>
    </row>
    <row r="89" spans="1:18">
      <c r="A89" s="4">
        <v>45962</v>
      </c>
      <c r="B89" s="2" t="s">
        <v>12</v>
      </c>
      <c r="C89" s="2" t="s">
        <v>36</v>
      </c>
      <c r="D89" s="2" t="s">
        <v>93</v>
      </c>
      <c r="E89" s="2" t="s">
        <v>81</v>
      </c>
      <c r="F89" s="2" t="s">
        <v>94</v>
      </c>
      <c r="G89" s="2" t="s">
        <v>42</v>
      </c>
      <c r="H89" s="3">
        <v>100000</v>
      </c>
      <c r="I89" s="3">
        <v>99400</v>
      </c>
      <c r="J89" s="3"/>
      <c r="K89" s="3"/>
      <c r="L89" s="3">
        <v>100000</v>
      </c>
      <c r="M89" s="3">
        <v>99400</v>
      </c>
      <c r="N89" s="3">
        <v>600</v>
      </c>
      <c r="O89" s="3">
        <v>600</v>
      </c>
      <c r="P89" s="3">
        <v>600</v>
      </c>
      <c r="Q89" s="3"/>
      <c r="R89" s="3">
        <v>600</v>
      </c>
    </row>
    <row r="90" spans="1:18">
      <c r="A90" s="4">
        <v>45962</v>
      </c>
      <c r="B90" s="2" t="s">
        <v>12</v>
      </c>
      <c r="C90" s="2" t="s">
        <v>40</v>
      </c>
      <c r="D90" s="2" t="s">
        <v>93</v>
      </c>
      <c r="E90" s="2" t="s">
        <v>81</v>
      </c>
      <c r="F90" s="2" t="s">
        <v>94</v>
      </c>
      <c r="G90" s="2" t="s">
        <v>42</v>
      </c>
      <c r="H90" s="3">
        <v>936981.627</v>
      </c>
      <c r="I90" s="3">
        <v>933534.654</v>
      </c>
      <c r="J90" s="3"/>
      <c r="K90" s="3"/>
      <c r="L90" s="3">
        <v>936981.627</v>
      </c>
      <c r="M90" s="3">
        <v>933534.654</v>
      </c>
      <c r="N90" s="3">
        <v>3446.973</v>
      </c>
      <c r="O90" s="3">
        <v>3446.973</v>
      </c>
      <c r="P90" s="3">
        <v>3446.973</v>
      </c>
      <c r="Q90" s="3"/>
      <c r="R90" s="3">
        <v>3446.973</v>
      </c>
    </row>
    <row r="91" spans="1:18">
      <c r="A91" s="4">
        <v>45962</v>
      </c>
      <c r="B91" s="2" t="s">
        <v>12</v>
      </c>
      <c r="C91" s="2" t="s">
        <v>36</v>
      </c>
      <c r="D91" s="2" t="s">
        <v>95</v>
      </c>
      <c r="E91" s="2" t="s">
        <v>38</v>
      </c>
      <c r="F91" s="2" t="s">
        <v>95</v>
      </c>
      <c r="G91" s="2" t="s">
        <v>42</v>
      </c>
      <c r="H91" s="3">
        <v>14.9</v>
      </c>
      <c r="I91" s="3">
        <v>14.9</v>
      </c>
      <c r="J91" s="3"/>
      <c r="K91" s="3"/>
      <c r="L91" s="3">
        <v>14.9</v>
      </c>
      <c r="M91" s="3">
        <v>14.9</v>
      </c>
      <c r="N91" s="3"/>
      <c r="O91" s="3"/>
      <c r="P91" s="3">
        <v>14.9</v>
      </c>
      <c r="Q91" s="3">
        <v>14.9</v>
      </c>
      <c r="R91" s="3"/>
    </row>
    <row r="92" spans="1:18">
      <c r="A92" s="4">
        <v>45962</v>
      </c>
      <c r="B92" s="2" t="s">
        <v>12</v>
      </c>
      <c r="C92" s="2" t="s">
        <v>36</v>
      </c>
      <c r="D92" s="2" t="s">
        <v>96</v>
      </c>
      <c r="E92" s="2" t="s">
        <v>81</v>
      </c>
      <c r="F92" s="2" t="s">
        <v>97</v>
      </c>
      <c r="G92" s="2" t="s">
        <v>39</v>
      </c>
      <c r="H92" s="3"/>
      <c r="I92" s="3">
        <v>2150.5</v>
      </c>
      <c r="J92" s="3"/>
      <c r="K92" s="3"/>
      <c r="L92" s="3"/>
      <c r="M92" s="3">
        <v>2150.5</v>
      </c>
      <c r="N92" s="3">
        <v>-2150.5</v>
      </c>
      <c r="O92" s="3">
        <v>-2150.5</v>
      </c>
      <c r="P92" s="3">
        <v>-2150.5</v>
      </c>
      <c r="Q92" s="3"/>
      <c r="R92" s="3">
        <v>-2150.5</v>
      </c>
    </row>
    <row r="93" spans="1:18">
      <c r="A93" s="4">
        <v>45962</v>
      </c>
      <c r="B93" s="2" t="s">
        <v>12</v>
      </c>
      <c r="C93" s="2" t="s">
        <v>36</v>
      </c>
      <c r="D93" s="2" t="s">
        <v>96</v>
      </c>
      <c r="E93" s="2" t="s">
        <v>81</v>
      </c>
      <c r="F93" s="2" t="s">
        <v>50</v>
      </c>
      <c r="G93" s="2" t="s">
        <v>39</v>
      </c>
      <c r="H93" s="3"/>
      <c r="I93" s="3">
        <v>23080.03</v>
      </c>
      <c r="J93" s="3"/>
      <c r="K93" s="3"/>
      <c r="L93" s="3"/>
      <c r="M93" s="3">
        <v>23080.03</v>
      </c>
      <c r="N93" s="3">
        <v>-23080.03</v>
      </c>
      <c r="O93" s="3">
        <v>-23080.03</v>
      </c>
      <c r="P93" s="3">
        <v>-23080.03</v>
      </c>
      <c r="Q93" s="3"/>
      <c r="R93" s="3">
        <v>-23080.03</v>
      </c>
    </row>
    <row r="94" spans="1:18">
      <c r="A94" s="4">
        <v>45962</v>
      </c>
      <c r="B94" s="2" t="s">
        <v>12</v>
      </c>
      <c r="C94" s="2" t="s">
        <v>36</v>
      </c>
      <c r="D94" s="2" t="s">
        <v>96</v>
      </c>
      <c r="E94" s="2" t="s">
        <v>81</v>
      </c>
      <c r="F94" s="2" t="s">
        <v>98</v>
      </c>
      <c r="G94" s="2" t="s">
        <v>42</v>
      </c>
      <c r="H94" s="3">
        <v>1162748</v>
      </c>
      <c r="I94" s="3">
        <v>1151120.52</v>
      </c>
      <c r="J94" s="3"/>
      <c r="K94" s="3"/>
      <c r="L94" s="3">
        <v>1162748</v>
      </c>
      <c r="M94" s="3">
        <v>1151120.52</v>
      </c>
      <c r="N94" s="3">
        <v>11627.48</v>
      </c>
      <c r="O94" s="3">
        <v>11627.48</v>
      </c>
      <c r="P94" s="3">
        <v>11627.48</v>
      </c>
      <c r="Q94" s="3"/>
      <c r="R94" s="3">
        <v>11627.48</v>
      </c>
    </row>
    <row r="95" spans="1:18">
      <c r="A95" s="4">
        <v>45962</v>
      </c>
      <c r="B95" s="2" t="s">
        <v>12</v>
      </c>
      <c r="C95" s="2" t="s">
        <v>36</v>
      </c>
      <c r="D95" s="2" t="s">
        <v>96</v>
      </c>
      <c r="E95" s="2" t="s">
        <v>81</v>
      </c>
      <c r="F95" s="2" t="s">
        <v>99</v>
      </c>
      <c r="G95" s="2" t="s">
        <v>42</v>
      </c>
      <c r="H95" s="3"/>
      <c r="I95" s="3">
        <v>39.6</v>
      </c>
      <c r="J95" s="3"/>
      <c r="K95" s="3"/>
      <c r="L95" s="3"/>
      <c r="M95" s="3">
        <v>39.6</v>
      </c>
      <c r="N95" s="3">
        <v>-39.6</v>
      </c>
      <c r="O95" s="3">
        <v>-39.6</v>
      </c>
      <c r="P95" s="3">
        <v>-39.6</v>
      </c>
      <c r="Q95" s="3"/>
      <c r="R95" s="3">
        <v>-39.6</v>
      </c>
    </row>
    <row r="96" spans="1:18">
      <c r="A96" s="4">
        <v>45962</v>
      </c>
      <c r="B96" s="2" t="s">
        <v>12</v>
      </c>
      <c r="C96" s="2" t="s">
        <v>36</v>
      </c>
      <c r="D96" s="2" t="s">
        <v>96</v>
      </c>
      <c r="E96" s="2" t="s">
        <v>81</v>
      </c>
      <c r="F96" s="2" t="s">
        <v>100</v>
      </c>
      <c r="G96" s="2" t="s">
        <v>39</v>
      </c>
      <c r="H96" s="3"/>
      <c r="I96" s="3">
        <v>198.35</v>
      </c>
      <c r="J96" s="3"/>
      <c r="K96" s="3"/>
      <c r="L96" s="3"/>
      <c r="M96" s="3">
        <v>198.35</v>
      </c>
      <c r="N96" s="3">
        <v>-198.35</v>
      </c>
      <c r="O96" s="3">
        <v>-198.35</v>
      </c>
      <c r="P96" s="3">
        <v>-198.35</v>
      </c>
      <c r="Q96" s="3"/>
      <c r="R96" s="3">
        <v>-198.35</v>
      </c>
    </row>
    <row r="97" spans="1:18">
      <c r="A97" s="4">
        <v>45962</v>
      </c>
      <c r="B97" s="2" t="s">
        <v>12</v>
      </c>
      <c r="C97" s="2" t="s">
        <v>36</v>
      </c>
      <c r="D97" s="2" t="s">
        <v>96</v>
      </c>
      <c r="E97" s="2" t="s">
        <v>81</v>
      </c>
      <c r="F97" s="2" t="s">
        <v>101</v>
      </c>
      <c r="G97" s="2" t="s">
        <v>42</v>
      </c>
      <c r="H97" s="3"/>
      <c r="I97" s="3">
        <v>30</v>
      </c>
      <c r="J97" s="3"/>
      <c r="K97" s="3"/>
      <c r="L97" s="3"/>
      <c r="M97" s="3">
        <v>30</v>
      </c>
      <c r="N97" s="3">
        <v>-30</v>
      </c>
      <c r="O97" s="3">
        <v>-30</v>
      </c>
      <c r="P97" s="3">
        <v>-30</v>
      </c>
      <c r="Q97" s="3"/>
      <c r="R97" s="3">
        <v>-30</v>
      </c>
    </row>
    <row r="98" spans="1:18">
      <c r="A98" s="4">
        <v>45962</v>
      </c>
      <c r="B98" s="2" t="s">
        <v>12</v>
      </c>
      <c r="C98" s="2" t="s">
        <v>36</v>
      </c>
      <c r="D98" s="2" t="s">
        <v>96</v>
      </c>
      <c r="E98" s="2" t="s">
        <v>81</v>
      </c>
      <c r="F98" s="2" t="s">
        <v>102</v>
      </c>
      <c r="G98" s="2" t="s">
        <v>79</v>
      </c>
      <c r="H98" s="3">
        <v>16565.4</v>
      </c>
      <c r="I98" s="3">
        <v>16295.564</v>
      </c>
      <c r="J98" s="3"/>
      <c r="K98" s="3"/>
      <c r="L98" s="3">
        <v>16565.4</v>
      </c>
      <c r="M98" s="3">
        <v>16295.564</v>
      </c>
      <c r="N98" s="3">
        <v>269.836</v>
      </c>
      <c r="O98" s="3">
        <v>269.836</v>
      </c>
      <c r="P98" s="3">
        <v>269.836</v>
      </c>
      <c r="Q98" s="3"/>
      <c r="R98" s="3">
        <v>269.836</v>
      </c>
    </row>
    <row r="99" spans="1:18">
      <c r="A99" s="4">
        <v>45962</v>
      </c>
      <c r="B99" s="2" t="s">
        <v>12</v>
      </c>
      <c r="C99" s="2" t="s">
        <v>36</v>
      </c>
      <c r="D99" s="2" t="s">
        <v>103</v>
      </c>
      <c r="E99" s="2" t="s">
        <v>38</v>
      </c>
      <c r="F99" s="2" t="s">
        <v>103</v>
      </c>
      <c r="G99" s="2" t="s">
        <v>42</v>
      </c>
      <c r="H99" s="3">
        <v>13.95</v>
      </c>
      <c r="I99" s="3">
        <v>9.85</v>
      </c>
      <c r="J99" s="3"/>
      <c r="K99" s="3"/>
      <c r="L99" s="3">
        <v>13.95</v>
      </c>
      <c r="M99" s="3">
        <v>9.85</v>
      </c>
      <c r="N99" s="3">
        <v>4.1</v>
      </c>
      <c r="O99" s="3">
        <v>4.1</v>
      </c>
      <c r="P99" s="3">
        <v>13.95</v>
      </c>
      <c r="Q99" s="3">
        <v>9.85</v>
      </c>
      <c r="R99" s="3">
        <v>4.1</v>
      </c>
    </row>
    <row r="100" spans="1:18">
      <c r="A100" s="4">
        <v>45962</v>
      </c>
      <c r="B100" s="2" t="s">
        <v>12</v>
      </c>
      <c r="C100" s="2" t="s">
        <v>40</v>
      </c>
      <c r="D100" s="2" t="s">
        <v>103</v>
      </c>
      <c r="E100" s="2" t="s">
        <v>38</v>
      </c>
      <c r="F100" s="2" t="s">
        <v>103</v>
      </c>
      <c r="G100" s="2" t="s">
        <v>42</v>
      </c>
      <c r="H100" s="3">
        <v>41.25</v>
      </c>
      <c r="I100" s="3">
        <v>26.15</v>
      </c>
      <c r="J100" s="3"/>
      <c r="K100" s="3"/>
      <c r="L100" s="3">
        <v>41.25</v>
      </c>
      <c r="M100" s="3">
        <v>26.15</v>
      </c>
      <c r="N100" s="3">
        <v>15.1</v>
      </c>
      <c r="O100" s="3">
        <v>15.1</v>
      </c>
      <c r="P100" s="3">
        <v>41.25</v>
      </c>
      <c r="Q100" s="3">
        <v>26.15</v>
      </c>
      <c r="R100" s="3">
        <v>15.1</v>
      </c>
    </row>
    <row r="101" spans="1:18">
      <c r="A101" s="4">
        <v>45962</v>
      </c>
      <c r="B101" s="2" t="s">
        <v>12</v>
      </c>
      <c r="C101" s="2" t="s">
        <v>36</v>
      </c>
      <c r="D101" s="2" t="s">
        <v>104</v>
      </c>
      <c r="E101" s="2" t="s">
        <v>38</v>
      </c>
      <c r="F101" s="2" t="s">
        <v>104</v>
      </c>
      <c r="G101" s="2" t="s">
        <v>39</v>
      </c>
      <c r="H101" s="3">
        <v>544953.145</v>
      </c>
      <c r="I101" s="3">
        <v>544286.58</v>
      </c>
      <c r="J101" s="3"/>
      <c r="K101" s="3"/>
      <c r="L101" s="3">
        <v>544953.145</v>
      </c>
      <c r="M101" s="3">
        <v>544286.58</v>
      </c>
      <c r="N101" s="3">
        <v>666.565</v>
      </c>
      <c r="O101" s="3">
        <v>666.565</v>
      </c>
      <c r="P101" s="3">
        <v>544953.145</v>
      </c>
      <c r="Q101" s="3">
        <v>544286.58</v>
      </c>
      <c r="R101" s="3">
        <v>666.565</v>
      </c>
    </row>
    <row r="102" spans="1:18">
      <c r="A102" s="4">
        <v>45962</v>
      </c>
      <c r="B102" s="2" t="s">
        <v>12</v>
      </c>
      <c r="C102" s="2" t="s">
        <v>40</v>
      </c>
      <c r="D102" s="2" t="s">
        <v>104</v>
      </c>
      <c r="E102" s="2" t="s">
        <v>38</v>
      </c>
      <c r="F102" s="2" t="s">
        <v>104</v>
      </c>
      <c r="G102" s="2" t="s">
        <v>39</v>
      </c>
      <c r="H102" s="3">
        <v>59320.33</v>
      </c>
      <c r="I102" s="3">
        <v>58493.08</v>
      </c>
      <c r="J102" s="3"/>
      <c r="K102" s="3"/>
      <c r="L102" s="3">
        <v>59320.33</v>
      </c>
      <c r="M102" s="3">
        <v>58493.08</v>
      </c>
      <c r="N102" s="3">
        <v>827.25</v>
      </c>
      <c r="O102" s="3">
        <v>827.25</v>
      </c>
      <c r="P102" s="3">
        <v>59320.33</v>
      </c>
      <c r="Q102" s="3">
        <v>58493.08</v>
      </c>
      <c r="R102" s="3">
        <v>827.25</v>
      </c>
    </row>
    <row r="103" spans="1:18">
      <c r="A103" s="4">
        <v>45962</v>
      </c>
      <c r="B103" s="2" t="s">
        <v>12</v>
      </c>
      <c r="C103" s="2" t="s">
        <v>36</v>
      </c>
      <c r="D103" s="2" t="s">
        <v>104</v>
      </c>
      <c r="E103" s="2" t="s">
        <v>38</v>
      </c>
      <c r="F103" s="2" t="s">
        <v>104</v>
      </c>
      <c r="G103" s="2" t="s">
        <v>42</v>
      </c>
      <c r="H103" s="3">
        <v>501.768</v>
      </c>
      <c r="I103" s="3">
        <v>7355.7</v>
      </c>
      <c r="J103" s="3"/>
      <c r="K103" s="3"/>
      <c r="L103" s="3">
        <v>501.768</v>
      </c>
      <c r="M103" s="3">
        <v>7355.7</v>
      </c>
      <c r="N103" s="3">
        <v>-6853.932</v>
      </c>
      <c r="O103" s="3">
        <v>-6853.932</v>
      </c>
      <c r="P103" s="3">
        <v>501.768</v>
      </c>
      <c r="Q103" s="3">
        <v>7355.7</v>
      </c>
      <c r="R103" s="3">
        <v>-6853.932</v>
      </c>
    </row>
    <row r="104" spans="1:18">
      <c r="A104" s="4">
        <v>45962</v>
      </c>
      <c r="B104" s="2" t="s">
        <v>12</v>
      </c>
      <c r="C104" s="2" t="s">
        <v>40</v>
      </c>
      <c r="D104" s="2" t="s">
        <v>104</v>
      </c>
      <c r="E104" s="2" t="s">
        <v>38</v>
      </c>
      <c r="F104" s="2" t="s">
        <v>104</v>
      </c>
      <c r="G104" s="2" t="s">
        <v>42</v>
      </c>
      <c r="H104" s="3">
        <v>861.36</v>
      </c>
      <c r="I104" s="3">
        <v>678.99</v>
      </c>
      <c r="J104" s="3"/>
      <c r="K104" s="3"/>
      <c r="L104" s="3">
        <v>861.36</v>
      </c>
      <c r="M104" s="3">
        <v>678.99</v>
      </c>
      <c r="N104" s="3">
        <v>182.37</v>
      </c>
      <c r="O104" s="3">
        <v>182.37</v>
      </c>
      <c r="P104" s="3">
        <v>861.36</v>
      </c>
      <c r="Q104" s="3">
        <v>678.99</v>
      </c>
      <c r="R104" s="3">
        <v>182.37</v>
      </c>
    </row>
    <row r="105" spans="1:18">
      <c r="A105" s="4">
        <v>45962</v>
      </c>
      <c r="B105" s="2" t="s">
        <v>12</v>
      </c>
      <c r="C105" s="2" t="s">
        <v>36</v>
      </c>
      <c r="D105" s="2" t="s">
        <v>104</v>
      </c>
      <c r="E105" s="2" t="s">
        <v>38</v>
      </c>
      <c r="F105" s="2" t="s">
        <v>104</v>
      </c>
      <c r="G105" s="2" t="s">
        <v>79</v>
      </c>
      <c r="H105" s="3">
        <v>50668.8</v>
      </c>
      <c r="I105" s="3">
        <v>49613.2</v>
      </c>
      <c r="J105" s="3">
        <v>-28.8</v>
      </c>
      <c r="K105" s="3">
        <v>-28.1999999999999</v>
      </c>
      <c r="L105" s="3">
        <v>50639.9999999999</v>
      </c>
      <c r="M105" s="3">
        <v>49585</v>
      </c>
      <c r="N105" s="3">
        <v>1054.99999999999</v>
      </c>
      <c r="O105" s="3">
        <v>1054.99999999999</v>
      </c>
      <c r="P105" s="3">
        <v>50639.9999999999</v>
      </c>
      <c r="Q105" s="3">
        <v>49585</v>
      </c>
      <c r="R105" s="3">
        <v>1054.99999999999</v>
      </c>
    </row>
    <row r="106" spans="1:18">
      <c r="A106" s="4">
        <v>45962</v>
      </c>
      <c r="B106" s="2" t="s">
        <v>12</v>
      </c>
      <c r="C106" s="2" t="s">
        <v>36</v>
      </c>
      <c r="D106" s="2" t="s">
        <v>105</v>
      </c>
      <c r="E106" s="2" t="s">
        <v>38</v>
      </c>
      <c r="F106" s="2" t="s">
        <v>105</v>
      </c>
      <c r="G106" s="2" t="s">
        <v>91</v>
      </c>
      <c r="H106" s="3">
        <v>41078</v>
      </c>
      <c r="I106" s="3">
        <v>40872</v>
      </c>
      <c r="J106" s="3"/>
      <c r="K106" s="3"/>
      <c r="L106" s="3">
        <v>41078</v>
      </c>
      <c r="M106" s="3">
        <v>40872</v>
      </c>
      <c r="N106" s="3">
        <v>206</v>
      </c>
      <c r="O106" s="3">
        <v>206</v>
      </c>
      <c r="P106" s="3">
        <v>41078</v>
      </c>
      <c r="Q106" s="3">
        <v>40872</v>
      </c>
      <c r="R106" s="3">
        <v>206</v>
      </c>
    </row>
    <row r="107" spans="1:18">
      <c r="A107" s="4">
        <v>45962</v>
      </c>
      <c r="B107" s="2" t="s">
        <v>12</v>
      </c>
      <c r="C107" s="2" t="s">
        <v>40</v>
      </c>
      <c r="D107" s="2" t="s">
        <v>105</v>
      </c>
      <c r="E107" s="2" t="s">
        <v>38</v>
      </c>
      <c r="F107" s="2" t="s">
        <v>105</v>
      </c>
      <c r="G107" s="2" t="s">
        <v>91</v>
      </c>
      <c r="H107" s="3">
        <v>20092.5</v>
      </c>
      <c r="I107" s="3">
        <v>20006</v>
      </c>
      <c r="J107" s="3"/>
      <c r="K107" s="3"/>
      <c r="L107" s="3">
        <v>20092.5</v>
      </c>
      <c r="M107" s="3">
        <v>20006</v>
      </c>
      <c r="N107" s="3">
        <v>86.5</v>
      </c>
      <c r="O107" s="3">
        <v>86.5</v>
      </c>
      <c r="P107" s="3">
        <v>20092.5</v>
      </c>
      <c r="Q107" s="3">
        <v>20006</v>
      </c>
      <c r="R107" s="3">
        <v>86.5</v>
      </c>
    </row>
    <row r="108" spans="1:18">
      <c r="A108" s="4">
        <v>45962</v>
      </c>
      <c r="B108" s="2" t="s">
        <v>12</v>
      </c>
      <c r="C108" s="2" t="s">
        <v>36</v>
      </c>
      <c r="D108" s="2" t="s">
        <v>106</v>
      </c>
      <c r="E108" s="2" t="s">
        <v>38</v>
      </c>
      <c r="F108" s="2" t="s">
        <v>106</v>
      </c>
      <c r="G108" s="2" t="s">
        <v>42</v>
      </c>
      <c r="H108" s="3">
        <v>170165</v>
      </c>
      <c r="I108" s="3">
        <v>116314</v>
      </c>
      <c r="J108" s="3">
        <v>-960</v>
      </c>
      <c r="K108" s="3">
        <v>-656</v>
      </c>
      <c r="L108" s="3">
        <v>169205</v>
      </c>
      <c r="M108" s="3">
        <v>115658</v>
      </c>
      <c r="N108" s="3">
        <v>53547</v>
      </c>
      <c r="O108" s="3">
        <v>53547</v>
      </c>
      <c r="P108" s="3">
        <v>169205</v>
      </c>
      <c r="Q108" s="3">
        <v>115658</v>
      </c>
      <c r="R108" s="3">
        <v>53547</v>
      </c>
    </row>
    <row r="109" spans="1:18">
      <c r="A109" s="4">
        <v>45962</v>
      </c>
      <c r="B109" s="2" t="s">
        <v>12</v>
      </c>
      <c r="C109" s="2" t="s">
        <v>36</v>
      </c>
      <c r="D109" s="2" t="s">
        <v>107</v>
      </c>
      <c r="E109" s="2" t="s">
        <v>38</v>
      </c>
      <c r="F109" s="2" t="s">
        <v>107</v>
      </c>
      <c r="G109" s="2" t="s">
        <v>39</v>
      </c>
      <c r="H109" s="3">
        <v>3654</v>
      </c>
      <c r="I109" s="3">
        <v>3465</v>
      </c>
      <c r="J109" s="3"/>
      <c r="K109" s="3"/>
      <c r="L109" s="3">
        <v>3654</v>
      </c>
      <c r="M109" s="3">
        <v>3465</v>
      </c>
      <c r="N109" s="3">
        <v>189</v>
      </c>
      <c r="O109" s="3">
        <v>189</v>
      </c>
      <c r="P109" s="3">
        <v>3654</v>
      </c>
      <c r="Q109" s="3">
        <v>3465</v>
      </c>
      <c r="R109" s="3">
        <v>189</v>
      </c>
    </row>
    <row r="110" spans="1:18">
      <c r="A110" s="4">
        <v>45962</v>
      </c>
      <c r="B110" s="2" t="s">
        <v>12</v>
      </c>
      <c r="C110" s="2" t="s">
        <v>36</v>
      </c>
      <c r="D110" s="2" t="s">
        <v>108</v>
      </c>
      <c r="E110" s="2" t="s">
        <v>81</v>
      </c>
      <c r="F110" s="2" t="s">
        <v>109</v>
      </c>
      <c r="G110" s="2" t="s">
        <v>39</v>
      </c>
      <c r="H110" s="3">
        <v>443141.92</v>
      </c>
      <c r="I110" s="3">
        <v>461265.8</v>
      </c>
      <c r="J110" s="3">
        <v>-250793.899999999</v>
      </c>
      <c r="K110" s="3">
        <v>-266234.399999999</v>
      </c>
      <c r="L110" s="3">
        <v>192348.02</v>
      </c>
      <c r="M110" s="3">
        <v>195031.4</v>
      </c>
      <c r="N110" s="3">
        <v>-2683.37999999999</v>
      </c>
      <c r="O110" s="3">
        <v>-2683.37999999999</v>
      </c>
      <c r="P110" s="3">
        <v>-2683.37999999999</v>
      </c>
      <c r="Q110" s="3"/>
      <c r="R110" s="3">
        <v>-2683.37999999999</v>
      </c>
    </row>
    <row r="111" spans="1:18">
      <c r="A111" s="4">
        <v>45962</v>
      </c>
      <c r="B111" s="2" t="s">
        <v>12</v>
      </c>
      <c r="C111" s="2" t="s">
        <v>36</v>
      </c>
      <c r="D111" s="2" t="s">
        <v>108</v>
      </c>
      <c r="E111" s="2" t="s">
        <v>81</v>
      </c>
      <c r="F111" s="2" t="s">
        <v>110</v>
      </c>
      <c r="G111" s="2" t="s">
        <v>42</v>
      </c>
      <c r="H111" s="3">
        <v>0.0006</v>
      </c>
      <c r="I111" s="3">
        <v>0.0006</v>
      </c>
      <c r="J111" s="3"/>
      <c r="K111" s="3"/>
      <c r="L111" s="3">
        <v>0.0006</v>
      </c>
      <c r="M111" s="3">
        <v>0.0006</v>
      </c>
      <c r="N111" s="3"/>
      <c r="O111" s="3"/>
      <c r="P111" s="3"/>
      <c r="Q111" s="3"/>
      <c r="R111" s="3"/>
    </row>
    <row r="112" spans="1:18">
      <c r="A112" s="4">
        <v>45962</v>
      </c>
      <c r="B112" s="2" t="s">
        <v>12</v>
      </c>
      <c r="C112" s="2" t="s">
        <v>36</v>
      </c>
      <c r="D112" s="2" t="s">
        <v>108</v>
      </c>
      <c r="E112" s="2" t="s">
        <v>81</v>
      </c>
      <c r="F112" s="2" t="s">
        <v>111</v>
      </c>
      <c r="G112" s="2" t="s">
        <v>42</v>
      </c>
      <c r="H112" s="3">
        <v>435.77</v>
      </c>
      <c r="I112" s="3">
        <v>391.6017</v>
      </c>
      <c r="J112" s="3"/>
      <c r="K112" s="3"/>
      <c r="L112" s="3">
        <v>435.77</v>
      </c>
      <c r="M112" s="3">
        <v>391.6017</v>
      </c>
      <c r="N112" s="3">
        <v>44.1683</v>
      </c>
      <c r="O112" s="3">
        <v>44.1683</v>
      </c>
      <c r="P112" s="3">
        <v>44.1683</v>
      </c>
      <c r="Q112" s="3"/>
      <c r="R112" s="3">
        <v>44.1683</v>
      </c>
    </row>
    <row r="113" spans="1:18">
      <c r="A113" s="4">
        <v>45962</v>
      </c>
      <c r="B113" s="2" t="s">
        <v>12</v>
      </c>
      <c r="C113" s="2" t="s">
        <v>40</v>
      </c>
      <c r="D113" s="2" t="s">
        <v>36</v>
      </c>
      <c r="E113" s="2" t="s">
        <v>81</v>
      </c>
      <c r="F113" s="2" t="s">
        <v>59</v>
      </c>
      <c r="G113" s="2" t="s">
        <v>39</v>
      </c>
      <c r="H113" s="3">
        <v>55576.5</v>
      </c>
      <c r="I113" s="3">
        <v>55521.2</v>
      </c>
      <c r="J113" s="3"/>
      <c r="K113" s="3"/>
      <c r="L113" s="3">
        <v>55576.5</v>
      </c>
      <c r="M113" s="3">
        <v>55521.2</v>
      </c>
      <c r="N113" s="3">
        <v>55.3</v>
      </c>
      <c r="O113" s="3">
        <v>55.3</v>
      </c>
      <c r="P113" s="3">
        <v>55.3</v>
      </c>
      <c r="Q113" s="3"/>
      <c r="R113" s="3">
        <v>55.3</v>
      </c>
    </row>
    <row r="114" spans="1:18">
      <c r="A114" s="4">
        <v>45962</v>
      </c>
      <c r="B114" s="2" t="s">
        <v>12</v>
      </c>
      <c r="C114" s="2" t="s">
        <v>36</v>
      </c>
      <c r="D114" s="2" t="s">
        <v>40</v>
      </c>
      <c r="E114" s="2" t="s">
        <v>81</v>
      </c>
      <c r="F114" s="2" t="s">
        <v>50</v>
      </c>
      <c r="G114" s="2" t="s">
        <v>39</v>
      </c>
      <c r="H114" s="3">
        <v>8932.7053</v>
      </c>
      <c r="I114" s="3">
        <v>9628.885</v>
      </c>
      <c r="J114" s="3"/>
      <c r="K114" s="3"/>
      <c r="L114" s="3">
        <v>8932.7053</v>
      </c>
      <c r="M114" s="3">
        <v>9628.885</v>
      </c>
      <c r="N114" s="3">
        <v>-696.1797</v>
      </c>
      <c r="O114" s="3">
        <v>-696.1797</v>
      </c>
      <c r="P114" s="3">
        <v>-696.1797</v>
      </c>
      <c r="Q114" s="3"/>
      <c r="R114" s="3">
        <v>-696.1797</v>
      </c>
    </row>
    <row r="115" spans="1:18">
      <c r="A115" s="4">
        <v>45962</v>
      </c>
      <c r="B115" s="2" t="s">
        <v>12</v>
      </c>
      <c r="C115" s="2" t="s">
        <v>36</v>
      </c>
      <c r="D115" s="2" t="s">
        <v>40</v>
      </c>
      <c r="E115" s="2" t="s">
        <v>81</v>
      </c>
      <c r="F115" s="2" t="s">
        <v>52</v>
      </c>
      <c r="G115" s="2" t="s">
        <v>42</v>
      </c>
      <c r="H115" s="3">
        <v>271741.5431</v>
      </c>
      <c r="I115" s="3">
        <v>408142.68</v>
      </c>
      <c r="J115" s="3">
        <v>-40</v>
      </c>
      <c r="K115" s="3">
        <v>-24.8399999999999</v>
      </c>
      <c r="L115" s="3">
        <v>271701.5431</v>
      </c>
      <c r="M115" s="3">
        <v>408117.84</v>
      </c>
      <c r="N115" s="3">
        <v>-136416.2969</v>
      </c>
      <c r="O115" s="3">
        <v>-136416.2969</v>
      </c>
      <c r="P115" s="3">
        <v>-136416.2969</v>
      </c>
      <c r="Q115" s="3"/>
      <c r="R115" s="3">
        <v>-136416.2969</v>
      </c>
    </row>
    <row r="116" spans="1:18">
      <c r="A116" s="4">
        <v>45962</v>
      </c>
      <c r="B116" s="2" t="s">
        <v>12</v>
      </c>
      <c r="C116" s="2" t="s">
        <v>36</v>
      </c>
      <c r="D116" s="2" t="s">
        <v>112</v>
      </c>
      <c r="E116" s="2" t="s">
        <v>38</v>
      </c>
      <c r="F116" s="2" t="s">
        <v>112</v>
      </c>
      <c r="G116" s="2" t="s">
        <v>79</v>
      </c>
      <c r="H116" s="3">
        <v>223680.81</v>
      </c>
      <c r="I116" s="3">
        <v>217183</v>
      </c>
      <c r="J116" s="3"/>
      <c r="K116" s="3"/>
      <c r="L116" s="3">
        <v>223680.81</v>
      </c>
      <c r="M116" s="3">
        <v>217183</v>
      </c>
      <c r="N116" s="3">
        <v>6497.81</v>
      </c>
      <c r="O116" s="3">
        <v>6497.81</v>
      </c>
      <c r="P116" s="3">
        <v>223680.81</v>
      </c>
      <c r="Q116" s="3">
        <v>217183</v>
      </c>
      <c r="R116" s="3">
        <v>6497.81</v>
      </c>
    </row>
    <row r="117" spans="1:18">
      <c r="A117" s="4">
        <v>45962</v>
      </c>
      <c r="B117" s="2" t="s">
        <v>12</v>
      </c>
      <c r="C117" s="2" t="s">
        <v>36</v>
      </c>
      <c r="D117" s="2" t="s">
        <v>113</v>
      </c>
      <c r="E117" s="2" t="s">
        <v>38</v>
      </c>
      <c r="F117" s="2" t="s">
        <v>113</v>
      </c>
      <c r="G117" s="2" t="s">
        <v>39</v>
      </c>
      <c r="H117" s="3">
        <v>450434.26</v>
      </c>
      <c r="I117" s="3">
        <v>443536.8</v>
      </c>
      <c r="J117" s="3">
        <v>-847.199999999999</v>
      </c>
      <c r="K117" s="3">
        <v>-836.399999999999</v>
      </c>
      <c r="L117" s="3">
        <v>449587.06</v>
      </c>
      <c r="M117" s="3">
        <v>442700.4</v>
      </c>
      <c r="N117" s="3">
        <v>6886.65999999999</v>
      </c>
      <c r="O117" s="3">
        <v>6886.65999999999</v>
      </c>
      <c r="P117" s="3">
        <v>449587.06</v>
      </c>
      <c r="Q117" s="3">
        <v>442700.4</v>
      </c>
      <c r="R117" s="3">
        <v>6886.65999999999</v>
      </c>
    </row>
    <row r="118" spans="1:18">
      <c r="A118" s="4">
        <v>45962</v>
      </c>
      <c r="B118" s="2" t="s">
        <v>12</v>
      </c>
      <c r="C118" s="2" t="s">
        <v>36</v>
      </c>
      <c r="D118" s="2" t="s">
        <v>114</v>
      </c>
      <c r="E118" s="2" t="s">
        <v>38</v>
      </c>
      <c r="F118" s="2" t="s">
        <v>114</v>
      </c>
      <c r="G118" s="2" t="s">
        <v>39</v>
      </c>
      <c r="H118" s="3">
        <v>151235.5</v>
      </c>
      <c r="I118" s="3">
        <v>181466.1</v>
      </c>
      <c r="J118" s="3">
        <v>-78156.8</v>
      </c>
      <c r="K118" s="3">
        <v>-77537.3</v>
      </c>
      <c r="L118" s="3">
        <v>73078.6999999999</v>
      </c>
      <c r="M118" s="3">
        <v>103928.799999999</v>
      </c>
      <c r="N118" s="3">
        <v>-30850.0999999999</v>
      </c>
      <c r="O118" s="3">
        <v>-30850.0999999999</v>
      </c>
      <c r="P118" s="3">
        <v>73078.6999999999</v>
      </c>
      <c r="Q118" s="3">
        <v>103928.799999999</v>
      </c>
      <c r="R118" s="3">
        <v>-30850.0999999999</v>
      </c>
    </row>
    <row r="119" spans="1:18">
      <c r="A119" s="4">
        <v>45962</v>
      </c>
      <c r="B119" s="2" t="s">
        <v>12</v>
      </c>
      <c r="C119" s="2" t="s">
        <v>36</v>
      </c>
      <c r="D119" s="2" t="s">
        <v>115</v>
      </c>
      <c r="E119" s="2" t="s">
        <v>38</v>
      </c>
      <c r="F119" s="2" t="s">
        <v>115</v>
      </c>
      <c r="G119" s="2" t="s">
        <v>55</v>
      </c>
      <c r="H119" s="3">
        <v>7400</v>
      </c>
      <c r="I119" s="3">
        <v>7481.4</v>
      </c>
      <c r="J119" s="3"/>
      <c r="K119" s="3"/>
      <c r="L119" s="3">
        <v>7400</v>
      </c>
      <c r="M119" s="3">
        <v>7481.4</v>
      </c>
      <c r="N119" s="3">
        <v>-81.4</v>
      </c>
      <c r="O119" s="3">
        <v>-81.4</v>
      </c>
      <c r="P119" s="3">
        <v>7400</v>
      </c>
      <c r="Q119" s="3">
        <v>7481.4</v>
      </c>
      <c r="R119" s="3">
        <v>-81.4</v>
      </c>
    </row>
    <row r="120" spans="1:18">
      <c r="A120" s="4">
        <v>45962</v>
      </c>
      <c r="B120" s="2" t="s">
        <v>12</v>
      </c>
      <c r="C120" s="2" t="s">
        <v>36</v>
      </c>
      <c r="D120" s="2" t="s">
        <v>116</v>
      </c>
      <c r="E120" s="2" t="s">
        <v>38</v>
      </c>
      <c r="F120" s="2" t="s">
        <v>116</v>
      </c>
      <c r="G120" s="2" t="s">
        <v>39</v>
      </c>
      <c r="H120" s="3">
        <v>5921.4</v>
      </c>
      <c r="I120" s="3">
        <v>5815.76</v>
      </c>
      <c r="J120" s="3"/>
      <c r="K120" s="3"/>
      <c r="L120" s="3">
        <v>5921.4</v>
      </c>
      <c r="M120" s="3">
        <v>5815.76</v>
      </c>
      <c r="N120" s="3">
        <v>105.64</v>
      </c>
      <c r="O120" s="3">
        <v>105.64</v>
      </c>
      <c r="P120" s="3">
        <v>5921.4</v>
      </c>
      <c r="Q120" s="3">
        <v>5815.76</v>
      </c>
      <c r="R120" s="3">
        <v>105.64</v>
      </c>
    </row>
    <row r="121" spans="1:18">
      <c r="A121" s="4">
        <v>45962</v>
      </c>
      <c r="B121" s="2" t="s">
        <v>12</v>
      </c>
      <c r="C121" s="2" t="s">
        <v>40</v>
      </c>
      <c r="D121" s="2" t="s">
        <v>116</v>
      </c>
      <c r="E121" s="2" t="s">
        <v>38</v>
      </c>
      <c r="F121" s="2" t="s">
        <v>116</v>
      </c>
      <c r="G121" s="2" t="s">
        <v>39</v>
      </c>
      <c r="H121" s="3">
        <v>97064.08</v>
      </c>
      <c r="I121" s="3">
        <v>96245.7</v>
      </c>
      <c r="J121" s="3"/>
      <c r="K121" s="3"/>
      <c r="L121" s="3">
        <v>97064.08</v>
      </c>
      <c r="M121" s="3">
        <v>96245.7</v>
      </c>
      <c r="N121" s="3">
        <v>818.38</v>
      </c>
      <c r="O121" s="3">
        <v>818.38</v>
      </c>
      <c r="P121" s="3">
        <v>97064.08</v>
      </c>
      <c r="Q121" s="3">
        <v>96245.7</v>
      </c>
      <c r="R121" s="3">
        <v>818.38</v>
      </c>
    </row>
    <row r="122" spans="1:18">
      <c r="A122" s="4">
        <v>45962</v>
      </c>
      <c r="B122" s="2" t="s">
        <v>12</v>
      </c>
      <c r="C122" s="2" t="s">
        <v>36</v>
      </c>
      <c r="D122" s="2" t="s">
        <v>117</v>
      </c>
      <c r="E122" s="2" t="s">
        <v>38</v>
      </c>
      <c r="F122" s="2" t="s">
        <v>117</v>
      </c>
      <c r="G122" s="2" t="s">
        <v>79</v>
      </c>
      <c r="H122" s="3">
        <v>152487.4</v>
      </c>
      <c r="I122" s="3">
        <v>148702.31</v>
      </c>
      <c r="J122" s="3"/>
      <c r="K122" s="3"/>
      <c r="L122" s="3">
        <v>152487.4</v>
      </c>
      <c r="M122" s="3">
        <v>148702.31</v>
      </c>
      <c r="N122" s="3">
        <v>3785.09</v>
      </c>
      <c r="O122" s="3">
        <v>3785.09</v>
      </c>
      <c r="P122" s="3">
        <v>152487.4</v>
      </c>
      <c r="Q122" s="3">
        <v>148702.31</v>
      </c>
      <c r="R122" s="3">
        <v>3785.09</v>
      </c>
    </row>
    <row r="123" spans="1:18">
      <c r="A123" s="4">
        <v>45962</v>
      </c>
      <c r="B123" s="2" t="s">
        <v>12</v>
      </c>
      <c r="C123" s="2" t="s">
        <v>36</v>
      </c>
      <c r="D123" s="2" t="s">
        <v>118</v>
      </c>
      <c r="E123" s="2" t="s">
        <v>38</v>
      </c>
      <c r="F123" s="2" t="s">
        <v>118</v>
      </c>
      <c r="G123" s="2" t="s">
        <v>39</v>
      </c>
      <c r="H123" s="3"/>
      <c r="I123" s="3"/>
      <c r="J123" s="3">
        <v>-206</v>
      </c>
      <c r="K123" s="3">
        <v>-202</v>
      </c>
      <c r="L123" s="3">
        <v>-206</v>
      </c>
      <c r="M123" s="3">
        <v>-202</v>
      </c>
      <c r="N123" s="3">
        <v>-4</v>
      </c>
      <c r="O123" s="3">
        <v>-4</v>
      </c>
      <c r="P123" s="3">
        <v>-206</v>
      </c>
      <c r="Q123" s="3">
        <v>-202</v>
      </c>
      <c r="R123" s="3">
        <v>-4</v>
      </c>
    </row>
    <row r="124" spans="1:18">
      <c r="A124" s="4">
        <v>45962</v>
      </c>
      <c r="B124" s="2" t="s">
        <v>12</v>
      </c>
      <c r="C124" s="2" t="s">
        <v>36</v>
      </c>
      <c r="D124" s="2" t="s">
        <v>119</v>
      </c>
      <c r="E124" s="2" t="s">
        <v>81</v>
      </c>
      <c r="F124" s="2" t="s">
        <v>120</v>
      </c>
      <c r="G124" s="2" t="s">
        <v>39</v>
      </c>
      <c r="H124" s="3">
        <v>190723.25</v>
      </c>
      <c r="I124" s="3">
        <v>184152.15</v>
      </c>
      <c r="J124" s="3"/>
      <c r="K124" s="3"/>
      <c r="L124" s="3">
        <v>190723.25</v>
      </c>
      <c r="M124" s="3">
        <v>184152.15</v>
      </c>
      <c r="N124" s="3">
        <v>6571.1</v>
      </c>
      <c r="O124" s="3">
        <v>6571.1</v>
      </c>
      <c r="P124" s="3">
        <v>6571.1</v>
      </c>
      <c r="Q124" s="3"/>
      <c r="R124" s="3">
        <v>6571.1</v>
      </c>
    </row>
    <row r="125" spans="1:18">
      <c r="A125" s="4">
        <v>45962</v>
      </c>
      <c r="B125" s="2" t="s">
        <v>12</v>
      </c>
      <c r="C125" s="2" t="s">
        <v>36</v>
      </c>
      <c r="D125" s="2" t="s">
        <v>121</v>
      </c>
      <c r="E125" s="2" t="s">
        <v>38</v>
      </c>
      <c r="F125" s="2" t="s">
        <v>121</v>
      </c>
      <c r="G125" s="2" t="s">
        <v>39</v>
      </c>
      <c r="H125" s="3"/>
      <c r="I125" s="3"/>
      <c r="J125" s="3">
        <v>-535</v>
      </c>
      <c r="K125" s="3">
        <v>-525</v>
      </c>
      <c r="L125" s="3">
        <v>-535</v>
      </c>
      <c r="M125" s="3">
        <v>-525</v>
      </c>
      <c r="N125" s="3">
        <v>-10</v>
      </c>
      <c r="O125" s="3">
        <v>-10</v>
      </c>
      <c r="P125" s="3">
        <v>-535</v>
      </c>
      <c r="Q125" s="3">
        <v>-525</v>
      </c>
      <c r="R125" s="3">
        <v>-10</v>
      </c>
    </row>
    <row r="126" spans="1:18">
      <c r="A126" s="4">
        <v>45962</v>
      </c>
      <c r="B126" s="2" t="s">
        <v>12</v>
      </c>
      <c r="C126" s="2" t="s">
        <v>36</v>
      </c>
      <c r="D126" s="2" t="s">
        <v>122</v>
      </c>
      <c r="E126" s="2" t="s">
        <v>38</v>
      </c>
      <c r="F126" s="2" t="s">
        <v>122</v>
      </c>
      <c r="G126" s="2" t="s">
        <v>55</v>
      </c>
      <c r="H126" s="3">
        <v>8197.2</v>
      </c>
      <c r="I126" s="3">
        <v>8191.8</v>
      </c>
      <c r="J126" s="3"/>
      <c r="K126" s="3"/>
      <c r="L126" s="3">
        <v>8197.2</v>
      </c>
      <c r="M126" s="3">
        <v>8191.8</v>
      </c>
      <c r="N126" s="3">
        <v>5.4</v>
      </c>
      <c r="O126" s="3">
        <v>5.4</v>
      </c>
      <c r="P126" s="3">
        <v>8197.2</v>
      </c>
      <c r="Q126" s="3">
        <v>8191.8</v>
      </c>
      <c r="R126" s="3">
        <v>5.4</v>
      </c>
    </row>
    <row r="127" spans="1:18">
      <c r="A127" s="4">
        <v>45962</v>
      </c>
      <c r="B127" s="2" t="s">
        <v>12</v>
      </c>
      <c r="C127" s="2" t="s">
        <v>40</v>
      </c>
      <c r="D127" s="2" t="s">
        <v>122</v>
      </c>
      <c r="E127" s="2" t="s">
        <v>38</v>
      </c>
      <c r="F127" s="2" t="s">
        <v>122</v>
      </c>
      <c r="G127" s="2" t="s">
        <v>55</v>
      </c>
      <c r="H127" s="3">
        <v>800</v>
      </c>
      <c r="I127" s="3">
        <v>799.2</v>
      </c>
      <c r="J127" s="3"/>
      <c r="K127" s="3"/>
      <c r="L127" s="3">
        <v>800</v>
      </c>
      <c r="M127" s="3">
        <v>799.2</v>
      </c>
      <c r="N127" s="3">
        <v>0.8</v>
      </c>
      <c r="O127" s="3">
        <v>0.8</v>
      </c>
      <c r="P127" s="3">
        <v>800</v>
      </c>
      <c r="Q127" s="3">
        <v>799.2</v>
      </c>
      <c r="R127" s="3">
        <v>0.8</v>
      </c>
    </row>
    <row r="128" spans="1:18">
      <c r="A128" s="4">
        <v>45962</v>
      </c>
      <c r="B128" s="2" t="s">
        <v>12</v>
      </c>
      <c r="C128" s="2" t="s">
        <v>36</v>
      </c>
      <c r="D128" s="2" t="s">
        <v>123</v>
      </c>
      <c r="E128" s="2" t="s">
        <v>38</v>
      </c>
      <c r="F128" s="2" t="s">
        <v>123</v>
      </c>
      <c r="G128" s="2" t="s">
        <v>79</v>
      </c>
      <c r="H128" s="3">
        <v>266120.81</v>
      </c>
      <c r="I128" s="3">
        <v>252810.9</v>
      </c>
      <c r="J128" s="3">
        <v>-5294.70199999999</v>
      </c>
      <c r="K128" s="3">
        <v>-5047.19999999999</v>
      </c>
      <c r="L128" s="3">
        <v>260826.108</v>
      </c>
      <c r="M128" s="3">
        <v>247763.7</v>
      </c>
      <c r="N128" s="3">
        <v>13062.408</v>
      </c>
      <c r="O128" s="3">
        <v>13062.408</v>
      </c>
      <c r="P128" s="3">
        <v>260826.108</v>
      </c>
      <c r="Q128" s="3">
        <v>247763.7</v>
      </c>
      <c r="R128" s="3">
        <v>13062.408</v>
      </c>
    </row>
    <row r="129" spans="1:18">
      <c r="A129" s="4">
        <v>45962</v>
      </c>
      <c r="B129" s="2" t="s">
        <v>12</v>
      </c>
      <c r="C129" s="2" t="s">
        <v>36</v>
      </c>
      <c r="D129" s="2" t="s">
        <v>124</v>
      </c>
      <c r="E129" s="2" t="s">
        <v>38</v>
      </c>
      <c r="F129" s="2" t="s">
        <v>124</v>
      </c>
      <c r="G129" s="2" t="s">
        <v>91</v>
      </c>
      <c r="H129" s="3">
        <v>0.05</v>
      </c>
      <c r="I129" s="3">
        <v>0.0005</v>
      </c>
      <c r="J129" s="3"/>
      <c r="K129" s="3"/>
      <c r="L129" s="3">
        <v>0.05</v>
      </c>
      <c r="M129" s="3">
        <v>0.0005</v>
      </c>
      <c r="N129" s="3">
        <v>0.0495</v>
      </c>
      <c r="O129" s="3">
        <v>0.0495</v>
      </c>
      <c r="P129" s="3">
        <v>0.05</v>
      </c>
      <c r="Q129" s="3">
        <v>0.0005</v>
      </c>
      <c r="R129" s="3">
        <v>0.0495</v>
      </c>
    </row>
    <row r="130" spans="1:18">
      <c r="A130" s="4">
        <v>45962</v>
      </c>
      <c r="B130" s="2" t="s">
        <v>12</v>
      </c>
      <c r="C130" s="2" t="s">
        <v>36</v>
      </c>
      <c r="D130" s="2" t="s">
        <v>125</v>
      </c>
      <c r="E130" s="2" t="s">
        <v>38</v>
      </c>
      <c r="F130" s="2" t="s">
        <v>125</v>
      </c>
      <c r="G130" s="2" t="s">
        <v>79</v>
      </c>
      <c r="H130" s="3">
        <v>144481.25</v>
      </c>
      <c r="I130" s="3">
        <v>141109.92</v>
      </c>
      <c r="J130" s="3"/>
      <c r="K130" s="3"/>
      <c r="L130" s="3">
        <v>144481.25</v>
      </c>
      <c r="M130" s="3">
        <v>141109.92</v>
      </c>
      <c r="N130" s="3">
        <v>3371.33</v>
      </c>
      <c r="O130" s="3">
        <v>3371.33</v>
      </c>
      <c r="P130" s="3">
        <v>144481.25</v>
      </c>
      <c r="Q130" s="3">
        <v>141109.92</v>
      </c>
      <c r="R130" s="3">
        <v>3371.33</v>
      </c>
    </row>
    <row r="131" spans="1:18">
      <c r="A131" s="4">
        <v>45962</v>
      </c>
      <c r="B131" s="2" t="s">
        <v>12</v>
      </c>
      <c r="C131" s="2" t="s">
        <v>40</v>
      </c>
      <c r="D131" s="2" t="s">
        <v>125</v>
      </c>
      <c r="E131" s="2" t="s">
        <v>38</v>
      </c>
      <c r="F131" s="2" t="s">
        <v>125</v>
      </c>
      <c r="G131" s="2" t="s">
        <v>79</v>
      </c>
      <c r="H131" s="3">
        <v>457528.01</v>
      </c>
      <c r="I131" s="3">
        <v>446273.856</v>
      </c>
      <c r="J131" s="3"/>
      <c r="K131" s="3"/>
      <c r="L131" s="3">
        <v>457528.01</v>
      </c>
      <c r="M131" s="3">
        <v>446273.856</v>
      </c>
      <c r="N131" s="3">
        <v>11254.154</v>
      </c>
      <c r="O131" s="3">
        <v>11254.154</v>
      </c>
      <c r="P131" s="3">
        <v>457528.01</v>
      </c>
      <c r="Q131" s="3">
        <v>446273.856</v>
      </c>
      <c r="R131" s="3">
        <v>11254.154</v>
      </c>
    </row>
    <row r="132" spans="1:18">
      <c r="A132" s="4">
        <v>45962</v>
      </c>
      <c r="B132" s="2" t="s">
        <v>12</v>
      </c>
      <c r="C132" s="2" t="s">
        <v>36</v>
      </c>
      <c r="D132" s="2" t="s">
        <v>126</v>
      </c>
      <c r="E132" s="2" t="s">
        <v>38</v>
      </c>
      <c r="F132" s="2" t="s">
        <v>126</v>
      </c>
      <c r="G132" s="2" t="s">
        <v>42</v>
      </c>
      <c r="H132" s="3">
        <v>14214.22</v>
      </c>
      <c r="I132" s="3">
        <v>13875.92</v>
      </c>
      <c r="J132" s="3"/>
      <c r="K132" s="3"/>
      <c r="L132" s="3">
        <v>14214.22</v>
      </c>
      <c r="M132" s="3">
        <v>13875.92</v>
      </c>
      <c r="N132" s="3">
        <v>338.3</v>
      </c>
      <c r="O132" s="3">
        <v>338.3</v>
      </c>
      <c r="P132" s="3">
        <v>14214.22</v>
      </c>
      <c r="Q132" s="3">
        <v>13875.92</v>
      </c>
      <c r="R132" s="3">
        <v>338.3</v>
      </c>
    </row>
    <row r="133" spans="1:18">
      <c r="A133" s="4">
        <v>45962</v>
      </c>
      <c r="B133" s="2" t="s">
        <v>12</v>
      </c>
      <c r="C133" s="2" t="s">
        <v>36</v>
      </c>
      <c r="D133" s="2" t="s">
        <v>127</v>
      </c>
      <c r="E133" s="2" t="s">
        <v>38</v>
      </c>
      <c r="F133" s="2" t="s">
        <v>127</v>
      </c>
      <c r="G133" s="2" t="s">
        <v>39</v>
      </c>
      <c r="H133" s="3">
        <v>3181064.84</v>
      </c>
      <c r="I133" s="3">
        <v>3122764.05</v>
      </c>
      <c r="J133" s="3"/>
      <c r="K133" s="3"/>
      <c r="L133" s="3">
        <v>3181064.84</v>
      </c>
      <c r="M133" s="3">
        <v>3122764.05</v>
      </c>
      <c r="N133" s="3">
        <v>58300.79</v>
      </c>
      <c r="O133" s="3">
        <v>58300.79</v>
      </c>
      <c r="P133" s="3">
        <v>3181064.84</v>
      </c>
      <c r="Q133" s="3">
        <v>3122764.05</v>
      </c>
      <c r="R133" s="3">
        <v>58300.79</v>
      </c>
    </row>
    <row r="134" spans="1:18">
      <c r="A134" s="4">
        <v>45962</v>
      </c>
      <c r="B134" s="2" t="s">
        <v>12</v>
      </c>
      <c r="C134" s="2" t="s">
        <v>40</v>
      </c>
      <c r="D134" s="2" t="s">
        <v>127</v>
      </c>
      <c r="E134" s="2" t="s">
        <v>38</v>
      </c>
      <c r="F134" s="2" t="s">
        <v>127</v>
      </c>
      <c r="G134" s="2" t="s">
        <v>39</v>
      </c>
      <c r="H134" s="3">
        <v>123193.225</v>
      </c>
      <c r="I134" s="3">
        <v>122031</v>
      </c>
      <c r="J134" s="3"/>
      <c r="K134" s="3"/>
      <c r="L134" s="3">
        <v>123193.225</v>
      </c>
      <c r="M134" s="3">
        <v>122031</v>
      </c>
      <c r="N134" s="3">
        <v>1162.225</v>
      </c>
      <c r="O134" s="3">
        <v>1162.225</v>
      </c>
      <c r="P134" s="3">
        <v>123193.225</v>
      </c>
      <c r="Q134" s="3">
        <v>122031</v>
      </c>
      <c r="R134" s="3">
        <v>1162.225</v>
      </c>
    </row>
    <row r="135" spans="1:18">
      <c r="A135" s="4">
        <v>45962</v>
      </c>
      <c r="B135" s="2" t="s">
        <v>12</v>
      </c>
      <c r="C135" s="2" t="s">
        <v>36</v>
      </c>
      <c r="D135" s="2" t="s">
        <v>128</v>
      </c>
      <c r="E135" s="2" t="s">
        <v>81</v>
      </c>
      <c r="F135" s="2" t="s">
        <v>129</v>
      </c>
      <c r="G135" s="2" t="s">
        <v>39</v>
      </c>
      <c r="H135" s="3">
        <v>35682.9</v>
      </c>
      <c r="I135" s="3">
        <v>35080.864</v>
      </c>
      <c r="J135" s="3"/>
      <c r="K135" s="3"/>
      <c r="L135" s="3">
        <v>35682.9</v>
      </c>
      <c r="M135" s="3">
        <v>35080.864</v>
      </c>
      <c r="N135" s="3">
        <v>602.036</v>
      </c>
      <c r="O135" s="3">
        <v>602.036</v>
      </c>
      <c r="P135" s="3">
        <v>602.036</v>
      </c>
      <c r="Q135" s="3"/>
      <c r="R135" s="3">
        <v>602.036</v>
      </c>
    </row>
    <row r="136" spans="1:18">
      <c r="A136" s="4">
        <v>45962</v>
      </c>
      <c r="B136" s="2" t="s">
        <v>12</v>
      </c>
      <c r="C136" s="2" t="s">
        <v>40</v>
      </c>
      <c r="D136" s="2" t="s">
        <v>128</v>
      </c>
      <c r="E136" s="2" t="s">
        <v>81</v>
      </c>
      <c r="F136" s="2" t="s">
        <v>129</v>
      </c>
      <c r="G136" s="2" t="s">
        <v>39</v>
      </c>
      <c r="H136" s="3">
        <v>1825.52</v>
      </c>
      <c r="I136" s="3">
        <v>1814.176</v>
      </c>
      <c r="J136" s="3"/>
      <c r="K136" s="3"/>
      <c r="L136" s="3">
        <v>1825.52</v>
      </c>
      <c r="M136" s="3">
        <v>1814.176</v>
      </c>
      <c r="N136" s="3">
        <v>11.344</v>
      </c>
      <c r="O136" s="3">
        <v>11.344</v>
      </c>
      <c r="P136" s="3">
        <v>11.344</v>
      </c>
      <c r="Q136" s="3"/>
      <c r="R136" s="3">
        <v>11.344</v>
      </c>
    </row>
    <row r="137" spans="1:18">
      <c r="A137" s="4">
        <v>45962</v>
      </c>
      <c r="B137" s="2" t="s">
        <v>12</v>
      </c>
      <c r="C137" s="2" t="s">
        <v>36</v>
      </c>
      <c r="D137" s="2" t="s">
        <v>128</v>
      </c>
      <c r="E137" s="2" t="s">
        <v>81</v>
      </c>
      <c r="F137" s="2" t="s">
        <v>130</v>
      </c>
      <c r="G137" s="2" t="s">
        <v>39</v>
      </c>
      <c r="H137" s="3">
        <v>50816.7</v>
      </c>
      <c r="I137" s="3">
        <v>55011.528</v>
      </c>
      <c r="J137" s="3"/>
      <c r="K137" s="3"/>
      <c r="L137" s="3">
        <v>50816.7</v>
      </c>
      <c r="M137" s="3">
        <v>55011.528</v>
      </c>
      <c r="N137" s="3">
        <v>-4194.828</v>
      </c>
      <c r="O137" s="3">
        <v>-4194.828</v>
      </c>
      <c r="P137" s="3">
        <v>-4194.828</v>
      </c>
      <c r="Q137" s="3"/>
      <c r="R137" s="3">
        <v>-4194.828</v>
      </c>
    </row>
    <row r="138" spans="1:18">
      <c r="A138" s="4">
        <v>45962</v>
      </c>
      <c r="B138" s="2" t="s">
        <v>12</v>
      </c>
      <c r="C138" s="2" t="s">
        <v>40</v>
      </c>
      <c r="D138" s="2" t="s">
        <v>128</v>
      </c>
      <c r="E138" s="2" t="s">
        <v>81</v>
      </c>
      <c r="F138" s="2" t="s">
        <v>130</v>
      </c>
      <c r="G138" s="2" t="s">
        <v>39</v>
      </c>
      <c r="H138" s="3">
        <v>17538.9</v>
      </c>
      <c r="I138" s="3">
        <v>17441.424</v>
      </c>
      <c r="J138" s="3"/>
      <c r="K138" s="3"/>
      <c r="L138" s="3">
        <v>17538.9</v>
      </c>
      <c r="M138" s="3">
        <v>17441.424</v>
      </c>
      <c r="N138" s="3">
        <v>97.476</v>
      </c>
      <c r="O138" s="3">
        <v>97.476</v>
      </c>
      <c r="P138" s="3">
        <v>97.476</v>
      </c>
      <c r="Q138" s="3"/>
      <c r="R138" s="3">
        <v>97.476</v>
      </c>
    </row>
    <row r="139" spans="1:18">
      <c r="A139" s="4">
        <v>45962</v>
      </c>
      <c r="B139" s="2" t="s">
        <v>12</v>
      </c>
      <c r="C139" s="2" t="s">
        <v>36</v>
      </c>
      <c r="D139" s="2" t="s">
        <v>128</v>
      </c>
      <c r="E139" s="2" t="s">
        <v>81</v>
      </c>
      <c r="F139" s="2" t="s">
        <v>82</v>
      </c>
      <c r="G139" s="2" t="s">
        <v>39</v>
      </c>
      <c r="H139" s="3">
        <v>225883.5711</v>
      </c>
      <c r="I139" s="3">
        <v>265007.6306</v>
      </c>
      <c r="J139" s="3"/>
      <c r="K139" s="3"/>
      <c r="L139" s="3">
        <v>225883.5711</v>
      </c>
      <c r="M139" s="3">
        <v>265007.6306</v>
      </c>
      <c r="N139" s="3">
        <v>-39124.0595</v>
      </c>
      <c r="O139" s="3">
        <v>-39124.0595</v>
      </c>
      <c r="P139" s="3">
        <v>-39124.0595</v>
      </c>
      <c r="Q139" s="3"/>
      <c r="R139" s="3">
        <v>-39124.0595</v>
      </c>
    </row>
    <row r="140" spans="1:18">
      <c r="A140" s="4">
        <v>45962</v>
      </c>
      <c r="B140" s="2" t="s">
        <v>12</v>
      </c>
      <c r="C140" s="2" t="s">
        <v>40</v>
      </c>
      <c r="D140" s="2" t="s">
        <v>128</v>
      </c>
      <c r="E140" s="2" t="s">
        <v>81</v>
      </c>
      <c r="F140" s="2" t="s">
        <v>82</v>
      </c>
      <c r="G140" s="2" t="s">
        <v>39</v>
      </c>
      <c r="H140" s="3">
        <v>68026.7832</v>
      </c>
      <c r="I140" s="3">
        <v>67222.8565</v>
      </c>
      <c r="J140" s="3"/>
      <c r="K140" s="3"/>
      <c r="L140" s="3">
        <v>68026.7832</v>
      </c>
      <c r="M140" s="3">
        <v>67222.8565</v>
      </c>
      <c r="N140" s="3">
        <v>803.9267</v>
      </c>
      <c r="O140" s="3">
        <v>803.9267</v>
      </c>
      <c r="P140" s="3">
        <v>803.9267</v>
      </c>
      <c r="Q140" s="3"/>
      <c r="R140" s="3">
        <v>803.9267</v>
      </c>
    </row>
    <row r="141" spans="1:18">
      <c r="A141" s="4">
        <v>45962</v>
      </c>
      <c r="B141" s="2" t="s">
        <v>12</v>
      </c>
      <c r="C141" s="2" t="s">
        <v>36</v>
      </c>
      <c r="D141" s="2" t="s">
        <v>128</v>
      </c>
      <c r="E141" s="2" t="s">
        <v>81</v>
      </c>
      <c r="F141" s="2" t="s">
        <v>92</v>
      </c>
      <c r="G141" s="2" t="s">
        <v>39</v>
      </c>
      <c r="H141" s="3">
        <v>283350.12</v>
      </c>
      <c r="I141" s="3">
        <v>290605.23</v>
      </c>
      <c r="J141" s="3"/>
      <c r="K141" s="3"/>
      <c r="L141" s="3">
        <v>283350.12</v>
      </c>
      <c r="M141" s="3">
        <v>290605.23</v>
      </c>
      <c r="N141" s="3">
        <v>-7255.11</v>
      </c>
      <c r="O141" s="3">
        <v>-7255.11</v>
      </c>
      <c r="P141" s="3">
        <v>-7255.11</v>
      </c>
      <c r="Q141" s="3"/>
      <c r="R141" s="3">
        <v>-7255.11</v>
      </c>
    </row>
    <row r="142" spans="1:18">
      <c r="A142" s="4">
        <v>45962</v>
      </c>
      <c r="B142" s="2" t="s">
        <v>12</v>
      </c>
      <c r="C142" s="2" t="s">
        <v>40</v>
      </c>
      <c r="D142" s="2" t="s">
        <v>128</v>
      </c>
      <c r="E142" s="2" t="s">
        <v>81</v>
      </c>
      <c r="F142" s="2" t="s">
        <v>92</v>
      </c>
      <c r="G142" s="2" t="s">
        <v>39</v>
      </c>
      <c r="H142" s="3">
        <v>656751.32</v>
      </c>
      <c r="I142" s="3">
        <v>658378.63</v>
      </c>
      <c r="J142" s="3"/>
      <c r="K142" s="3"/>
      <c r="L142" s="3">
        <v>656751.32</v>
      </c>
      <c r="M142" s="3">
        <v>658378.63</v>
      </c>
      <c r="N142" s="3">
        <v>-1627.31</v>
      </c>
      <c r="O142" s="3">
        <v>-1627.31</v>
      </c>
      <c r="P142" s="3">
        <v>-1627.31</v>
      </c>
      <c r="Q142" s="3"/>
      <c r="R142" s="3">
        <v>-1627.31</v>
      </c>
    </row>
    <row r="143" spans="1:18">
      <c r="A143" s="4">
        <v>45962</v>
      </c>
      <c r="B143" s="2" t="s">
        <v>12</v>
      </c>
      <c r="C143" s="2" t="s">
        <v>36</v>
      </c>
      <c r="D143" s="2" t="s">
        <v>128</v>
      </c>
      <c r="E143" s="2" t="s">
        <v>81</v>
      </c>
      <c r="F143" s="2" t="s">
        <v>131</v>
      </c>
      <c r="G143" s="2" t="s">
        <v>39</v>
      </c>
      <c r="H143" s="3">
        <v>25742.55</v>
      </c>
      <c r="I143" s="3">
        <v>25446.72</v>
      </c>
      <c r="J143" s="3"/>
      <c r="K143" s="3"/>
      <c r="L143" s="3">
        <v>25742.55</v>
      </c>
      <c r="M143" s="3">
        <v>25446.72</v>
      </c>
      <c r="N143" s="3">
        <v>295.83</v>
      </c>
      <c r="O143" s="3">
        <v>295.83</v>
      </c>
      <c r="P143" s="3">
        <v>295.83</v>
      </c>
      <c r="Q143" s="3"/>
      <c r="R143" s="3">
        <v>295.83</v>
      </c>
    </row>
    <row r="144" spans="1:18">
      <c r="A144" s="4">
        <v>45962</v>
      </c>
      <c r="B144" s="2" t="s">
        <v>12</v>
      </c>
      <c r="C144" s="2" t="s">
        <v>40</v>
      </c>
      <c r="D144" s="2" t="s">
        <v>128</v>
      </c>
      <c r="E144" s="2" t="s">
        <v>81</v>
      </c>
      <c r="F144" s="2" t="s">
        <v>131</v>
      </c>
      <c r="G144" s="2" t="s">
        <v>39</v>
      </c>
      <c r="H144" s="3">
        <v>15055.12</v>
      </c>
      <c r="I144" s="3">
        <v>14659.84</v>
      </c>
      <c r="J144" s="3"/>
      <c r="K144" s="3"/>
      <c r="L144" s="3">
        <v>15055.12</v>
      </c>
      <c r="M144" s="3">
        <v>14659.84</v>
      </c>
      <c r="N144" s="3">
        <v>395.28</v>
      </c>
      <c r="O144" s="3">
        <v>395.28</v>
      </c>
      <c r="P144" s="3">
        <v>395.28</v>
      </c>
      <c r="Q144" s="3"/>
      <c r="R144" s="3">
        <v>395.28</v>
      </c>
    </row>
    <row r="145" spans="1:18">
      <c r="A145" s="4">
        <v>45962</v>
      </c>
      <c r="B145" s="2" t="s">
        <v>12</v>
      </c>
      <c r="C145" s="2" t="s">
        <v>36</v>
      </c>
      <c r="D145" s="2" t="s">
        <v>128</v>
      </c>
      <c r="E145" s="2" t="s">
        <v>81</v>
      </c>
      <c r="F145" s="2" t="s">
        <v>132</v>
      </c>
      <c r="G145" s="2" t="s">
        <v>39</v>
      </c>
      <c r="H145" s="3">
        <v>5123.7</v>
      </c>
      <c r="I145" s="3">
        <v>5015.088</v>
      </c>
      <c r="J145" s="3"/>
      <c r="K145" s="3"/>
      <c r="L145" s="3">
        <v>5123.7</v>
      </c>
      <c r="M145" s="3">
        <v>5015.088</v>
      </c>
      <c r="N145" s="3">
        <v>108.612</v>
      </c>
      <c r="O145" s="3">
        <v>108.612</v>
      </c>
      <c r="P145" s="3">
        <v>108.612</v>
      </c>
      <c r="Q145" s="3"/>
      <c r="R145" s="3">
        <v>108.612</v>
      </c>
    </row>
    <row r="146" spans="1:18">
      <c r="A146" s="4">
        <v>45962</v>
      </c>
      <c r="B146" s="2" t="s">
        <v>12</v>
      </c>
      <c r="C146" s="2" t="s">
        <v>40</v>
      </c>
      <c r="D146" s="2" t="s">
        <v>128</v>
      </c>
      <c r="E146" s="2" t="s">
        <v>81</v>
      </c>
      <c r="F146" s="2" t="s">
        <v>132</v>
      </c>
      <c r="G146" s="2" t="s">
        <v>39</v>
      </c>
      <c r="H146" s="3">
        <v>7477.9</v>
      </c>
      <c r="I146" s="3">
        <v>7459.088</v>
      </c>
      <c r="J146" s="3"/>
      <c r="K146" s="3"/>
      <c r="L146" s="3">
        <v>7477.9</v>
      </c>
      <c r="M146" s="3">
        <v>7459.088</v>
      </c>
      <c r="N146" s="3">
        <v>18.812</v>
      </c>
      <c r="O146" s="3">
        <v>18.812</v>
      </c>
      <c r="P146" s="3">
        <v>18.812</v>
      </c>
      <c r="Q146" s="3"/>
      <c r="R146" s="3">
        <v>18.812</v>
      </c>
    </row>
    <row r="147" spans="1:18">
      <c r="A147" s="4">
        <v>45962</v>
      </c>
      <c r="B147" s="2" t="s">
        <v>12</v>
      </c>
      <c r="C147" s="2" t="s">
        <v>36</v>
      </c>
      <c r="D147" s="2" t="s">
        <v>128</v>
      </c>
      <c r="E147" s="2" t="s">
        <v>81</v>
      </c>
      <c r="F147" s="2" t="s">
        <v>133</v>
      </c>
      <c r="G147" s="2" t="s">
        <v>39</v>
      </c>
      <c r="H147" s="3">
        <v>223592.053</v>
      </c>
      <c r="I147" s="3">
        <v>252545.9664</v>
      </c>
      <c r="J147" s="3"/>
      <c r="K147" s="3"/>
      <c r="L147" s="3">
        <v>223592.053</v>
      </c>
      <c r="M147" s="3">
        <v>252545.9664</v>
      </c>
      <c r="N147" s="3">
        <v>-28953.9134</v>
      </c>
      <c r="O147" s="3">
        <v>-28953.9134</v>
      </c>
      <c r="P147" s="3">
        <v>-28953.9134</v>
      </c>
      <c r="Q147" s="3"/>
      <c r="R147" s="3">
        <v>-28953.9134</v>
      </c>
    </row>
    <row r="148" spans="1:18">
      <c r="A148" s="4">
        <v>45962</v>
      </c>
      <c r="B148" s="2" t="s">
        <v>12</v>
      </c>
      <c r="C148" s="2" t="s">
        <v>40</v>
      </c>
      <c r="D148" s="2" t="s">
        <v>128</v>
      </c>
      <c r="E148" s="2" t="s">
        <v>81</v>
      </c>
      <c r="F148" s="2" t="s">
        <v>133</v>
      </c>
      <c r="G148" s="2" t="s">
        <v>39</v>
      </c>
      <c r="H148" s="3">
        <v>327097.549</v>
      </c>
      <c r="I148" s="3">
        <v>317002.452</v>
      </c>
      <c r="J148" s="3"/>
      <c r="K148" s="3"/>
      <c r="L148" s="3">
        <v>327097.549</v>
      </c>
      <c r="M148" s="3">
        <v>317002.452</v>
      </c>
      <c r="N148" s="3">
        <v>10095.097</v>
      </c>
      <c r="O148" s="3">
        <v>10095.097</v>
      </c>
      <c r="P148" s="3">
        <v>10095.097</v>
      </c>
      <c r="Q148" s="3"/>
      <c r="R148" s="3">
        <v>10095.097</v>
      </c>
    </row>
    <row r="149" spans="1:18">
      <c r="A149" s="4">
        <v>45962</v>
      </c>
      <c r="B149" s="2" t="s">
        <v>12</v>
      </c>
      <c r="C149" s="2" t="s">
        <v>36</v>
      </c>
      <c r="D149" s="2" t="s">
        <v>128</v>
      </c>
      <c r="E149" s="2" t="s">
        <v>81</v>
      </c>
      <c r="F149" s="2" t="s">
        <v>134</v>
      </c>
      <c r="G149" s="2" t="s">
        <v>39</v>
      </c>
      <c r="H149" s="3">
        <v>114124.13</v>
      </c>
      <c r="I149" s="3">
        <v>109189.6</v>
      </c>
      <c r="J149" s="3"/>
      <c r="K149" s="3"/>
      <c r="L149" s="3">
        <v>114124.13</v>
      </c>
      <c r="M149" s="3">
        <v>109189.6</v>
      </c>
      <c r="N149" s="3">
        <v>4934.53</v>
      </c>
      <c r="O149" s="3">
        <v>4934.53</v>
      </c>
      <c r="P149" s="3">
        <v>4934.53</v>
      </c>
      <c r="Q149" s="3"/>
      <c r="R149" s="3">
        <v>4934.53</v>
      </c>
    </row>
    <row r="150" spans="1:18">
      <c r="A150" s="4">
        <v>45962</v>
      </c>
      <c r="B150" s="2" t="s">
        <v>12</v>
      </c>
      <c r="C150" s="2" t="s">
        <v>40</v>
      </c>
      <c r="D150" s="2" t="s">
        <v>135</v>
      </c>
      <c r="E150" s="2" t="s">
        <v>38</v>
      </c>
      <c r="F150" s="2" t="s">
        <v>135</v>
      </c>
      <c r="G150" s="2" t="s">
        <v>39</v>
      </c>
      <c r="H150" s="3">
        <v>128373</v>
      </c>
      <c r="I150" s="3">
        <v>128373</v>
      </c>
      <c r="J150" s="3"/>
      <c r="K150" s="3"/>
      <c r="L150" s="3">
        <v>128373</v>
      </c>
      <c r="M150" s="3">
        <v>128373</v>
      </c>
      <c r="N150" s="3"/>
      <c r="O150" s="3"/>
      <c r="P150" s="3">
        <v>128373</v>
      </c>
      <c r="Q150" s="3">
        <v>128373</v>
      </c>
      <c r="R150" s="3"/>
    </row>
    <row r="151" spans="1:18">
      <c r="A151" s="4">
        <v>45962</v>
      </c>
      <c r="B151" s="2" t="s">
        <v>12</v>
      </c>
      <c r="C151" s="2" t="s">
        <v>36</v>
      </c>
      <c r="D151" s="2" t="s">
        <v>136</v>
      </c>
      <c r="E151" s="2" t="s">
        <v>81</v>
      </c>
      <c r="F151" s="2" t="s">
        <v>137</v>
      </c>
      <c r="G151" s="2" t="s">
        <v>39</v>
      </c>
      <c r="H151" s="3">
        <v>11533.31822489</v>
      </c>
      <c r="I151" s="3">
        <v>11055</v>
      </c>
      <c r="J151" s="3"/>
      <c r="K151" s="3"/>
      <c r="L151" s="3">
        <v>11533.31822489</v>
      </c>
      <c r="M151" s="3">
        <v>11055</v>
      </c>
      <c r="N151" s="3">
        <v>478.31822489</v>
      </c>
      <c r="O151" s="3">
        <v>478.31822489</v>
      </c>
      <c r="P151" s="3">
        <v>478.31822489</v>
      </c>
      <c r="Q151" s="3"/>
      <c r="R151" s="3">
        <v>478.31822489</v>
      </c>
    </row>
    <row r="152" spans="1:18">
      <c r="A152" s="4">
        <v>45962</v>
      </c>
      <c r="B152" s="2" t="s">
        <v>12</v>
      </c>
      <c r="C152" s="2" t="s">
        <v>40</v>
      </c>
      <c r="D152" s="2" t="s">
        <v>136</v>
      </c>
      <c r="E152" s="2" t="s">
        <v>81</v>
      </c>
      <c r="F152" s="2" t="s">
        <v>137</v>
      </c>
      <c r="G152" s="2" t="s">
        <v>39</v>
      </c>
      <c r="H152" s="3">
        <v>1005</v>
      </c>
      <c r="I152" s="3">
        <v>1005</v>
      </c>
      <c r="J152" s="3"/>
      <c r="K152" s="3"/>
      <c r="L152" s="3">
        <v>1005</v>
      </c>
      <c r="M152" s="3">
        <v>1005</v>
      </c>
      <c r="N152" s="3"/>
      <c r="O152" s="3"/>
      <c r="P152" s="3"/>
      <c r="Q152" s="3"/>
      <c r="R152" s="3"/>
    </row>
    <row r="153" spans="1:18">
      <c r="A153" s="4">
        <v>45962</v>
      </c>
      <c r="B153" s="2" t="s">
        <v>12</v>
      </c>
      <c r="C153" s="2" t="s">
        <v>36</v>
      </c>
      <c r="D153" s="2" t="s">
        <v>136</v>
      </c>
      <c r="E153" s="2" t="s">
        <v>81</v>
      </c>
      <c r="F153" s="2" t="s">
        <v>82</v>
      </c>
      <c r="G153" s="2" t="s">
        <v>39</v>
      </c>
      <c r="H153" s="3">
        <v>102.1</v>
      </c>
      <c r="I153" s="3">
        <v>2995.2</v>
      </c>
      <c r="J153" s="3"/>
      <c r="K153" s="3"/>
      <c r="L153" s="3">
        <v>102.1</v>
      </c>
      <c r="M153" s="3">
        <v>2995.2</v>
      </c>
      <c r="N153" s="3">
        <v>-2893.1</v>
      </c>
      <c r="O153" s="3">
        <v>-2893.1</v>
      </c>
      <c r="P153" s="3">
        <v>-2893.1</v>
      </c>
      <c r="Q153" s="3"/>
      <c r="R153" s="3">
        <v>-2893.1</v>
      </c>
    </row>
    <row r="154" spans="1:18">
      <c r="A154" s="4">
        <v>45962</v>
      </c>
      <c r="B154" s="2" t="s">
        <v>12</v>
      </c>
      <c r="C154" s="2" t="s">
        <v>40</v>
      </c>
      <c r="D154" s="2" t="s">
        <v>136</v>
      </c>
      <c r="E154" s="2" t="s">
        <v>81</v>
      </c>
      <c r="F154" s="2" t="s">
        <v>82</v>
      </c>
      <c r="G154" s="2" t="s">
        <v>39</v>
      </c>
      <c r="H154" s="3">
        <v>8950</v>
      </c>
      <c r="I154" s="3">
        <v>8320</v>
      </c>
      <c r="J154" s="3"/>
      <c r="K154" s="3"/>
      <c r="L154" s="3">
        <v>8950</v>
      </c>
      <c r="M154" s="3">
        <v>8320</v>
      </c>
      <c r="N154" s="3">
        <v>630</v>
      </c>
      <c r="O154" s="3">
        <v>630</v>
      </c>
      <c r="P154" s="3">
        <v>630</v>
      </c>
      <c r="Q154" s="3"/>
      <c r="R154" s="3">
        <v>630</v>
      </c>
    </row>
    <row r="155" spans="1:18">
      <c r="A155" s="4">
        <v>45962</v>
      </c>
      <c r="B155" s="2" t="s">
        <v>12</v>
      </c>
      <c r="C155" s="2" t="s">
        <v>36</v>
      </c>
      <c r="D155" s="2" t="s">
        <v>136</v>
      </c>
      <c r="E155" s="2" t="s">
        <v>81</v>
      </c>
      <c r="F155" s="2" t="s">
        <v>136</v>
      </c>
      <c r="G155" s="2" t="s">
        <v>39</v>
      </c>
      <c r="H155" s="3"/>
      <c r="I155" s="3"/>
      <c r="J155" s="3"/>
      <c r="K155" s="3">
        <v>-10</v>
      </c>
      <c r="L155" s="3"/>
      <c r="M155" s="3">
        <v>-10</v>
      </c>
      <c r="N155" s="3">
        <v>10</v>
      </c>
      <c r="O155" s="3">
        <v>10</v>
      </c>
      <c r="P155" s="3">
        <v>10</v>
      </c>
      <c r="Q155" s="3"/>
      <c r="R155" s="3">
        <v>10</v>
      </c>
    </row>
    <row r="156" spans="1:18">
      <c r="A156" s="4">
        <v>45962</v>
      </c>
      <c r="B156" s="2" t="s">
        <v>12</v>
      </c>
      <c r="C156" s="2" t="s">
        <v>36</v>
      </c>
      <c r="D156" s="2" t="s">
        <v>136</v>
      </c>
      <c r="E156" s="2" t="s">
        <v>81</v>
      </c>
      <c r="F156" s="2" t="s">
        <v>138</v>
      </c>
      <c r="G156" s="2" t="s">
        <v>39</v>
      </c>
      <c r="H156" s="3">
        <v>1522151.07</v>
      </c>
      <c r="I156" s="3">
        <v>1514557</v>
      </c>
      <c r="J156" s="3"/>
      <c r="K156" s="3"/>
      <c r="L156" s="3">
        <v>1522151.07</v>
      </c>
      <c r="M156" s="3">
        <v>1514557</v>
      </c>
      <c r="N156" s="3">
        <v>7594.07</v>
      </c>
      <c r="O156" s="3">
        <v>7594.07</v>
      </c>
      <c r="P156" s="3">
        <v>7594.07</v>
      </c>
      <c r="Q156" s="3"/>
      <c r="R156" s="3">
        <v>7594.07</v>
      </c>
    </row>
    <row r="157" spans="1:18">
      <c r="A157" s="4">
        <v>45962</v>
      </c>
      <c r="B157" s="2" t="s">
        <v>12</v>
      </c>
      <c r="C157" s="2" t="s">
        <v>40</v>
      </c>
      <c r="D157" s="2" t="s">
        <v>136</v>
      </c>
      <c r="E157" s="2" t="s">
        <v>81</v>
      </c>
      <c r="F157" s="2" t="s">
        <v>138</v>
      </c>
      <c r="G157" s="2" t="s">
        <v>39</v>
      </c>
      <c r="H157" s="3">
        <v>461027.2</v>
      </c>
      <c r="I157" s="3">
        <v>459400</v>
      </c>
      <c r="J157" s="3">
        <v>-100.2</v>
      </c>
      <c r="K157" s="3">
        <v>-100</v>
      </c>
      <c r="L157" s="3">
        <v>460926.999999999</v>
      </c>
      <c r="M157" s="3">
        <v>459300</v>
      </c>
      <c r="N157" s="3">
        <v>1626.99999999999</v>
      </c>
      <c r="O157" s="3">
        <v>1626.99999999999</v>
      </c>
      <c r="P157" s="3">
        <v>1626.99999999999</v>
      </c>
      <c r="Q157" s="3"/>
      <c r="R157" s="3">
        <v>1626.99999999999</v>
      </c>
    </row>
    <row r="158" spans="1:18">
      <c r="A158" s="4">
        <v>45962</v>
      </c>
      <c r="B158" s="2" t="s">
        <v>12</v>
      </c>
      <c r="C158" s="2" t="s">
        <v>36</v>
      </c>
      <c r="D158" s="2" t="s">
        <v>139</v>
      </c>
      <c r="E158" s="2" t="s">
        <v>81</v>
      </c>
      <c r="F158" s="2"/>
      <c r="G158" s="2" t="s">
        <v>39</v>
      </c>
      <c r="H158" s="3">
        <v>200.7358</v>
      </c>
      <c r="I158" s="3">
        <v>87.5711</v>
      </c>
      <c r="J158" s="3"/>
      <c r="K158" s="3"/>
      <c r="L158" s="3">
        <v>200.7358</v>
      </c>
      <c r="M158" s="3">
        <v>87.5711</v>
      </c>
      <c r="N158" s="3">
        <v>113.1647</v>
      </c>
      <c r="O158" s="3">
        <v>113.1647</v>
      </c>
      <c r="P158" s="3">
        <v>113.1647</v>
      </c>
      <c r="Q158" s="3"/>
      <c r="R158" s="3">
        <v>113.1647</v>
      </c>
    </row>
    <row r="159" spans="1:18">
      <c r="A159" s="4">
        <v>45962</v>
      </c>
      <c r="B159" s="2" t="s">
        <v>12</v>
      </c>
      <c r="C159" s="2" t="s">
        <v>36</v>
      </c>
      <c r="D159" s="2" t="s">
        <v>139</v>
      </c>
      <c r="E159" s="2" t="s">
        <v>81</v>
      </c>
      <c r="F159" s="2" t="s">
        <v>140</v>
      </c>
      <c r="G159" s="2" t="s">
        <v>39</v>
      </c>
      <c r="H159" s="3">
        <v>245</v>
      </c>
      <c r="I159" s="3">
        <v>225</v>
      </c>
      <c r="J159" s="3"/>
      <c r="K159" s="3"/>
      <c r="L159" s="3">
        <v>245</v>
      </c>
      <c r="M159" s="3">
        <v>225</v>
      </c>
      <c r="N159" s="3">
        <v>20</v>
      </c>
      <c r="O159" s="3">
        <v>20</v>
      </c>
      <c r="P159" s="3">
        <v>20</v>
      </c>
      <c r="Q159" s="3"/>
      <c r="R159" s="3">
        <v>20</v>
      </c>
    </row>
    <row r="160" spans="1:18">
      <c r="A160" s="4">
        <v>45962</v>
      </c>
      <c r="B160" s="2" t="s">
        <v>12</v>
      </c>
      <c r="C160" s="2" t="s">
        <v>36</v>
      </c>
      <c r="D160" s="2" t="s">
        <v>139</v>
      </c>
      <c r="E160" s="2" t="s">
        <v>81</v>
      </c>
      <c r="F160" s="2" t="s">
        <v>141</v>
      </c>
      <c r="G160" s="2" t="s">
        <v>42</v>
      </c>
      <c r="H160" s="3">
        <v>86</v>
      </c>
      <c r="I160" s="3">
        <v>84</v>
      </c>
      <c r="J160" s="3"/>
      <c r="K160" s="3"/>
      <c r="L160" s="3">
        <v>86</v>
      </c>
      <c r="M160" s="3">
        <v>84</v>
      </c>
      <c r="N160" s="3">
        <v>2</v>
      </c>
      <c r="O160" s="3">
        <v>2</v>
      </c>
      <c r="P160" s="3">
        <v>2</v>
      </c>
      <c r="Q160" s="3"/>
      <c r="R160" s="3">
        <v>2</v>
      </c>
    </row>
    <row r="161" spans="1:18">
      <c r="A161" s="4">
        <v>45962</v>
      </c>
      <c r="B161" s="2" t="s">
        <v>12</v>
      </c>
      <c r="C161" s="2" t="s">
        <v>36</v>
      </c>
      <c r="D161" s="2" t="s">
        <v>139</v>
      </c>
      <c r="E161" s="2" t="s">
        <v>81</v>
      </c>
      <c r="F161" s="2" t="s">
        <v>41</v>
      </c>
      <c r="G161" s="2" t="s">
        <v>42</v>
      </c>
      <c r="H161" s="3">
        <v>20295.33</v>
      </c>
      <c r="I161" s="3">
        <v>19849.354</v>
      </c>
      <c r="J161" s="3"/>
      <c r="K161" s="3"/>
      <c r="L161" s="3">
        <v>20295.33</v>
      </c>
      <c r="M161" s="3">
        <v>19849.354</v>
      </c>
      <c r="N161" s="3">
        <v>445.976</v>
      </c>
      <c r="O161" s="3">
        <v>445.976</v>
      </c>
      <c r="P161" s="3">
        <v>445.976</v>
      </c>
      <c r="Q161" s="3"/>
      <c r="R161" s="3">
        <v>445.976</v>
      </c>
    </row>
    <row r="162" spans="1:18">
      <c r="A162" s="4">
        <v>45962</v>
      </c>
      <c r="B162" s="2" t="s">
        <v>12</v>
      </c>
      <c r="C162" s="2" t="s">
        <v>40</v>
      </c>
      <c r="D162" s="2" t="s">
        <v>139</v>
      </c>
      <c r="E162" s="2" t="s">
        <v>81</v>
      </c>
      <c r="F162" s="2" t="s">
        <v>41</v>
      </c>
      <c r="G162" s="2" t="s">
        <v>42</v>
      </c>
      <c r="H162" s="3">
        <v>18455.74</v>
      </c>
      <c r="I162" s="3">
        <v>17016.88</v>
      </c>
      <c r="J162" s="3"/>
      <c r="K162" s="3"/>
      <c r="L162" s="3">
        <v>18455.74</v>
      </c>
      <c r="M162" s="3">
        <v>17016.88</v>
      </c>
      <c r="N162" s="3">
        <v>1438.86</v>
      </c>
      <c r="O162" s="3">
        <v>1438.86</v>
      </c>
      <c r="P162" s="3">
        <v>1438.86</v>
      </c>
      <c r="Q162" s="3"/>
      <c r="R162" s="3">
        <v>1438.86</v>
      </c>
    </row>
    <row r="163" spans="1:18">
      <c r="A163" s="4">
        <v>45962</v>
      </c>
      <c r="B163" s="2" t="s">
        <v>12</v>
      </c>
      <c r="C163" s="2" t="s">
        <v>36</v>
      </c>
      <c r="D163" s="2" t="s">
        <v>139</v>
      </c>
      <c r="E163" s="2" t="s">
        <v>81</v>
      </c>
      <c r="F163" s="2" t="s">
        <v>142</v>
      </c>
      <c r="G163" s="2" t="s">
        <v>42</v>
      </c>
      <c r="H163" s="3">
        <v>119885.21</v>
      </c>
      <c r="I163" s="3">
        <v>103915.5</v>
      </c>
      <c r="J163" s="3"/>
      <c r="K163" s="3"/>
      <c r="L163" s="3">
        <v>119885.21</v>
      </c>
      <c r="M163" s="3">
        <v>103915.5</v>
      </c>
      <c r="N163" s="3">
        <v>15969.71</v>
      </c>
      <c r="O163" s="3">
        <v>15969.71</v>
      </c>
      <c r="P163" s="3">
        <v>15969.71</v>
      </c>
      <c r="Q163" s="3"/>
      <c r="R163" s="3">
        <v>15969.71</v>
      </c>
    </row>
    <row r="164" spans="1:18">
      <c r="A164" s="4">
        <v>45962</v>
      </c>
      <c r="B164" s="2" t="s">
        <v>12</v>
      </c>
      <c r="C164" s="2" t="s">
        <v>40</v>
      </c>
      <c r="D164" s="2" t="s">
        <v>139</v>
      </c>
      <c r="E164" s="2" t="s">
        <v>81</v>
      </c>
      <c r="F164" s="2" t="s">
        <v>142</v>
      </c>
      <c r="G164" s="2" t="s">
        <v>42</v>
      </c>
      <c r="H164" s="3">
        <v>74007.16</v>
      </c>
      <c r="I164" s="3">
        <v>70317</v>
      </c>
      <c r="J164" s="3"/>
      <c r="K164" s="3"/>
      <c r="L164" s="3">
        <v>74007.16</v>
      </c>
      <c r="M164" s="3">
        <v>70317</v>
      </c>
      <c r="N164" s="3">
        <v>3690.16</v>
      </c>
      <c r="O164" s="3">
        <v>3690.16</v>
      </c>
      <c r="P164" s="3">
        <v>3690.16</v>
      </c>
      <c r="Q164" s="3"/>
      <c r="R164" s="3">
        <v>3690.16</v>
      </c>
    </row>
    <row r="165" spans="1:18">
      <c r="A165" s="4">
        <v>45962</v>
      </c>
      <c r="B165" s="2" t="s">
        <v>12</v>
      </c>
      <c r="C165" s="2" t="s">
        <v>36</v>
      </c>
      <c r="D165" s="2" t="s">
        <v>139</v>
      </c>
      <c r="E165" s="2" t="s">
        <v>81</v>
      </c>
      <c r="F165" s="2" t="s">
        <v>143</v>
      </c>
      <c r="G165" s="2" t="s">
        <v>42</v>
      </c>
      <c r="H165" s="3">
        <v>21015.02</v>
      </c>
      <c r="I165" s="3">
        <v>20211.13</v>
      </c>
      <c r="J165" s="3"/>
      <c r="K165" s="3"/>
      <c r="L165" s="3">
        <v>21015.02</v>
      </c>
      <c r="M165" s="3">
        <v>20211.13</v>
      </c>
      <c r="N165" s="3">
        <v>803.89</v>
      </c>
      <c r="O165" s="3">
        <v>803.89</v>
      </c>
      <c r="P165" s="3">
        <v>803.89</v>
      </c>
      <c r="Q165" s="3"/>
      <c r="R165" s="3">
        <v>803.89</v>
      </c>
    </row>
    <row r="166" spans="1:18">
      <c r="A166" s="4">
        <v>45962</v>
      </c>
      <c r="B166" s="2" t="s">
        <v>12</v>
      </c>
      <c r="C166" s="2" t="s">
        <v>40</v>
      </c>
      <c r="D166" s="2" t="s">
        <v>139</v>
      </c>
      <c r="E166" s="2" t="s">
        <v>81</v>
      </c>
      <c r="F166" s="2" t="s">
        <v>143</v>
      </c>
      <c r="G166" s="2" t="s">
        <v>42</v>
      </c>
      <c r="H166" s="3">
        <v>18.6</v>
      </c>
      <c r="I166" s="3">
        <v>17.25</v>
      </c>
      <c r="J166" s="3"/>
      <c r="K166" s="3"/>
      <c r="L166" s="3">
        <v>18.6</v>
      </c>
      <c r="M166" s="3">
        <v>17.25</v>
      </c>
      <c r="N166" s="3">
        <v>1.35</v>
      </c>
      <c r="O166" s="3">
        <v>1.35</v>
      </c>
      <c r="P166" s="3">
        <v>1.35</v>
      </c>
      <c r="Q166" s="3"/>
      <c r="R166" s="3">
        <v>1.35</v>
      </c>
    </row>
    <row r="167" spans="1:18">
      <c r="A167" s="4">
        <v>45962</v>
      </c>
      <c r="B167" s="2" t="s">
        <v>12</v>
      </c>
      <c r="C167" s="2" t="s">
        <v>36</v>
      </c>
      <c r="D167" s="2" t="s">
        <v>139</v>
      </c>
      <c r="E167" s="2" t="s">
        <v>81</v>
      </c>
      <c r="F167" s="2" t="s">
        <v>129</v>
      </c>
      <c r="G167" s="2" t="s">
        <v>39</v>
      </c>
      <c r="H167" s="3">
        <v>354190.5</v>
      </c>
      <c r="I167" s="3">
        <v>348605.6</v>
      </c>
      <c r="J167" s="3"/>
      <c r="K167" s="3"/>
      <c r="L167" s="3">
        <v>354190.5</v>
      </c>
      <c r="M167" s="3">
        <v>348605.6</v>
      </c>
      <c r="N167" s="3">
        <v>5584.9</v>
      </c>
      <c r="O167" s="3">
        <v>5584.9</v>
      </c>
      <c r="P167" s="3">
        <v>5584.9</v>
      </c>
      <c r="Q167" s="3"/>
      <c r="R167" s="3">
        <v>5584.9</v>
      </c>
    </row>
    <row r="168" spans="1:18">
      <c r="A168" s="4">
        <v>45962</v>
      </c>
      <c r="B168" s="2" t="s">
        <v>12</v>
      </c>
      <c r="C168" s="2" t="s">
        <v>40</v>
      </c>
      <c r="D168" s="2" t="s">
        <v>139</v>
      </c>
      <c r="E168" s="2" t="s">
        <v>81</v>
      </c>
      <c r="F168" s="2" t="s">
        <v>129</v>
      </c>
      <c r="G168" s="2" t="s">
        <v>39</v>
      </c>
      <c r="H168" s="3">
        <v>167968.8</v>
      </c>
      <c r="I168" s="3">
        <v>167286</v>
      </c>
      <c r="J168" s="3"/>
      <c r="K168" s="3"/>
      <c r="L168" s="3">
        <v>167968.8</v>
      </c>
      <c r="M168" s="3">
        <v>167286</v>
      </c>
      <c r="N168" s="3">
        <v>682.8</v>
      </c>
      <c r="O168" s="3">
        <v>682.8</v>
      </c>
      <c r="P168" s="3">
        <v>682.8</v>
      </c>
      <c r="Q168" s="3"/>
      <c r="R168" s="3">
        <v>682.8</v>
      </c>
    </row>
    <row r="169" spans="1:18">
      <c r="A169" s="4">
        <v>45962</v>
      </c>
      <c r="B169" s="2" t="s">
        <v>12</v>
      </c>
      <c r="C169" s="2" t="s">
        <v>36</v>
      </c>
      <c r="D169" s="2" t="s">
        <v>139</v>
      </c>
      <c r="E169" s="2" t="s">
        <v>81</v>
      </c>
      <c r="F169" s="2" t="s">
        <v>144</v>
      </c>
      <c r="G169" s="2" t="s">
        <v>39</v>
      </c>
      <c r="H169" s="3">
        <v>171061.77</v>
      </c>
      <c r="I169" s="3">
        <v>179783.655</v>
      </c>
      <c r="J169" s="3"/>
      <c r="K169" s="3"/>
      <c r="L169" s="3">
        <v>171061.77</v>
      </c>
      <c r="M169" s="3">
        <v>179783.655</v>
      </c>
      <c r="N169" s="3">
        <v>-8721.885</v>
      </c>
      <c r="O169" s="3">
        <v>-8721.885</v>
      </c>
      <c r="P169" s="3">
        <v>-8721.885</v>
      </c>
      <c r="Q169" s="3"/>
      <c r="R169" s="3">
        <v>-8721.885</v>
      </c>
    </row>
    <row r="170" spans="1:18">
      <c r="A170" s="4">
        <v>45962</v>
      </c>
      <c r="B170" s="2" t="s">
        <v>12</v>
      </c>
      <c r="C170" s="2" t="s">
        <v>40</v>
      </c>
      <c r="D170" s="2" t="s">
        <v>139</v>
      </c>
      <c r="E170" s="2" t="s">
        <v>81</v>
      </c>
      <c r="F170" s="2" t="s">
        <v>144</v>
      </c>
      <c r="G170" s="2" t="s">
        <v>39</v>
      </c>
      <c r="H170" s="3">
        <v>221630.25</v>
      </c>
      <c r="I170" s="3">
        <v>220323.75</v>
      </c>
      <c r="J170" s="3"/>
      <c r="K170" s="3"/>
      <c r="L170" s="3">
        <v>221630.25</v>
      </c>
      <c r="M170" s="3">
        <v>220323.75</v>
      </c>
      <c r="N170" s="3">
        <v>1306.5</v>
      </c>
      <c r="O170" s="3">
        <v>1306.5</v>
      </c>
      <c r="P170" s="3">
        <v>1306.5</v>
      </c>
      <c r="Q170" s="3"/>
      <c r="R170" s="3">
        <v>1306.5</v>
      </c>
    </row>
    <row r="171" spans="1:18">
      <c r="A171" s="4">
        <v>45962</v>
      </c>
      <c r="B171" s="2" t="s">
        <v>12</v>
      </c>
      <c r="C171" s="2" t="s">
        <v>36</v>
      </c>
      <c r="D171" s="2" t="s">
        <v>139</v>
      </c>
      <c r="E171" s="2" t="s">
        <v>81</v>
      </c>
      <c r="F171" s="2" t="s">
        <v>144</v>
      </c>
      <c r="G171" s="2" t="s">
        <v>42</v>
      </c>
      <c r="H171" s="3">
        <v>110843.58</v>
      </c>
      <c r="I171" s="3">
        <v>104025.6</v>
      </c>
      <c r="J171" s="3"/>
      <c r="K171" s="3"/>
      <c r="L171" s="3">
        <v>110843.58</v>
      </c>
      <c r="M171" s="3">
        <v>104025.6</v>
      </c>
      <c r="N171" s="3">
        <v>6817.98</v>
      </c>
      <c r="O171" s="3">
        <v>6817.98</v>
      </c>
      <c r="P171" s="3">
        <v>6817.98</v>
      </c>
      <c r="Q171" s="3"/>
      <c r="R171" s="3">
        <v>6817.98</v>
      </c>
    </row>
    <row r="172" spans="1:18">
      <c r="A172" s="4">
        <v>45962</v>
      </c>
      <c r="B172" s="2" t="s">
        <v>12</v>
      </c>
      <c r="C172" s="2" t="s">
        <v>40</v>
      </c>
      <c r="D172" s="2" t="s">
        <v>139</v>
      </c>
      <c r="E172" s="2" t="s">
        <v>81</v>
      </c>
      <c r="F172" s="2" t="s">
        <v>144</v>
      </c>
      <c r="G172" s="2" t="s">
        <v>42</v>
      </c>
      <c r="H172" s="3">
        <v>661860.47</v>
      </c>
      <c r="I172" s="3">
        <v>648024.9</v>
      </c>
      <c r="J172" s="3"/>
      <c r="K172" s="3"/>
      <c r="L172" s="3">
        <v>661860.47</v>
      </c>
      <c r="M172" s="3">
        <v>648024.9</v>
      </c>
      <c r="N172" s="3">
        <v>13835.57</v>
      </c>
      <c r="O172" s="3">
        <v>13835.57</v>
      </c>
      <c r="P172" s="3">
        <v>13835.57</v>
      </c>
      <c r="Q172" s="3"/>
      <c r="R172" s="3">
        <v>13835.57</v>
      </c>
    </row>
    <row r="173" spans="1:18">
      <c r="A173" s="4">
        <v>45962</v>
      </c>
      <c r="B173" s="2" t="s">
        <v>12</v>
      </c>
      <c r="C173" s="2" t="s">
        <v>36</v>
      </c>
      <c r="D173" s="2" t="s">
        <v>139</v>
      </c>
      <c r="E173" s="2" t="s">
        <v>81</v>
      </c>
      <c r="F173" s="2" t="s">
        <v>50</v>
      </c>
      <c r="G173" s="2" t="s">
        <v>39</v>
      </c>
      <c r="H173" s="3"/>
      <c r="I173" s="3"/>
      <c r="J173" s="3">
        <v>-1307.59999999999</v>
      </c>
      <c r="K173" s="3">
        <v>-1342.4</v>
      </c>
      <c r="L173" s="3">
        <v>-1307.59999999999</v>
      </c>
      <c r="M173" s="3">
        <v>-1342.4</v>
      </c>
      <c r="N173" s="3">
        <v>34.8</v>
      </c>
      <c r="O173" s="3">
        <v>34.8</v>
      </c>
      <c r="P173" s="3">
        <v>34.8</v>
      </c>
      <c r="Q173" s="3"/>
      <c r="R173" s="3">
        <v>34.8</v>
      </c>
    </row>
    <row r="174" spans="1:18">
      <c r="A174" s="4">
        <v>45962</v>
      </c>
      <c r="B174" s="2" t="s">
        <v>12</v>
      </c>
      <c r="C174" s="2" t="s">
        <v>36</v>
      </c>
      <c r="D174" s="2" t="s">
        <v>139</v>
      </c>
      <c r="E174" s="2" t="s">
        <v>81</v>
      </c>
      <c r="F174" s="2" t="s">
        <v>145</v>
      </c>
      <c r="G174" s="2" t="s">
        <v>39</v>
      </c>
      <c r="H174" s="3">
        <v>188211</v>
      </c>
      <c r="I174" s="3">
        <v>184397</v>
      </c>
      <c r="J174" s="3">
        <v>-3564</v>
      </c>
      <c r="K174" s="3">
        <v>-3492</v>
      </c>
      <c r="L174" s="3">
        <v>184647</v>
      </c>
      <c r="M174" s="3">
        <v>180905</v>
      </c>
      <c r="N174" s="3">
        <v>3742</v>
      </c>
      <c r="O174" s="3">
        <v>3742</v>
      </c>
      <c r="P174" s="3">
        <v>3742</v>
      </c>
      <c r="Q174" s="3"/>
      <c r="R174" s="3">
        <v>3742</v>
      </c>
    </row>
    <row r="175" spans="1:18">
      <c r="A175" s="4">
        <v>45962</v>
      </c>
      <c r="B175" s="2" t="s">
        <v>12</v>
      </c>
      <c r="C175" s="2" t="s">
        <v>40</v>
      </c>
      <c r="D175" s="2" t="s">
        <v>139</v>
      </c>
      <c r="E175" s="2" t="s">
        <v>81</v>
      </c>
      <c r="F175" s="2" t="s">
        <v>145</v>
      </c>
      <c r="G175" s="2" t="s">
        <v>39</v>
      </c>
      <c r="H175" s="3">
        <v>2328</v>
      </c>
      <c r="I175" s="3">
        <v>2328</v>
      </c>
      <c r="J175" s="3"/>
      <c r="K175" s="3"/>
      <c r="L175" s="3">
        <v>2328</v>
      </c>
      <c r="M175" s="3">
        <v>2328</v>
      </c>
      <c r="N175" s="3"/>
      <c r="O175" s="3"/>
      <c r="P175" s="3"/>
      <c r="Q175" s="3"/>
      <c r="R175" s="3"/>
    </row>
    <row r="176" spans="1:18">
      <c r="A176" s="4">
        <v>45962</v>
      </c>
      <c r="B176" s="2" t="s">
        <v>12</v>
      </c>
      <c r="C176" s="2" t="s">
        <v>36</v>
      </c>
      <c r="D176" s="2" t="s">
        <v>139</v>
      </c>
      <c r="E176" s="2" t="s">
        <v>81</v>
      </c>
      <c r="F176" s="2" t="s">
        <v>130</v>
      </c>
      <c r="G176" s="2" t="s">
        <v>39</v>
      </c>
      <c r="H176" s="3">
        <v>6554872.85</v>
      </c>
      <c r="I176" s="3">
        <v>6513843.24</v>
      </c>
      <c r="J176" s="3"/>
      <c r="K176" s="3"/>
      <c r="L176" s="3">
        <v>6554872.85</v>
      </c>
      <c r="M176" s="3">
        <v>6513843.24</v>
      </c>
      <c r="N176" s="3">
        <v>41029.61</v>
      </c>
      <c r="O176" s="3">
        <v>41029.61</v>
      </c>
      <c r="P176" s="3">
        <v>41029.61</v>
      </c>
      <c r="Q176" s="3"/>
      <c r="R176" s="3">
        <v>41029.61</v>
      </c>
    </row>
    <row r="177" spans="1:18">
      <c r="A177" s="4">
        <v>45962</v>
      </c>
      <c r="B177" s="2" t="s">
        <v>12</v>
      </c>
      <c r="C177" s="2" t="s">
        <v>40</v>
      </c>
      <c r="D177" s="2" t="s">
        <v>139</v>
      </c>
      <c r="E177" s="2" t="s">
        <v>81</v>
      </c>
      <c r="F177" s="2" t="s">
        <v>130</v>
      </c>
      <c r="G177" s="2" t="s">
        <v>39</v>
      </c>
      <c r="H177" s="3">
        <v>5769824.2225</v>
      </c>
      <c r="I177" s="3">
        <v>5744483.65</v>
      </c>
      <c r="J177" s="3"/>
      <c r="K177" s="3"/>
      <c r="L177" s="3">
        <v>5769824.2225</v>
      </c>
      <c r="M177" s="3">
        <v>5744483.65</v>
      </c>
      <c r="N177" s="3">
        <v>25340.5725</v>
      </c>
      <c r="O177" s="3">
        <v>25340.5725</v>
      </c>
      <c r="P177" s="3">
        <v>25340.5725</v>
      </c>
      <c r="Q177" s="3"/>
      <c r="R177" s="3">
        <v>25340.5725</v>
      </c>
    </row>
    <row r="178" spans="1:18">
      <c r="A178" s="4">
        <v>45962</v>
      </c>
      <c r="B178" s="2" t="s">
        <v>12</v>
      </c>
      <c r="C178" s="2" t="s">
        <v>36</v>
      </c>
      <c r="D178" s="2" t="s">
        <v>139</v>
      </c>
      <c r="E178" s="2" t="s">
        <v>81</v>
      </c>
      <c r="F178" s="2" t="s">
        <v>146</v>
      </c>
      <c r="G178" s="2" t="s">
        <v>39</v>
      </c>
      <c r="H178" s="3">
        <v>29491.65</v>
      </c>
      <c r="I178" s="3">
        <v>29406.696</v>
      </c>
      <c r="J178" s="3"/>
      <c r="K178" s="3"/>
      <c r="L178" s="3">
        <v>29491.65</v>
      </c>
      <c r="M178" s="3">
        <v>29406.696</v>
      </c>
      <c r="N178" s="3">
        <v>84.954</v>
      </c>
      <c r="O178" s="3">
        <v>84.954</v>
      </c>
      <c r="P178" s="3">
        <v>84.954</v>
      </c>
      <c r="Q178" s="3"/>
      <c r="R178" s="3">
        <v>84.954</v>
      </c>
    </row>
    <row r="179" spans="1:18">
      <c r="A179" s="4">
        <v>45962</v>
      </c>
      <c r="B179" s="2" t="s">
        <v>12</v>
      </c>
      <c r="C179" s="2" t="s">
        <v>36</v>
      </c>
      <c r="D179" s="2" t="s">
        <v>139</v>
      </c>
      <c r="E179" s="2" t="s">
        <v>81</v>
      </c>
      <c r="F179" s="2" t="s">
        <v>147</v>
      </c>
      <c r="G179" s="2" t="s">
        <v>42</v>
      </c>
      <c r="H179" s="3">
        <v>118.8</v>
      </c>
      <c r="I179" s="3">
        <v>118.8</v>
      </c>
      <c r="J179" s="3"/>
      <c r="K179" s="3"/>
      <c r="L179" s="3">
        <v>118.8</v>
      </c>
      <c r="M179" s="3">
        <v>118.8</v>
      </c>
      <c r="N179" s="3"/>
      <c r="O179" s="3"/>
      <c r="P179" s="3"/>
      <c r="Q179" s="3"/>
      <c r="R179" s="3"/>
    </row>
    <row r="180" spans="1:18">
      <c r="A180" s="4">
        <v>45962</v>
      </c>
      <c r="B180" s="2" t="s">
        <v>12</v>
      </c>
      <c r="C180" s="2" t="s">
        <v>36</v>
      </c>
      <c r="D180" s="2" t="s">
        <v>139</v>
      </c>
      <c r="E180" s="2" t="s">
        <v>81</v>
      </c>
      <c r="F180" s="2" t="s">
        <v>148</v>
      </c>
      <c r="G180" s="2" t="s">
        <v>39</v>
      </c>
      <c r="H180" s="3">
        <v>6227.9</v>
      </c>
      <c r="I180" s="3">
        <v>6046.4021</v>
      </c>
      <c r="J180" s="3">
        <v>-0.01</v>
      </c>
      <c r="K180" s="3">
        <v>-0.0001</v>
      </c>
      <c r="L180" s="3">
        <v>6227.89</v>
      </c>
      <c r="M180" s="3">
        <v>6046.402</v>
      </c>
      <c r="N180" s="3">
        <v>181.488</v>
      </c>
      <c r="O180" s="3">
        <v>181.488</v>
      </c>
      <c r="P180" s="3">
        <v>181.488</v>
      </c>
      <c r="Q180" s="3"/>
      <c r="R180" s="3">
        <v>181.488</v>
      </c>
    </row>
    <row r="181" spans="1:18">
      <c r="A181" s="4">
        <v>45962</v>
      </c>
      <c r="B181" s="2" t="s">
        <v>12</v>
      </c>
      <c r="C181" s="2" t="s">
        <v>40</v>
      </c>
      <c r="D181" s="2" t="s">
        <v>139</v>
      </c>
      <c r="E181" s="2" t="s">
        <v>81</v>
      </c>
      <c r="F181" s="2" t="s">
        <v>148</v>
      </c>
      <c r="G181" s="2" t="s">
        <v>39</v>
      </c>
      <c r="H181" s="3">
        <v>115283.3</v>
      </c>
      <c r="I181" s="3">
        <v>114125.4</v>
      </c>
      <c r="J181" s="3"/>
      <c r="K181" s="3"/>
      <c r="L181" s="3">
        <v>115283.3</v>
      </c>
      <c r="M181" s="3">
        <v>114125.4</v>
      </c>
      <c r="N181" s="3">
        <v>1157.9</v>
      </c>
      <c r="O181" s="3">
        <v>1157.9</v>
      </c>
      <c r="P181" s="3">
        <v>1157.9</v>
      </c>
      <c r="Q181" s="3"/>
      <c r="R181" s="3">
        <v>1157.9</v>
      </c>
    </row>
    <row r="182" spans="1:18">
      <c r="A182" s="4">
        <v>45962</v>
      </c>
      <c r="B182" s="2" t="s">
        <v>12</v>
      </c>
      <c r="C182" s="2" t="s">
        <v>36</v>
      </c>
      <c r="D182" s="2" t="s">
        <v>139</v>
      </c>
      <c r="E182" s="2" t="s">
        <v>81</v>
      </c>
      <c r="F182" s="2" t="s">
        <v>149</v>
      </c>
      <c r="G182" s="2" t="s">
        <v>42</v>
      </c>
      <c r="H182" s="3">
        <v>3262</v>
      </c>
      <c r="I182" s="3">
        <v>3777</v>
      </c>
      <c r="J182" s="3"/>
      <c r="K182" s="3"/>
      <c r="L182" s="3">
        <v>3262</v>
      </c>
      <c r="M182" s="3">
        <v>3777</v>
      </c>
      <c r="N182" s="3">
        <v>-515</v>
      </c>
      <c r="O182" s="3">
        <v>-515</v>
      </c>
      <c r="P182" s="3">
        <v>-515</v>
      </c>
      <c r="Q182" s="3"/>
      <c r="R182" s="3">
        <v>-515</v>
      </c>
    </row>
    <row r="183" spans="1:18">
      <c r="A183" s="4">
        <v>45962</v>
      </c>
      <c r="B183" s="2" t="s">
        <v>12</v>
      </c>
      <c r="C183" s="2" t="s">
        <v>40</v>
      </c>
      <c r="D183" s="2" t="s">
        <v>139</v>
      </c>
      <c r="E183" s="2" t="s">
        <v>81</v>
      </c>
      <c r="F183" s="2" t="s">
        <v>149</v>
      </c>
      <c r="G183" s="2" t="s">
        <v>42</v>
      </c>
      <c r="H183" s="3">
        <v>286</v>
      </c>
      <c r="I183" s="3">
        <v>264</v>
      </c>
      <c r="J183" s="3"/>
      <c r="K183" s="3"/>
      <c r="L183" s="3">
        <v>286</v>
      </c>
      <c r="M183" s="3">
        <v>264</v>
      </c>
      <c r="N183" s="3">
        <v>22</v>
      </c>
      <c r="O183" s="3">
        <v>22</v>
      </c>
      <c r="P183" s="3">
        <v>22</v>
      </c>
      <c r="Q183" s="3"/>
      <c r="R183" s="3">
        <v>22</v>
      </c>
    </row>
    <row r="184" spans="1:18">
      <c r="A184" s="4">
        <v>45962</v>
      </c>
      <c r="B184" s="2" t="s">
        <v>12</v>
      </c>
      <c r="C184" s="2" t="s">
        <v>36</v>
      </c>
      <c r="D184" s="2" t="s">
        <v>139</v>
      </c>
      <c r="E184" s="2" t="s">
        <v>81</v>
      </c>
      <c r="F184" s="2" t="s">
        <v>59</v>
      </c>
      <c r="G184" s="2" t="s">
        <v>39</v>
      </c>
      <c r="H184" s="3">
        <v>46671</v>
      </c>
      <c r="I184" s="3">
        <v>46624</v>
      </c>
      <c r="J184" s="3"/>
      <c r="K184" s="3"/>
      <c r="L184" s="3">
        <v>46671</v>
      </c>
      <c r="M184" s="3">
        <v>46624</v>
      </c>
      <c r="N184" s="3">
        <v>47</v>
      </c>
      <c r="O184" s="3">
        <v>47</v>
      </c>
      <c r="P184" s="3">
        <v>47</v>
      </c>
      <c r="Q184" s="3"/>
      <c r="R184" s="3">
        <v>47</v>
      </c>
    </row>
    <row r="185" spans="1:18">
      <c r="A185" s="4">
        <v>45962</v>
      </c>
      <c r="B185" s="2" t="s">
        <v>12</v>
      </c>
      <c r="C185" s="2" t="s">
        <v>40</v>
      </c>
      <c r="D185" s="2" t="s">
        <v>139</v>
      </c>
      <c r="E185" s="2" t="s">
        <v>81</v>
      </c>
      <c r="F185" s="2" t="s">
        <v>59</v>
      </c>
      <c r="G185" s="2" t="s">
        <v>39</v>
      </c>
      <c r="H185" s="3">
        <v>549889.5</v>
      </c>
      <c r="I185" s="3">
        <v>548699.8</v>
      </c>
      <c r="J185" s="3"/>
      <c r="K185" s="3"/>
      <c r="L185" s="3">
        <v>549889.5</v>
      </c>
      <c r="M185" s="3">
        <v>548699.8</v>
      </c>
      <c r="N185" s="3">
        <v>1189.7</v>
      </c>
      <c r="O185" s="3">
        <v>1189.7</v>
      </c>
      <c r="P185" s="3">
        <v>1189.7</v>
      </c>
      <c r="Q185" s="3"/>
      <c r="R185" s="3">
        <v>1189.7</v>
      </c>
    </row>
    <row r="186" spans="1:18">
      <c r="A186" s="4">
        <v>45962</v>
      </c>
      <c r="B186" s="2" t="s">
        <v>12</v>
      </c>
      <c r="C186" s="2" t="s">
        <v>36</v>
      </c>
      <c r="D186" s="2" t="s">
        <v>139</v>
      </c>
      <c r="E186" s="2" t="s">
        <v>81</v>
      </c>
      <c r="F186" s="2" t="s">
        <v>150</v>
      </c>
      <c r="G186" s="2" t="s">
        <v>39</v>
      </c>
      <c r="H186" s="3">
        <v>203.1</v>
      </c>
      <c r="I186" s="3">
        <v>124.2</v>
      </c>
      <c r="J186" s="3"/>
      <c r="K186" s="3"/>
      <c r="L186" s="3">
        <v>203.1</v>
      </c>
      <c r="M186" s="3">
        <v>124.2</v>
      </c>
      <c r="N186" s="3">
        <v>78.9</v>
      </c>
      <c r="O186" s="3">
        <v>78.9</v>
      </c>
      <c r="P186" s="3">
        <v>78.9</v>
      </c>
      <c r="Q186" s="3"/>
      <c r="R186" s="3">
        <v>78.9</v>
      </c>
    </row>
    <row r="187" spans="1:18">
      <c r="A187" s="4">
        <v>45962</v>
      </c>
      <c r="B187" s="2" t="s">
        <v>12</v>
      </c>
      <c r="C187" s="2" t="s">
        <v>40</v>
      </c>
      <c r="D187" s="2" t="s">
        <v>139</v>
      </c>
      <c r="E187" s="2" t="s">
        <v>81</v>
      </c>
      <c r="F187" s="2" t="s">
        <v>150</v>
      </c>
      <c r="G187" s="2" t="s">
        <v>39</v>
      </c>
      <c r="H187" s="3">
        <v>14.4</v>
      </c>
      <c r="I187" s="3">
        <v>14</v>
      </c>
      <c r="J187" s="3"/>
      <c r="K187" s="3"/>
      <c r="L187" s="3">
        <v>14.4</v>
      </c>
      <c r="M187" s="3">
        <v>14</v>
      </c>
      <c r="N187" s="3">
        <v>0.4</v>
      </c>
      <c r="O187" s="3">
        <v>0.4</v>
      </c>
      <c r="P187" s="3">
        <v>0.4</v>
      </c>
      <c r="Q187" s="3"/>
      <c r="R187" s="3">
        <v>0.4</v>
      </c>
    </row>
    <row r="188" spans="1:18">
      <c r="A188" s="4">
        <v>45962</v>
      </c>
      <c r="B188" s="2" t="s">
        <v>12</v>
      </c>
      <c r="C188" s="2" t="s">
        <v>36</v>
      </c>
      <c r="D188" s="2" t="s">
        <v>139</v>
      </c>
      <c r="E188" s="2" t="s">
        <v>81</v>
      </c>
      <c r="F188" s="2" t="s">
        <v>150</v>
      </c>
      <c r="G188" s="2" t="s">
        <v>42</v>
      </c>
      <c r="H188" s="3">
        <v>48670.4716</v>
      </c>
      <c r="I188" s="3">
        <v>47247.3</v>
      </c>
      <c r="J188" s="3"/>
      <c r="K188" s="3"/>
      <c r="L188" s="3">
        <v>48670.4716</v>
      </c>
      <c r="M188" s="3">
        <v>47247.3</v>
      </c>
      <c r="N188" s="3">
        <v>1423.1716</v>
      </c>
      <c r="O188" s="3">
        <v>1423.1716</v>
      </c>
      <c r="P188" s="3">
        <v>1423.1716</v>
      </c>
      <c r="Q188" s="3"/>
      <c r="R188" s="3">
        <v>1423.1716</v>
      </c>
    </row>
    <row r="189" spans="1:18">
      <c r="A189" s="4">
        <v>45962</v>
      </c>
      <c r="B189" s="2" t="s">
        <v>12</v>
      </c>
      <c r="C189" s="2" t="s">
        <v>40</v>
      </c>
      <c r="D189" s="2" t="s">
        <v>139</v>
      </c>
      <c r="E189" s="2" t="s">
        <v>81</v>
      </c>
      <c r="F189" s="2" t="s">
        <v>150</v>
      </c>
      <c r="G189" s="2" t="s">
        <v>42</v>
      </c>
      <c r="H189" s="3">
        <v>27998.01</v>
      </c>
      <c r="I189" s="3">
        <v>26528.5</v>
      </c>
      <c r="J189" s="3"/>
      <c r="K189" s="3"/>
      <c r="L189" s="3">
        <v>27998.01</v>
      </c>
      <c r="M189" s="3">
        <v>26528.5</v>
      </c>
      <c r="N189" s="3">
        <v>1469.51</v>
      </c>
      <c r="O189" s="3">
        <v>1469.51</v>
      </c>
      <c r="P189" s="3">
        <v>1469.51</v>
      </c>
      <c r="Q189" s="3"/>
      <c r="R189" s="3">
        <v>1469.51</v>
      </c>
    </row>
    <row r="190" spans="1:18">
      <c r="A190" s="4">
        <v>45962</v>
      </c>
      <c r="B190" s="2" t="s">
        <v>12</v>
      </c>
      <c r="C190" s="2" t="s">
        <v>36</v>
      </c>
      <c r="D190" s="2" t="s">
        <v>139</v>
      </c>
      <c r="E190" s="2" t="s">
        <v>81</v>
      </c>
      <c r="F190" s="2" t="s">
        <v>150</v>
      </c>
      <c r="G190" s="2" t="s">
        <v>55</v>
      </c>
      <c r="H190" s="3">
        <v>864</v>
      </c>
      <c r="I190" s="3">
        <v>850.4</v>
      </c>
      <c r="J190" s="3"/>
      <c r="K190" s="3"/>
      <c r="L190" s="3">
        <v>864</v>
      </c>
      <c r="M190" s="3">
        <v>850.4</v>
      </c>
      <c r="N190" s="3">
        <v>13.6</v>
      </c>
      <c r="O190" s="3">
        <v>13.6</v>
      </c>
      <c r="P190" s="3">
        <v>13.6</v>
      </c>
      <c r="Q190" s="3"/>
      <c r="R190" s="3">
        <v>13.6</v>
      </c>
    </row>
    <row r="191" spans="1:18">
      <c r="A191" s="4">
        <v>45962</v>
      </c>
      <c r="B191" s="2" t="s">
        <v>12</v>
      </c>
      <c r="C191" s="2" t="s">
        <v>36</v>
      </c>
      <c r="D191" s="2" t="s">
        <v>139</v>
      </c>
      <c r="E191" s="2" t="s">
        <v>81</v>
      </c>
      <c r="F191" s="2" t="s">
        <v>151</v>
      </c>
      <c r="G191" s="2" t="s">
        <v>39</v>
      </c>
      <c r="H191" s="3">
        <v>25413.81</v>
      </c>
      <c r="I191" s="3">
        <v>24525.0196</v>
      </c>
      <c r="J191" s="3"/>
      <c r="K191" s="3"/>
      <c r="L191" s="3">
        <v>25413.81</v>
      </c>
      <c r="M191" s="3">
        <v>24525.0196</v>
      </c>
      <c r="N191" s="3">
        <v>888.7904</v>
      </c>
      <c r="O191" s="3">
        <v>888.7904</v>
      </c>
      <c r="P191" s="3">
        <v>888.7904</v>
      </c>
      <c r="Q191" s="3"/>
      <c r="R191" s="3">
        <v>888.7904</v>
      </c>
    </row>
    <row r="192" spans="1:18">
      <c r="A192" s="4">
        <v>45962</v>
      </c>
      <c r="B192" s="2" t="s">
        <v>12</v>
      </c>
      <c r="C192" s="2" t="s">
        <v>40</v>
      </c>
      <c r="D192" s="2" t="s">
        <v>139</v>
      </c>
      <c r="E192" s="2" t="s">
        <v>81</v>
      </c>
      <c r="F192" s="2" t="s">
        <v>151</v>
      </c>
      <c r="G192" s="2" t="s">
        <v>39</v>
      </c>
      <c r="H192" s="3">
        <v>2421.34</v>
      </c>
      <c r="I192" s="3">
        <v>2375.7</v>
      </c>
      <c r="J192" s="3"/>
      <c r="K192" s="3"/>
      <c r="L192" s="3">
        <v>2421.34</v>
      </c>
      <c r="M192" s="3">
        <v>2375.7</v>
      </c>
      <c r="N192" s="3">
        <v>45.64</v>
      </c>
      <c r="O192" s="3">
        <v>45.64</v>
      </c>
      <c r="P192" s="3">
        <v>45.64</v>
      </c>
      <c r="Q192" s="3"/>
      <c r="R192" s="3">
        <v>45.64</v>
      </c>
    </row>
    <row r="193" spans="1:18">
      <c r="A193" s="4">
        <v>45962</v>
      </c>
      <c r="B193" s="2" t="s">
        <v>12</v>
      </c>
      <c r="C193" s="2" t="s">
        <v>36</v>
      </c>
      <c r="D193" s="2" t="s">
        <v>139</v>
      </c>
      <c r="E193" s="2" t="s">
        <v>81</v>
      </c>
      <c r="F193" s="2" t="s">
        <v>152</v>
      </c>
      <c r="G193" s="2" t="s">
        <v>39</v>
      </c>
      <c r="H193" s="3">
        <v>0.19</v>
      </c>
      <c r="I193" s="3">
        <v>0.0156</v>
      </c>
      <c r="J193" s="3"/>
      <c r="K193" s="3"/>
      <c r="L193" s="3">
        <v>0.19</v>
      </c>
      <c r="M193" s="3">
        <v>0.0156</v>
      </c>
      <c r="N193" s="3">
        <v>0.1744</v>
      </c>
      <c r="O193" s="3">
        <v>0.1744</v>
      </c>
      <c r="P193" s="3">
        <v>0.1744</v>
      </c>
      <c r="Q193" s="3"/>
      <c r="R193" s="3">
        <v>0.1744</v>
      </c>
    </row>
    <row r="194" spans="1:18">
      <c r="A194" s="4">
        <v>45962</v>
      </c>
      <c r="B194" s="2" t="s">
        <v>12</v>
      </c>
      <c r="C194" s="2" t="s">
        <v>40</v>
      </c>
      <c r="D194" s="2" t="s">
        <v>139</v>
      </c>
      <c r="E194" s="2" t="s">
        <v>81</v>
      </c>
      <c r="F194" s="2" t="s">
        <v>152</v>
      </c>
      <c r="G194" s="2" t="s">
        <v>39</v>
      </c>
      <c r="H194" s="3"/>
      <c r="I194" s="3">
        <v>0.0001</v>
      </c>
      <c r="J194" s="3"/>
      <c r="K194" s="3"/>
      <c r="L194" s="3"/>
      <c r="M194" s="3">
        <v>0.0001</v>
      </c>
      <c r="N194" s="3">
        <v>-0.0001</v>
      </c>
      <c r="O194" s="3">
        <v>-0.0001</v>
      </c>
      <c r="P194" s="3">
        <v>-0.0001</v>
      </c>
      <c r="Q194" s="3"/>
      <c r="R194" s="3">
        <v>-0.0001</v>
      </c>
    </row>
    <row r="195" spans="1:18">
      <c r="A195" s="4">
        <v>45962</v>
      </c>
      <c r="B195" s="2" t="s">
        <v>12</v>
      </c>
      <c r="C195" s="2" t="s">
        <v>36</v>
      </c>
      <c r="D195" s="2" t="s">
        <v>139</v>
      </c>
      <c r="E195" s="2" t="s">
        <v>81</v>
      </c>
      <c r="F195" s="2" t="s">
        <v>153</v>
      </c>
      <c r="G195" s="2" t="s">
        <v>39</v>
      </c>
      <c r="H195" s="3">
        <v>725.8</v>
      </c>
      <c r="I195" s="3">
        <v>616.0061</v>
      </c>
      <c r="J195" s="3"/>
      <c r="K195" s="3"/>
      <c r="L195" s="3">
        <v>725.8</v>
      </c>
      <c r="M195" s="3">
        <v>616.0061</v>
      </c>
      <c r="N195" s="3">
        <v>109.7939</v>
      </c>
      <c r="O195" s="3">
        <v>109.7939</v>
      </c>
      <c r="P195" s="3">
        <v>109.7939</v>
      </c>
      <c r="Q195" s="3"/>
      <c r="R195" s="3">
        <v>109.7939</v>
      </c>
    </row>
    <row r="196" spans="1:18">
      <c r="A196" s="4">
        <v>45962</v>
      </c>
      <c r="B196" s="2" t="s">
        <v>12</v>
      </c>
      <c r="C196" s="2" t="s">
        <v>40</v>
      </c>
      <c r="D196" s="2" t="s">
        <v>139</v>
      </c>
      <c r="E196" s="2" t="s">
        <v>81</v>
      </c>
      <c r="F196" s="2" t="s">
        <v>153</v>
      </c>
      <c r="G196" s="2" t="s">
        <v>39</v>
      </c>
      <c r="H196" s="3">
        <v>278.7</v>
      </c>
      <c r="I196" s="3">
        <v>264.0031</v>
      </c>
      <c r="J196" s="3"/>
      <c r="K196" s="3"/>
      <c r="L196" s="3">
        <v>278.7</v>
      </c>
      <c r="M196" s="3">
        <v>264.0031</v>
      </c>
      <c r="N196" s="3">
        <v>14.6969</v>
      </c>
      <c r="O196" s="3">
        <v>14.6969</v>
      </c>
      <c r="P196" s="3">
        <v>14.6969</v>
      </c>
      <c r="Q196" s="3"/>
      <c r="R196" s="3">
        <v>14.6969</v>
      </c>
    </row>
    <row r="197" spans="1:18">
      <c r="A197" s="4">
        <v>45962</v>
      </c>
      <c r="B197" s="2" t="s">
        <v>12</v>
      </c>
      <c r="C197" s="2" t="s">
        <v>36</v>
      </c>
      <c r="D197" s="2" t="s">
        <v>139</v>
      </c>
      <c r="E197" s="2" t="s">
        <v>81</v>
      </c>
      <c r="F197" s="2" t="s">
        <v>154</v>
      </c>
      <c r="G197" s="2" t="s">
        <v>39</v>
      </c>
      <c r="H197" s="3">
        <v>262.448</v>
      </c>
      <c r="I197" s="3">
        <v>241.5</v>
      </c>
      <c r="J197" s="3"/>
      <c r="K197" s="3"/>
      <c r="L197" s="3">
        <v>262.448</v>
      </c>
      <c r="M197" s="3">
        <v>241.5</v>
      </c>
      <c r="N197" s="3">
        <v>20.948</v>
      </c>
      <c r="O197" s="3">
        <v>20.948</v>
      </c>
      <c r="P197" s="3">
        <v>20.948</v>
      </c>
      <c r="Q197" s="3"/>
      <c r="R197" s="3">
        <v>20.948</v>
      </c>
    </row>
    <row r="198" spans="1:18">
      <c r="A198" s="4">
        <v>45962</v>
      </c>
      <c r="B198" s="2" t="s">
        <v>12</v>
      </c>
      <c r="C198" s="2" t="s">
        <v>40</v>
      </c>
      <c r="D198" s="2" t="s">
        <v>139</v>
      </c>
      <c r="E198" s="2" t="s">
        <v>81</v>
      </c>
      <c r="F198" s="2" t="s">
        <v>154</v>
      </c>
      <c r="G198" s="2" t="s">
        <v>39</v>
      </c>
      <c r="H198" s="3">
        <v>9291.9</v>
      </c>
      <c r="I198" s="3">
        <v>8545</v>
      </c>
      <c r="J198" s="3"/>
      <c r="K198" s="3"/>
      <c r="L198" s="3">
        <v>9291.9</v>
      </c>
      <c r="M198" s="3">
        <v>8545</v>
      </c>
      <c r="N198" s="3">
        <v>746.9</v>
      </c>
      <c r="O198" s="3">
        <v>746.9</v>
      </c>
      <c r="P198" s="3">
        <v>746.9</v>
      </c>
      <c r="Q198" s="3"/>
      <c r="R198" s="3">
        <v>746.9</v>
      </c>
    </row>
    <row r="199" spans="1:18">
      <c r="A199" s="4">
        <v>45962</v>
      </c>
      <c r="B199" s="2" t="s">
        <v>12</v>
      </c>
      <c r="C199" s="2" t="s">
        <v>36</v>
      </c>
      <c r="D199" s="2" t="s">
        <v>139</v>
      </c>
      <c r="E199" s="2" t="s">
        <v>81</v>
      </c>
      <c r="F199" s="2" t="s">
        <v>155</v>
      </c>
      <c r="G199" s="2" t="s">
        <v>39</v>
      </c>
      <c r="H199" s="3">
        <v>713253.5</v>
      </c>
      <c r="I199" s="3">
        <v>695044.044</v>
      </c>
      <c r="J199" s="3"/>
      <c r="K199" s="3"/>
      <c r="L199" s="3">
        <v>713253.5</v>
      </c>
      <c r="M199" s="3">
        <v>695044.044</v>
      </c>
      <c r="N199" s="3">
        <v>18209.456</v>
      </c>
      <c r="O199" s="3">
        <v>18209.456</v>
      </c>
      <c r="P199" s="3">
        <v>18209.456</v>
      </c>
      <c r="Q199" s="3"/>
      <c r="R199" s="3">
        <v>18209.456</v>
      </c>
    </row>
    <row r="200" spans="1:18">
      <c r="A200" s="4">
        <v>45962</v>
      </c>
      <c r="B200" s="2" t="s">
        <v>12</v>
      </c>
      <c r="C200" s="2" t="s">
        <v>36</v>
      </c>
      <c r="D200" s="2" t="s">
        <v>139</v>
      </c>
      <c r="E200" s="2" t="s">
        <v>81</v>
      </c>
      <c r="F200" s="2" t="s">
        <v>156</v>
      </c>
      <c r="G200" s="2" t="s">
        <v>39</v>
      </c>
      <c r="H200" s="3">
        <v>5392.35</v>
      </c>
      <c r="I200" s="3">
        <v>5115.915</v>
      </c>
      <c r="J200" s="3">
        <v>-321</v>
      </c>
      <c r="K200" s="3">
        <v>-312.899999999999</v>
      </c>
      <c r="L200" s="3">
        <v>5071.35</v>
      </c>
      <c r="M200" s="3">
        <v>4803.015</v>
      </c>
      <c r="N200" s="3">
        <v>268.334999999999</v>
      </c>
      <c r="O200" s="3">
        <v>268.334999999999</v>
      </c>
      <c r="P200" s="3">
        <v>268.334999999999</v>
      </c>
      <c r="Q200" s="3"/>
      <c r="R200" s="3">
        <v>268.334999999999</v>
      </c>
    </row>
    <row r="201" spans="1:18">
      <c r="A201" s="4">
        <v>45962</v>
      </c>
      <c r="B201" s="2" t="s">
        <v>12</v>
      </c>
      <c r="C201" s="2" t="s">
        <v>36</v>
      </c>
      <c r="D201" s="2" t="s">
        <v>139</v>
      </c>
      <c r="E201" s="2" t="s">
        <v>81</v>
      </c>
      <c r="F201" s="2" t="s">
        <v>100</v>
      </c>
      <c r="G201" s="2" t="s">
        <v>39</v>
      </c>
      <c r="H201" s="3">
        <v>14480.05</v>
      </c>
      <c r="I201" s="3">
        <v>14734.3</v>
      </c>
      <c r="J201" s="3"/>
      <c r="K201" s="3"/>
      <c r="L201" s="3">
        <v>14480.05</v>
      </c>
      <c r="M201" s="3">
        <v>14734.3</v>
      </c>
      <c r="N201" s="3">
        <v>-254.25</v>
      </c>
      <c r="O201" s="3">
        <v>-254.25</v>
      </c>
      <c r="P201" s="3">
        <v>-254.25</v>
      </c>
      <c r="Q201" s="3"/>
      <c r="R201" s="3">
        <v>-254.25</v>
      </c>
    </row>
    <row r="202" spans="1:18">
      <c r="A202" s="4">
        <v>45962</v>
      </c>
      <c r="B202" s="2" t="s">
        <v>12</v>
      </c>
      <c r="C202" s="2" t="s">
        <v>36</v>
      </c>
      <c r="D202" s="2" t="s">
        <v>139</v>
      </c>
      <c r="E202" s="2" t="s">
        <v>81</v>
      </c>
      <c r="F202" s="2" t="s">
        <v>109</v>
      </c>
      <c r="G202" s="2" t="s">
        <v>39</v>
      </c>
      <c r="H202" s="3">
        <v>897.05</v>
      </c>
      <c r="I202" s="3">
        <v>721.8164</v>
      </c>
      <c r="J202" s="3">
        <v>-1348.39999999999</v>
      </c>
      <c r="K202" s="3">
        <v>-1405.49999999999</v>
      </c>
      <c r="L202" s="3">
        <v>-451.349999999999</v>
      </c>
      <c r="M202" s="3">
        <v>-683.683599999999</v>
      </c>
      <c r="N202" s="3">
        <v>232.333599999999</v>
      </c>
      <c r="O202" s="3">
        <v>232.333599999999</v>
      </c>
      <c r="P202" s="3">
        <v>232.333599999999</v>
      </c>
      <c r="Q202" s="3"/>
      <c r="R202" s="3">
        <v>232.333599999999</v>
      </c>
    </row>
    <row r="203" spans="1:18">
      <c r="A203" s="4">
        <v>45962</v>
      </c>
      <c r="B203" s="2" t="s">
        <v>12</v>
      </c>
      <c r="C203" s="2" t="s">
        <v>40</v>
      </c>
      <c r="D203" s="2" t="s">
        <v>139</v>
      </c>
      <c r="E203" s="2" t="s">
        <v>81</v>
      </c>
      <c r="F203" s="2" t="s">
        <v>109</v>
      </c>
      <c r="G203" s="2" t="s">
        <v>39</v>
      </c>
      <c r="H203" s="3">
        <v>570.55</v>
      </c>
      <c r="I203" s="3">
        <v>195.4159</v>
      </c>
      <c r="J203" s="3"/>
      <c r="K203" s="3"/>
      <c r="L203" s="3">
        <v>570.55</v>
      </c>
      <c r="M203" s="3">
        <v>195.4159</v>
      </c>
      <c r="N203" s="3">
        <v>375.1341</v>
      </c>
      <c r="O203" s="3">
        <v>375.1341</v>
      </c>
      <c r="P203" s="3">
        <v>375.1341</v>
      </c>
      <c r="Q203" s="3"/>
      <c r="R203" s="3">
        <v>375.1341</v>
      </c>
    </row>
    <row r="204" spans="1:18">
      <c r="A204" s="4">
        <v>45962</v>
      </c>
      <c r="B204" s="2" t="s">
        <v>12</v>
      </c>
      <c r="C204" s="2" t="s">
        <v>36</v>
      </c>
      <c r="D204" s="2" t="s">
        <v>139</v>
      </c>
      <c r="E204" s="2" t="s">
        <v>81</v>
      </c>
      <c r="F204" s="2" t="s">
        <v>120</v>
      </c>
      <c r="G204" s="2" t="s">
        <v>39</v>
      </c>
      <c r="H204" s="3">
        <v>18394983.48</v>
      </c>
      <c r="I204" s="3">
        <v>18550848.5</v>
      </c>
      <c r="J204" s="3">
        <v>-7339.12</v>
      </c>
      <c r="K204" s="3">
        <v>-8853.3204</v>
      </c>
      <c r="L204" s="3">
        <v>18387644.3599999</v>
      </c>
      <c r="M204" s="3">
        <v>18541995.1795999</v>
      </c>
      <c r="N204" s="3">
        <v>-154350.8196</v>
      </c>
      <c r="O204" s="3">
        <v>-154350.8196</v>
      </c>
      <c r="P204" s="3">
        <v>-154350.8196</v>
      </c>
      <c r="Q204" s="3"/>
      <c r="R204" s="3">
        <v>-154350.8196</v>
      </c>
    </row>
    <row r="205" spans="1:18">
      <c r="A205" s="4">
        <v>45962</v>
      </c>
      <c r="B205" s="2" t="s">
        <v>12</v>
      </c>
      <c r="C205" s="2" t="s">
        <v>40</v>
      </c>
      <c r="D205" s="2" t="s">
        <v>139</v>
      </c>
      <c r="E205" s="2" t="s">
        <v>81</v>
      </c>
      <c r="F205" s="2" t="s">
        <v>120</v>
      </c>
      <c r="G205" s="2" t="s">
        <v>39</v>
      </c>
      <c r="H205" s="3">
        <v>59824028.3</v>
      </c>
      <c r="I205" s="3">
        <v>59674360</v>
      </c>
      <c r="J205" s="3">
        <v>-1002.5</v>
      </c>
      <c r="K205" s="3">
        <v>-1000</v>
      </c>
      <c r="L205" s="3">
        <v>59823025.8</v>
      </c>
      <c r="M205" s="3">
        <v>59673360</v>
      </c>
      <c r="N205" s="3">
        <v>149665.8</v>
      </c>
      <c r="O205" s="3">
        <v>149665.8</v>
      </c>
      <c r="P205" s="3">
        <v>149665.8</v>
      </c>
      <c r="Q205" s="3"/>
      <c r="R205" s="3">
        <v>149665.8</v>
      </c>
    </row>
    <row r="206" spans="1:18">
      <c r="A206" s="4">
        <v>45962</v>
      </c>
      <c r="B206" s="2" t="s">
        <v>12</v>
      </c>
      <c r="C206" s="2" t="s">
        <v>36</v>
      </c>
      <c r="D206" s="2" t="s">
        <v>139</v>
      </c>
      <c r="E206" s="2" t="s">
        <v>81</v>
      </c>
      <c r="F206" s="2" t="s">
        <v>157</v>
      </c>
      <c r="G206" s="2" t="s">
        <v>55</v>
      </c>
      <c r="H206" s="3">
        <v>404341</v>
      </c>
      <c r="I206" s="3">
        <v>403386.2</v>
      </c>
      <c r="J206" s="3">
        <v>-501.2</v>
      </c>
      <c r="K206" s="3">
        <v>-498.5</v>
      </c>
      <c r="L206" s="3">
        <v>403839.799999999</v>
      </c>
      <c r="M206" s="3">
        <v>402887.699999999</v>
      </c>
      <c r="N206" s="3">
        <v>952.099999999999</v>
      </c>
      <c r="O206" s="3">
        <v>952.099999999999</v>
      </c>
      <c r="P206" s="3">
        <v>952.099999999999</v>
      </c>
      <c r="Q206" s="3"/>
      <c r="R206" s="3">
        <v>952.099999999999</v>
      </c>
    </row>
    <row r="207" spans="1:18">
      <c r="A207" s="4">
        <v>45962</v>
      </c>
      <c r="B207" s="2" t="s">
        <v>12</v>
      </c>
      <c r="C207" s="2" t="s">
        <v>40</v>
      </c>
      <c r="D207" s="2" t="s">
        <v>139</v>
      </c>
      <c r="E207" s="2" t="s">
        <v>81</v>
      </c>
      <c r="F207" s="2" t="s">
        <v>157</v>
      </c>
      <c r="G207" s="2" t="s">
        <v>55</v>
      </c>
      <c r="H207" s="3">
        <v>90000</v>
      </c>
      <c r="I207" s="3">
        <v>89730</v>
      </c>
      <c r="J207" s="3">
        <v>-100</v>
      </c>
      <c r="K207" s="3">
        <v>-99.7</v>
      </c>
      <c r="L207" s="3">
        <v>89900</v>
      </c>
      <c r="M207" s="3">
        <v>89630.2999999999</v>
      </c>
      <c r="N207" s="3">
        <v>269.7</v>
      </c>
      <c r="O207" s="3">
        <v>269.7</v>
      </c>
      <c r="P207" s="3">
        <v>269.7</v>
      </c>
      <c r="Q207" s="3"/>
      <c r="R207" s="3">
        <v>269.7</v>
      </c>
    </row>
    <row r="208" spans="1:18">
      <c r="A208" s="4">
        <v>45962</v>
      </c>
      <c r="B208" s="2" t="s">
        <v>12</v>
      </c>
      <c r="C208" s="2" t="s">
        <v>36</v>
      </c>
      <c r="D208" s="2" t="s">
        <v>139</v>
      </c>
      <c r="E208" s="2" t="s">
        <v>81</v>
      </c>
      <c r="F208" s="2" t="s">
        <v>158</v>
      </c>
      <c r="G208" s="2" t="s">
        <v>39</v>
      </c>
      <c r="H208" s="3">
        <v>264561.68</v>
      </c>
      <c r="I208" s="3">
        <v>265025.98</v>
      </c>
      <c r="J208" s="3"/>
      <c r="K208" s="3"/>
      <c r="L208" s="3">
        <v>264561.68</v>
      </c>
      <c r="M208" s="3">
        <v>265025.98</v>
      </c>
      <c r="N208" s="3">
        <v>-464.3</v>
      </c>
      <c r="O208" s="3">
        <v>-464.3</v>
      </c>
      <c r="P208" s="3">
        <v>-464.3</v>
      </c>
      <c r="Q208" s="3"/>
      <c r="R208" s="3">
        <v>-464.3</v>
      </c>
    </row>
    <row r="209" spans="1:18">
      <c r="A209" s="4">
        <v>45962</v>
      </c>
      <c r="B209" s="2" t="s">
        <v>12</v>
      </c>
      <c r="C209" s="2" t="s">
        <v>40</v>
      </c>
      <c r="D209" s="2" t="s">
        <v>139</v>
      </c>
      <c r="E209" s="2" t="s">
        <v>81</v>
      </c>
      <c r="F209" s="2" t="s">
        <v>158</v>
      </c>
      <c r="G209" s="2" t="s">
        <v>39</v>
      </c>
      <c r="H209" s="3">
        <v>19975.68</v>
      </c>
      <c r="I209" s="3">
        <v>19916.19</v>
      </c>
      <c r="J209" s="3"/>
      <c r="K209" s="3"/>
      <c r="L209" s="3">
        <v>19975.68</v>
      </c>
      <c r="M209" s="3">
        <v>19916.19</v>
      </c>
      <c r="N209" s="3">
        <v>59.49</v>
      </c>
      <c r="O209" s="3">
        <v>59.49</v>
      </c>
      <c r="P209" s="3">
        <v>59.49</v>
      </c>
      <c r="Q209" s="3"/>
      <c r="R209" s="3">
        <v>59.49</v>
      </c>
    </row>
    <row r="210" spans="1:18">
      <c r="A210" s="4">
        <v>45962</v>
      </c>
      <c r="B210" s="2" t="s">
        <v>12</v>
      </c>
      <c r="C210" s="2" t="s">
        <v>36</v>
      </c>
      <c r="D210" s="2" t="s">
        <v>139</v>
      </c>
      <c r="E210" s="2" t="s">
        <v>81</v>
      </c>
      <c r="F210" s="2" t="s">
        <v>159</v>
      </c>
      <c r="G210" s="2" t="s">
        <v>42</v>
      </c>
      <c r="H210" s="3">
        <v>22744.6118</v>
      </c>
      <c r="I210" s="3">
        <v>23913.2</v>
      </c>
      <c r="J210" s="3"/>
      <c r="K210" s="3"/>
      <c r="L210" s="3">
        <v>22744.6118</v>
      </c>
      <c r="M210" s="3">
        <v>23913.2</v>
      </c>
      <c r="N210" s="3">
        <v>-1168.5882</v>
      </c>
      <c r="O210" s="3">
        <v>-1168.5882</v>
      </c>
      <c r="P210" s="3">
        <v>-1168.5882</v>
      </c>
      <c r="Q210" s="3"/>
      <c r="R210" s="3">
        <v>-1168.5882</v>
      </c>
    </row>
    <row r="211" spans="1:18">
      <c r="A211" s="4">
        <v>45962</v>
      </c>
      <c r="B211" s="2" t="s">
        <v>12</v>
      </c>
      <c r="C211" s="2" t="s">
        <v>40</v>
      </c>
      <c r="D211" s="2" t="s">
        <v>139</v>
      </c>
      <c r="E211" s="2" t="s">
        <v>81</v>
      </c>
      <c r="F211" s="2" t="s">
        <v>159</v>
      </c>
      <c r="G211" s="2" t="s">
        <v>42</v>
      </c>
      <c r="H211" s="3">
        <v>7573.44</v>
      </c>
      <c r="I211" s="3">
        <v>7109.1</v>
      </c>
      <c r="J211" s="3"/>
      <c r="K211" s="3"/>
      <c r="L211" s="3">
        <v>7573.44</v>
      </c>
      <c r="M211" s="3">
        <v>7109.1</v>
      </c>
      <c r="N211" s="3">
        <v>464.34</v>
      </c>
      <c r="O211" s="3">
        <v>464.34</v>
      </c>
      <c r="P211" s="3">
        <v>464.34</v>
      </c>
      <c r="Q211" s="3"/>
      <c r="R211" s="3">
        <v>464.34</v>
      </c>
    </row>
    <row r="212" spans="1:18">
      <c r="A212" s="4">
        <v>45962</v>
      </c>
      <c r="B212" s="2" t="s">
        <v>12</v>
      </c>
      <c r="C212" s="2" t="s">
        <v>40</v>
      </c>
      <c r="D212" s="2" t="s">
        <v>139</v>
      </c>
      <c r="E212" s="2" t="s">
        <v>81</v>
      </c>
      <c r="F212" s="2" t="s">
        <v>160</v>
      </c>
      <c r="G212" s="2" t="s">
        <v>39</v>
      </c>
      <c r="H212" s="3">
        <v>0.002</v>
      </c>
      <c r="I212" s="3">
        <v>0.0002</v>
      </c>
      <c r="J212" s="3"/>
      <c r="K212" s="3"/>
      <c r="L212" s="3">
        <v>0.002</v>
      </c>
      <c r="M212" s="3">
        <v>0.0002</v>
      </c>
      <c r="N212" s="3">
        <v>0.0018</v>
      </c>
      <c r="O212" s="3">
        <v>0.0018</v>
      </c>
      <c r="P212" s="3">
        <v>0.0018</v>
      </c>
      <c r="Q212" s="3"/>
      <c r="R212" s="3">
        <v>0.0018</v>
      </c>
    </row>
    <row r="213" spans="1:18">
      <c r="A213" s="4">
        <v>45962</v>
      </c>
      <c r="B213" s="2" t="s">
        <v>12</v>
      </c>
      <c r="C213" s="2" t="s">
        <v>36</v>
      </c>
      <c r="D213" s="2" t="s">
        <v>139</v>
      </c>
      <c r="E213" s="2" t="s">
        <v>81</v>
      </c>
      <c r="F213" s="2" t="s">
        <v>161</v>
      </c>
      <c r="G213" s="2" t="s">
        <v>39</v>
      </c>
      <c r="H213" s="3">
        <v>12610</v>
      </c>
      <c r="I213" s="3">
        <v>12272.2565</v>
      </c>
      <c r="J213" s="3"/>
      <c r="K213" s="3"/>
      <c r="L213" s="3">
        <v>12610</v>
      </c>
      <c r="M213" s="3">
        <v>12272.2565</v>
      </c>
      <c r="N213" s="3">
        <v>337.7435</v>
      </c>
      <c r="O213" s="3">
        <v>337.7435</v>
      </c>
      <c r="P213" s="3">
        <v>337.7435</v>
      </c>
      <c r="Q213" s="3"/>
      <c r="R213" s="3">
        <v>337.7435</v>
      </c>
    </row>
    <row r="214" spans="1:18">
      <c r="A214" s="4">
        <v>45962</v>
      </c>
      <c r="B214" s="2" t="s">
        <v>12</v>
      </c>
      <c r="C214" s="2" t="s">
        <v>40</v>
      </c>
      <c r="D214" s="2" t="s">
        <v>139</v>
      </c>
      <c r="E214" s="2" t="s">
        <v>81</v>
      </c>
      <c r="F214" s="2" t="s">
        <v>161</v>
      </c>
      <c r="G214" s="2" t="s">
        <v>39</v>
      </c>
      <c r="H214" s="3">
        <v>1066.5</v>
      </c>
      <c r="I214" s="3">
        <v>1063.37</v>
      </c>
      <c r="J214" s="3"/>
      <c r="K214" s="3"/>
      <c r="L214" s="3">
        <v>1066.5</v>
      </c>
      <c r="M214" s="3">
        <v>1063.37</v>
      </c>
      <c r="N214" s="3">
        <v>3.13</v>
      </c>
      <c r="O214" s="3">
        <v>3.13</v>
      </c>
      <c r="P214" s="3">
        <v>3.13</v>
      </c>
      <c r="Q214" s="3"/>
      <c r="R214" s="3">
        <v>3.13</v>
      </c>
    </row>
    <row r="215" spans="1:18">
      <c r="A215" s="4">
        <v>45962</v>
      </c>
      <c r="B215" s="2" t="s">
        <v>12</v>
      </c>
      <c r="C215" s="2" t="s">
        <v>36</v>
      </c>
      <c r="D215" s="2" t="s">
        <v>139</v>
      </c>
      <c r="E215" s="2" t="s">
        <v>81</v>
      </c>
      <c r="F215" s="2" t="s">
        <v>162</v>
      </c>
      <c r="G215" s="2" t="s">
        <v>39</v>
      </c>
      <c r="H215" s="3">
        <v>2450</v>
      </c>
      <c r="I215" s="3">
        <v>2427.5</v>
      </c>
      <c r="J215" s="3"/>
      <c r="K215" s="3"/>
      <c r="L215" s="3">
        <v>2450</v>
      </c>
      <c r="M215" s="3">
        <v>2427.5</v>
      </c>
      <c r="N215" s="3">
        <v>22.5</v>
      </c>
      <c r="O215" s="3">
        <v>22.5</v>
      </c>
      <c r="P215" s="3">
        <v>22.5</v>
      </c>
      <c r="Q215" s="3"/>
      <c r="R215" s="3">
        <v>22.5</v>
      </c>
    </row>
    <row r="216" spans="1:18">
      <c r="A216" s="4">
        <v>45962</v>
      </c>
      <c r="B216" s="2" t="s">
        <v>12</v>
      </c>
      <c r="C216" s="2" t="s">
        <v>36</v>
      </c>
      <c r="D216" s="2" t="s">
        <v>139</v>
      </c>
      <c r="E216" s="2" t="s">
        <v>81</v>
      </c>
      <c r="F216" s="2" t="s">
        <v>163</v>
      </c>
      <c r="G216" s="2" t="s">
        <v>39</v>
      </c>
      <c r="H216" s="3">
        <v>665.6</v>
      </c>
      <c r="I216" s="3">
        <v>652.8</v>
      </c>
      <c r="J216" s="3"/>
      <c r="K216" s="3"/>
      <c r="L216" s="3">
        <v>665.6</v>
      </c>
      <c r="M216" s="3">
        <v>652.8</v>
      </c>
      <c r="N216" s="3">
        <v>12.8</v>
      </c>
      <c r="O216" s="3">
        <v>12.8</v>
      </c>
      <c r="P216" s="3">
        <v>12.8</v>
      </c>
      <c r="Q216" s="3"/>
      <c r="R216" s="3">
        <v>12.8</v>
      </c>
    </row>
    <row r="217" spans="1:18">
      <c r="A217" s="4">
        <v>45962</v>
      </c>
      <c r="B217" s="2" t="s">
        <v>12</v>
      </c>
      <c r="C217" s="2" t="s">
        <v>40</v>
      </c>
      <c r="D217" s="2" t="s">
        <v>139</v>
      </c>
      <c r="E217" s="2" t="s">
        <v>81</v>
      </c>
      <c r="F217" s="2" t="s">
        <v>163</v>
      </c>
      <c r="G217" s="2" t="s">
        <v>39</v>
      </c>
      <c r="H217" s="3">
        <v>357485.46</v>
      </c>
      <c r="I217" s="3">
        <v>356785.8</v>
      </c>
      <c r="J217" s="3"/>
      <c r="K217" s="3"/>
      <c r="L217" s="3">
        <v>357485.46</v>
      </c>
      <c r="M217" s="3">
        <v>356785.8</v>
      </c>
      <c r="N217" s="3">
        <v>699.66</v>
      </c>
      <c r="O217" s="3">
        <v>699.66</v>
      </c>
      <c r="P217" s="3">
        <v>699.66</v>
      </c>
      <c r="Q217" s="3"/>
      <c r="R217" s="3">
        <v>699.66</v>
      </c>
    </row>
    <row r="218" spans="1:18">
      <c r="A218" s="4">
        <v>45962</v>
      </c>
      <c r="B218" s="2" t="s">
        <v>12</v>
      </c>
      <c r="C218" s="2" t="s">
        <v>36</v>
      </c>
      <c r="D218" s="2" t="s">
        <v>139</v>
      </c>
      <c r="E218" s="2" t="s">
        <v>81</v>
      </c>
      <c r="F218" s="2" t="s">
        <v>164</v>
      </c>
      <c r="G218" s="2" t="s">
        <v>39</v>
      </c>
      <c r="H218" s="3">
        <v>260.5</v>
      </c>
      <c r="I218" s="3">
        <v>0.0187</v>
      </c>
      <c r="J218" s="3"/>
      <c r="K218" s="3"/>
      <c r="L218" s="3">
        <v>260.5</v>
      </c>
      <c r="M218" s="3">
        <v>0.0187</v>
      </c>
      <c r="N218" s="3">
        <v>260.4813</v>
      </c>
      <c r="O218" s="3">
        <v>260.4813</v>
      </c>
      <c r="P218" s="3">
        <v>260.4813</v>
      </c>
      <c r="Q218" s="3"/>
      <c r="R218" s="3">
        <v>260.4813</v>
      </c>
    </row>
    <row r="219" spans="1:18">
      <c r="A219" s="4">
        <v>45962</v>
      </c>
      <c r="B219" s="2" t="s">
        <v>12</v>
      </c>
      <c r="C219" s="2" t="s">
        <v>36</v>
      </c>
      <c r="D219" s="2" t="s">
        <v>139</v>
      </c>
      <c r="E219" s="2" t="s">
        <v>81</v>
      </c>
      <c r="F219" s="2" t="s">
        <v>131</v>
      </c>
      <c r="G219" s="2" t="s">
        <v>39</v>
      </c>
      <c r="H219" s="3">
        <v>10437.194</v>
      </c>
      <c r="I219" s="3">
        <v>9816</v>
      </c>
      <c r="J219" s="3"/>
      <c r="K219" s="3"/>
      <c r="L219" s="3">
        <v>10437.194</v>
      </c>
      <c r="M219" s="3">
        <v>9816</v>
      </c>
      <c r="N219" s="3">
        <v>621.194</v>
      </c>
      <c r="O219" s="3">
        <v>621.194</v>
      </c>
      <c r="P219" s="3">
        <v>621.194</v>
      </c>
      <c r="Q219" s="3"/>
      <c r="R219" s="3">
        <v>621.194</v>
      </c>
    </row>
    <row r="220" spans="1:18">
      <c r="A220" s="4">
        <v>45962</v>
      </c>
      <c r="B220" s="2" t="s">
        <v>12</v>
      </c>
      <c r="C220" s="2" t="s">
        <v>36</v>
      </c>
      <c r="D220" s="2" t="s">
        <v>139</v>
      </c>
      <c r="E220" s="2" t="s">
        <v>81</v>
      </c>
      <c r="F220" s="2" t="s">
        <v>165</v>
      </c>
      <c r="G220" s="2" t="s">
        <v>39</v>
      </c>
      <c r="H220" s="3">
        <v>364.8</v>
      </c>
      <c r="I220" s="3">
        <v>1300.48</v>
      </c>
      <c r="J220" s="3"/>
      <c r="K220" s="3"/>
      <c r="L220" s="3">
        <v>364.8</v>
      </c>
      <c r="M220" s="3">
        <v>1300.48</v>
      </c>
      <c r="N220" s="3">
        <v>-935.68</v>
      </c>
      <c r="O220" s="3">
        <v>-935.68</v>
      </c>
      <c r="P220" s="3">
        <v>-935.68</v>
      </c>
      <c r="Q220" s="3"/>
      <c r="R220" s="3">
        <v>-935.68</v>
      </c>
    </row>
    <row r="221" spans="1:18">
      <c r="A221" s="4">
        <v>45962</v>
      </c>
      <c r="B221" s="2" t="s">
        <v>12</v>
      </c>
      <c r="C221" s="2" t="s">
        <v>40</v>
      </c>
      <c r="D221" s="2" t="s">
        <v>139</v>
      </c>
      <c r="E221" s="2" t="s">
        <v>81</v>
      </c>
      <c r="F221" s="2" t="s">
        <v>165</v>
      </c>
      <c r="G221" s="2" t="s">
        <v>39</v>
      </c>
      <c r="H221" s="3">
        <v>10300.95</v>
      </c>
      <c r="I221" s="3">
        <v>10192.64</v>
      </c>
      <c r="J221" s="3"/>
      <c r="K221" s="3"/>
      <c r="L221" s="3">
        <v>10300.95</v>
      </c>
      <c r="M221" s="3">
        <v>10192.64</v>
      </c>
      <c r="N221" s="3">
        <v>108.31</v>
      </c>
      <c r="O221" s="3">
        <v>108.31</v>
      </c>
      <c r="P221" s="3">
        <v>108.31</v>
      </c>
      <c r="Q221" s="3"/>
      <c r="R221" s="3">
        <v>108.31</v>
      </c>
    </row>
    <row r="222" spans="1:18">
      <c r="A222" s="4">
        <v>45962</v>
      </c>
      <c r="B222" s="2" t="s">
        <v>12</v>
      </c>
      <c r="C222" s="2" t="s">
        <v>36</v>
      </c>
      <c r="D222" s="2" t="s">
        <v>139</v>
      </c>
      <c r="E222" s="2" t="s">
        <v>81</v>
      </c>
      <c r="F222" s="2" t="s">
        <v>87</v>
      </c>
      <c r="G222" s="2" t="s">
        <v>42</v>
      </c>
      <c r="H222" s="3">
        <v>55727.69</v>
      </c>
      <c r="I222" s="3">
        <v>54929.3804</v>
      </c>
      <c r="J222" s="3"/>
      <c r="K222" s="3"/>
      <c r="L222" s="3">
        <v>55727.69</v>
      </c>
      <c r="M222" s="3">
        <v>54929.3804</v>
      </c>
      <c r="N222" s="3">
        <v>798.3096</v>
      </c>
      <c r="O222" s="3">
        <v>798.3096</v>
      </c>
      <c r="P222" s="3">
        <v>798.3096</v>
      </c>
      <c r="Q222" s="3"/>
      <c r="R222" s="3">
        <v>798.3096</v>
      </c>
    </row>
    <row r="223" spans="1:18">
      <c r="A223" s="4">
        <v>45962</v>
      </c>
      <c r="B223" s="2" t="s">
        <v>12</v>
      </c>
      <c r="C223" s="2" t="s">
        <v>40</v>
      </c>
      <c r="D223" s="2" t="s">
        <v>139</v>
      </c>
      <c r="E223" s="2" t="s">
        <v>81</v>
      </c>
      <c r="F223" s="2" t="s">
        <v>87</v>
      </c>
      <c r="G223" s="2" t="s">
        <v>42</v>
      </c>
      <c r="H223" s="3">
        <v>70045.3</v>
      </c>
      <c r="I223" s="3">
        <v>66763.226</v>
      </c>
      <c r="J223" s="3"/>
      <c r="K223" s="3"/>
      <c r="L223" s="3">
        <v>70045.3</v>
      </c>
      <c r="M223" s="3">
        <v>66763.226</v>
      </c>
      <c r="N223" s="3">
        <v>3282.074</v>
      </c>
      <c r="O223" s="3">
        <v>3282.074</v>
      </c>
      <c r="P223" s="3">
        <v>3282.074</v>
      </c>
      <c r="Q223" s="3"/>
      <c r="R223" s="3">
        <v>3282.074</v>
      </c>
    </row>
    <row r="224" spans="1:18">
      <c r="A224" s="4">
        <v>45962</v>
      </c>
      <c r="B224" s="2" t="s">
        <v>12</v>
      </c>
      <c r="C224" s="2" t="s">
        <v>36</v>
      </c>
      <c r="D224" s="2" t="s">
        <v>139</v>
      </c>
      <c r="E224" s="2" t="s">
        <v>81</v>
      </c>
      <c r="F224" s="2" t="s">
        <v>87</v>
      </c>
      <c r="G224" s="2" t="s">
        <v>79</v>
      </c>
      <c r="H224" s="3">
        <v>232318.5</v>
      </c>
      <c r="I224" s="3">
        <v>240017.25</v>
      </c>
      <c r="J224" s="3"/>
      <c r="K224" s="3"/>
      <c r="L224" s="3">
        <v>232318.5</v>
      </c>
      <c r="M224" s="3">
        <v>240017.25</v>
      </c>
      <c r="N224" s="3">
        <v>-7698.75</v>
      </c>
      <c r="O224" s="3">
        <v>-7698.75</v>
      </c>
      <c r="P224" s="3">
        <v>-7698.75</v>
      </c>
      <c r="Q224" s="3"/>
      <c r="R224" s="3">
        <v>-7698.75</v>
      </c>
    </row>
    <row r="225" spans="1:18">
      <c r="A225" s="4">
        <v>45962</v>
      </c>
      <c r="B225" s="2" t="s">
        <v>12</v>
      </c>
      <c r="C225" s="2" t="s">
        <v>40</v>
      </c>
      <c r="D225" s="2" t="s">
        <v>139</v>
      </c>
      <c r="E225" s="2" t="s">
        <v>81</v>
      </c>
      <c r="F225" s="2" t="s">
        <v>87</v>
      </c>
      <c r="G225" s="2" t="s">
        <v>79</v>
      </c>
      <c r="H225" s="3">
        <v>931.6</v>
      </c>
      <c r="I225" s="3">
        <v>8015.5</v>
      </c>
      <c r="J225" s="3"/>
      <c r="K225" s="3"/>
      <c r="L225" s="3">
        <v>931.6</v>
      </c>
      <c r="M225" s="3">
        <v>8015.5</v>
      </c>
      <c r="N225" s="3">
        <v>-7083.9</v>
      </c>
      <c r="O225" s="3">
        <v>-7083.9</v>
      </c>
      <c r="P225" s="3">
        <v>-7083.9</v>
      </c>
      <c r="Q225" s="3"/>
      <c r="R225" s="3">
        <v>-7083.9</v>
      </c>
    </row>
    <row r="226" spans="1:18">
      <c r="A226" s="4">
        <v>45962</v>
      </c>
      <c r="B226" s="2" t="s">
        <v>12</v>
      </c>
      <c r="C226" s="2" t="s">
        <v>36</v>
      </c>
      <c r="D226" s="2" t="s">
        <v>139</v>
      </c>
      <c r="E226" s="2" t="s">
        <v>81</v>
      </c>
      <c r="F226" s="2" t="s">
        <v>132</v>
      </c>
      <c r="G226" s="2" t="s">
        <v>39</v>
      </c>
      <c r="H226" s="3">
        <v>201742.81</v>
      </c>
      <c r="I226" s="3">
        <v>172443.3</v>
      </c>
      <c r="J226" s="3">
        <v>-1680.93</v>
      </c>
      <c r="K226" s="3">
        <v>-1438.2</v>
      </c>
      <c r="L226" s="3">
        <v>200061.879999999</v>
      </c>
      <c r="M226" s="3">
        <v>171005.099999999</v>
      </c>
      <c r="N226" s="3">
        <v>29056.78</v>
      </c>
      <c r="O226" s="3">
        <v>29056.78</v>
      </c>
      <c r="P226" s="3">
        <v>29056.78</v>
      </c>
      <c r="Q226" s="3"/>
      <c r="R226" s="3">
        <v>29056.78</v>
      </c>
    </row>
    <row r="227" spans="1:18">
      <c r="A227" s="4">
        <v>45962</v>
      </c>
      <c r="B227" s="2" t="s">
        <v>12</v>
      </c>
      <c r="C227" s="2" t="s">
        <v>40</v>
      </c>
      <c r="D227" s="2" t="s">
        <v>139</v>
      </c>
      <c r="E227" s="2" t="s">
        <v>81</v>
      </c>
      <c r="F227" s="2" t="s">
        <v>132</v>
      </c>
      <c r="G227" s="2" t="s">
        <v>39</v>
      </c>
      <c r="H227" s="3">
        <v>28.5</v>
      </c>
      <c r="I227" s="3">
        <v>28.2</v>
      </c>
      <c r="J227" s="3"/>
      <c r="K227" s="3"/>
      <c r="L227" s="3">
        <v>28.5</v>
      </c>
      <c r="M227" s="3">
        <v>28.2</v>
      </c>
      <c r="N227" s="3">
        <v>0.3</v>
      </c>
      <c r="O227" s="3">
        <v>0.3</v>
      </c>
      <c r="P227" s="3">
        <v>0.3</v>
      </c>
      <c r="Q227" s="3"/>
      <c r="R227" s="3">
        <v>0.3</v>
      </c>
    </row>
    <row r="228" spans="1:18">
      <c r="A228" s="4">
        <v>45962</v>
      </c>
      <c r="B228" s="2" t="s">
        <v>12</v>
      </c>
      <c r="C228" s="2" t="s">
        <v>36</v>
      </c>
      <c r="D228" s="2" t="s">
        <v>139</v>
      </c>
      <c r="E228" s="2" t="s">
        <v>81</v>
      </c>
      <c r="F228" s="2" t="s">
        <v>125</v>
      </c>
      <c r="G228" s="2" t="s">
        <v>79</v>
      </c>
      <c r="H228" s="3">
        <v>206</v>
      </c>
      <c r="I228" s="3">
        <v>202.2</v>
      </c>
      <c r="J228" s="3"/>
      <c r="K228" s="3"/>
      <c r="L228" s="3">
        <v>206</v>
      </c>
      <c r="M228" s="3">
        <v>202.2</v>
      </c>
      <c r="N228" s="3">
        <v>3.8</v>
      </c>
      <c r="O228" s="3">
        <v>3.8</v>
      </c>
      <c r="P228" s="3">
        <v>3.8</v>
      </c>
      <c r="Q228" s="3"/>
      <c r="R228" s="3">
        <v>3.8</v>
      </c>
    </row>
    <row r="229" spans="1:18">
      <c r="A229" s="4">
        <v>45962</v>
      </c>
      <c r="B229" s="2" t="s">
        <v>12</v>
      </c>
      <c r="C229" s="2" t="s">
        <v>40</v>
      </c>
      <c r="D229" s="2" t="s">
        <v>139</v>
      </c>
      <c r="E229" s="2" t="s">
        <v>81</v>
      </c>
      <c r="F229" s="2" t="s">
        <v>127</v>
      </c>
      <c r="G229" s="2" t="s">
        <v>39</v>
      </c>
      <c r="H229" s="3">
        <v>291.5</v>
      </c>
      <c r="I229" s="3">
        <v>288.75</v>
      </c>
      <c r="J229" s="3"/>
      <c r="K229" s="3"/>
      <c r="L229" s="3">
        <v>291.5</v>
      </c>
      <c r="M229" s="3">
        <v>288.75</v>
      </c>
      <c r="N229" s="3">
        <v>2.75</v>
      </c>
      <c r="O229" s="3">
        <v>2.75</v>
      </c>
      <c r="P229" s="3">
        <v>2.75</v>
      </c>
      <c r="Q229" s="3"/>
      <c r="R229" s="3">
        <v>2.75</v>
      </c>
    </row>
    <row r="230" spans="1:18">
      <c r="A230" s="4">
        <v>45962</v>
      </c>
      <c r="B230" s="2" t="s">
        <v>12</v>
      </c>
      <c r="C230" s="2" t="s">
        <v>36</v>
      </c>
      <c r="D230" s="2" t="s">
        <v>139</v>
      </c>
      <c r="E230" s="2" t="s">
        <v>81</v>
      </c>
      <c r="F230" s="2" t="s">
        <v>166</v>
      </c>
      <c r="G230" s="2" t="s">
        <v>42</v>
      </c>
      <c r="H230" s="3">
        <v>11919</v>
      </c>
      <c r="I230" s="3">
        <v>11877</v>
      </c>
      <c r="J230" s="3">
        <v>-195</v>
      </c>
      <c r="K230" s="3">
        <v>-193</v>
      </c>
      <c r="L230" s="3">
        <v>11724</v>
      </c>
      <c r="M230" s="3">
        <v>11684</v>
      </c>
      <c r="N230" s="3">
        <v>40</v>
      </c>
      <c r="O230" s="3">
        <v>40</v>
      </c>
      <c r="P230" s="3">
        <v>40</v>
      </c>
      <c r="Q230" s="3"/>
      <c r="R230" s="3">
        <v>40</v>
      </c>
    </row>
    <row r="231" spans="1:18">
      <c r="A231" s="4">
        <v>45962</v>
      </c>
      <c r="B231" s="2" t="s">
        <v>12</v>
      </c>
      <c r="C231" s="2" t="s">
        <v>36</v>
      </c>
      <c r="D231" s="2" t="s">
        <v>139</v>
      </c>
      <c r="E231" s="2" t="s">
        <v>81</v>
      </c>
      <c r="F231" s="2" t="s">
        <v>167</v>
      </c>
      <c r="G231" s="2" t="s">
        <v>39</v>
      </c>
      <c r="H231" s="3">
        <v>11003.1606</v>
      </c>
      <c r="I231" s="3">
        <v>10414.4044</v>
      </c>
      <c r="J231" s="3"/>
      <c r="K231" s="3"/>
      <c r="L231" s="3">
        <v>11003.1606</v>
      </c>
      <c r="M231" s="3">
        <v>10414.4044</v>
      </c>
      <c r="N231" s="3">
        <v>588.7562</v>
      </c>
      <c r="O231" s="3">
        <v>588.7562</v>
      </c>
      <c r="P231" s="3">
        <v>588.7562</v>
      </c>
      <c r="Q231" s="3"/>
      <c r="R231" s="3">
        <v>588.7562</v>
      </c>
    </row>
    <row r="232" spans="1:18">
      <c r="A232" s="4">
        <v>45962</v>
      </c>
      <c r="B232" s="2" t="s">
        <v>12</v>
      </c>
      <c r="C232" s="2" t="s">
        <v>40</v>
      </c>
      <c r="D232" s="2" t="s">
        <v>139</v>
      </c>
      <c r="E232" s="2" t="s">
        <v>81</v>
      </c>
      <c r="F232" s="2" t="s">
        <v>167</v>
      </c>
      <c r="G232" s="2" t="s">
        <v>39</v>
      </c>
      <c r="H232" s="3">
        <v>910.05</v>
      </c>
      <c r="I232" s="3">
        <v>887.8</v>
      </c>
      <c r="J232" s="3"/>
      <c r="K232" s="3"/>
      <c r="L232" s="3">
        <v>910.05</v>
      </c>
      <c r="M232" s="3">
        <v>887.8</v>
      </c>
      <c r="N232" s="3">
        <v>22.25</v>
      </c>
      <c r="O232" s="3">
        <v>22.25</v>
      </c>
      <c r="P232" s="3">
        <v>22.25</v>
      </c>
      <c r="Q232" s="3"/>
      <c r="R232" s="3">
        <v>22.25</v>
      </c>
    </row>
    <row r="233" spans="1:18">
      <c r="A233" s="4">
        <v>45962</v>
      </c>
      <c r="B233" s="2" t="s">
        <v>12</v>
      </c>
      <c r="C233" s="2" t="s">
        <v>36</v>
      </c>
      <c r="D233" s="2" t="s">
        <v>139</v>
      </c>
      <c r="E233" s="2" t="s">
        <v>81</v>
      </c>
      <c r="F233" s="2" t="s">
        <v>135</v>
      </c>
      <c r="G233" s="2" t="s">
        <v>39</v>
      </c>
      <c r="H233" s="3">
        <v>615</v>
      </c>
      <c r="I233" s="3">
        <v>128373</v>
      </c>
      <c r="J233" s="3"/>
      <c r="K233" s="3"/>
      <c r="L233" s="3">
        <v>615</v>
      </c>
      <c r="M233" s="3">
        <v>128373</v>
      </c>
      <c r="N233" s="3">
        <v>-127758</v>
      </c>
      <c r="O233" s="3">
        <v>-127758</v>
      </c>
      <c r="P233" s="3">
        <v>-127758</v>
      </c>
      <c r="Q233" s="3"/>
      <c r="R233" s="3">
        <v>-127758</v>
      </c>
    </row>
    <row r="234" spans="1:18">
      <c r="A234" s="4">
        <v>45962</v>
      </c>
      <c r="B234" s="2" t="s">
        <v>12</v>
      </c>
      <c r="C234" s="2" t="s">
        <v>36</v>
      </c>
      <c r="D234" s="2" t="s">
        <v>139</v>
      </c>
      <c r="E234" s="2" t="s">
        <v>81</v>
      </c>
      <c r="F234" s="2" t="s">
        <v>168</v>
      </c>
      <c r="G234" s="2" t="s">
        <v>39</v>
      </c>
      <c r="H234" s="3">
        <v>60.48</v>
      </c>
      <c r="I234" s="3">
        <v>58.408</v>
      </c>
      <c r="J234" s="3"/>
      <c r="K234" s="3"/>
      <c r="L234" s="3">
        <v>60.48</v>
      </c>
      <c r="M234" s="3">
        <v>58.408</v>
      </c>
      <c r="N234" s="3">
        <v>2.072</v>
      </c>
      <c r="O234" s="3">
        <v>2.072</v>
      </c>
      <c r="P234" s="3">
        <v>2.072</v>
      </c>
      <c r="Q234" s="3"/>
      <c r="R234" s="3">
        <v>2.072</v>
      </c>
    </row>
    <row r="235" spans="1:18">
      <c r="A235" s="4">
        <v>45962</v>
      </c>
      <c r="B235" s="2" t="s">
        <v>12</v>
      </c>
      <c r="C235" s="2" t="s">
        <v>36</v>
      </c>
      <c r="D235" s="2" t="s">
        <v>139</v>
      </c>
      <c r="E235" s="2" t="s">
        <v>81</v>
      </c>
      <c r="F235" s="2" t="s">
        <v>169</v>
      </c>
      <c r="G235" s="2" t="s">
        <v>39</v>
      </c>
      <c r="H235" s="3">
        <v>239.8</v>
      </c>
      <c r="I235" s="3">
        <v>235.2</v>
      </c>
      <c r="J235" s="3"/>
      <c r="K235" s="3"/>
      <c r="L235" s="3">
        <v>239.8</v>
      </c>
      <c r="M235" s="3">
        <v>235.2</v>
      </c>
      <c r="N235" s="3">
        <v>4.6</v>
      </c>
      <c r="O235" s="3">
        <v>4.6</v>
      </c>
      <c r="P235" s="3">
        <v>4.6</v>
      </c>
      <c r="Q235" s="3"/>
      <c r="R235" s="3">
        <v>4.6</v>
      </c>
    </row>
    <row r="236" spans="1:18">
      <c r="A236" s="4">
        <v>45962</v>
      </c>
      <c r="B236" s="2" t="s">
        <v>12</v>
      </c>
      <c r="C236" s="2" t="s">
        <v>36</v>
      </c>
      <c r="D236" s="2" t="s">
        <v>139</v>
      </c>
      <c r="E236" s="2" t="s">
        <v>81</v>
      </c>
      <c r="F236" s="2" t="s">
        <v>139</v>
      </c>
      <c r="G236" s="2" t="s">
        <v>39</v>
      </c>
      <c r="H236" s="3"/>
      <c r="I236" s="3"/>
      <c r="J236" s="3">
        <v>-108.249999999999</v>
      </c>
      <c r="K236" s="3">
        <v>-117.249999999999</v>
      </c>
      <c r="L236" s="3">
        <v>-108.249999999999</v>
      </c>
      <c r="M236" s="3">
        <v>-117.249999999999</v>
      </c>
      <c r="N236" s="3">
        <v>8.99999999999999</v>
      </c>
      <c r="O236" s="3">
        <v>8.99999999999999</v>
      </c>
      <c r="P236" s="3">
        <v>8.99999999999999</v>
      </c>
      <c r="Q236" s="3"/>
      <c r="R236" s="3">
        <v>8.99999999999999</v>
      </c>
    </row>
    <row r="237" spans="1:18">
      <c r="A237" s="4">
        <v>45962</v>
      </c>
      <c r="B237" s="2" t="s">
        <v>12</v>
      </c>
      <c r="C237" s="2" t="s">
        <v>36</v>
      </c>
      <c r="D237" s="2" t="s">
        <v>139</v>
      </c>
      <c r="E237" s="2" t="s">
        <v>81</v>
      </c>
      <c r="F237" s="2" t="s">
        <v>139</v>
      </c>
      <c r="G237" s="2" t="s">
        <v>42</v>
      </c>
      <c r="H237" s="3">
        <v>138</v>
      </c>
      <c r="I237" s="3">
        <v>93</v>
      </c>
      <c r="J237" s="3"/>
      <c r="K237" s="3"/>
      <c r="L237" s="3">
        <v>138</v>
      </c>
      <c r="M237" s="3">
        <v>93</v>
      </c>
      <c r="N237" s="3">
        <v>45</v>
      </c>
      <c r="O237" s="3">
        <v>45</v>
      </c>
      <c r="P237" s="3">
        <v>45</v>
      </c>
      <c r="Q237" s="3"/>
      <c r="R237" s="3">
        <v>45</v>
      </c>
    </row>
    <row r="238" spans="1:18">
      <c r="A238" s="4">
        <v>45962</v>
      </c>
      <c r="B238" s="2" t="s">
        <v>12</v>
      </c>
      <c r="C238" s="2" t="s">
        <v>36</v>
      </c>
      <c r="D238" s="2" t="s">
        <v>139</v>
      </c>
      <c r="E238" s="2" t="s">
        <v>81</v>
      </c>
      <c r="F238" s="2" t="s">
        <v>170</v>
      </c>
      <c r="G238" s="2" t="s">
        <v>79</v>
      </c>
      <c r="H238" s="3">
        <v>101235.23</v>
      </c>
      <c r="I238" s="3">
        <v>98936.8</v>
      </c>
      <c r="J238" s="3"/>
      <c r="K238" s="3"/>
      <c r="L238" s="3">
        <v>101235.23</v>
      </c>
      <c r="M238" s="3">
        <v>98936.8</v>
      </c>
      <c r="N238" s="3">
        <v>2298.43</v>
      </c>
      <c r="O238" s="3">
        <v>2298.43</v>
      </c>
      <c r="P238" s="3">
        <v>2298.43</v>
      </c>
      <c r="Q238" s="3"/>
      <c r="R238" s="3">
        <v>2298.43</v>
      </c>
    </row>
    <row r="239" spans="1:18">
      <c r="A239" s="4">
        <v>45962</v>
      </c>
      <c r="B239" s="2" t="s">
        <v>12</v>
      </c>
      <c r="C239" s="2" t="s">
        <v>36</v>
      </c>
      <c r="D239" s="2" t="s">
        <v>139</v>
      </c>
      <c r="E239" s="2" t="s">
        <v>81</v>
      </c>
      <c r="F239" s="2" t="s">
        <v>171</v>
      </c>
      <c r="G239" s="2" t="s">
        <v>42</v>
      </c>
      <c r="H239" s="3">
        <v>4880.75</v>
      </c>
      <c r="I239" s="3">
        <v>5284</v>
      </c>
      <c r="J239" s="3"/>
      <c r="K239" s="3"/>
      <c r="L239" s="3">
        <v>4880.75</v>
      </c>
      <c r="M239" s="3">
        <v>5284</v>
      </c>
      <c r="N239" s="3">
        <v>-403.25</v>
      </c>
      <c r="O239" s="3">
        <v>-403.25</v>
      </c>
      <c r="P239" s="3">
        <v>-403.25</v>
      </c>
      <c r="Q239" s="3"/>
      <c r="R239" s="3">
        <v>-403.25</v>
      </c>
    </row>
    <row r="240" spans="1:18">
      <c r="A240" s="4">
        <v>45962</v>
      </c>
      <c r="B240" s="2" t="s">
        <v>12</v>
      </c>
      <c r="C240" s="2" t="s">
        <v>40</v>
      </c>
      <c r="D240" s="2" t="s">
        <v>139</v>
      </c>
      <c r="E240" s="2" t="s">
        <v>81</v>
      </c>
      <c r="F240" s="2" t="s">
        <v>171</v>
      </c>
      <c r="G240" s="2" t="s">
        <v>42</v>
      </c>
      <c r="H240" s="3">
        <v>84</v>
      </c>
      <c r="I240" s="3">
        <v>80</v>
      </c>
      <c r="J240" s="3"/>
      <c r="K240" s="3"/>
      <c r="L240" s="3">
        <v>84</v>
      </c>
      <c r="M240" s="3">
        <v>80</v>
      </c>
      <c r="N240" s="3">
        <v>4</v>
      </c>
      <c r="O240" s="3">
        <v>4</v>
      </c>
      <c r="P240" s="3">
        <v>4</v>
      </c>
      <c r="Q240" s="3"/>
      <c r="R240" s="3">
        <v>4</v>
      </c>
    </row>
    <row r="241" spans="1:18">
      <c r="A241" s="4">
        <v>45962</v>
      </c>
      <c r="B241" s="2" t="s">
        <v>12</v>
      </c>
      <c r="C241" s="2" t="s">
        <v>36</v>
      </c>
      <c r="D241" s="2" t="s">
        <v>172</v>
      </c>
      <c r="E241" s="2" t="s">
        <v>81</v>
      </c>
      <c r="F241" s="2"/>
      <c r="G241" s="2" t="s">
        <v>39</v>
      </c>
      <c r="H241" s="3">
        <v>0.04</v>
      </c>
      <c r="I241" s="3">
        <v>0.0004</v>
      </c>
      <c r="J241" s="3"/>
      <c r="K241" s="3"/>
      <c r="L241" s="3">
        <v>0.04</v>
      </c>
      <c r="M241" s="3">
        <v>0.0004</v>
      </c>
      <c r="N241" s="3">
        <v>0.0396</v>
      </c>
      <c r="O241" s="3">
        <v>0.0396</v>
      </c>
      <c r="P241" s="3">
        <v>0.0396</v>
      </c>
      <c r="Q241" s="3"/>
      <c r="R241" s="3">
        <v>0.0396</v>
      </c>
    </row>
    <row r="242" spans="1:18">
      <c r="A242" s="4">
        <v>45962</v>
      </c>
      <c r="B242" s="2" t="s">
        <v>12</v>
      </c>
      <c r="C242" s="2" t="s">
        <v>36</v>
      </c>
      <c r="D242" s="2" t="s">
        <v>172</v>
      </c>
      <c r="E242" s="2" t="s">
        <v>81</v>
      </c>
      <c r="F242" s="2" t="s">
        <v>173</v>
      </c>
      <c r="G242" s="2" t="s">
        <v>42</v>
      </c>
      <c r="H242" s="3">
        <v>92.7</v>
      </c>
      <c r="I242" s="3">
        <v>63.18</v>
      </c>
      <c r="J242" s="3"/>
      <c r="K242" s="3"/>
      <c r="L242" s="3">
        <v>92.7</v>
      </c>
      <c r="M242" s="3">
        <v>63.18</v>
      </c>
      <c r="N242" s="3">
        <v>29.52</v>
      </c>
      <c r="O242" s="3">
        <v>29.52</v>
      </c>
      <c r="P242" s="3">
        <v>29.52</v>
      </c>
      <c r="Q242" s="3"/>
      <c r="R242" s="3">
        <v>29.52</v>
      </c>
    </row>
    <row r="243" spans="1:18">
      <c r="A243" s="4">
        <v>45962</v>
      </c>
      <c r="B243" s="2" t="s">
        <v>12</v>
      </c>
      <c r="C243" s="2" t="s">
        <v>36</v>
      </c>
      <c r="D243" s="2" t="s">
        <v>172</v>
      </c>
      <c r="E243" s="2" t="s">
        <v>81</v>
      </c>
      <c r="F243" s="2" t="s">
        <v>140</v>
      </c>
      <c r="G243" s="2" t="s">
        <v>39</v>
      </c>
      <c r="H243" s="3">
        <v>20</v>
      </c>
      <c r="I243" s="3">
        <v>0.002</v>
      </c>
      <c r="J243" s="3">
        <v>-6</v>
      </c>
      <c r="K243" s="3">
        <v>-0.0006</v>
      </c>
      <c r="L243" s="3">
        <v>14</v>
      </c>
      <c r="M243" s="3">
        <v>0.0014</v>
      </c>
      <c r="N243" s="3">
        <v>13.9986</v>
      </c>
      <c r="O243" s="3">
        <v>13.9986</v>
      </c>
      <c r="P243" s="3">
        <v>13.9986</v>
      </c>
      <c r="Q243" s="3"/>
      <c r="R243" s="3">
        <v>13.9986</v>
      </c>
    </row>
    <row r="244" spans="1:18">
      <c r="A244" s="4">
        <v>45962</v>
      </c>
      <c r="B244" s="2" t="s">
        <v>12</v>
      </c>
      <c r="C244" s="2" t="s">
        <v>36</v>
      </c>
      <c r="D244" s="2" t="s">
        <v>172</v>
      </c>
      <c r="E244" s="2" t="s">
        <v>81</v>
      </c>
      <c r="F244" s="2" t="s">
        <v>41</v>
      </c>
      <c r="G244" s="2" t="s">
        <v>42</v>
      </c>
      <c r="H244" s="3">
        <v>9206.404</v>
      </c>
      <c r="I244" s="3">
        <v>4594.302</v>
      </c>
      <c r="J244" s="3">
        <v>-530.260823816706</v>
      </c>
      <c r="K244" s="3">
        <v>-434.162999999999</v>
      </c>
      <c r="L244" s="3">
        <v>8676.14317618329</v>
      </c>
      <c r="M244" s="3">
        <v>4160.139</v>
      </c>
      <c r="N244" s="3">
        <v>4516.00417618329</v>
      </c>
      <c r="O244" s="3">
        <v>4516.00417618329</v>
      </c>
      <c r="P244" s="3">
        <v>4516.00417618329</v>
      </c>
      <c r="Q244" s="3"/>
      <c r="R244" s="3">
        <v>4516.00417618329</v>
      </c>
    </row>
    <row r="245" spans="1:18">
      <c r="A245" s="4">
        <v>45962</v>
      </c>
      <c r="B245" s="2" t="s">
        <v>12</v>
      </c>
      <c r="C245" s="2" t="s">
        <v>36</v>
      </c>
      <c r="D245" s="2" t="s">
        <v>172</v>
      </c>
      <c r="E245" s="2" t="s">
        <v>81</v>
      </c>
      <c r="F245" s="2" t="s">
        <v>142</v>
      </c>
      <c r="G245" s="2" t="s">
        <v>42</v>
      </c>
      <c r="H245" s="3">
        <v>30000</v>
      </c>
      <c r="I245" s="3">
        <v>29700</v>
      </c>
      <c r="J245" s="3"/>
      <c r="K245" s="3"/>
      <c r="L245" s="3">
        <v>30000</v>
      </c>
      <c r="M245" s="3">
        <v>29700</v>
      </c>
      <c r="N245" s="3">
        <v>300</v>
      </c>
      <c r="O245" s="3">
        <v>300</v>
      </c>
      <c r="P245" s="3">
        <v>300</v>
      </c>
      <c r="Q245" s="3"/>
      <c r="R245" s="3">
        <v>300</v>
      </c>
    </row>
    <row r="246" spans="1:18">
      <c r="A246" s="4">
        <v>45962</v>
      </c>
      <c r="B246" s="2" t="s">
        <v>12</v>
      </c>
      <c r="C246" s="2" t="s">
        <v>36</v>
      </c>
      <c r="D246" s="2" t="s">
        <v>172</v>
      </c>
      <c r="E246" s="2" t="s">
        <v>81</v>
      </c>
      <c r="F246" s="2" t="s">
        <v>174</v>
      </c>
      <c r="G246" s="2" t="s">
        <v>79</v>
      </c>
      <c r="H246" s="3">
        <v>88910.5</v>
      </c>
      <c r="I246" s="3">
        <v>87974.6</v>
      </c>
      <c r="J246" s="3"/>
      <c r="K246" s="3"/>
      <c r="L246" s="3">
        <v>88910.5</v>
      </c>
      <c r="M246" s="3">
        <v>87974.6</v>
      </c>
      <c r="N246" s="3">
        <v>935.9</v>
      </c>
      <c r="O246" s="3">
        <v>935.9</v>
      </c>
      <c r="P246" s="3">
        <v>935.9</v>
      </c>
      <c r="Q246" s="3"/>
      <c r="R246" s="3">
        <v>935.9</v>
      </c>
    </row>
    <row r="247" spans="1:18">
      <c r="A247" s="4">
        <v>45962</v>
      </c>
      <c r="B247" s="2" t="s">
        <v>12</v>
      </c>
      <c r="C247" s="2" t="s">
        <v>36</v>
      </c>
      <c r="D247" s="2" t="s">
        <v>172</v>
      </c>
      <c r="E247" s="2" t="s">
        <v>81</v>
      </c>
      <c r="F247" s="2" t="s">
        <v>175</v>
      </c>
      <c r="G247" s="2" t="s">
        <v>39</v>
      </c>
      <c r="H247" s="3">
        <v>11.2</v>
      </c>
      <c r="I247" s="3">
        <v>0.0112</v>
      </c>
      <c r="J247" s="3"/>
      <c r="K247" s="3"/>
      <c r="L247" s="3">
        <v>11.2</v>
      </c>
      <c r="M247" s="3">
        <v>0.0112</v>
      </c>
      <c r="N247" s="3">
        <v>11.1888</v>
      </c>
      <c r="O247" s="3">
        <v>11.1888</v>
      </c>
      <c r="P247" s="3">
        <v>11.1888</v>
      </c>
      <c r="Q247" s="3"/>
      <c r="R247" s="3">
        <v>11.1888</v>
      </c>
    </row>
    <row r="248" spans="1:18">
      <c r="A248" s="4">
        <v>45962</v>
      </c>
      <c r="B248" s="2" t="s">
        <v>12</v>
      </c>
      <c r="C248" s="2" t="s">
        <v>36</v>
      </c>
      <c r="D248" s="2" t="s">
        <v>172</v>
      </c>
      <c r="E248" s="2" t="s">
        <v>81</v>
      </c>
      <c r="F248" s="2" t="s">
        <v>176</v>
      </c>
      <c r="G248" s="2" t="s">
        <v>42</v>
      </c>
      <c r="H248" s="3">
        <v>26150.75</v>
      </c>
      <c r="I248" s="3">
        <v>26322.05</v>
      </c>
      <c r="J248" s="3"/>
      <c r="K248" s="3"/>
      <c r="L248" s="3">
        <v>26150.75</v>
      </c>
      <c r="M248" s="3">
        <v>26322.05</v>
      </c>
      <c r="N248" s="3">
        <v>-171.3</v>
      </c>
      <c r="O248" s="3">
        <v>-171.3</v>
      </c>
      <c r="P248" s="3">
        <v>-171.3</v>
      </c>
      <c r="Q248" s="3"/>
      <c r="R248" s="3">
        <v>-171.3</v>
      </c>
    </row>
    <row r="249" spans="1:18">
      <c r="A249" s="4">
        <v>45962</v>
      </c>
      <c r="B249" s="2" t="s">
        <v>12</v>
      </c>
      <c r="C249" s="2" t="s">
        <v>40</v>
      </c>
      <c r="D249" s="2" t="s">
        <v>172</v>
      </c>
      <c r="E249" s="2" t="s">
        <v>81</v>
      </c>
      <c r="F249" s="2" t="s">
        <v>176</v>
      </c>
      <c r="G249" s="2" t="s">
        <v>42</v>
      </c>
      <c r="H249" s="3">
        <v>540</v>
      </c>
      <c r="I249" s="3">
        <v>525</v>
      </c>
      <c r="J249" s="3"/>
      <c r="K249" s="3"/>
      <c r="L249" s="3">
        <v>540</v>
      </c>
      <c r="M249" s="3">
        <v>525</v>
      </c>
      <c r="N249" s="3">
        <v>15</v>
      </c>
      <c r="O249" s="3">
        <v>15</v>
      </c>
      <c r="P249" s="3">
        <v>15</v>
      </c>
      <c r="Q249" s="3"/>
      <c r="R249" s="3">
        <v>15</v>
      </c>
    </row>
    <row r="250" spans="1:18">
      <c r="A250" s="4">
        <v>45962</v>
      </c>
      <c r="B250" s="2" t="s">
        <v>12</v>
      </c>
      <c r="C250" s="2" t="s">
        <v>36</v>
      </c>
      <c r="D250" s="2" t="s">
        <v>172</v>
      </c>
      <c r="E250" s="2" t="s">
        <v>81</v>
      </c>
      <c r="F250" s="2" t="s">
        <v>177</v>
      </c>
      <c r="G250" s="2" t="s">
        <v>39</v>
      </c>
      <c r="H250" s="3">
        <v>1725.45</v>
      </c>
      <c r="I250" s="3">
        <v>23572.0506</v>
      </c>
      <c r="J250" s="3">
        <v>-39.1499999999999</v>
      </c>
      <c r="K250" s="3">
        <v>-38.3505</v>
      </c>
      <c r="L250" s="3">
        <v>1686.3</v>
      </c>
      <c r="M250" s="3">
        <v>23533.7000999999</v>
      </c>
      <c r="N250" s="3">
        <v>-21847.4000999999</v>
      </c>
      <c r="O250" s="3">
        <v>-21847.4000999999</v>
      </c>
      <c r="P250" s="3">
        <v>-21847.4000999999</v>
      </c>
      <c r="Q250" s="3"/>
      <c r="R250" s="3">
        <v>-21847.4000999999</v>
      </c>
    </row>
    <row r="251" spans="1:18">
      <c r="A251" s="4">
        <v>45962</v>
      </c>
      <c r="B251" s="2" t="s">
        <v>12</v>
      </c>
      <c r="C251" s="2" t="s">
        <v>40</v>
      </c>
      <c r="D251" s="2" t="s">
        <v>172</v>
      </c>
      <c r="E251" s="2" t="s">
        <v>81</v>
      </c>
      <c r="F251" s="2" t="s">
        <v>177</v>
      </c>
      <c r="G251" s="2" t="s">
        <v>39</v>
      </c>
      <c r="H251" s="3">
        <v>1435</v>
      </c>
      <c r="I251" s="3">
        <v>1409.4</v>
      </c>
      <c r="J251" s="3"/>
      <c r="K251" s="3"/>
      <c r="L251" s="3">
        <v>1435</v>
      </c>
      <c r="M251" s="3">
        <v>1409.4</v>
      </c>
      <c r="N251" s="3">
        <v>25.6</v>
      </c>
      <c r="O251" s="3">
        <v>25.6</v>
      </c>
      <c r="P251" s="3">
        <v>25.6</v>
      </c>
      <c r="Q251" s="3"/>
      <c r="R251" s="3">
        <v>25.6</v>
      </c>
    </row>
    <row r="252" spans="1:18">
      <c r="A252" s="4">
        <v>45962</v>
      </c>
      <c r="B252" s="2" t="s">
        <v>12</v>
      </c>
      <c r="C252" s="2" t="s">
        <v>36</v>
      </c>
      <c r="D252" s="2" t="s">
        <v>172</v>
      </c>
      <c r="E252" s="2" t="s">
        <v>81</v>
      </c>
      <c r="F252" s="2" t="s">
        <v>178</v>
      </c>
      <c r="G252" s="2" t="s">
        <v>42</v>
      </c>
      <c r="H252" s="3">
        <v>4439.6</v>
      </c>
      <c r="I252" s="3">
        <v>4002.12</v>
      </c>
      <c r="J252" s="3"/>
      <c r="K252" s="3"/>
      <c r="L252" s="3">
        <v>4439.6</v>
      </c>
      <c r="M252" s="3">
        <v>4002.12</v>
      </c>
      <c r="N252" s="3">
        <v>437.48</v>
      </c>
      <c r="O252" s="3">
        <v>437.48</v>
      </c>
      <c r="P252" s="3">
        <v>437.48</v>
      </c>
      <c r="Q252" s="3"/>
      <c r="R252" s="3">
        <v>437.48</v>
      </c>
    </row>
    <row r="253" spans="1:18">
      <c r="A253" s="4">
        <v>45962</v>
      </c>
      <c r="B253" s="2" t="s">
        <v>12</v>
      </c>
      <c r="C253" s="2" t="s">
        <v>36</v>
      </c>
      <c r="D253" s="2" t="s">
        <v>172</v>
      </c>
      <c r="E253" s="2" t="s">
        <v>81</v>
      </c>
      <c r="F253" s="2" t="s">
        <v>50</v>
      </c>
      <c r="G253" s="2" t="s">
        <v>39</v>
      </c>
      <c r="H253" s="3">
        <v>1695.54</v>
      </c>
      <c r="I253" s="3">
        <v>0.7766</v>
      </c>
      <c r="J253" s="3">
        <v>-29.42</v>
      </c>
      <c r="K253" s="3">
        <v>-0.0049</v>
      </c>
      <c r="L253" s="3">
        <v>1666.11999999999</v>
      </c>
      <c r="M253" s="3">
        <v>0.7717</v>
      </c>
      <c r="N253" s="3">
        <v>1665.34829999999</v>
      </c>
      <c r="O253" s="3">
        <v>1665.34829999999</v>
      </c>
      <c r="P253" s="3">
        <v>1665.34829999999</v>
      </c>
      <c r="Q253" s="3"/>
      <c r="R253" s="3">
        <v>1665.34829999999</v>
      </c>
    </row>
    <row r="254" spans="1:18">
      <c r="A254" s="4">
        <v>45962</v>
      </c>
      <c r="B254" s="2" t="s">
        <v>12</v>
      </c>
      <c r="C254" s="2" t="s">
        <v>36</v>
      </c>
      <c r="D254" s="2" t="s">
        <v>172</v>
      </c>
      <c r="E254" s="2" t="s">
        <v>81</v>
      </c>
      <c r="F254" s="2" t="s">
        <v>179</v>
      </c>
      <c r="G254" s="2" t="s">
        <v>42</v>
      </c>
      <c r="H254" s="3">
        <v>97127.2</v>
      </c>
      <c r="I254" s="3">
        <v>68208</v>
      </c>
      <c r="J254" s="3">
        <v>-348</v>
      </c>
      <c r="K254" s="3">
        <v>-243.599999999999</v>
      </c>
      <c r="L254" s="3">
        <v>96779.2</v>
      </c>
      <c r="M254" s="3">
        <v>67964.4</v>
      </c>
      <c r="N254" s="3">
        <v>28814.7999999999</v>
      </c>
      <c r="O254" s="3">
        <v>28814.7999999999</v>
      </c>
      <c r="P254" s="3">
        <v>28814.7999999999</v>
      </c>
      <c r="Q254" s="3"/>
      <c r="R254" s="3">
        <v>28814.7999999999</v>
      </c>
    </row>
    <row r="255" spans="1:18">
      <c r="A255" s="4">
        <v>45962</v>
      </c>
      <c r="B255" s="2" t="s">
        <v>12</v>
      </c>
      <c r="C255" s="2" t="s">
        <v>40</v>
      </c>
      <c r="D255" s="2" t="s">
        <v>172</v>
      </c>
      <c r="E255" s="2" t="s">
        <v>81</v>
      </c>
      <c r="F255" s="2" t="s">
        <v>180</v>
      </c>
      <c r="G255" s="2" t="s">
        <v>42</v>
      </c>
      <c r="H255" s="3">
        <v>1272.6</v>
      </c>
      <c r="I255" s="3">
        <v>1212</v>
      </c>
      <c r="J255" s="3"/>
      <c r="K255" s="3"/>
      <c r="L255" s="3">
        <v>1272.6</v>
      </c>
      <c r="M255" s="3">
        <v>1212</v>
      </c>
      <c r="N255" s="3">
        <v>60.6</v>
      </c>
      <c r="O255" s="3">
        <v>60.6</v>
      </c>
      <c r="P255" s="3">
        <v>60.6</v>
      </c>
      <c r="Q255" s="3"/>
      <c r="R255" s="3">
        <v>60.6</v>
      </c>
    </row>
    <row r="256" spans="1:18">
      <c r="A256" s="4">
        <v>45962</v>
      </c>
      <c r="B256" s="2" t="s">
        <v>12</v>
      </c>
      <c r="C256" s="2" t="s">
        <v>36</v>
      </c>
      <c r="D256" s="2" t="s">
        <v>172</v>
      </c>
      <c r="E256" s="2" t="s">
        <v>81</v>
      </c>
      <c r="F256" s="2" t="s">
        <v>181</v>
      </c>
      <c r="G256" s="2" t="s">
        <v>42</v>
      </c>
      <c r="H256" s="3">
        <v>71840.61</v>
      </c>
      <c r="I256" s="3">
        <v>7470.129</v>
      </c>
      <c r="J256" s="3">
        <v>-118</v>
      </c>
      <c r="K256" s="3">
        <v>-106</v>
      </c>
      <c r="L256" s="3">
        <v>71722.61</v>
      </c>
      <c r="M256" s="3">
        <v>7364.129</v>
      </c>
      <c r="N256" s="3">
        <v>64358.481</v>
      </c>
      <c r="O256" s="3">
        <v>64358.481</v>
      </c>
      <c r="P256" s="3">
        <v>64358.481</v>
      </c>
      <c r="Q256" s="3"/>
      <c r="R256" s="3">
        <v>64358.481</v>
      </c>
    </row>
    <row r="257" spans="1:18">
      <c r="A257" s="4">
        <v>45962</v>
      </c>
      <c r="B257" s="2" t="s">
        <v>12</v>
      </c>
      <c r="C257" s="2" t="s">
        <v>36</v>
      </c>
      <c r="D257" s="2" t="s">
        <v>172</v>
      </c>
      <c r="E257" s="2" t="s">
        <v>81</v>
      </c>
      <c r="F257" s="2" t="s">
        <v>147</v>
      </c>
      <c r="G257" s="2" t="s">
        <v>42</v>
      </c>
      <c r="H257" s="3">
        <v>7834.72</v>
      </c>
      <c r="I257" s="3">
        <v>6804</v>
      </c>
      <c r="J257" s="3"/>
      <c r="K257" s="3"/>
      <c r="L257" s="3">
        <v>7834.72</v>
      </c>
      <c r="M257" s="3">
        <v>6804</v>
      </c>
      <c r="N257" s="3">
        <v>1030.72</v>
      </c>
      <c r="O257" s="3">
        <v>1030.72</v>
      </c>
      <c r="P257" s="3">
        <v>1030.72</v>
      </c>
      <c r="Q257" s="3"/>
      <c r="R257" s="3">
        <v>1030.72</v>
      </c>
    </row>
    <row r="258" spans="1:18">
      <c r="A258" s="4">
        <v>45962</v>
      </c>
      <c r="B258" s="2" t="s">
        <v>12</v>
      </c>
      <c r="C258" s="2" t="s">
        <v>36</v>
      </c>
      <c r="D258" s="2" t="s">
        <v>172</v>
      </c>
      <c r="E258" s="2" t="s">
        <v>81</v>
      </c>
      <c r="F258" s="2" t="s">
        <v>52</v>
      </c>
      <c r="G258" s="2" t="s">
        <v>42</v>
      </c>
      <c r="H258" s="3">
        <v>892726.11</v>
      </c>
      <c r="I258" s="3">
        <v>849382.012</v>
      </c>
      <c r="J258" s="3">
        <v>-7526.1770099632</v>
      </c>
      <c r="K258" s="3">
        <v>-7076.08059999999</v>
      </c>
      <c r="L258" s="3">
        <v>885199.932990036</v>
      </c>
      <c r="M258" s="3">
        <v>842305.9314</v>
      </c>
      <c r="N258" s="3">
        <v>42894.0015900367</v>
      </c>
      <c r="O258" s="3">
        <v>42894.0015900367</v>
      </c>
      <c r="P258" s="3">
        <v>42894.0015900367</v>
      </c>
      <c r="Q258" s="3"/>
      <c r="R258" s="3">
        <v>42894.0015900367</v>
      </c>
    </row>
    <row r="259" spans="1:18">
      <c r="A259" s="4">
        <v>45962</v>
      </c>
      <c r="B259" s="2" t="s">
        <v>12</v>
      </c>
      <c r="C259" s="2" t="s">
        <v>36</v>
      </c>
      <c r="D259" s="2" t="s">
        <v>172</v>
      </c>
      <c r="E259" s="2" t="s">
        <v>81</v>
      </c>
      <c r="F259" s="2" t="s">
        <v>149</v>
      </c>
      <c r="G259" s="2" t="s">
        <v>42</v>
      </c>
      <c r="H259" s="3">
        <v>970.1</v>
      </c>
      <c r="I259" s="3">
        <v>840.6006</v>
      </c>
      <c r="J259" s="3"/>
      <c r="K259" s="3"/>
      <c r="L259" s="3">
        <v>970.1</v>
      </c>
      <c r="M259" s="3">
        <v>840.6006</v>
      </c>
      <c r="N259" s="3">
        <v>129.4994</v>
      </c>
      <c r="O259" s="3">
        <v>129.4994</v>
      </c>
      <c r="P259" s="3">
        <v>129.4994</v>
      </c>
      <c r="Q259" s="3"/>
      <c r="R259" s="3">
        <v>129.4994</v>
      </c>
    </row>
    <row r="260" spans="1:18">
      <c r="A260" s="4">
        <v>45962</v>
      </c>
      <c r="B260" s="2" t="s">
        <v>12</v>
      </c>
      <c r="C260" s="2" t="s">
        <v>36</v>
      </c>
      <c r="D260" s="2" t="s">
        <v>172</v>
      </c>
      <c r="E260" s="2" t="s">
        <v>81</v>
      </c>
      <c r="F260" s="2" t="s">
        <v>182</v>
      </c>
      <c r="G260" s="2" t="s">
        <v>42</v>
      </c>
      <c r="H260" s="3">
        <v>15268.46</v>
      </c>
      <c r="I260" s="3">
        <v>12321.2</v>
      </c>
      <c r="J260" s="3">
        <v>-178</v>
      </c>
      <c r="K260" s="3">
        <v>-138</v>
      </c>
      <c r="L260" s="3">
        <v>15090.46</v>
      </c>
      <c r="M260" s="3">
        <v>12183.2</v>
      </c>
      <c r="N260" s="3">
        <v>2907.26</v>
      </c>
      <c r="O260" s="3">
        <v>2907.26</v>
      </c>
      <c r="P260" s="3">
        <v>2907.26</v>
      </c>
      <c r="Q260" s="3"/>
      <c r="R260" s="3">
        <v>2907.26</v>
      </c>
    </row>
    <row r="261" spans="1:18">
      <c r="A261" s="4">
        <v>45962</v>
      </c>
      <c r="B261" s="2" t="s">
        <v>12</v>
      </c>
      <c r="C261" s="2" t="s">
        <v>36</v>
      </c>
      <c r="D261" s="2" t="s">
        <v>172</v>
      </c>
      <c r="E261" s="2" t="s">
        <v>81</v>
      </c>
      <c r="F261" s="2" t="s">
        <v>151</v>
      </c>
      <c r="G261" s="2" t="s">
        <v>39</v>
      </c>
      <c r="H261" s="3">
        <v>337590.01</v>
      </c>
      <c r="I261" s="3">
        <v>331320.9</v>
      </c>
      <c r="J261" s="3">
        <v>-16989.89</v>
      </c>
      <c r="K261" s="3">
        <v>-15635.6999999999</v>
      </c>
      <c r="L261" s="3">
        <v>320600.119999999</v>
      </c>
      <c r="M261" s="3">
        <v>315685.2</v>
      </c>
      <c r="N261" s="3">
        <v>4914.91999999999</v>
      </c>
      <c r="O261" s="3">
        <v>4914.91999999999</v>
      </c>
      <c r="P261" s="3">
        <v>4914.91999999999</v>
      </c>
      <c r="Q261" s="3"/>
      <c r="R261" s="3">
        <v>4914.91999999999</v>
      </c>
    </row>
    <row r="262" spans="1:18">
      <c r="A262" s="4">
        <v>45962</v>
      </c>
      <c r="B262" s="2" t="s">
        <v>12</v>
      </c>
      <c r="C262" s="2" t="s">
        <v>36</v>
      </c>
      <c r="D262" s="2" t="s">
        <v>172</v>
      </c>
      <c r="E262" s="2" t="s">
        <v>81</v>
      </c>
      <c r="F262" s="2" t="s">
        <v>183</v>
      </c>
      <c r="G262" s="2" t="s">
        <v>42</v>
      </c>
      <c r="H262" s="3">
        <v>210.72</v>
      </c>
      <c r="I262" s="3">
        <v>175.6</v>
      </c>
      <c r="J262" s="3"/>
      <c r="K262" s="3"/>
      <c r="L262" s="3">
        <v>210.72</v>
      </c>
      <c r="M262" s="3">
        <v>175.6</v>
      </c>
      <c r="N262" s="3">
        <v>35.12</v>
      </c>
      <c r="O262" s="3">
        <v>35.12</v>
      </c>
      <c r="P262" s="3">
        <v>35.12</v>
      </c>
      <c r="Q262" s="3"/>
      <c r="R262" s="3">
        <v>35.12</v>
      </c>
    </row>
    <row r="263" spans="1:18">
      <c r="A263" s="4">
        <v>45962</v>
      </c>
      <c r="B263" s="2" t="s">
        <v>12</v>
      </c>
      <c r="C263" s="2" t="s">
        <v>36</v>
      </c>
      <c r="D263" s="2" t="s">
        <v>172</v>
      </c>
      <c r="E263" s="2" t="s">
        <v>81</v>
      </c>
      <c r="F263" s="2" t="s">
        <v>184</v>
      </c>
      <c r="G263" s="2" t="s">
        <v>42</v>
      </c>
      <c r="H263" s="3">
        <v>278030.89</v>
      </c>
      <c r="I263" s="3">
        <v>272601.7</v>
      </c>
      <c r="J263" s="3"/>
      <c r="K263" s="3"/>
      <c r="L263" s="3">
        <v>278030.89</v>
      </c>
      <c r="M263" s="3">
        <v>272601.7</v>
      </c>
      <c r="N263" s="3">
        <v>5429.19</v>
      </c>
      <c r="O263" s="3">
        <v>5429.19</v>
      </c>
      <c r="P263" s="3">
        <v>5429.19</v>
      </c>
      <c r="Q263" s="3"/>
      <c r="R263" s="3">
        <v>5429.19</v>
      </c>
    </row>
    <row r="264" spans="1:18">
      <c r="A264" s="4">
        <v>45962</v>
      </c>
      <c r="B264" s="2" t="s">
        <v>12</v>
      </c>
      <c r="C264" s="2" t="s">
        <v>36</v>
      </c>
      <c r="D264" s="2" t="s">
        <v>172</v>
      </c>
      <c r="E264" s="2" t="s">
        <v>81</v>
      </c>
      <c r="F264" s="2" t="s">
        <v>185</v>
      </c>
      <c r="G264" s="2" t="s">
        <v>39</v>
      </c>
      <c r="H264" s="3">
        <v>1368.2</v>
      </c>
      <c r="I264" s="3">
        <v>1281.5</v>
      </c>
      <c r="J264" s="3"/>
      <c r="K264" s="3"/>
      <c r="L264" s="3">
        <v>1368.2</v>
      </c>
      <c r="M264" s="3">
        <v>1281.5</v>
      </c>
      <c r="N264" s="3">
        <v>86.7</v>
      </c>
      <c r="O264" s="3">
        <v>86.7</v>
      </c>
      <c r="P264" s="3">
        <v>86.7</v>
      </c>
      <c r="Q264" s="3"/>
      <c r="R264" s="3">
        <v>86.7</v>
      </c>
    </row>
    <row r="265" spans="1:18">
      <c r="A265" s="4">
        <v>45962</v>
      </c>
      <c r="B265" s="2" t="s">
        <v>12</v>
      </c>
      <c r="C265" s="2" t="s">
        <v>36</v>
      </c>
      <c r="D265" s="2" t="s">
        <v>172</v>
      </c>
      <c r="E265" s="2" t="s">
        <v>81</v>
      </c>
      <c r="F265" s="2" t="s">
        <v>70</v>
      </c>
      <c r="G265" s="2" t="s">
        <v>39</v>
      </c>
      <c r="H265" s="3">
        <v>21703.21</v>
      </c>
      <c r="I265" s="3">
        <v>21348.59</v>
      </c>
      <c r="J265" s="3">
        <v>-183.929999999999</v>
      </c>
      <c r="K265" s="3">
        <v>-183.57</v>
      </c>
      <c r="L265" s="3">
        <v>21519.28</v>
      </c>
      <c r="M265" s="3">
        <v>21165.0199999999</v>
      </c>
      <c r="N265" s="3">
        <v>354.26</v>
      </c>
      <c r="O265" s="3">
        <v>354.26</v>
      </c>
      <c r="P265" s="3">
        <v>354.26</v>
      </c>
      <c r="Q265" s="3"/>
      <c r="R265" s="3">
        <v>354.26</v>
      </c>
    </row>
    <row r="266" spans="1:18">
      <c r="A266" s="4">
        <v>45962</v>
      </c>
      <c r="B266" s="2" t="s">
        <v>12</v>
      </c>
      <c r="C266" s="2" t="s">
        <v>36</v>
      </c>
      <c r="D266" s="2" t="s">
        <v>172</v>
      </c>
      <c r="E266" s="2" t="s">
        <v>81</v>
      </c>
      <c r="F266" s="2" t="s">
        <v>186</v>
      </c>
      <c r="G266" s="2" t="s">
        <v>42</v>
      </c>
      <c r="H266" s="3">
        <v>517659.75</v>
      </c>
      <c r="I266" s="3">
        <v>344456.34</v>
      </c>
      <c r="J266" s="3">
        <v>-10</v>
      </c>
      <c r="K266" s="3">
        <v>-8.5</v>
      </c>
      <c r="L266" s="3">
        <v>517649.75</v>
      </c>
      <c r="M266" s="3">
        <v>344447.84</v>
      </c>
      <c r="N266" s="3">
        <v>173201.91</v>
      </c>
      <c r="O266" s="3">
        <v>173201.91</v>
      </c>
      <c r="P266" s="3">
        <v>173201.91</v>
      </c>
      <c r="Q266" s="3"/>
      <c r="R266" s="3">
        <v>173201.91</v>
      </c>
    </row>
    <row r="267" spans="1:18">
      <c r="A267" s="4">
        <v>45962</v>
      </c>
      <c r="B267" s="2" t="s">
        <v>12</v>
      </c>
      <c r="C267" s="2" t="s">
        <v>36</v>
      </c>
      <c r="D267" s="2" t="s">
        <v>172</v>
      </c>
      <c r="E267" s="2" t="s">
        <v>81</v>
      </c>
      <c r="F267" s="2" t="s">
        <v>101</v>
      </c>
      <c r="G267" s="2" t="s">
        <v>42</v>
      </c>
      <c r="H267" s="3">
        <v>34844</v>
      </c>
      <c r="I267" s="3">
        <v>30567.6</v>
      </c>
      <c r="J267" s="3"/>
      <c r="K267" s="3"/>
      <c r="L267" s="3">
        <v>34844</v>
      </c>
      <c r="M267" s="3">
        <v>30567.6</v>
      </c>
      <c r="N267" s="3">
        <v>4276.4</v>
      </c>
      <c r="O267" s="3">
        <v>4276.4</v>
      </c>
      <c r="P267" s="3">
        <v>4276.4</v>
      </c>
      <c r="Q267" s="3"/>
      <c r="R267" s="3">
        <v>4276.4</v>
      </c>
    </row>
    <row r="268" spans="1:18">
      <c r="A268" s="4">
        <v>45962</v>
      </c>
      <c r="B268" s="2" t="s">
        <v>12</v>
      </c>
      <c r="C268" s="2" t="s">
        <v>36</v>
      </c>
      <c r="D268" s="2" t="s">
        <v>172</v>
      </c>
      <c r="E268" s="2" t="s">
        <v>81</v>
      </c>
      <c r="F268" s="2" t="s">
        <v>187</v>
      </c>
      <c r="G268" s="2" t="s">
        <v>39</v>
      </c>
      <c r="H268" s="3">
        <v>800</v>
      </c>
      <c r="I268" s="3">
        <v>723.9</v>
      </c>
      <c r="J268" s="3"/>
      <c r="K268" s="3"/>
      <c r="L268" s="3">
        <v>800</v>
      </c>
      <c r="M268" s="3">
        <v>723.9</v>
      </c>
      <c r="N268" s="3">
        <v>76.1</v>
      </c>
      <c r="O268" s="3">
        <v>76.1</v>
      </c>
      <c r="P268" s="3">
        <v>76.1</v>
      </c>
      <c r="Q268" s="3"/>
      <c r="R268" s="3">
        <v>76.1</v>
      </c>
    </row>
    <row r="269" spans="1:18">
      <c r="A269" s="4">
        <v>45962</v>
      </c>
      <c r="B269" s="2" t="s">
        <v>12</v>
      </c>
      <c r="C269" s="2" t="s">
        <v>36</v>
      </c>
      <c r="D269" s="2" t="s">
        <v>172</v>
      </c>
      <c r="E269" s="2" t="s">
        <v>81</v>
      </c>
      <c r="F269" s="2" t="s">
        <v>188</v>
      </c>
      <c r="G269" s="2" t="s">
        <v>39</v>
      </c>
      <c r="H269" s="3">
        <v>99</v>
      </c>
      <c r="I269" s="3">
        <v>49.5</v>
      </c>
      <c r="J269" s="3"/>
      <c r="K269" s="3"/>
      <c r="L269" s="3">
        <v>99</v>
      </c>
      <c r="M269" s="3">
        <v>49.5</v>
      </c>
      <c r="N269" s="3">
        <v>49.5</v>
      </c>
      <c r="O269" s="3">
        <v>49.5</v>
      </c>
      <c r="P269" s="3">
        <v>49.5</v>
      </c>
      <c r="Q269" s="3"/>
      <c r="R269" s="3">
        <v>49.5</v>
      </c>
    </row>
    <row r="270" spans="1:18">
      <c r="A270" s="4">
        <v>45962</v>
      </c>
      <c r="B270" s="2" t="s">
        <v>12</v>
      </c>
      <c r="C270" s="2" t="s">
        <v>36</v>
      </c>
      <c r="D270" s="2" t="s">
        <v>172</v>
      </c>
      <c r="E270" s="2" t="s">
        <v>81</v>
      </c>
      <c r="F270" s="2" t="s">
        <v>189</v>
      </c>
      <c r="G270" s="2" t="s">
        <v>42</v>
      </c>
      <c r="H270" s="3">
        <v>6692</v>
      </c>
      <c r="I270" s="3">
        <v>5480</v>
      </c>
      <c r="J270" s="3">
        <v>-976</v>
      </c>
      <c r="K270" s="3">
        <v>-645</v>
      </c>
      <c r="L270" s="3">
        <v>5716</v>
      </c>
      <c r="M270" s="3">
        <v>4835</v>
      </c>
      <c r="N270" s="3">
        <v>881</v>
      </c>
      <c r="O270" s="3">
        <v>881</v>
      </c>
      <c r="P270" s="3">
        <v>881</v>
      </c>
      <c r="Q270" s="3"/>
      <c r="R270" s="3">
        <v>881</v>
      </c>
    </row>
    <row r="271" spans="1:18">
      <c r="A271" s="4">
        <v>45962</v>
      </c>
      <c r="B271" s="2" t="s">
        <v>12</v>
      </c>
      <c r="C271" s="2" t="s">
        <v>36</v>
      </c>
      <c r="D271" s="2" t="s">
        <v>172</v>
      </c>
      <c r="E271" s="2" t="s">
        <v>81</v>
      </c>
      <c r="F271" s="2" t="s">
        <v>190</v>
      </c>
      <c r="G271" s="2" t="s">
        <v>39</v>
      </c>
      <c r="H271" s="3">
        <v>27061.39</v>
      </c>
      <c r="I271" s="3">
        <v>24849.13</v>
      </c>
      <c r="J271" s="3">
        <v>-13602.28</v>
      </c>
      <c r="K271" s="3">
        <v>-12419.04</v>
      </c>
      <c r="L271" s="3">
        <v>13459.1099999999</v>
      </c>
      <c r="M271" s="3">
        <v>12430.0899999999</v>
      </c>
      <c r="N271" s="3">
        <v>1029.01999999999</v>
      </c>
      <c r="O271" s="3">
        <v>1029.01999999999</v>
      </c>
      <c r="P271" s="3">
        <v>1029.01999999999</v>
      </c>
      <c r="Q271" s="3"/>
      <c r="R271" s="3">
        <v>1029.01999999999</v>
      </c>
    </row>
    <row r="272" spans="1:18">
      <c r="A272" s="4">
        <v>45962</v>
      </c>
      <c r="B272" s="2" t="s">
        <v>12</v>
      </c>
      <c r="C272" s="2" t="s">
        <v>36</v>
      </c>
      <c r="D272" s="2" t="s">
        <v>172</v>
      </c>
      <c r="E272" s="2" t="s">
        <v>81</v>
      </c>
      <c r="F272" s="2" t="s">
        <v>191</v>
      </c>
      <c r="G272" s="2" t="s">
        <v>39</v>
      </c>
      <c r="H272" s="3">
        <v>542.5</v>
      </c>
      <c r="I272" s="3">
        <v>388.25</v>
      </c>
      <c r="J272" s="3">
        <v>-595</v>
      </c>
      <c r="K272" s="3">
        <v>-438.649999999999</v>
      </c>
      <c r="L272" s="3">
        <v>-52.5</v>
      </c>
      <c r="M272" s="3">
        <v>-50.3999999999999</v>
      </c>
      <c r="N272" s="3">
        <v>-2.1</v>
      </c>
      <c r="O272" s="3">
        <v>-2.1</v>
      </c>
      <c r="P272" s="3">
        <v>-2.1</v>
      </c>
      <c r="Q272" s="3"/>
      <c r="R272" s="3">
        <v>-2.1</v>
      </c>
    </row>
    <row r="273" spans="1:18">
      <c r="A273" s="4">
        <v>45962</v>
      </c>
      <c r="B273" s="2" t="s">
        <v>12</v>
      </c>
      <c r="C273" s="2" t="s">
        <v>36</v>
      </c>
      <c r="D273" s="2" t="s">
        <v>172</v>
      </c>
      <c r="E273" s="2" t="s">
        <v>81</v>
      </c>
      <c r="F273" s="2" t="s">
        <v>131</v>
      </c>
      <c r="G273" s="2" t="s">
        <v>39</v>
      </c>
      <c r="H273" s="3">
        <v>44838</v>
      </c>
      <c r="I273" s="3">
        <v>42605.6</v>
      </c>
      <c r="J273" s="3">
        <v>-755</v>
      </c>
      <c r="K273" s="3">
        <v>-714.399999999999</v>
      </c>
      <c r="L273" s="3">
        <v>44083</v>
      </c>
      <c r="M273" s="3">
        <v>41891.2</v>
      </c>
      <c r="N273" s="3">
        <v>2191.79999999999</v>
      </c>
      <c r="O273" s="3">
        <v>2191.79999999999</v>
      </c>
      <c r="P273" s="3">
        <v>2191.79999999999</v>
      </c>
      <c r="Q273" s="3"/>
      <c r="R273" s="3">
        <v>2191.79999999999</v>
      </c>
    </row>
    <row r="274" spans="1:18">
      <c r="A274" s="4">
        <v>45962</v>
      </c>
      <c r="B274" s="2" t="s">
        <v>12</v>
      </c>
      <c r="C274" s="2" t="s">
        <v>36</v>
      </c>
      <c r="D274" s="2" t="s">
        <v>172</v>
      </c>
      <c r="E274" s="2" t="s">
        <v>81</v>
      </c>
      <c r="F274" s="2" t="s">
        <v>192</v>
      </c>
      <c r="G274" s="2" t="s">
        <v>42</v>
      </c>
      <c r="H274" s="3">
        <v>124824.168</v>
      </c>
      <c r="I274" s="3">
        <v>181389.37</v>
      </c>
      <c r="J274" s="3">
        <v>-556.22</v>
      </c>
      <c r="K274" s="3">
        <v>-525.24</v>
      </c>
      <c r="L274" s="3">
        <v>124267.947999999</v>
      </c>
      <c r="M274" s="3">
        <v>180864.129999999</v>
      </c>
      <c r="N274" s="3">
        <v>-56596.182</v>
      </c>
      <c r="O274" s="3">
        <v>-56596.182</v>
      </c>
      <c r="P274" s="3">
        <v>-56596.182</v>
      </c>
      <c r="Q274" s="3"/>
      <c r="R274" s="3">
        <v>-56596.182</v>
      </c>
    </row>
    <row r="275" spans="1:18">
      <c r="A275" s="4">
        <v>45962</v>
      </c>
      <c r="B275" s="2" t="s">
        <v>12</v>
      </c>
      <c r="C275" s="2" t="s">
        <v>36</v>
      </c>
      <c r="D275" s="2" t="s">
        <v>172</v>
      </c>
      <c r="E275" s="2" t="s">
        <v>81</v>
      </c>
      <c r="F275" s="2" t="s">
        <v>193</v>
      </c>
      <c r="G275" s="2" t="s">
        <v>42</v>
      </c>
      <c r="H275" s="3">
        <v>23771.3001</v>
      </c>
      <c r="I275" s="3">
        <v>19719.7801</v>
      </c>
      <c r="J275" s="3"/>
      <c r="K275" s="3"/>
      <c r="L275" s="3">
        <v>23771.3001</v>
      </c>
      <c r="M275" s="3">
        <v>19719.7801</v>
      </c>
      <c r="N275" s="3">
        <v>4051.52</v>
      </c>
      <c r="O275" s="3">
        <v>4051.52</v>
      </c>
      <c r="P275" s="3">
        <v>4051.52</v>
      </c>
      <c r="Q275" s="3"/>
      <c r="R275" s="3">
        <v>4051.52</v>
      </c>
    </row>
    <row r="276" spans="1:18">
      <c r="A276" s="4">
        <v>45962</v>
      </c>
      <c r="B276" s="2" t="s">
        <v>12</v>
      </c>
      <c r="C276" s="2" t="s">
        <v>36</v>
      </c>
      <c r="D276" s="2" t="s">
        <v>172</v>
      </c>
      <c r="E276" s="2" t="s">
        <v>81</v>
      </c>
      <c r="F276" s="2" t="s">
        <v>194</v>
      </c>
      <c r="G276" s="2" t="s">
        <v>39</v>
      </c>
      <c r="H276" s="3">
        <v>24456.35</v>
      </c>
      <c r="I276" s="3">
        <v>23457.76</v>
      </c>
      <c r="J276" s="3">
        <v>-16288.4</v>
      </c>
      <c r="K276" s="3">
        <v>-15601.5099999999</v>
      </c>
      <c r="L276" s="3">
        <v>8167.94999999999</v>
      </c>
      <c r="M276" s="3">
        <v>7856.25</v>
      </c>
      <c r="N276" s="3">
        <v>311.699999999998</v>
      </c>
      <c r="O276" s="3">
        <v>311.699999999998</v>
      </c>
      <c r="P276" s="3">
        <v>311.699999999998</v>
      </c>
      <c r="Q276" s="3"/>
      <c r="R276" s="3">
        <v>311.699999999998</v>
      </c>
    </row>
    <row r="277" spans="1:18">
      <c r="A277" s="4">
        <v>45962</v>
      </c>
      <c r="B277" s="2" t="s">
        <v>12</v>
      </c>
      <c r="C277" s="2" t="s">
        <v>40</v>
      </c>
      <c r="D277" s="2" t="s">
        <v>172</v>
      </c>
      <c r="E277" s="2" t="s">
        <v>81</v>
      </c>
      <c r="F277" s="2" t="s">
        <v>194</v>
      </c>
      <c r="G277" s="2" t="s">
        <v>39</v>
      </c>
      <c r="H277" s="3">
        <v>997.6</v>
      </c>
      <c r="I277" s="3">
        <v>986</v>
      </c>
      <c r="J277" s="3"/>
      <c r="K277" s="3"/>
      <c r="L277" s="3">
        <v>997.6</v>
      </c>
      <c r="M277" s="3">
        <v>986</v>
      </c>
      <c r="N277" s="3">
        <v>11.6</v>
      </c>
      <c r="O277" s="3">
        <v>11.6</v>
      </c>
      <c r="P277" s="3">
        <v>11.6</v>
      </c>
      <c r="Q277" s="3"/>
      <c r="R277" s="3">
        <v>11.6</v>
      </c>
    </row>
    <row r="278" spans="1:18">
      <c r="A278" s="4">
        <v>45962</v>
      </c>
      <c r="B278" s="2" t="s">
        <v>12</v>
      </c>
      <c r="C278" s="2" t="s">
        <v>36</v>
      </c>
      <c r="D278" s="2" t="s">
        <v>172</v>
      </c>
      <c r="E278" s="2" t="s">
        <v>81</v>
      </c>
      <c r="F278" s="2" t="s">
        <v>195</v>
      </c>
      <c r="G278" s="2" t="s">
        <v>42</v>
      </c>
      <c r="H278" s="3">
        <v>934681.11</v>
      </c>
      <c r="I278" s="3">
        <v>1058782</v>
      </c>
      <c r="J278" s="3">
        <v>-485</v>
      </c>
      <c r="K278" s="3">
        <v>-536</v>
      </c>
      <c r="L278" s="3">
        <v>934196.11</v>
      </c>
      <c r="M278" s="3">
        <v>1058246</v>
      </c>
      <c r="N278" s="3">
        <v>-124049.89</v>
      </c>
      <c r="O278" s="3">
        <v>-124049.89</v>
      </c>
      <c r="P278" s="3">
        <v>-124049.89</v>
      </c>
      <c r="Q278" s="3"/>
      <c r="R278" s="3">
        <v>-124049.89</v>
      </c>
    </row>
    <row r="279" spans="1:18">
      <c r="A279" s="4">
        <v>45962</v>
      </c>
      <c r="B279" s="2" t="s">
        <v>12</v>
      </c>
      <c r="C279" s="2" t="s">
        <v>36</v>
      </c>
      <c r="D279" s="2" t="s">
        <v>172</v>
      </c>
      <c r="E279" s="2" t="s">
        <v>81</v>
      </c>
      <c r="F279" s="2" t="s">
        <v>135</v>
      </c>
      <c r="G279" s="2" t="s">
        <v>39</v>
      </c>
      <c r="H279" s="3">
        <v>44.1</v>
      </c>
      <c r="I279" s="3">
        <v>43.2</v>
      </c>
      <c r="J279" s="3"/>
      <c r="K279" s="3"/>
      <c r="L279" s="3">
        <v>44.1</v>
      </c>
      <c r="M279" s="3">
        <v>43.2</v>
      </c>
      <c r="N279" s="3">
        <v>0.9</v>
      </c>
      <c r="O279" s="3">
        <v>0.9</v>
      </c>
      <c r="P279" s="3">
        <v>0.9</v>
      </c>
      <c r="Q279" s="3"/>
      <c r="R279" s="3">
        <v>0.9</v>
      </c>
    </row>
    <row r="280" spans="1:18">
      <c r="A280" s="4">
        <v>45962</v>
      </c>
      <c r="B280" s="2" t="s">
        <v>12</v>
      </c>
      <c r="C280" s="2" t="s">
        <v>36</v>
      </c>
      <c r="D280" s="2" t="s">
        <v>172</v>
      </c>
      <c r="E280" s="2" t="s">
        <v>81</v>
      </c>
      <c r="F280" s="2" t="s">
        <v>172</v>
      </c>
      <c r="G280" s="2" t="s">
        <v>39</v>
      </c>
      <c r="H280" s="3"/>
      <c r="I280" s="3"/>
      <c r="J280" s="3">
        <v>-14.4</v>
      </c>
      <c r="K280" s="3">
        <v>-13.9</v>
      </c>
      <c r="L280" s="3">
        <v>-14.4</v>
      </c>
      <c r="M280" s="3">
        <v>-13.9</v>
      </c>
      <c r="N280" s="3">
        <v>-0.5</v>
      </c>
      <c r="O280" s="3">
        <v>-0.5</v>
      </c>
      <c r="P280" s="3">
        <v>-0.5</v>
      </c>
      <c r="Q280" s="3"/>
      <c r="R280" s="3">
        <v>-0.5</v>
      </c>
    </row>
    <row r="281" spans="1:18">
      <c r="A281" s="4">
        <v>45962</v>
      </c>
      <c r="B281" s="2" t="s">
        <v>12</v>
      </c>
      <c r="C281" s="2" t="s">
        <v>36</v>
      </c>
      <c r="D281" s="2" t="s">
        <v>172</v>
      </c>
      <c r="E281" s="2" t="s">
        <v>81</v>
      </c>
      <c r="F281" s="2" t="s">
        <v>196</v>
      </c>
      <c r="G281" s="2" t="s">
        <v>79</v>
      </c>
      <c r="H281" s="3">
        <v>9935.8</v>
      </c>
      <c r="I281" s="3">
        <v>9766.68</v>
      </c>
      <c r="J281" s="3"/>
      <c r="K281" s="3"/>
      <c r="L281" s="3">
        <v>9935.8</v>
      </c>
      <c r="M281" s="3">
        <v>9766.68</v>
      </c>
      <c r="N281" s="3">
        <v>169.12</v>
      </c>
      <c r="O281" s="3">
        <v>169.12</v>
      </c>
      <c r="P281" s="3">
        <v>169.12</v>
      </c>
      <c r="Q281" s="3"/>
      <c r="R281" s="3">
        <v>169.12</v>
      </c>
    </row>
    <row r="282" spans="1:18">
      <c r="A282" s="4">
        <v>45962</v>
      </c>
      <c r="B282" s="2" t="s">
        <v>12</v>
      </c>
      <c r="C282" s="2" t="s">
        <v>36</v>
      </c>
      <c r="D282" s="2" t="s">
        <v>197</v>
      </c>
      <c r="E282" s="2" t="s">
        <v>38</v>
      </c>
      <c r="F282" s="2" t="s">
        <v>197</v>
      </c>
      <c r="G282" s="2" t="s">
        <v>39</v>
      </c>
      <c r="H282" s="3">
        <v>15024</v>
      </c>
      <c r="I282" s="3">
        <v>14833.5</v>
      </c>
      <c r="J282" s="3"/>
      <c r="K282" s="3"/>
      <c r="L282" s="3">
        <v>15024</v>
      </c>
      <c r="M282" s="3">
        <v>14833.5</v>
      </c>
      <c r="N282" s="3">
        <v>190.5</v>
      </c>
      <c r="O282" s="3">
        <v>190.5</v>
      </c>
      <c r="P282" s="3">
        <v>15024</v>
      </c>
      <c r="Q282" s="3">
        <v>14833.5</v>
      </c>
      <c r="R282" s="3">
        <v>190.5</v>
      </c>
    </row>
    <row r="283" spans="1:18">
      <c r="A283" s="4">
        <v>45962</v>
      </c>
      <c r="B283" s="2" t="s">
        <v>12</v>
      </c>
      <c r="C283" s="2" t="s">
        <v>36</v>
      </c>
      <c r="D283" s="2" t="s">
        <v>198</v>
      </c>
      <c r="E283" s="2" t="s">
        <v>38</v>
      </c>
      <c r="F283" s="2" t="s">
        <v>198</v>
      </c>
      <c r="G283" s="2" t="s">
        <v>42</v>
      </c>
      <c r="H283" s="3">
        <v>0.16</v>
      </c>
      <c r="I283" s="3">
        <v>0.16</v>
      </c>
      <c r="J283" s="3"/>
      <c r="K283" s="3"/>
      <c r="L283" s="3">
        <v>0.16</v>
      </c>
      <c r="M283" s="3">
        <v>0.16</v>
      </c>
      <c r="N283" s="3"/>
      <c r="O283" s="3"/>
      <c r="P283" s="3">
        <v>0.16</v>
      </c>
      <c r="Q283" s="3">
        <v>0.16</v>
      </c>
      <c r="R283" s="3"/>
    </row>
    <row r="284" spans="1:18">
      <c r="A284" s="4">
        <v>45962</v>
      </c>
      <c r="B284" s="2" t="s">
        <v>12</v>
      </c>
      <c r="C284" s="2" t="s">
        <v>36</v>
      </c>
      <c r="D284" s="2" t="s">
        <v>199</v>
      </c>
      <c r="E284" s="2" t="s">
        <v>38</v>
      </c>
      <c r="F284" s="2" t="s">
        <v>199</v>
      </c>
      <c r="G284" s="2" t="s">
        <v>39</v>
      </c>
      <c r="H284" s="3">
        <v>9443</v>
      </c>
      <c r="I284" s="3">
        <v>9399.3</v>
      </c>
      <c r="J284" s="3"/>
      <c r="K284" s="3"/>
      <c r="L284" s="3">
        <v>9443</v>
      </c>
      <c r="M284" s="3">
        <v>9399.3</v>
      </c>
      <c r="N284" s="3">
        <v>43.7</v>
      </c>
      <c r="O284" s="3">
        <v>43.7</v>
      </c>
      <c r="P284" s="3">
        <v>9443</v>
      </c>
      <c r="Q284" s="3">
        <v>9399.3</v>
      </c>
      <c r="R284" s="3">
        <v>43.7</v>
      </c>
    </row>
    <row r="285" spans="1:18">
      <c r="A285" s="4">
        <v>45962</v>
      </c>
      <c r="B285" s="2" t="s">
        <v>12</v>
      </c>
      <c r="C285" s="2" t="s">
        <v>36</v>
      </c>
      <c r="D285" s="2" t="s">
        <v>200</v>
      </c>
      <c r="E285" s="2" t="s">
        <v>38</v>
      </c>
      <c r="F285" s="2" t="s">
        <v>200</v>
      </c>
      <c r="G285" s="2" t="s">
        <v>55</v>
      </c>
      <c r="H285" s="3">
        <v>899.1</v>
      </c>
      <c r="I285" s="3">
        <v>902.85</v>
      </c>
      <c r="J285" s="3"/>
      <c r="K285" s="3"/>
      <c r="L285" s="3">
        <v>899.1</v>
      </c>
      <c r="M285" s="3">
        <v>902.85</v>
      </c>
      <c r="N285" s="3">
        <v>-3.75</v>
      </c>
      <c r="O285" s="3">
        <v>-3.75</v>
      </c>
      <c r="P285" s="3">
        <v>899.1</v>
      </c>
      <c r="Q285" s="3">
        <v>902.85</v>
      </c>
      <c r="R285" s="3">
        <v>-3.75</v>
      </c>
    </row>
    <row r="286" spans="1:18">
      <c r="A286" s="4">
        <v>45962</v>
      </c>
      <c r="B286" s="2" t="s">
        <v>12</v>
      </c>
      <c r="C286" s="2" t="s">
        <v>40</v>
      </c>
      <c r="D286" s="2" t="s">
        <v>200</v>
      </c>
      <c r="E286" s="2" t="s">
        <v>38</v>
      </c>
      <c r="F286" s="2" t="s">
        <v>200</v>
      </c>
      <c r="G286" s="2" t="s">
        <v>55</v>
      </c>
      <c r="H286" s="3">
        <v>1600</v>
      </c>
      <c r="I286" s="3">
        <v>1604.8</v>
      </c>
      <c r="J286" s="3"/>
      <c r="K286" s="3"/>
      <c r="L286" s="3">
        <v>1600</v>
      </c>
      <c r="M286" s="3">
        <v>1604.8</v>
      </c>
      <c r="N286" s="3">
        <v>-4.8</v>
      </c>
      <c r="O286" s="3">
        <v>-4.8</v>
      </c>
      <c r="P286" s="3">
        <v>1600</v>
      </c>
      <c r="Q286" s="3">
        <v>1604.8</v>
      </c>
      <c r="R286" s="3">
        <v>-4.8</v>
      </c>
    </row>
    <row r="287" spans="1:18">
      <c r="A287" s="4">
        <v>45962</v>
      </c>
      <c r="B287" s="2" t="s">
        <v>12</v>
      </c>
      <c r="C287" s="2" t="s">
        <v>36</v>
      </c>
      <c r="D287" s="2" t="s">
        <v>201</v>
      </c>
      <c r="E287" s="2" t="s">
        <v>38</v>
      </c>
      <c r="F287" s="2" t="s">
        <v>201</v>
      </c>
      <c r="G287" s="2" t="s">
        <v>39</v>
      </c>
      <c r="H287" s="3">
        <v>400.12</v>
      </c>
      <c r="I287" s="3">
        <v>315.56</v>
      </c>
      <c r="J287" s="3"/>
      <c r="K287" s="3"/>
      <c r="L287" s="3">
        <v>400.12</v>
      </c>
      <c r="M287" s="3">
        <v>315.56</v>
      </c>
      <c r="N287" s="3">
        <v>84.56</v>
      </c>
      <c r="O287" s="3">
        <v>84.56</v>
      </c>
      <c r="P287" s="3">
        <v>400.12</v>
      </c>
      <c r="Q287" s="3">
        <v>315.56</v>
      </c>
      <c r="R287" s="3">
        <v>84.56</v>
      </c>
    </row>
    <row r="288" spans="1:18">
      <c r="A288" s="4">
        <v>45962</v>
      </c>
      <c r="B288" s="2" t="s">
        <v>12</v>
      </c>
      <c r="C288" s="2" t="s">
        <v>40</v>
      </c>
      <c r="D288" s="2" t="s">
        <v>201</v>
      </c>
      <c r="E288" s="2" t="s">
        <v>38</v>
      </c>
      <c r="F288" s="2" t="s">
        <v>201</v>
      </c>
      <c r="G288" s="2" t="s">
        <v>39</v>
      </c>
      <c r="H288" s="3">
        <v>352</v>
      </c>
      <c r="I288" s="3">
        <v>236.1</v>
      </c>
      <c r="J288" s="3"/>
      <c r="K288" s="3"/>
      <c r="L288" s="3">
        <v>352</v>
      </c>
      <c r="M288" s="3">
        <v>236.1</v>
      </c>
      <c r="N288" s="3">
        <v>115.9</v>
      </c>
      <c r="O288" s="3">
        <v>115.9</v>
      </c>
      <c r="P288" s="3">
        <v>352</v>
      </c>
      <c r="Q288" s="3">
        <v>236.1</v>
      </c>
      <c r="R288" s="3">
        <v>115.9</v>
      </c>
    </row>
    <row r="289" spans="1:18">
      <c r="A289" s="4">
        <v>45962</v>
      </c>
      <c r="B289" s="2" t="s">
        <v>12</v>
      </c>
      <c r="C289" s="2" t="s">
        <v>36</v>
      </c>
      <c r="D289" s="2" t="s">
        <v>201</v>
      </c>
      <c r="E289" s="2" t="s">
        <v>38</v>
      </c>
      <c r="F289" s="2" t="s">
        <v>201</v>
      </c>
      <c r="G289" s="2" t="s">
        <v>42</v>
      </c>
      <c r="H289" s="3">
        <v>35712.218</v>
      </c>
      <c r="I289" s="3">
        <v>30661.8</v>
      </c>
      <c r="J289" s="3"/>
      <c r="K289" s="3"/>
      <c r="L289" s="3">
        <v>35712.218</v>
      </c>
      <c r="M289" s="3">
        <v>30661.8</v>
      </c>
      <c r="N289" s="3">
        <v>5050.418</v>
      </c>
      <c r="O289" s="3">
        <v>5050.418</v>
      </c>
      <c r="P289" s="3">
        <v>35712.218</v>
      </c>
      <c r="Q289" s="3">
        <v>30661.8</v>
      </c>
      <c r="R289" s="3">
        <v>5050.418</v>
      </c>
    </row>
    <row r="290" spans="1:18">
      <c r="A290" s="4">
        <v>45962</v>
      </c>
      <c r="B290" s="2" t="s">
        <v>12</v>
      </c>
      <c r="C290" s="2" t="s">
        <v>40</v>
      </c>
      <c r="D290" s="2" t="s">
        <v>201</v>
      </c>
      <c r="E290" s="2" t="s">
        <v>38</v>
      </c>
      <c r="F290" s="2" t="s">
        <v>201</v>
      </c>
      <c r="G290" s="2" t="s">
        <v>42</v>
      </c>
      <c r="H290" s="3">
        <v>16737.04</v>
      </c>
      <c r="I290" s="3">
        <v>15601.05</v>
      </c>
      <c r="J290" s="3">
        <v>-15.3</v>
      </c>
      <c r="K290" s="3">
        <v>-14</v>
      </c>
      <c r="L290" s="3">
        <v>16721.7399999999</v>
      </c>
      <c r="M290" s="3">
        <v>15587.05</v>
      </c>
      <c r="N290" s="3">
        <v>1134.68999999999</v>
      </c>
      <c r="O290" s="3">
        <v>1134.68999999999</v>
      </c>
      <c r="P290" s="3">
        <v>16721.7399999999</v>
      </c>
      <c r="Q290" s="3">
        <v>15587.05</v>
      </c>
      <c r="R290" s="3">
        <v>1134.68999999999</v>
      </c>
    </row>
    <row r="291" spans="1:18">
      <c r="A291" s="4">
        <v>45962</v>
      </c>
      <c r="B291" s="2" t="s">
        <v>12</v>
      </c>
      <c r="C291" s="2" t="s">
        <v>36</v>
      </c>
      <c r="D291" s="2" t="s">
        <v>201</v>
      </c>
      <c r="E291" s="2" t="s">
        <v>38</v>
      </c>
      <c r="F291" s="2" t="s">
        <v>201</v>
      </c>
      <c r="G291" s="2" t="s">
        <v>79</v>
      </c>
      <c r="H291" s="3">
        <v>46.4</v>
      </c>
      <c r="I291" s="3">
        <v>39</v>
      </c>
      <c r="J291" s="3"/>
      <c r="K291" s="3"/>
      <c r="L291" s="3">
        <v>46.4</v>
      </c>
      <c r="M291" s="3">
        <v>39</v>
      </c>
      <c r="N291" s="3">
        <v>7.4</v>
      </c>
      <c r="O291" s="3">
        <v>7.4</v>
      </c>
      <c r="P291" s="3">
        <v>46.4</v>
      </c>
      <c r="Q291" s="3">
        <v>39</v>
      </c>
      <c r="R291" s="3">
        <v>7.4</v>
      </c>
    </row>
    <row r="292" spans="1:18">
      <c r="A292" s="4">
        <v>45962</v>
      </c>
      <c r="B292" s="2" t="s">
        <v>12</v>
      </c>
      <c r="C292" s="2" t="s">
        <v>36</v>
      </c>
      <c r="D292" s="2" t="s">
        <v>202</v>
      </c>
      <c r="E292" s="2" t="s">
        <v>38</v>
      </c>
      <c r="F292" s="2" t="s">
        <v>202</v>
      </c>
      <c r="G292" s="2" t="s">
        <v>39</v>
      </c>
      <c r="H292" s="3">
        <v>101.71795241</v>
      </c>
      <c r="I292" s="3">
        <v>97.5</v>
      </c>
      <c r="J292" s="3"/>
      <c r="K292" s="3"/>
      <c r="L292" s="3">
        <v>101.71795241</v>
      </c>
      <c r="M292" s="3">
        <v>97.5</v>
      </c>
      <c r="N292" s="3">
        <v>4.21795241</v>
      </c>
      <c r="O292" s="3">
        <v>4.21795241</v>
      </c>
      <c r="P292" s="3">
        <v>101.71795241</v>
      </c>
      <c r="Q292" s="3">
        <v>97.5</v>
      </c>
      <c r="R292" s="3">
        <v>4.21795241</v>
      </c>
    </row>
    <row r="293" spans="1:18">
      <c r="A293" s="4">
        <v>45962</v>
      </c>
      <c r="B293" s="2" t="s">
        <v>12</v>
      </c>
      <c r="C293" s="2" t="s">
        <v>40</v>
      </c>
      <c r="D293" s="2" t="s">
        <v>202</v>
      </c>
      <c r="E293" s="2" t="s">
        <v>38</v>
      </c>
      <c r="F293" s="2" t="s">
        <v>202</v>
      </c>
      <c r="G293" s="2" t="s">
        <v>39</v>
      </c>
      <c r="H293" s="3">
        <v>459</v>
      </c>
      <c r="I293" s="3">
        <v>382.5</v>
      </c>
      <c r="J293" s="3"/>
      <c r="K293" s="3"/>
      <c r="L293" s="3">
        <v>459</v>
      </c>
      <c r="M293" s="3">
        <v>382.5</v>
      </c>
      <c r="N293" s="3">
        <v>76.5</v>
      </c>
      <c r="O293" s="3">
        <v>76.5</v>
      </c>
      <c r="P293" s="3">
        <v>459</v>
      </c>
      <c r="Q293" s="3">
        <v>382.5</v>
      </c>
      <c r="R293" s="3">
        <v>76.5</v>
      </c>
    </row>
    <row r="294" spans="1:18">
      <c r="A294" s="4">
        <v>45962</v>
      </c>
      <c r="B294" s="2" t="s">
        <v>12</v>
      </c>
      <c r="C294" s="2" t="s">
        <v>36</v>
      </c>
      <c r="D294" s="2" t="s">
        <v>202</v>
      </c>
      <c r="E294" s="2" t="s">
        <v>38</v>
      </c>
      <c r="F294" s="2" t="s">
        <v>202</v>
      </c>
      <c r="G294" s="2" t="s">
        <v>42</v>
      </c>
      <c r="H294" s="3">
        <v>7840.2</v>
      </c>
      <c r="I294" s="3">
        <v>4451.8</v>
      </c>
      <c r="J294" s="3"/>
      <c r="K294" s="3"/>
      <c r="L294" s="3">
        <v>7840.2</v>
      </c>
      <c r="M294" s="3">
        <v>4451.8</v>
      </c>
      <c r="N294" s="3">
        <v>3388.4</v>
      </c>
      <c r="O294" s="3">
        <v>3388.4</v>
      </c>
      <c r="P294" s="3">
        <v>7840.2</v>
      </c>
      <c r="Q294" s="3">
        <v>4451.8</v>
      </c>
      <c r="R294" s="3">
        <v>3388.4</v>
      </c>
    </row>
    <row r="295" spans="1:18">
      <c r="A295" s="4">
        <v>45962</v>
      </c>
      <c r="B295" s="2" t="s">
        <v>12</v>
      </c>
      <c r="C295" s="2" t="s">
        <v>36</v>
      </c>
      <c r="D295" s="2" t="s">
        <v>203</v>
      </c>
      <c r="E295" s="2" t="s">
        <v>38</v>
      </c>
      <c r="F295" s="2" t="s">
        <v>203</v>
      </c>
      <c r="G295" s="2" t="s">
        <v>79</v>
      </c>
      <c r="H295" s="3">
        <v>158156.4</v>
      </c>
      <c r="I295" s="3">
        <v>154405.44</v>
      </c>
      <c r="J295" s="3"/>
      <c r="K295" s="3"/>
      <c r="L295" s="3">
        <v>158156.4</v>
      </c>
      <c r="M295" s="3">
        <v>154405.44</v>
      </c>
      <c r="N295" s="3">
        <v>3750.96</v>
      </c>
      <c r="O295" s="3">
        <v>3750.96</v>
      </c>
      <c r="P295" s="3">
        <v>158156.4</v>
      </c>
      <c r="Q295" s="3">
        <v>154405.44</v>
      </c>
      <c r="R295" s="3">
        <v>3750.96</v>
      </c>
    </row>
    <row r="296" spans="1:18">
      <c r="A296" s="4">
        <v>45962</v>
      </c>
      <c r="B296" s="2" t="s">
        <v>12</v>
      </c>
      <c r="C296" s="2" t="s">
        <v>40</v>
      </c>
      <c r="D296" s="2" t="s">
        <v>203</v>
      </c>
      <c r="E296" s="2" t="s">
        <v>38</v>
      </c>
      <c r="F296" s="2" t="s">
        <v>203</v>
      </c>
      <c r="G296" s="2" t="s">
        <v>79</v>
      </c>
      <c r="H296" s="3">
        <v>460469.75</v>
      </c>
      <c r="I296" s="3">
        <v>449583.12</v>
      </c>
      <c r="J296" s="3"/>
      <c r="K296" s="3"/>
      <c r="L296" s="3">
        <v>460469.75</v>
      </c>
      <c r="M296" s="3">
        <v>449583.12</v>
      </c>
      <c r="N296" s="3">
        <v>10886.63</v>
      </c>
      <c r="O296" s="3">
        <v>10886.63</v>
      </c>
      <c r="P296" s="3">
        <v>460469.75</v>
      </c>
      <c r="Q296" s="3">
        <v>449583.12</v>
      </c>
      <c r="R296" s="3">
        <v>10886.63</v>
      </c>
    </row>
    <row r="297" spans="1:18">
      <c r="A297" s="4">
        <v>45962</v>
      </c>
      <c r="B297" s="2" t="s">
        <v>12</v>
      </c>
      <c r="C297" s="2" t="s">
        <v>36</v>
      </c>
      <c r="D297" s="2" t="s">
        <v>204</v>
      </c>
      <c r="E297" s="2" t="s">
        <v>38</v>
      </c>
      <c r="F297" s="2" t="s">
        <v>204</v>
      </c>
      <c r="G297" s="2" t="s">
        <v>79</v>
      </c>
      <c r="H297" s="3">
        <v>33023.4</v>
      </c>
      <c r="I297" s="3">
        <v>31936.2</v>
      </c>
      <c r="J297" s="3"/>
      <c r="K297" s="3"/>
      <c r="L297" s="3">
        <v>33023.4</v>
      </c>
      <c r="M297" s="3">
        <v>31936.2</v>
      </c>
      <c r="N297" s="3">
        <v>1087.2</v>
      </c>
      <c r="O297" s="3">
        <v>1087.2</v>
      </c>
      <c r="P297" s="3">
        <v>33023.4</v>
      </c>
      <c r="Q297" s="3">
        <v>31936.2</v>
      </c>
      <c r="R297" s="3">
        <v>1087.2</v>
      </c>
    </row>
    <row r="298" spans="1:18">
      <c r="A298" s="4">
        <v>45962</v>
      </c>
      <c r="B298" s="2" t="s">
        <v>12</v>
      </c>
      <c r="C298" s="2" t="s">
        <v>40</v>
      </c>
      <c r="D298" s="2" t="s">
        <v>204</v>
      </c>
      <c r="E298" s="2" t="s">
        <v>38</v>
      </c>
      <c r="F298" s="2" t="s">
        <v>204</v>
      </c>
      <c r="G298" s="2" t="s">
        <v>79</v>
      </c>
      <c r="H298" s="3">
        <v>109172.6</v>
      </c>
      <c r="I298" s="3">
        <v>105141</v>
      </c>
      <c r="J298" s="3"/>
      <c r="K298" s="3"/>
      <c r="L298" s="3">
        <v>109172.6</v>
      </c>
      <c r="M298" s="3">
        <v>105141</v>
      </c>
      <c r="N298" s="3">
        <v>4031.6</v>
      </c>
      <c r="O298" s="3">
        <v>4031.6</v>
      </c>
      <c r="P298" s="3">
        <v>109172.6</v>
      </c>
      <c r="Q298" s="3">
        <v>105141</v>
      </c>
      <c r="R298" s="3">
        <v>4031.6</v>
      </c>
    </row>
    <row r="299" spans="1:18">
      <c r="A299" s="4">
        <v>45962</v>
      </c>
      <c r="B299" s="2" t="s">
        <v>10</v>
      </c>
      <c r="C299" s="2" t="s">
        <v>36</v>
      </c>
      <c r="D299" s="2"/>
      <c r="E299" s="2" t="s">
        <v>38</v>
      </c>
      <c r="F299" s="2"/>
      <c r="G299" s="2" t="s">
        <v>42</v>
      </c>
      <c r="H299" s="3"/>
      <c r="I299" s="3">
        <v>-16.2199999999999</v>
      </c>
      <c r="J299" s="3"/>
      <c r="K299" s="3"/>
      <c r="L299" s="3"/>
      <c r="M299" s="3">
        <v>-16.2199999999999</v>
      </c>
      <c r="N299" s="3">
        <v>16.2199999999999</v>
      </c>
      <c r="O299" s="3">
        <v>16.2199999999999</v>
      </c>
      <c r="P299" s="3"/>
      <c r="Q299" s="3">
        <v>-16.2199999999999</v>
      </c>
      <c r="R299" s="3">
        <v>16.2199999999999</v>
      </c>
    </row>
    <row r="300" spans="1:18">
      <c r="A300" s="4">
        <v>45962</v>
      </c>
      <c r="B300" s="2" t="s">
        <v>10</v>
      </c>
      <c r="C300" s="2" t="s">
        <v>36</v>
      </c>
      <c r="D300" s="2" t="s">
        <v>205</v>
      </c>
      <c r="E300" s="2" t="s">
        <v>38</v>
      </c>
      <c r="F300" s="2" t="s">
        <v>205</v>
      </c>
      <c r="G300" s="2" t="s">
        <v>91</v>
      </c>
      <c r="H300" s="3"/>
      <c r="I300" s="3">
        <v>317.589999999999</v>
      </c>
      <c r="J300" s="3"/>
      <c r="K300" s="3"/>
      <c r="L300" s="3"/>
      <c r="M300" s="3">
        <v>317.589999999999</v>
      </c>
      <c r="N300" s="3">
        <v>-317.589999999999</v>
      </c>
      <c r="O300" s="3">
        <v>-317.589999999999</v>
      </c>
      <c r="P300" s="3"/>
      <c r="Q300" s="3">
        <v>317.589999999999</v>
      </c>
      <c r="R300" s="3">
        <v>-317.589999999999</v>
      </c>
    </row>
    <row r="301" spans="1:18">
      <c r="A301" s="4">
        <v>45962</v>
      </c>
      <c r="B301" s="2" t="s">
        <v>10</v>
      </c>
      <c r="C301" s="2" t="s">
        <v>36</v>
      </c>
      <c r="D301" s="2"/>
      <c r="E301" s="2" t="s">
        <v>38</v>
      </c>
      <c r="F301" s="2"/>
      <c r="G301" s="2" t="s">
        <v>39</v>
      </c>
      <c r="H301" s="3">
        <v>-0.05</v>
      </c>
      <c r="I301" s="3">
        <v>-0.22</v>
      </c>
      <c r="J301" s="3"/>
      <c r="K301" s="3"/>
      <c r="L301" s="3">
        <v>-0.05</v>
      </c>
      <c r="M301" s="3">
        <v>-0.22</v>
      </c>
      <c r="N301" s="3">
        <v>0.169999999999999</v>
      </c>
      <c r="O301" s="3">
        <v>0.169999999999999</v>
      </c>
      <c r="P301" s="3">
        <v>-0.05</v>
      </c>
      <c r="Q301" s="3">
        <v>-0.22</v>
      </c>
      <c r="R301" s="3">
        <v>0.169999999999999</v>
      </c>
    </row>
    <row r="302" spans="1:18">
      <c r="A302" s="4">
        <v>45962</v>
      </c>
      <c r="B302" s="2" t="s">
        <v>10</v>
      </c>
      <c r="C302" s="2" t="s">
        <v>36</v>
      </c>
      <c r="D302" s="2"/>
      <c r="E302" s="2" t="s">
        <v>38</v>
      </c>
      <c r="F302" s="2"/>
      <c r="G302" s="2" t="s">
        <v>79</v>
      </c>
      <c r="H302" s="3">
        <v>98</v>
      </c>
      <c r="I302" s="3">
        <v>-0.01</v>
      </c>
      <c r="J302" s="3"/>
      <c r="K302" s="3"/>
      <c r="L302" s="3">
        <v>98</v>
      </c>
      <c r="M302" s="3">
        <v>-0.01</v>
      </c>
      <c r="N302" s="3">
        <v>98.01</v>
      </c>
      <c r="O302" s="3">
        <v>98.01</v>
      </c>
      <c r="P302" s="3">
        <v>98</v>
      </c>
      <c r="Q302" s="3">
        <v>-0.01</v>
      </c>
      <c r="R302" s="3">
        <v>98.01</v>
      </c>
    </row>
    <row r="303" spans="1:18">
      <c r="A303" s="4">
        <v>45962</v>
      </c>
      <c r="B303" s="2" t="s">
        <v>10</v>
      </c>
      <c r="C303" s="2" t="s">
        <v>36</v>
      </c>
      <c r="D303" s="2" t="s">
        <v>139</v>
      </c>
      <c r="E303" s="2" t="s">
        <v>81</v>
      </c>
      <c r="F303" s="2" t="s">
        <v>139</v>
      </c>
      <c r="G303" s="2" t="s">
        <v>39</v>
      </c>
      <c r="H303" s="3"/>
      <c r="I303" s="3">
        <v>-0.04</v>
      </c>
      <c r="J303" s="3"/>
      <c r="K303" s="3"/>
      <c r="L303" s="3"/>
      <c r="M303" s="3">
        <v>-0.04</v>
      </c>
      <c r="N303" s="3">
        <v>0.04</v>
      </c>
      <c r="O303" s="3">
        <v>0.04</v>
      </c>
      <c r="P303" s="3"/>
      <c r="Q303" s="3">
        <v>-0.04</v>
      </c>
      <c r="R303" s="3">
        <v>0.04</v>
      </c>
    </row>
    <row r="304" spans="1:18">
      <c r="A304" s="4">
        <v>45962</v>
      </c>
      <c r="B304" s="2" t="s">
        <v>10</v>
      </c>
      <c r="C304" s="2" t="s">
        <v>36</v>
      </c>
      <c r="D304" s="2" t="s">
        <v>70</v>
      </c>
      <c r="E304" s="2" t="s">
        <v>38</v>
      </c>
      <c r="F304" s="2" t="s">
        <v>70</v>
      </c>
      <c r="G304" s="2" t="s">
        <v>39</v>
      </c>
      <c r="H304" s="3"/>
      <c r="I304" s="3">
        <v>17.9899999999999</v>
      </c>
      <c r="J304" s="3"/>
      <c r="K304" s="3"/>
      <c r="L304" s="3"/>
      <c r="M304" s="3">
        <v>17.9899999999999</v>
      </c>
      <c r="N304" s="3">
        <v>-17.9899999999999</v>
      </c>
      <c r="O304" s="3">
        <v>-17.9899999999999</v>
      </c>
      <c r="P304" s="3"/>
      <c r="Q304" s="3">
        <v>17.9899999999999</v>
      </c>
      <c r="R304" s="3">
        <v>-17.9899999999999</v>
      </c>
    </row>
    <row r="305" spans="1:18">
      <c r="A305" s="4">
        <v>45962</v>
      </c>
      <c r="B305" s="2" t="s">
        <v>10</v>
      </c>
      <c r="C305" s="2" t="s">
        <v>36</v>
      </c>
      <c r="D305" s="2"/>
      <c r="E305" s="2" t="s">
        <v>38</v>
      </c>
      <c r="F305" s="2"/>
      <c r="G305" s="2" t="s">
        <v>55</v>
      </c>
      <c r="H305" s="3">
        <v>-97.03</v>
      </c>
      <c r="I305" s="3"/>
      <c r="J305" s="3"/>
      <c r="K305" s="3"/>
      <c r="L305" s="3">
        <v>-97.03</v>
      </c>
      <c r="M305" s="3"/>
      <c r="N305" s="3">
        <v>-97.03</v>
      </c>
      <c r="O305" s="3">
        <v>-97.03</v>
      </c>
      <c r="P305" s="3">
        <v>-97.03</v>
      </c>
      <c r="Q305" s="3"/>
      <c r="R305" s="3">
        <v>-97.03</v>
      </c>
    </row>
    <row r="306" spans="1:18">
      <c r="A306" s="4">
        <v>45962</v>
      </c>
      <c r="B306" s="2" t="s">
        <v>10</v>
      </c>
      <c r="C306" s="2" t="s">
        <v>40</v>
      </c>
      <c r="D306" s="2"/>
      <c r="E306" s="2" t="s">
        <v>38</v>
      </c>
      <c r="F306" s="2"/>
      <c r="G306" s="2" t="s">
        <v>39</v>
      </c>
      <c r="H306" s="3"/>
      <c r="I306" s="3">
        <v>-1.92</v>
      </c>
      <c r="J306" s="3"/>
      <c r="K306" s="3"/>
      <c r="L306" s="3"/>
      <c r="M306" s="3">
        <v>-1.92</v>
      </c>
      <c r="N306" s="3">
        <v>1.92</v>
      </c>
      <c r="O306" s="3">
        <v>1.92</v>
      </c>
      <c r="P306" s="3"/>
      <c r="Q306" s="3">
        <v>-1.92</v>
      </c>
      <c r="R306" s="3">
        <v>1.92</v>
      </c>
    </row>
    <row r="307" spans="1:18">
      <c r="A307" s="4">
        <v>45962</v>
      </c>
      <c r="B307" s="2" t="s">
        <v>10</v>
      </c>
      <c r="C307" s="2" t="s">
        <v>40</v>
      </c>
      <c r="D307" s="2"/>
      <c r="E307" s="2" t="s">
        <v>38</v>
      </c>
      <c r="F307" s="2"/>
      <c r="G307" s="2" t="s">
        <v>206</v>
      </c>
      <c r="H307" s="3">
        <v>25.72</v>
      </c>
      <c r="I307" s="3"/>
      <c r="J307" s="3"/>
      <c r="K307" s="3"/>
      <c r="L307" s="3">
        <v>25.72</v>
      </c>
      <c r="M307" s="3"/>
      <c r="N307" s="3">
        <v>25.72</v>
      </c>
      <c r="O307" s="3">
        <v>25.72</v>
      </c>
      <c r="P307" s="3">
        <v>25.72</v>
      </c>
      <c r="Q307" s="3"/>
      <c r="R307" s="3">
        <v>25.72</v>
      </c>
    </row>
    <row r="308" spans="1:18">
      <c r="A308" s="4">
        <v>45962</v>
      </c>
      <c r="B308" s="2" t="s">
        <v>10</v>
      </c>
      <c r="C308" s="2" t="s">
        <v>40</v>
      </c>
      <c r="D308" s="2" t="s">
        <v>113</v>
      </c>
      <c r="E308" s="2" t="s">
        <v>38</v>
      </c>
      <c r="F308" s="2" t="s">
        <v>113</v>
      </c>
      <c r="G308" s="2" t="s">
        <v>206</v>
      </c>
      <c r="H308" s="3">
        <v>3012.78839999998</v>
      </c>
      <c r="I308" s="3">
        <v>2251.63239999997</v>
      </c>
      <c r="J308" s="3"/>
      <c r="K308" s="3"/>
      <c r="L308" s="3">
        <v>3012.78839999998</v>
      </c>
      <c r="M308" s="3">
        <v>2251.63239999997</v>
      </c>
      <c r="N308" s="3">
        <v>761.156000000009</v>
      </c>
      <c r="O308" s="3">
        <v>761.156000000009</v>
      </c>
      <c r="P308" s="3">
        <v>3012.78839999998</v>
      </c>
      <c r="Q308" s="3">
        <v>2251.63239999997</v>
      </c>
      <c r="R308" s="3">
        <v>761.156000000009</v>
      </c>
    </row>
    <row r="309" spans="1:18">
      <c r="A309" s="4">
        <v>45962</v>
      </c>
      <c r="B309" s="2" t="s">
        <v>10</v>
      </c>
      <c r="C309" s="2" t="s">
        <v>36</v>
      </c>
      <c r="D309" s="2" t="s">
        <v>40</v>
      </c>
      <c r="E309" s="2" t="s">
        <v>81</v>
      </c>
      <c r="F309" s="2" t="s">
        <v>40</v>
      </c>
      <c r="G309" s="2" t="s">
        <v>79</v>
      </c>
      <c r="H309" s="3">
        <v>4879.47</v>
      </c>
      <c r="I309" s="3">
        <v>61.4549999999996</v>
      </c>
      <c r="J309" s="3"/>
      <c r="K309" s="3"/>
      <c r="L309" s="3">
        <v>4879.47</v>
      </c>
      <c r="M309" s="3">
        <v>61.4549999999996</v>
      </c>
      <c r="N309" s="3">
        <v>4818.015</v>
      </c>
      <c r="O309" s="3">
        <v>4818.015</v>
      </c>
      <c r="P309" s="3">
        <v>4879.47</v>
      </c>
      <c r="Q309" s="3">
        <v>61.4549999999996</v>
      </c>
      <c r="R309" s="3">
        <v>4818.015</v>
      </c>
    </row>
    <row r="310" spans="1:18">
      <c r="A310" s="4">
        <v>45962</v>
      </c>
      <c r="B310" s="2" t="s">
        <v>10</v>
      </c>
      <c r="C310" s="2" t="s">
        <v>36</v>
      </c>
      <c r="D310" s="2" t="s">
        <v>139</v>
      </c>
      <c r="E310" s="2" t="s">
        <v>81</v>
      </c>
      <c r="F310" s="2" t="s">
        <v>139</v>
      </c>
      <c r="G310" s="2" t="s">
        <v>79</v>
      </c>
      <c r="H310" s="3">
        <v>9.19999999999999</v>
      </c>
      <c r="I310" s="3">
        <v>8.5</v>
      </c>
      <c r="J310" s="3"/>
      <c r="K310" s="3"/>
      <c r="L310" s="3">
        <v>9.19999999999999</v>
      </c>
      <c r="M310" s="3">
        <v>8.5</v>
      </c>
      <c r="N310" s="3">
        <v>0.69999999999999</v>
      </c>
      <c r="O310" s="3">
        <v>0.69999999999999</v>
      </c>
      <c r="P310" s="3">
        <v>9.19999999999999</v>
      </c>
      <c r="Q310" s="3">
        <v>8.5</v>
      </c>
      <c r="R310" s="3">
        <v>0.69999999999999</v>
      </c>
    </row>
    <row r="311" spans="1:18">
      <c r="A311" s="4">
        <v>45962</v>
      </c>
      <c r="B311" s="2" t="s">
        <v>10</v>
      </c>
      <c r="C311" s="2" t="s">
        <v>40</v>
      </c>
      <c r="D311" s="2" t="s">
        <v>128</v>
      </c>
      <c r="E311" s="2" t="s">
        <v>81</v>
      </c>
      <c r="F311" s="2" t="s">
        <v>128</v>
      </c>
      <c r="G311" s="2" t="s">
        <v>39</v>
      </c>
      <c r="H311" s="3">
        <v>25.455099999954</v>
      </c>
      <c r="I311" s="3">
        <v>25.455099999954</v>
      </c>
      <c r="J311" s="3"/>
      <c r="K311" s="3"/>
      <c r="L311" s="3">
        <v>25.455099999954</v>
      </c>
      <c r="M311" s="3">
        <v>25.455099999954</v>
      </c>
      <c r="N311" s="3"/>
      <c r="O311" s="3"/>
      <c r="P311" s="3">
        <v>25.455099999954</v>
      </c>
      <c r="Q311" s="3">
        <v>25.455099999954</v>
      </c>
      <c r="R311" s="3"/>
    </row>
    <row r="312" spans="1:18">
      <c r="A312" s="4">
        <v>45962</v>
      </c>
      <c r="B312" s="2" t="s">
        <v>10</v>
      </c>
      <c r="C312" s="2" t="s">
        <v>40</v>
      </c>
      <c r="D312" s="2" t="s">
        <v>50</v>
      </c>
      <c r="E312" s="2" t="s">
        <v>38</v>
      </c>
      <c r="F312" s="2" t="s">
        <v>50</v>
      </c>
      <c r="G312" s="2" t="s">
        <v>39</v>
      </c>
      <c r="H312" s="3">
        <v>186625.707200052</v>
      </c>
      <c r="I312" s="3">
        <v>239939.314699996</v>
      </c>
      <c r="J312" s="3"/>
      <c r="K312" s="3"/>
      <c r="L312" s="3">
        <v>186625.707200052</v>
      </c>
      <c r="M312" s="3">
        <v>239939.314699996</v>
      </c>
      <c r="N312" s="3">
        <v>-53313.6074999449</v>
      </c>
      <c r="O312" s="3">
        <v>-53313.6074999449</v>
      </c>
      <c r="P312" s="3">
        <v>186625.707200052</v>
      </c>
      <c r="Q312" s="3">
        <v>239939.314699996</v>
      </c>
      <c r="R312" s="3">
        <v>-53313.6074999449</v>
      </c>
    </row>
    <row r="313" spans="1:18">
      <c r="A313" s="4">
        <v>45962</v>
      </c>
      <c r="B313" s="2" t="s">
        <v>10</v>
      </c>
      <c r="C313" s="2" t="s">
        <v>40</v>
      </c>
      <c r="D313" s="2" t="s">
        <v>113</v>
      </c>
      <c r="E313" s="2" t="s">
        <v>38</v>
      </c>
      <c r="F313" s="2" t="s">
        <v>113</v>
      </c>
      <c r="G313" s="2" t="s">
        <v>39</v>
      </c>
      <c r="H313" s="3">
        <v>2527.41999999998</v>
      </c>
      <c r="I313" s="3">
        <v>415.199999999999</v>
      </c>
      <c r="J313" s="3"/>
      <c r="K313" s="3"/>
      <c r="L313" s="3">
        <v>2527.41999999998</v>
      </c>
      <c r="M313" s="3">
        <v>415.199999999999</v>
      </c>
      <c r="N313" s="3">
        <v>2112.21999999998</v>
      </c>
      <c r="O313" s="3">
        <v>2112.21999999998</v>
      </c>
      <c r="P313" s="3">
        <v>2527.41999999998</v>
      </c>
      <c r="Q313" s="3">
        <v>415.199999999999</v>
      </c>
      <c r="R313" s="3">
        <v>2112.21999999998</v>
      </c>
    </row>
    <row r="314" spans="1:18">
      <c r="A314" s="4">
        <v>45962</v>
      </c>
      <c r="B314" s="2" t="s">
        <v>10</v>
      </c>
      <c r="C314" s="2" t="s">
        <v>40</v>
      </c>
      <c r="D314" s="2" t="s">
        <v>64</v>
      </c>
      <c r="E314" s="2" t="s">
        <v>38</v>
      </c>
      <c r="F314" s="2" t="s">
        <v>64</v>
      </c>
      <c r="G314" s="2" t="s">
        <v>206</v>
      </c>
      <c r="H314" s="3">
        <v>954.719999999999</v>
      </c>
      <c r="I314" s="3">
        <v>954.719999999999</v>
      </c>
      <c r="J314" s="3"/>
      <c r="K314" s="3"/>
      <c r="L314" s="3">
        <v>954.719999999999</v>
      </c>
      <c r="M314" s="3">
        <v>954.719999999999</v>
      </c>
      <c r="N314" s="3"/>
      <c r="O314" s="3"/>
      <c r="P314" s="3">
        <v>954.719999999999</v>
      </c>
      <c r="Q314" s="3">
        <v>954.719999999999</v>
      </c>
      <c r="R314" s="3"/>
    </row>
    <row r="315" spans="1:18">
      <c r="A315" s="4">
        <v>45962</v>
      </c>
      <c r="B315" s="2" t="s">
        <v>10</v>
      </c>
      <c r="C315" s="2" t="s">
        <v>40</v>
      </c>
      <c r="D315" s="2" t="s">
        <v>65</v>
      </c>
      <c r="E315" s="2" t="s">
        <v>38</v>
      </c>
      <c r="F315" s="2" t="s">
        <v>65</v>
      </c>
      <c r="G315" s="2" t="s">
        <v>206</v>
      </c>
      <c r="H315" s="3">
        <v>143</v>
      </c>
      <c r="I315" s="3">
        <v>143</v>
      </c>
      <c r="J315" s="3"/>
      <c r="K315" s="3"/>
      <c r="L315" s="3">
        <v>143</v>
      </c>
      <c r="M315" s="3">
        <v>143</v>
      </c>
      <c r="N315" s="3"/>
      <c r="O315" s="3"/>
      <c r="P315" s="3">
        <v>143</v>
      </c>
      <c r="Q315" s="3">
        <v>143</v>
      </c>
      <c r="R315" s="3"/>
    </row>
    <row r="316" spans="1:18">
      <c r="A316" s="4">
        <v>45962</v>
      </c>
      <c r="B316" s="2" t="s">
        <v>10</v>
      </c>
      <c r="C316" s="2" t="s">
        <v>40</v>
      </c>
      <c r="D316" s="2" t="s">
        <v>72</v>
      </c>
      <c r="E316" s="2" t="s">
        <v>38</v>
      </c>
      <c r="F316" s="2" t="s">
        <v>72</v>
      </c>
      <c r="G316" s="2" t="s">
        <v>206</v>
      </c>
      <c r="H316" s="3">
        <v>145</v>
      </c>
      <c r="I316" s="3">
        <v>145</v>
      </c>
      <c r="J316" s="3"/>
      <c r="K316" s="3"/>
      <c r="L316" s="3">
        <v>145</v>
      </c>
      <c r="M316" s="3">
        <v>145</v>
      </c>
      <c r="N316" s="3"/>
      <c r="O316" s="3"/>
      <c r="P316" s="3">
        <v>145</v>
      </c>
      <c r="Q316" s="3">
        <v>145</v>
      </c>
      <c r="R316" s="3"/>
    </row>
    <row r="317" spans="1:18">
      <c r="A317" s="4">
        <v>45962</v>
      </c>
      <c r="B317" s="2" t="s">
        <v>10</v>
      </c>
      <c r="C317" s="2" t="s">
        <v>40</v>
      </c>
      <c r="D317" s="2" t="s">
        <v>116</v>
      </c>
      <c r="E317" s="2" t="s">
        <v>38</v>
      </c>
      <c r="F317" s="2" t="s">
        <v>116</v>
      </c>
      <c r="G317" s="2" t="s">
        <v>206</v>
      </c>
      <c r="H317" s="3">
        <v>13683.3000000001</v>
      </c>
      <c r="I317" s="3">
        <v>13683.3000000001</v>
      </c>
      <c r="J317" s="3"/>
      <c r="K317" s="3"/>
      <c r="L317" s="3">
        <v>13683.3000000001</v>
      </c>
      <c r="M317" s="3">
        <v>13683.3000000001</v>
      </c>
      <c r="N317" s="3"/>
      <c r="O317" s="3"/>
      <c r="P317" s="3">
        <v>13683.3000000001</v>
      </c>
      <c r="Q317" s="3">
        <v>13683.3000000001</v>
      </c>
      <c r="R317" s="3"/>
    </row>
    <row r="318" spans="1:18">
      <c r="A318" s="4">
        <v>45962</v>
      </c>
      <c r="B318" s="2" t="s">
        <v>10</v>
      </c>
      <c r="C318" s="2" t="s">
        <v>40</v>
      </c>
      <c r="D318" s="2" t="s">
        <v>47</v>
      </c>
      <c r="E318" s="2" t="s">
        <v>38</v>
      </c>
      <c r="F318" s="2" t="s">
        <v>47</v>
      </c>
      <c r="G318" s="2" t="s">
        <v>206</v>
      </c>
      <c r="H318" s="3">
        <v>297</v>
      </c>
      <c r="I318" s="3">
        <v>297</v>
      </c>
      <c r="J318" s="3"/>
      <c r="K318" s="3"/>
      <c r="L318" s="3">
        <v>297</v>
      </c>
      <c r="M318" s="3">
        <v>297</v>
      </c>
      <c r="N318" s="3"/>
      <c r="O318" s="3"/>
      <c r="P318" s="3">
        <v>297</v>
      </c>
      <c r="Q318" s="3">
        <v>297</v>
      </c>
      <c r="R318" s="3"/>
    </row>
    <row r="319" spans="1:18">
      <c r="A319" s="4">
        <v>45962</v>
      </c>
      <c r="B319" s="2" t="s">
        <v>10</v>
      </c>
      <c r="C319" s="2" t="s">
        <v>40</v>
      </c>
      <c r="D319" s="2" t="s">
        <v>207</v>
      </c>
      <c r="E319" s="2" t="s">
        <v>38</v>
      </c>
      <c r="F319" s="2" t="s">
        <v>207</v>
      </c>
      <c r="G319" s="2" t="s">
        <v>206</v>
      </c>
      <c r="H319" s="3">
        <v>882.62</v>
      </c>
      <c r="I319" s="3">
        <v>496.06</v>
      </c>
      <c r="J319" s="3"/>
      <c r="K319" s="3"/>
      <c r="L319" s="3">
        <v>882.62</v>
      </c>
      <c r="M319" s="3">
        <v>496.06</v>
      </c>
      <c r="N319" s="3">
        <v>386.56</v>
      </c>
      <c r="O319" s="3">
        <v>386.56</v>
      </c>
      <c r="P319" s="3">
        <v>882.62</v>
      </c>
      <c r="Q319" s="3">
        <v>496.06</v>
      </c>
      <c r="R319" s="3">
        <v>386.56</v>
      </c>
    </row>
    <row r="320" spans="1:18">
      <c r="A320" s="4">
        <v>45962</v>
      </c>
      <c r="B320" s="2" t="s">
        <v>10</v>
      </c>
      <c r="C320" s="2" t="s">
        <v>40</v>
      </c>
      <c r="D320" s="2" t="s">
        <v>85</v>
      </c>
      <c r="E320" s="2" t="s">
        <v>38</v>
      </c>
      <c r="F320" s="2" t="s">
        <v>85</v>
      </c>
      <c r="G320" s="2" t="s">
        <v>55</v>
      </c>
      <c r="H320" s="3">
        <v>997.5</v>
      </c>
      <c r="I320" s="3">
        <v>997.5</v>
      </c>
      <c r="J320" s="3"/>
      <c r="K320" s="3"/>
      <c r="L320" s="3">
        <v>997.5</v>
      </c>
      <c r="M320" s="3">
        <v>997.5</v>
      </c>
      <c r="N320" s="3"/>
      <c r="O320" s="3"/>
      <c r="P320" s="3">
        <v>997.5</v>
      </c>
      <c r="Q320" s="3">
        <v>997.5</v>
      </c>
      <c r="R320" s="3"/>
    </row>
    <row r="321" spans="1:18">
      <c r="A321" s="4">
        <v>45962</v>
      </c>
      <c r="B321" s="2" t="s">
        <v>10</v>
      </c>
      <c r="C321" s="2" t="s">
        <v>40</v>
      </c>
      <c r="D321" s="2" t="s">
        <v>113</v>
      </c>
      <c r="E321" s="2" t="s">
        <v>38</v>
      </c>
      <c r="F321" s="2" t="s">
        <v>113</v>
      </c>
      <c r="G321" s="2" t="s">
        <v>55</v>
      </c>
      <c r="H321" s="3">
        <v>199.4</v>
      </c>
      <c r="I321" s="3">
        <v>199.4</v>
      </c>
      <c r="J321" s="3"/>
      <c r="K321" s="3"/>
      <c r="L321" s="3">
        <v>199.4</v>
      </c>
      <c r="M321" s="3">
        <v>199.4</v>
      </c>
      <c r="N321" s="3"/>
      <c r="O321" s="3"/>
      <c r="P321" s="3">
        <v>199.4</v>
      </c>
      <c r="Q321" s="3">
        <v>199.4</v>
      </c>
      <c r="R321" s="3"/>
    </row>
    <row r="322" spans="1:18">
      <c r="A322" s="4">
        <v>45962</v>
      </c>
      <c r="B322" s="2" t="s">
        <v>10</v>
      </c>
      <c r="C322" s="2" t="s">
        <v>40</v>
      </c>
      <c r="D322" s="2" t="s">
        <v>125</v>
      </c>
      <c r="E322" s="2" t="s">
        <v>38</v>
      </c>
      <c r="F322" s="2" t="s">
        <v>125</v>
      </c>
      <c r="G322" s="2" t="s">
        <v>79</v>
      </c>
      <c r="H322" s="3">
        <v>893.087999999995</v>
      </c>
      <c r="I322" s="3">
        <v>82.656</v>
      </c>
      <c r="J322" s="3"/>
      <c r="K322" s="3"/>
      <c r="L322" s="3">
        <v>893.087999999995</v>
      </c>
      <c r="M322" s="3">
        <v>82.656</v>
      </c>
      <c r="N322" s="3">
        <v>810.431999999995</v>
      </c>
      <c r="O322" s="3">
        <v>810.431999999995</v>
      </c>
      <c r="P322" s="3">
        <v>893.087999999995</v>
      </c>
      <c r="Q322" s="3">
        <v>82.656</v>
      </c>
      <c r="R322" s="3">
        <v>810.431999999995</v>
      </c>
    </row>
    <row r="323" spans="1:18">
      <c r="A323" s="4">
        <v>45962</v>
      </c>
      <c r="B323" s="2" t="s">
        <v>10</v>
      </c>
      <c r="C323" s="2" t="s">
        <v>40</v>
      </c>
      <c r="D323" s="2" t="s">
        <v>72</v>
      </c>
      <c r="E323" s="2" t="s">
        <v>38</v>
      </c>
      <c r="F323" s="2" t="s">
        <v>72</v>
      </c>
      <c r="G323" s="2" t="s">
        <v>42</v>
      </c>
      <c r="H323" s="3">
        <v>4681.19999999996</v>
      </c>
      <c r="I323" s="3">
        <v>4650.99999999996</v>
      </c>
      <c r="J323" s="3"/>
      <c r="K323" s="3"/>
      <c r="L323" s="3">
        <v>4681.19999999996</v>
      </c>
      <c r="M323" s="3">
        <v>4650.99999999996</v>
      </c>
      <c r="N323" s="3">
        <v>30.2000000000016</v>
      </c>
      <c r="O323" s="3">
        <v>30.2000000000016</v>
      </c>
      <c r="P323" s="3">
        <v>4681.19999999996</v>
      </c>
      <c r="Q323" s="3">
        <v>4650.99999999996</v>
      </c>
      <c r="R323" s="3">
        <v>30.2000000000016</v>
      </c>
    </row>
    <row r="324" spans="1:18">
      <c r="A324" s="4">
        <v>45962</v>
      </c>
      <c r="B324" s="2" t="s">
        <v>10</v>
      </c>
      <c r="C324" s="2" t="s">
        <v>40</v>
      </c>
      <c r="D324" s="2" t="s">
        <v>139</v>
      </c>
      <c r="E324" s="2" t="s">
        <v>81</v>
      </c>
      <c r="F324" s="2" t="s">
        <v>139</v>
      </c>
      <c r="G324" s="2" t="s">
        <v>42</v>
      </c>
      <c r="H324" s="3">
        <v>756020.039999664</v>
      </c>
      <c r="I324" s="3">
        <v>750575.099999556</v>
      </c>
      <c r="J324" s="3"/>
      <c r="K324" s="3"/>
      <c r="L324" s="3">
        <v>756020.039999664</v>
      </c>
      <c r="M324" s="3">
        <v>750575.099999556</v>
      </c>
      <c r="N324" s="3">
        <v>5444.94000010716</v>
      </c>
      <c r="O324" s="3">
        <v>5444.94000010716</v>
      </c>
      <c r="P324" s="3">
        <v>756020.039999664</v>
      </c>
      <c r="Q324" s="3">
        <v>750575.099999556</v>
      </c>
      <c r="R324" s="3">
        <v>5444.94000010716</v>
      </c>
    </row>
    <row r="325" spans="1:18">
      <c r="A325" s="4">
        <v>45962</v>
      </c>
      <c r="B325" s="2" t="s">
        <v>10</v>
      </c>
      <c r="C325" s="2" t="s">
        <v>40</v>
      </c>
      <c r="D325" s="2" t="s">
        <v>64</v>
      </c>
      <c r="E325" s="2" t="s">
        <v>38</v>
      </c>
      <c r="F325" s="2" t="s">
        <v>64</v>
      </c>
      <c r="G325" s="2" t="s">
        <v>42</v>
      </c>
      <c r="H325" s="3">
        <v>586.299999999996</v>
      </c>
      <c r="I325" s="3">
        <v>586.299999999996</v>
      </c>
      <c r="J325" s="3"/>
      <c r="K325" s="3"/>
      <c r="L325" s="3">
        <v>586.299999999996</v>
      </c>
      <c r="M325" s="3">
        <v>586.299999999996</v>
      </c>
      <c r="N325" s="3"/>
      <c r="O325" s="3"/>
      <c r="P325" s="3">
        <v>586.299999999996</v>
      </c>
      <c r="Q325" s="3">
        <v>586.299999999996</v>
      </c>
      <c r="R325" s="3"/>
    </row>
    <row r="326" spans="1:18">
      <c r="A326" s="4">
        <v>45962</v>
      </c>
      <c r="B326" s="2" t="s">
        <v>10</v>
      </c>
      <c r="C326" s="2" t="s">
        <v>40</v>
      </c>
      <c r="D326" s="2" t="s">
        <v>113</v>
      </c>
      <c r="E326" s="2" t="s">
        <v>38</v>
      </c>
      <c r="F326" s="2" t="s">
        <v>113</v>
      </c>
      <c r="G326" s="2" t="s">
        <v>42</v>
      </c>
      <c r="H326" s="3">
        <v>17092.3999999999</v>
      </c>
      <c r="I326" s="3">
        <v>17092.3999999999</v>
      </c>
      <c r="J326" s="3"/>
      <c r="K326" s="3"/>
      <c r="L326" s="3">
        <v>17092.3999999999</v>
      </c>
      <c r="M326" s="3">
        <v>17092.3999999999</v>
      </c>
      <c r="N326" s="3"/>
      <c r="O326" s="3"/>
      <c r="P326" s="3">
        <v>17092.3999999999</v>
      </c>
      <c r="Q326" s="3">
        <v>17092.3999999999</v>
      </c>
      <c r="R326" s="3"/>
    </row>
    <row r="327" spans="1:18">
      <c r="A327" s="4">
        <v>45962</v>
      </c>
      <c r="B327" s="2" t="s">
        <v>10</v>
      </c>
      <c r="C327" s="2" t="s">
        <v>40</v>
      </c>
      <c r="D327" s="2" t="s">
        <v>52</v>
      </c>
      <c r="E327" s="2" t="s">
        <v>38</v>
      </c>
      <c r="F327" s="2" t="s">
        <v>52</v>
      </c>
      <c r="G327" s="2" t="s">
        <v>42</v>
      </c>
      <c r="H327" s="3">
        <v>4616.44999999999</v>
      </c>
      <c r="I327" s="3">
        <v>6066.00000000001</v>
      </c>
      <c r="J327" s="3"/>
      <c r="K327" s="3"/>
      <c r="L327" s="3">
        <v>4616.44999999999</v>
      </c>
      <c r="M327" s="3">
        <v>6066.00000000001</v>
      </c>
      <c r="N327" s="3">
        <v>-1449.55000000001</v>
      </c>
      <c r="O327" s="3">
        <v>-1449.55000000001</v>
      </c>
      <c r="P327" s="3">
        <v>4616.44999999999</v>
      </c>
      <c r="Q327" s="3">
        <v>6066.00000000001</v>
      </c>
      <c r="R327" s="3">
        <v>-1449.55000000001</v>
      </c>
    </row>
    <row r="328" spans="1:18">
      <c r="A328" s="4">
        <v>45962</v>
      </c>
      <c r="B328" s="2" t="s">
        <v>10</v>
      </c>
      <c r="C328" s="2" t="s">
        <v>40</v>
      </c>
      <c r="D328" s="2" t="s">
        <v>47</v>
      </c>
      <c r="E328" s="2" t="s">
        <v>38</v>
      </c>
      <c r="F328" s="2" t="s">
        <v>47</v>
      </c>
      <c r="G328" s="2" t="s">
        <v>42</v>
      </c>
      <c r="H328" s="3">
        <v>58.7999999999998</v>
      </c>
      <c r="I328" s="3">
        <v>58.7999999999998</v>
      </c>
      <c r="J328" s="3"/>
      <c r="K328" s="3"/>
      <c r="L328" s="3">
        <v>58.7999999999998</v>
      </c>
      <c r="M328" s="3">
        <v>58.7999999999998</v>
      </c>
      <c r="N328" s="3"/>
      <c r="O328" s="3"/>
      <c r="P328" s="3">
        <v>58.7999999999998</v>
      </c>
      <c r="Q328" s="3">
        <v>58.7999999999998</v>
      </c>
      <c r="R328" s="3"/>
    </row>
    <row r="329" spans="1:18">
      <c r="A329" s="4">
        <v>45962</v>
      </c>
      <c r="B329" s="2" t="s">
        <v>10</v>
      </c>
      <c r="C329" s="2" t="s">
        <v>40</v>
      </c>
      <c r="D329" s="2" t="s">
        <v>139</v>
      </c>
      <c r="E329" s="2" t="s">
        <v>81</v>
      </c>
      <c r="F329" s="2" t="s">
        <v>139</v>
      </c>
      <c r="G329" s="2" t="s">
        <v>206</v>
      </c>
      <c r="H329" s="3">
        <v>93.0999999999999</v>
      </c>
      <c r="I329" s="3">
        <v>0.0095</v>
      </c>
      <c r="J329" s="3"/>
      <c r="K329" s="3"/>
      <c r="L329" s="3">
        <v>93.0999999999999</v>
      </c>
      <c r="M329" s="3">
        <v>0.0095</v>
      </c>
      <c r="N329" s="3">
        <v>93.0904999999999</v>
      </c>
      <c r="O329" s="3">
        <v>93.0904999999999</v>
      </c>
      <c r="P329" s="3">
        <v>93.0999999999999</v>
      </c>
      <c r="Q329" s="3">
        <v>0.0095</v>
      </c>
      <c r="R329" s="3">
        <v>93.0904999999999</v>
      </c>
    </row>
    <row r="330" spans="1:18">
      <c r="A330" s="4">
        <v>45962</v>
      </c>
      <c r="B330" s="2" t="s">
        <v>10</v>
      </c>
      <c r="C330" s="2" t="s">
        <v>40</v>
      </c>
      <c r="D330" s="2" t="s">
        <v>139</v>
      </c>
      <c r="E330" s="2" t="s">
        <v>81</v>
      </c>
      <c r="F330" s="2" t="s">
        <v>139</v>
      </c>
      <c r="G330" s="2" t="s">
        <v>79</v>
      </c>
      <c r="H330" s="3">
        <v>388.079999999999</v>
      </c>
      <c r="I330" s="3">
        <v>561</v>
      </c>
      <c r="J330" s="3"/>
      <c r="K330" s="3"/>
      <c r="L330" s="3">
        <v>388.079999999999</v>
      </c>
      <c r="M330" s="3">
        <v>561</v>
      </c>
      <c r="N330" s="3">
        <v>-172.92</v>
      </c>
      <c r="O330" s="3">
        <v>-172.92</v>
      </c>
      <c r="P330" s="3">
        <v>388.079999999999</v>
      </c>
      <c r="Q330" s="3">
        <v>561</v>
      </c>
      <c r="R330" s="3">
        <v>-172.92</v>
      </c>
    </row>
    <row r="331" spans="1:18">
      <c r="A331" s="4">
        <v>45962</v>
      </c>
      <c r="B331" s="2" t="s">
        <v>10</v>
      </c>
      <c r="C331" s="2" t="s">
        <v>40</v>
      </c>
      <c r="D331" s="2" t="s">
        <v>84</v>
      </c>
      <c r="E331" s="2" t="s">
        <v>38</v>
      </c>
      <c r="F331" s="2" t="s">
        <v>84</v>
      </c>
      <c r="G331" s="2" t="s">
        <v>79</v>
      </c>
      <c r="H331" s="3">
        <v>60.4199999999994</v>
      </c>
      <c r="I331" s="3">
        <v>60.4199999999994</v>
      </c>
      <c r="J331" s="3"/>
      <c r="K331" s="3"/>
      <c r="L331" s="3">
        <v>60.4199999999994</v>
      </c>
      <c r="M331" s="3">
        <v>60.4199999999994</v>
      </c>
      <c r="N331" s="3"/>
      <c r="O331" s="3"/>
      <c r="P331" s="3">
        <v>60.4199999999994</v>
      </c>
      <c r="Q331" s="3">
        <v>60.4199999999994</v>
      </c>
      <c r="R331" s="3"/>
    </row>
    <row r="332" spans="1:18">
      <c r="A332" s="4">
        <v>45962</v>
      </c>
      <c r="B332" s="2" t="s">
        <v>9</v>
      </c>
      <c r="C332" s="2" t="s">
        <v>36</v>
      </c>
      <c r="D332" s="2" t="s">
        <v>36</v>
      </c>
      <c r="E332" s="2">
        <v>1</v>
      </c>
      <c r="F332" s="2" t="s">
        <v>36</v>
      </c>
      <c r="G332" s="2" t="s">
        <v>39</v>
      </c>
      <c r="H332" s="3">
        <v>3001.77999999999</v>
      </c>
      <c r="I332" s="3"/>
      <c r="J332" s="3"/>
      <c r="K332" s="3"/>
      <c r="L332" s="3">
        <v>3001.77999999999</v>
      </c>
      <c r="M332" s="3"/>
      <c r="N332" s="3">
        <v>3001.77999999999</v>
      </c>
      <c r="O332" s="3">
        <v>3001.77999999999</v>
      </c>
      <c r="P332" s="3">
        <v>3001.77999999999</v>
      </c>
      <c r="Q332" s="3"/>
      <c r="R332" s="3">
        <v>3001.77999999999</v>
      </c>
    </row>
    <row r="333" spans="1:18">
      <c r="A333" s="4">
        <v>45962</v>
      </c>
      <c r="B333" s="2" t="s">
        <v>9</v>
      </c>
      <c r="C333" s="2" t="s">
        <v>36</v>
      </c>
      <c r="D333" s="2" t="s">
        <v>208</v>
      </c>
      <c r="E333" s="2"/>
      <c r="F333" s="2" t="s">
        <v>208</v>
      </c>
      <c r="G333" s="2" t="s">
        <v>39</v>
      </c>
      <c r="H333" s="3">
        <v>71295.38</v>
      </c>
      <c r="I333" s="3"/>
      <c r="J333" s="3"/>
      <c r="K333" s="3"/>
      <c r="L333" s="3">
        <v>71295.38</v>
      </c>
      <c r="M333" s="3"/>
      <c r="N333" s="3">
        <v>71295.38</v>
      </c>
      <c r="O333" s="3">
        <v>71295.38</v>
      </c>
      <c r="P333" s="3">
        <v>71295.38</v>
      </c>
      <c r="Q333" s="3"/>
      <c r="R333" s="3">
        <v>71295.38</v>
      </c>
    </row>
    <row r="334" spans="1:18">
      <c r="A334" s="4">
        <v>45962</v>
      </c>
      <c r="B334" s="2" t="s">
        <v>9</v>
      </c>
      <c r="C334" s="2" t="s">
        <v>36</v>
      </c>
      <c r="D334" s="2"/>
      <c r="E334" s="2"/>
      <c r="F334" s="2"/>
      <c r="G334" s="2" t="s">
        <v>39</v>
      </c>
      <c r="H334" s="3">
        <v>559.61</v>
      </c>
      <c r="I334" s="3"/>
      <c r="J334" s="3"/>
      <c r="K334" s="3"/>
      <c r="L334" s="3">
        <v>559.61</v>
      </c>
      <c r="M334" s="3"/>
      <c r="N334" s="3">
        <v>559.61</v>
      </c>
      <c r="O334" s="3">
        <v>559.61</v>
      </c>
      <c r="P334" s="3">
        <v>559.61</v>
      </c>
      <c r="Q334" s="3"/>
      <c r="R334" s="3">
        <v>559.61</v>
      </c>
    </row>
    <row r="335" spans="1:18">
      <c r="A335" s="4">
        <v>45962</v>
      </c>
      <c r="B335" s="2" t="s">
        <v>9</v>
      </c>
      <c r="C335" s="2" t="s">
        <v>36</v>
      </c>
      <c r="D335" s="2" t="s">
        <v>36</v>
      </c>
      <c r="E335" s="2">
        <v>1</v>
      </c>
      <c r="F335" s="2" t="s">
        <v>36</v>
      </c>
      <c r="G335" s="2" t="s">
        <v>42</v>
      </c>
      <c r="H335" s="3">
        <v>157.119999999999</v>
      </c>
      <c r="I335" s="3"/>
      <c r="J335" s="3"/>
      <c r="K335" s="3"/>
      <c r="L335" s="3">
        <v>157.119999999999</v>
      </c>
      <c r="M335" s="3"/>
      <c r="N335" s="3">
        <v>157.119999999999</v>
      </c>
      <c r="O335" s="3">
        <v>157.119999999999</v>
      </c>
      <c r="P335" s="3">
        <v>157.119999999999</v>
      </c>
      <c r="Q335" s="3"/>
      <c r="R335" s="3">
        <v>157.119999999999</v>
      </c>
    </row>
    <row r="336" spans="1:18">
      <c r="A336" s="4">
        <v>45962</v>
      </c>
      <c r="B336" s="2" t="s">
        <v>9</v>
      </c>
      <c r="C336" s="2" t="s">
        <v>36</v>
      </c>
      <c r="D336" s="2" t="s">
        <v>209</v>
      </c>
      <c r="E336" s="2"/>
      <c r="F336" s="2" t="s">
        <v>209</v>
      </c>
      <c r="G336" s="2" t="s">
        <v>39</v>
      </c>
      <c r="H336" s="3">
        <v>481.699999999999</v>
      </c>
      <c r="I336" s="3"/>
      <c r="J336" s="3"/>
      <c r="K336" s="3"/>
      <c r="L336" s="3">
        <v>481.699999999999</v>
      </c>
      <c r="M336" s="3"/>
      <c r="N336" s="3">
        <v>481.699999999999</v>
      </c>
      <c r="O336" s="3">
        <v>481.699999999999</v>
      </c>
      <c r="P336" s="3">
        <v>481.699999999999</v>
      </c>
      <c r="Q336" s="3"/>
      <c r="R336" s="3">
        <v>481.699999999999</v>
      </c>
    </row>
    <row r="337" spans="1:18">
      <c r="A337" s="4">
        <v>45962</v>
      </c>
      <c r="B337" s="2" t="s">
        <v>9</v>
      </c>
      <c r="C337" s="2" t="s">
        <v>36</v>
      </c>
      <c r="D337" s="2" t="s">
        <v>210</v>
      </c>
      <c r="E337" s="2"/>
      <c r="F337" s="2" t="s">
        <v>210</v>
      </c>
      <c r="G337" s="2" t="s">
        <v>39</v>
      </c>
      <c r="H337" s="3">
        <v>13.8</v>
      </c>
      <c r="I337" s="3"/>
      <c r="J337" s="3"/>
      <c r="K337" s="3"/>
      <c r="L337" s="3">
        <v>13.8</v>
      </c>
      <c r="M337" s="3"/>
      <c r="N337" s="3">
        <v>13.8</v>
      </c>
      <c r="O337" s="3">
        <v>13.8</v>
      </c>
      <c r="P337" s="3">
        <v>13.8</v>
      </c>
      <c r="Q337" s="3"/>
      <c r="R337" s="3">
        <v>13.8</v>
      </c>
    </row>
    <row r="338" spans="1:18">
      <c r="A338" s="4">
        <v>45962</v>
      </c>
      <c r="B338" s="2" t="s">
        <v>9</v>
      </c>
      <c r="C338" s="2" t="s">
        <v>36</v>
      </c>
      <c r="D338" s="2" t="s">
        <v>211</v>
      </c>
      <c r="E338" s="2"/>
      <c r="F338" s="2" t="s">
        <v>211</v>
      </c>
      <c r="G338" s="2" t="s">
        <v>39</v>
      </c>
      <c r="H338" s="3">
        <v>11.5</v>
      </c>
      <c r="I338" s="3"/>
      <c r="J338" s="3"/>
      <c r="K338" s="3"/>
      <c r="L338" s="3">
        <v>11.5</v>
      </c>
      <c r="M338" s="3"/>
      <c r="N338" s="3">
        <v>11.5</v>
      </c>
      <c r="O338" s="3">
        <v>11.5</v>
      </c>
      <c r="P338" s="3">
        <v>11.5</v>
      </c>
      <c r="Q338" s="3"/>
      <c r="R338" s="3">
        <v>11.5</v>
      </c>
    </row>
    <row r="339" spans="1:18">
      <c r="A339" s="4">
        <v>45962</v>
      </c>
      <c r="B339" s="2" t="s">
        <v>9</v>
      </c>
      <c r="C339" s="2" t="s">
        <v>40</v>
      </c>
      <c r="D339" s="2" t="s">
        <v>212</v>
      </c>
      <c r="E339" s="2"/>
      <c r="F339" s="2" t="s">
        <v>212</v>
      </c>
      <c r="G339" s="2" t="s">
        <v>39</v>
      </c>
      <c r="H339" s="3">
        <v>1797</v>
      </c>
      <c r="I339" s="3"/>
      <c r="J339" s="3"/>
      <c r="K339" s="3"/>
      <c r="L339" s="3">
        <v>1797</v>
      </c>
      <c r="M339" s="3"/>
      <c r="N339" s="3">
        <v>1797</v>
      </c>
      <c r="O339" s="3">
        <v>1797</v>
      </c>
      <c r="P339" s="3">
        <v>1797</v>
      </c>
      <c r="Q339" s="3"/>
      <c r="R339" s="3">
        <v>1797</v>
      </c>
    </row>
    <row r="340" spans="1:18">
      <c r="A340" s="4">
        <v>45962</v>
      </c>
      <c r="B340" s="2" t="s">
        <v>9</v>
      </c>
      <c r="C340" s="2" t="s">
        <v>40</v>
      </c>
      <c r="D340" s="2"/>
      <c r="E340" s="2"/>
      <c r="F340" s="2"/>
      <c r="G340" s="2" t="s">
        <v>39</v>
      </c>
      <c r="H340" s="3">
        <v>-5521.38</v>
      </c>
      <c r="I340" s="3"/>
      <c r="J340" s="3"/>
      <c r="K340" s="3"/>
      <c r="L340" s="3">
        <v>-5521.38</v>
      </c>
      <c r="M340" s="3"/>
      <c r="N340" s="3">
        <v>-5521.38</v>
      </c>
      <c r="O340" s="3">
        <v>-5521.38</v>
      </c>
      <c r="P340" s="3">
        <v>-5521.38</v>
      </c>
      <c r="Q340" s="3"/>
      <c r="R340" s="3">
        <v>-5521.38</v>
      </c>
    </row>
  </sheetData>
  <autoFilter xmlns:etc="http://www.wps.cn/officeDocument/2017/etCustomData" ref="A1:R3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数据源</vt:lpstr>
      <vt:lpstr>供应商毛利原表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王佳娟</cp:lastModifiedBy>
  <dcterms:created xsi:type="dcterms:W3CDTF">2025-12-25T10:36:00Z</dcterms:created>
  <dcterms:modified xsi:type="dcterms:W3CDTF">2026-01-03T15:53:45Z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959E58903F334684B9439E66D8BBC2EA_11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