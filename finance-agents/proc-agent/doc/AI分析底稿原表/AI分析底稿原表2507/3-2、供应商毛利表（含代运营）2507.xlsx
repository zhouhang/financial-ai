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数据源" sheetId="2" r:id="rId1"/>
    <sheet name="zdy_20250812200038750_0" sheetId="1" r:id="rId2"/>
    <sheet name="金蝶视图" sheetId="3" r:id="rId3"/>
    <sheet name="线下入账" sheetId="4" r:id="rId4"/>
    <sheet name="其他出库单" sheetId="5" r:id="rId5"/>
    <sheet name="卡密转单差异" sheetId="6" r:id="rId6"/>
    <sheet name="内部POP" sheetId="7" r:id="rId7"/>
  </sheets>
  <definedNames>
    <definedName name="_xlnm._FilterDatabase" localSheetId="1" hidden="1">zdy_20250812200038750_0!$A$1:$M$818</definedName>
    <definedName name="_xlnm._FilterDatabase" localSheetId="4" hidden="1">其他出库单!$A$1:$X$9</definedName>
    <definedName name="_xlnm._FilterDatabase" localSheetId="5" hidden="1">卡密转单差异!$A$1:$X$303</definedName>
    <definedName name="_xlnm._FilterDatabase" localSheetId="6" hidden="1">内部POP!$A$1:$Q$79</definedName>
    <definedName name="_xlnm._FilterDatabase" localSheetId="3" hidden="1">线下入账!#REF!</definedName>
  </definedNames>
  <calcPr calcId="191029" concurrentCalc="0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<sst xmlns="http://schemas.openxmlformats.org/spreadsheetml/2006/main" count="9314" uniqueCount="545">
  <si>
    <t>数据源</t>
  </si>
  <si>
    <t>求和项:调整后gmv</t>
  </si>
  <si>
    <t>求和项:调整后成本</t>
  </si>
  <si>
    <t>求和项:调整后毛利</t>
  </si>
  <si>
    <t>GMV差异</t>
  </si>
  <si>
    <t>成本差异</t>
  </si>
  <si>
    <t>毛利差异</t>
  </si>
  <si>
    <t>求和项:含税销售额</t>
  </si>
  <si>
    <t>求和项:含税采购成本</t>
  </si>
  <si>
    <t>求和项:含税差额收入</t>
  </si>
  <si>
    <t>BI表单-采销税率差异</t>
  </si>
  <si>
    <t>BI表单-残值收入</t>
  </si>
  <si>
    <t>BI表单-票据类型不一致</t>
  </si>
  <si>
    <t>ERP合单数据</t>
  </si>
  <si>
    <t>BI人工导入-订单收入</t>
  </si>
  <si>
    <t>手工凭证</t>
  </si>
  <si>
    <t>总计</t>
  </si>
  <si>
    <t>BI返点数据-金蝶视图</t>
  </si>
  <si>
    <t>线下入账</t>
  </si>
  <si>
    <t>ERP合单数据-平台供应商差异表</t>
  </si>
  <si>
    <t>直储差异调整</t>
  </si>
  <si>
    <t>ERP其他出库单SMZ</t>
  </si>
  <si>
    <t>其他出库单</t>
  </si>
  <si>
    <t>关联往来差异</t>
  </si>
  <si>
    <t>卡密转单差异</t>
  </si>
  <si>
    <t>内部POP手工订单</t>
  </si>
  <si>
    <t>外部加款单</t>
  </si>
  <si>
    <t>ERP费用系统-费用支出单</t>
  </si>
  <si>
    <t>月份</t>
  </si>
  <si>
    <t>供应商名称</t>
  </si>
  <si>
    <t>公司名称</t>
  </si>
  <si>
    <t>商品大类</t>
  </si>
  <si>
    <t>返点</t>
  </si>
  <si>
    <t>调整后gmv</t>
  </si>
  <si>
    <t>调整后成本</t>
  </si>
  <si>
    <t>调整后毛利</t>
  </si>
  <si>
    <t>调整后毛利（含返点）</t>
  </si>
  <si>
    <t>代运营收入</t>
  </si>
  <si>
    <t>代运营成本</t>
  </si>
  <si>
    <t>代运营毛利</t>
  </si>
  <si>
    <t>合并毛利</t>
  </si>
  <si>
    <t>武汉福禄网络科技有限公司</t>
  </si>
  <si>
    <t>卡券</t>
  </si>
  <si>
    <t>西藏福禄网络科技有限公司</t>
  </si>
  <si>
    <t>武汉一起游网络科技有限公司</t>
  </si>
  <si>
    <t>手游</t>
  </si>
  <si>
    <t>武汉搜卡科技有限公司</t>
  </si>
  <si>
    <t>网娱</t>
  </si>
  <si>
    <t>网游</t>
  </si>
  <si>
    <t>福建福禄网络科技有限公司</t>
  </si>
  <si>
    <t>江西福禄网络科技有限公司</t>
  </si>
  <si>
    <t>武汉福禄传媒有限公司</t>
  </si>
  <si>
    <t>生活服务</t>
  </si>
  <si>
    <t>武汉福韵网络科技有限公司</t>
  </si>
  <si>
    <t>喀什一起玩网络科技有限公司</t>
  </si>
  <si>
    <t>武汉立硕科技有限公司</t>
  </si>
  <si>
    <t>一九零五(北京)网络科技有限公司</t>
  </si>
  <si>
    <t>西藏葫芦娃网络科技有限公司</t>
  </si>
  <si>
    <t>一璟科技信息服务(武汉)有限公司</t>
  </si>
  <si>
    <t>万达电影股份有限公司</t>
  </si>
  <si>
    <t>上海三快智送科技有限公司</t>
  </si>
  <si>
    <t>上海临冠数据科技有限公司</t>
  </si>
  <si>
    <t>上海十鹿信息技术有限公司</t>
  </si>
  <si>
    <t>上海喜马拉雅科技有限公司</t>
  </si>
  <si>
    <t>杭州福之禄至信息技术有限公司</t>
  </si>
  <si>
    <t>武汉福禄供应链管理有限公司</t>
  </si>
  <si>
    <t>上海季积信息科技有限公司</t>
  </si>
  <si>
    <t>上海宽娱数码科技有限公司</t>
  </si>
  <si>
    <t>上海履冰科技有限公司</t>
  </si>
  <si>
    <t>上海希越文化传播有限公司</t>
  </si>
  <si>
    <t>上海普麦信息科技有限公司</t>
  </si>
  <si>
    <t>新疆葫芦娃网络科技有限公司</t>
  </si>
  <si>
    <t>上海汇畅网络科技有限公司</t>
  </si>
  <si>
    <t>上海汇隆思贸易有限公司</t>
  </si>
  <si>
    <t>上海海牙湾信息科技有限公司</t>
  </si>
  <si>
    <t>上海淘票票影视文化有限公司</t>
  </si>
  <si>
    <t>上海盒马网络科技有限公司</t>
  </si>
  <si>
    <t>沭阳福禄网络科技有限公司</t>
  </si>
  <si>
    <t>上海荟分信息科技有限公司</t>
  </si>
  <si>
    <t>武汉天识科技有限公司</t>
  </si>
  <si>
    <t>上海荣数信息技术有限公司</t>
  </si>
  <si>
    <t>上海轩夸网络科技有限公司</t>
  </si>
  <si>
    <t>上海钧丰网络科技有限公司</t>
  </si>
  <si>
    <t>上海闪限网络科技有限公司</t>
  </si>
  <si>
    <t>上海阅文信息技术有限公司</t>
  </si>
  <si>
    <t>上海馥邑企业管理有限公司</t>
  </si>
  <si>
    <t>东莞市达布嘉网络科技有限公司</t>
  </si>
  <si>
    <t>武汉福禄信息科技有限公司</t>
  </si>
  <si>
    <t>东莞茄子网络科技有限公司</t>
  </si>
  <si>
    <t>中国联合网络通信有限公司深圳市分公司</t>
  </si>
  <si>
    <t>通信</t>
  </si>
  <si>
    <t>中国银联股份有限公司浙江分公司</t>
  </si>
  <si>
    <t>沭阳福云网络科技有限公司</t>
  </si>
  <si>
    <t>中影影院投资有限公司</t>
  </si>
  <si>
    <t>中智无线(北京)科技有限公司</t>
  </si>
  <si>
    <t>丰巢网络技术有限公司</t>
  </si>
  <si>
    <t>乐视新生代(北京)文化传媒有限公司</t>
  </si>
  <si>
    <t>仁跃电子商务(上海)有限公司</t>
  </si>
  <si>
    <t>优酷信息技术(北京)有限公司</t>
  </si>
  <si>
    <t>内部自制权益供货</t>
  </si>
  <si>
    <t>北京一击企服科技有限公司</t>
  </si>
  <si>
    <t>北京三快在线科技有限公司</t>
  </si>
  <si>
    <t>北京三快科技有限公司</t>
  </si>
  <si>
    <t>北京京东世纪信息技术有限公司</t>
  </si>
  <si>
    <t>北京京东叁佰陆拾度电子商务有限公司</t>
  </si>
  <si>
    <t>北京优趣时光文化科技有限公司</t>
  </si>
  <si>
    <t>北京儒意景秀网络科技有限公司</t>
  </si>
  <si>
    <t>北京全时分享科技有限公司</t>
  </si>
  <si>
    <t>北京卡路里科技有限公司</t>
  </si>
  <si>
    <t>北京大麦文化传媒发展有限公司</t>
  </si>
  <si>
    <t>北京字跳网络技术有限公司</t>
  </si>
  <si>
    <t>北京小桔新能源汽车科技有限公司</t>
  </si>
  <si>
    <t>北京度友科技有限公司</t>
  </si>
  <si>
    <t>武汉亿禄网络科技有限公司</t>
  </si>
  <si>
    <t>福禄福擎网络科技有限公司</t>
  </si>
  <si>
    <t>北京得到信息科技有限公司</t>
  </si>
  <si>
    <t>北京悦途出行网络科技有限公司</t>
  </si>
  <si>
    <t>北京易行出行旅游有限公司</t>
  </si>
  <si>
    <t>北京春田知韵科技有限公司</t>
  </si>
  <si>
    <t>北京智诚互娱科技有限公司</t>
  </si>
  <si>
    <t>北京沃盈文化传播有限公司</t>
  </si>
  <si>
    <t>南京宏昇网络科技有限公司</t>
  </si>
  <si>
    <t>北京沃美影业有限公司</t>
  </si>
  <si>
    <t>北京沃美影业有限公司顺义分公司</t>
  </si>
  <si>
    <t>北京沃美影城投资有限公司</t>
  </si>
  <si>
    <t>北京爱奇艺科技有限公司</t>
  </si>
  <si>
    <t>北京特特天地科技有限公司</t>
  </si>
  <si>
    <t>北京翰斯特网络有限公司</t>
  </si>
  <si>
    <t>北京耀莱国际影城管理有限公司</t>
  </si>
  <si>
    <t>北京蜜莱坞网络科技有限公司</t>
  </si>
  <si>
    <t>北京超城联创科技有限公司</t>
  </si>
  <si>
    <t>北京钱袋宝支付技术有限公司</t>
  </si>
  <si>
    <t>北京闲徕互娱网络科技有限公司</t>
  </si>
  <si>
    <t>北京鲸叹号数娱科技有限公司</t>
  </si>
  <si>
    <t>华为软件技术有限公司</t>
  </si>
  <si>
    <t>南京六六猴信息科技有限公司</t>
  </si>
  <si>
    <t>南京捷融数科科技有限公司</t>
  </si>
  <si>
    <t>南京梦尚网络科技有限公司</t>
  </si>
  <si>
    <t>南京梦澄网络科技有限公司</t>
  </si>
  <si>
    <t>南京浦上信息科技有限公司</t>
  </si>
  <si>
    <t>南京车小保信息科技有限公司</t>
  </si>
  <si>
    <t>南京飞翰网络科技有限公司</t>
  </si>
  <si>
    <t>南昌奥斯通商务服务有限公司</t>
  </si>
  <si>
    <t>博纳电影院线有限公司</t>
  </si>
  <si>
    <t>厦门沃购电子商务有限公司</t>
  </si>
  <si>
    <t>厦门沐晓网络科技有限公司</t>
  </si>
  <si>
    <t>福禄福佑网络科技有限公司</t>
  </si>
  <si>
    <t>古茗科技集团有限公司</t>
  </si>
  <si>
    <t>合肥企好服企业服务有限公司</t>
  </si>
  <si>
    <t>合肥易琼网络科技服务有限公司</t>
  </si>
  <si>
    <t>合肥沃美影城管理有限公司包河分公司</t>
  </si>
  <si>
    <t>周口蝉益行网络科技有限公司</t>
  </si>
  <si>
    <t>咪咕视讯科技有限公司</t>
  </si>
  <si>
    <t>嘉贝(咸宁)信息科技有限公司</t>
  </si>
  <si>
    <t>四川云时网络科技有限公司</t>
  </si>
  <si>
    <t>四川佳诺信息技术有限公司</t>
  </si>
  <si>
    <t>四川太平洋影院管理有限公司</t>
  </si>
  <si>
    <t>四川太平洋悦影科技有限公司</t>
  </si>
  <si>
    <t>四川岁岁欢网络科技有限公司</t>
  </si>
  <si>
    <t>四川征云网络科技有限公司</t>
  </si>
  <si>
    <t>武汉福游网络科技有限公司</t>
  </si>
  <si>
    <t>四川茶姬企业管理有限公司</t>
  </si>
  <si>
    <t>四川蜀信致远企业管理咨询有限公司</t>
  </si>
  <si>
    <t>四川迈向未来信息科技有限公司</t>
  </si>
  <si>
    <t>四川通钱信息技术有限公司</t>
  </si>
  <si>
    <t>四川速宝网络科技有限公司</t>
  </si>
  <si>
    <t>夏阳阳</t>
  </si>
  <si>
    <t>天津京鼎顺信息科技有限公司</t>
  </si>
  <si>
    <t>天津博晟信息技术有限公司</t>
  </si>
  <si>
    <t>天津星空乐游科技有限公司</t>
  </si>
  <si>
    <t>天津欢喜数娱网络科技有限公司</t>
  </si>
  <si>
    <t>天津沃美影院管理有限公司第一分公司</t>
  </si>
  <si>
    <t>天津洪恩完美未来教育科技有限公司</t>
  </si>
  <si>
    <t>天津猫眼微影科技有限公司</t>
  </si>
  <si>
    <t>天津雅钧信息技术有限公司</t>
  </si>
  <si>
    <t>奕新禾科技(深圳)有限公司</t>
  </si>
  <si>
    <t>宁波沃美影城管理有限公司</t>
  </si>
  <si>
    <t>安徽兑吧网络科技有限公司</t>
  </si>
  <si>
    <t>安徽奇那梦信息科技有限公司</t>
  </si>
  <si>
    <t>安徽易派网络科技有限公司</t>
  </si>
  <si>
    <t>安徽酷尚信息科技有限公司</t>
  </si>
  <si>
    <t>小番茄(广州)电子商务有限公司</t>
  </si>
  <si>
    <t>山东亿点点文化传播有限公司</t>
  </si>
  <si>
    <t>山东维娜信息技术有限公司</t>
  </si>
  <si>
    <t>希杰希界维(上海)企业管理有限公司</t>
  </si>
  <si>
    <t>常州市久诺通信科技有限公司</t>
  </si>
  <si>
    <t>常州思微科技有限公司</t>
  </si>
  <si>
    <t>广州丰兴信息科技有限公司</t>
  </si>
  <si>
    <t>广州吉先信息科技有限公司</t>
  </si>
  <si>
    <t>广州唯品会电子商务有限公司</t>
  </si>
  <si>
    <t>广州埋堆堆科技有限公司</t>
  </si>
  <si>
    <t>广州子轩网络科技有限公司</t>
  </si>
  <si>
    <t>广州微算互联信息技术有限公司</t>
  </si>
  <si>
    <t>广州极目未来文化科技有限公司</t>
  </si>
  <si>
    <t>广州津虹网络传媒有限公司</t>
  </si>
  <si>
    <t>广州车行易科技股份有限公司</t>
  </si>
  <si>
    <t>广州骑安科技有限公司</t>
  </si>
  <si>
    <t>湖北氪金网络科技有限公司</t>
  </si>
  <si>
    <t>广州鱼看海网络有限公司</t>
  </si>
  <si>
    <t>广西抖动信息科技有限公司</t>
  </si>
  <si>
    <t>库迪供应链(安徽)有限公司</t>
  </si>
  <si>
    <t>开放平台供应商</t>
  </si>
  <si>
    <t>徐德成</t>
  </si>
  <si>
    <t>微梦创科网络科技(中国)有限公司</t>
  </si>
  <si>
    <t>成都俊云科技有限公司</t>
  </si>
  <si>
    <t>成都合理网络科技有限公司</t>
  </si>
  <si>
    <t>成都巨量引擎信息技术有限公司</t>
  </si>
  <si>
    <t>成都彦浩信息技术有限公司</t>
  </si>
  <si>
    <t>成都极风权益网络科技有限公司</t>
  </si>
  <si>
    <t>成都蓝色兄弟网络科技有限公司</t>
  </si>
  <si>
    <t>承德幽暗城网络科技有限公司</t>
  </si>
  <si>
    <t>承德韦惠网络科技有限公司</t>
  </si>
  <si>
    <t>拉扎斯网络科技(上海)有限公司</t>
  </si>
  <si>
    <t>掌阅科技股份有限公司</t>
  </si>
  <si>
    <t>探探文化发展(北京)有限公司</t>
  </si>
  <si>
    <t>支付宝(中国)网络技术有限公司</t>
  </si>
  <si>
    <t>灌南福禄网络科技有限公司</t>
  </si>
  <si>
    <t>支付宝(杭州)信息技术有限公司</t>
  </si>
  <si>
    <t>易点生活电子商务有限公司</t>
  </si>
  <si>
    <t>杭州乐读科技有限公司</t>
  </si>
  <si>
    <t>杭州今日头条科技有限公司</t>
  </si>
  <si>
    <t>杭州八十度文化传媒有限公司</t>
  </si>
  <si>
    <t>杭州加凡科技有限公司</t>
  </si>
  <si>
    <t>杭州印鸽科技有限公司</t>
  </si>
  <si>
    <t>杭州友电科技有限公司</t>
  </si>
  <si>
    <t>杭州同袍网络科技有限公司</t>
  </si>
  <si>
    <t>杭州哩塔网络技术有限公司</t>
  </si>
  <si>
    <t>杭州弯流科技有限公司</t>
  </si>
  <si>
    <t>杭州惠购文化传媒有限公司</t>
  </si>
  <si>
    <t>杭州沃美影城有限公司</t>
  </si>
  <si>
    <t>杭州淘票票科技有限公司</t>
  </si>
  <si>
    <t>杭州瑞普科技有限公司</t>
  </si>
  <si>
    <t>杭州纵横通信股份有限公司</t>
  </si>
  <si>
    <t>杭州绍琨科技有限公司</t>
  </si>
  <si>
    <t>杭州网易雷火科技有限公司</t>
  </si>
  <si>
    <t>杭州胖果网络科技有限公司</t>
  </si>
  <si>
    <t>杭州青奇科技有限公司</t>
  </si>
  <si>
    <t>武汉享全益网络科技有限公司</t>
  </si>
  <si>
    <t>武汉京东世纪贸易有限公司</t>
  </si>
  <si>
    <t>武汉凌迈科技有限公司</t>
  </si>
  <si>
    <t>武汉华侨城实业发展有限公司</t>
  </si>
  <si>
    <t>武汉大河有鱼网络科技有限公司</t>
  </si>
  <si>
    <t>武汉小狮子网络科技有限公司</t>
  </si>
  <si>
    <t>武汉岚廷科技有限公司</t>
  </si>
  <si>
    <t>武汉巨犀网络科技有限公司</t>
  </si>
  <si>
    <t>武汉市成超一心餐饮有限公司</t>
  </si>
  <si>
    <t>武汉市谋邑网络信息科技有限公司</t>
  </si>
  <si>
    <t>武汉市黄陂区盘龙城小游网络工作室</t>
  </si>
  <si>
    <t>武汉德驰立方网络科技有限公司</t>
  </si>
  <si>
    <t>武汉昌盛科技有限公司</t>
  </si>
  <si>
    <t>武汉有生网络科技有限公司</t>
  </si>
  <si>
    <t>武汉沃影影院管理有限公司</t>
  </si>
  <si>
    <t>武汉泛海国际影城有限公司</t>
  </si>
  <si>
    <t>武汉熠汇饮科技有限公司</t>
  </si>
  <si>
    <t>武汉燃星科技有限公司</t>
  </si>
  <si>
    <t>武汉瓯越网视有限公司</t>
  </si>
  <si>
    <t>武汉畅玩互动网络科技有限公司</t>
  </si>
  <si>
    <t>武汉禄影网络科技有限公司</t>
  </si>
  <si>
    <t>武汉网娱互动科技有限公司</t>
  </si>
  <si>
    <t>武汉艾杜电子商务有限公司</t>
  </si>
  <si>
    <t>武汉菠菠菜数字科技有限公司</t>
  </si>
  <si>
    <t>武汉萌桃网络科技有限公司</t>
  </si>
  <si>
    <t>武汉酷创全天科技有限公司</t>
  </si>
  <si>
    <t>武汉青蓝紫文化科技有限公司</t>
  </si>
  <si>
    <t>武汉鱼渊网络科技有限公司</t>
  </si>
  <si>
    <t>永辉超市股份有限公司</t>
  </si>
  <si>
    <t>汉庭星空(上海)酒店管理有限公司</t>
  </si>
  <si>
    <t>汉海信息技术(上海)有限公司</t>
  </si>
  <si>
    <t>江苏京东信息技术有限公司</t>
  </si>
  <si>
    <t>江苏佰联数字科技有限公司</t>
  </si>
  <si>
    <t>江苏咖点网络科技有限公司</t>
  </si>
  <si>
    <t>沃熙数据技术(陕西)有限公司</t>
  </si>
  <si>
    <t>沭阳惠联信息技术有限公司</t>
  </si>
  <si>
    <t>沭阳畅盈科技信息技术有限公司</t>
  </si>
  <si>
    <t>河北玳邦科技有限公司</t>
  </si>
  <si>
    <t>河北雄安沃美影城有限公司</t>
  </si>
  <si>
    <t>洛阳沃美影院有限公司</t>
  </si>
  <si>
    <t>济南沃影文化传播有限公司第一分公司</t>
  </si>
  <si>
    <t>浙江天猫供应链管理有限公司</t>
  </si>
  <si>
    <t>浙江天猫技术有限公司</t>
  </si>
  <si>
    <t>浙江小满立胜信息科技有限公司</t>
  </si>
  <si>
    <t>浙江微能科技股份有限公司</t>
  </si>
  <si>
    <t>浙江艾克斯精灵人工智能科技有限公司</t>
  </si>
  <si>
    <t>海南豹趣科技有限公司</t>
  </si>
  <si>
    <t>淄博沃影文化传播有限公司</t>
  </si>
  <si>
    <t>深圳依时货拉拉科技有限公司</t>
  </si>
  <si>
    <t>深圳创酷互动信息技术有限公司</t>
  </si>
  <si>
    <t>深圳市博宽网络科技有限公司</t>
  </si>
  <si>
    <t>深圳市奈雪餐饮管理有限公司</t>
  </si>
  <si>
    <t>深圳市年年卡网络科技有限公司</t>
  </si>
  <si>
    <t>深圳市智法通信息技术有限公司</t>
  </si>
  <si>
    <t>深圳市柚游信息技术有限公司</t>
  </si>
  <si>
    <t>深圳市渡渡鸟网络科技有限公司</t>
  </si>
  <si>
    <t>深圳市维缇网络科技有限公司</t>
  </si>
  <si>
    <t>深圳市脸萌科技有限公司</t>
  </si>
  <si>
    <t>深圳市腾讯天游科技有限公司</t>
  </si>
  <si>
    <t>深圳市腾讯计算机系统有限公司</t>
  </si>
  <si>
    <t>武汉福禄传媒有限公司第一分公司</t>
  </si>
  <si>
    <t>深圳市迅雷网络技术有限公司</t>
  </si>
  <si>
    <t>深圳心慧科技有限公司</t>
  </si>
  <si>
    <t>深圳美西西餐饮管理有限公司</t>
  </si>
  <si>
    <t>深圳高竞文化传媒有限公司</t>
  </si>
  <si>
    <t>深圳麟可科技有限公司</t>
  </si>
  <si>
    <t>温州创想网络科技有限公司</t>
  </si>
  <si>
    <t>温州耀扬网络科技有限公司</t>
  </si>
  <si>
    <t>湖北喆胡信息技术有限公司</t>
  </si>
  <si>
    <t>湖北巨量引擎科技有限公司</t>
  </si>
  <si>
    <t>湖北异想天开生物科技有限公司</t>
  </si>
  <si>
    <t>湖北长江银兴影院管理有限责任公司</t>
  </si>
  <si>
    <t>湖南快乐阳光互动娱乐传媒有限公司</t>
  </si>
  <si>
    <t>滴滴出行(北京)网络平台技术有限公司</t>
  </si>
  <si>
    <t>火光摇曳教育科技(深圳)有限公司</t>
  </si>
  <si>
    <t>环胜电子商务(上海)有限公司</t>
  </si>
  <si>
    <t>珠海今日传媒有限公司</t>
  </si>
  <si>
    <t>瑞幸咖啡(中国)有限公司</t>
  </si>
  <si>
    <t>福州凌华网络科技有限公司</t>
  </si>
  <si>
    <t>福州朴朴电子商务有限公司</t>
  </si>
  <si>
    <t>福建易惠众益信息科技有限公司</t>
  </si>
  <si>
    <t>福建网龙计算机网络信息技术有限公司</t>
  </si>
  <si>
    <t>耐克商业(中国)有限公司</t>
  </si>
  <si>
    <t>英皇电影城(北京)有限公司</t>
  </si>
  <si>
    <t>薯鸿文化传媒(上海)有限公司</t>
  </si>
  <si>
    <t>武汉福禄传媒有限公司第二分公司</t>
  </si>
  <si>
    <t>蜂助手股份有限公司</t>
  </si>
  <si>
    <t>西安沃影文化传播有限公司浐灞分公司</t>
  </si>
  <si>
    <t>西安沃美影院有限公司未央分公司</t>
  </si>
  <si>
    <t>西安瑜乐文化科技股份有限公司</t>
  </si>
  <si>
    <t>西安皑鸥软件科技有限公司</t>
  </si>
  <si>
    <t>西安盛行网络科技有限公司</t>
  </si>
  <si>
    <t>财付通支付科技有限公司</t>
  </si>
  <si>
    <t>资和信电子支付有限公司</t>
  </si>
  <si>
    <t>赛韵网络科技(上海)有限公司</t>
  </si>
  <si>
    <t>连云港坤一数字科技有限责任公司</t>
  </si>
  <si>
    <t>邓杰萍</t>
  </si>
  <si>
    <t>郑州帅雄网络科技有限公司</t>
  </si>
  <si>
    <t>重庆世聚广源影院有限责任公司</t>
  </si>
  <si>
    <t>重庆世聚广源影院有限责任公司九龙坡分公司</t>
  </si>
  <si>
    <t>重庆亿奇达网络科技有限公司</t>
  </si>
  <si>
    <t>重庆剧迷网络科技有限公司</t>
  </si>
  <si>
    <t>重庆贰叁伍科技有限责任公司</t>
  </si>
  <si>
    <t>金拱门(中国)有限公司</t>
  </si>
  <si>
    <t>银盛通信有限公司</t>
  </si>
  <si>
    <t>银联商务支付股份有限公司江苏分公司</t>
  </si>
  <si>
    <t>长沙可近网络科技有限公司</t>
  </si>
  <si>
    <t>长沙影辰互娱文化传媒有限公司</t>
  </si>
  <si>
    <t>长沙星合网络科技有限公司</t>
  </si>
  <si>
    <t>长沙沃美影城有限责任公司</t>
  </si>
  <si>
    <t>长沙瑞联互动数码科技有限公司</t>
  </si>
  <si>
    <t>阡陌数字信息科技(南京)有限公司</t>
  </si>
  <si>
    <t>际扬信息科技有限公司</t>
  </si>
  <si>
    <t>陕西佳之易网络科技有限公司</t>
  </si>
  <si>
    <t>陕西网之聚网络科技有限公司</t>
  </si>
  <si>
    <t>雷神(武汉)网络技术有限公司</t>
  </si>
  <si>
    <t>青岛沃美文化传播有限公司</t>
  </si>
  <si>
    <t>青岛腾跃鑫鸿网络科技有限公司</t>
  </si>
  <si>
    <t>飞狐信息技术(天津)有限公司</t>
  </si>
  <si>
    <t>馨欣信息技术(西安)有限公司</t>
  </si>
  <si>
    <t>联通沃支付</t>
  </si>
  <si>
    <t>中国邮政储蓄银行股份有限公司浙江省分行</t>
  </si>
  <si>
    <t>北京豪腾创想科技有限公司</t>
  </si>
  <si>
    <t>广州奇票信息技术有限公司</t>
  </si>
  <si>
    <t>北京亿美软通科技有限公司</t>
  </si>
  <si>
    <t>福建博士通信息股份有限公司</t>
  </si>
  <si>
    <t>上海优铭云计算有限公司</t>
  </si>
  <si>
    <t>浙江三子智联科技有限公司</t>
  </si>
  <si>
    <t>腾讯音乐娱乐(深圳)有限公司</t>
  </si>
  <si>
    <t>上海小度人工智能有限公司</t>
  </si>
  <si>
    <t>小计</t>
  </si>
  <si>
    <t>BI</t>
  </si>
  <si>
    <t>差异</t>
  </si>
  <si>
    <t>值</t>
  </si>
  <si>
    <t>是否关联客户</t>
  </si>
  <si>
    <t>非关联</t>
  </si>
  <si>
    <t>求和项:含税差额收入汇总</t>
  </si>
  <si>
    <t>日期</t>
  </si>
  <si>
    <t>订单类型</t>
  </si>
  <si>
    <t>公司</t>
  </si>
  <si>
    <t>店铺名称加平台</t>
  </si>
  <si>
    <t>简称</t>
  </si>
  <si>
    <t>客户</t>
  </si>
  <si>
    <t>供应商</t>
  </si>
  <si>
    <t>是否关联供应商</t>
  </si>
  <si>
    <t>核算类型或返点类型</t>
  </si>
  <si>
    <t>eas科目</t>
  </si>
  <si>
    <t>科目名称</t>
  </si>
  <si>
    <t>含税销售额</t>
  </si>
  <si>
    <t>第三方+张家港农商行mall</t>
  </si>
  <si>
    <t>mall商城</t>
  </si>
  <si>
    <t>江苏张家港农村商业银行股份有限公司</t>
  </si>
  <si>
    <t>总额</t>
  </si>
  <si>
    <t>6001.01.01</t>
  </si>
  <si>
    <t>销售收入-6%</t>
  </si>
  <si>
    <t>第三方+API支付宝蚂蚁会员</t>
  </si>
  <si>
    <t>支付宝小程序</t>
  </si>
  <si>
    <t>净额</t>
  </si>
  <si>
    <t>寄售收入</t>
  </si>
  <si>
    <t>支付宝小程序+蜂鸟金币商城</t>
  </si>
  <si>
    <t>上海蜂鸟即配信息科技有限公司</t>
  </si>
  <si>
    <t>第三方+聚惠浙江自营商城</t>
  </si>
  <si>
    <t>第三方平台</t>
  </si>
  <si>
    <t>中国工商银行股份有限公司浙江省分行</t>
  </si>
  <si>
    <t>第三方+联通沃支付</t>
  </si>
  <si>
    <t>沃百富信息科技(天津)有限公司</t>
  </si>
  <si>
    <t>含税采购成本</t>
  </si>
  <si>
    <t>含税差额收入</t>
  </si>
  <si>
    <t>XCHLW-YWRZDZDBM-20250716-00001</t>
  </si>
  <si>
    <t>福禄开放平台</t>
  </si>
  <si>
    <t>关联</t>
  </si>
  <si>
    <t>XCFL-YWRZDZDBM-20250722-00001</t>
  </si>
  <si>
    <t>天猫+福禄网络旗舰店</t>
  </si>
  <si>
    <t>天猫</t>
  </si>
  <si>
    <t>FLCM-YWRZDZDBM-20250805-00005</t>
  </si>
  <si>
    <t>微信+福禄电影微信小程序</t>
  </si>
  <si>
    <t>微信</t>
  </si>
  <si>
    <t>快手+福禄电影票</t>
  </si>
  <si>
    <t>快手</t>
  </si>
  <si>
    <t>成都快购科技有限公司</t>
  </si>
  <si>
    <t>快手+快手福禄生活卡券</t>
  </si>
  <si>
    <t>抖音小店+传媒二分电影抖店</t>
  </si>
  <si>
    <t>抖音</t>
  </si>
  <si>
    <t>抖音支付科技有限公司</t>
  </si>
  <si>
    <t>联联周边游信息技术有限公司</t>
  </si>
  <si>
    <t>FLCM-YWRZDZDBM-20250804-00003</t>
  </si>
  <si>
    <t>FLCM-YWRZDZDBM-20250805-00008</t>
  </si>
  <si>
    <t>WHLS-YWRZDZDBM-20250724-00001</t>
  </si>
  <si>
    <t>抖音+喜马拉雅抖音</t>
  </si>
  <si>
    <t>北京有竹居网络技术有限公司</t>
  </si>
  <si>
    <t>WHFL-YWRZDZDBM-20250805-00005</t>
  </si>
  <si>
    <t>京东科技信息技术有限公司</t>
  </si>
  <si>
    <t>(空白)</t>
  </si>
  <si>
    <t>XCFL-YWRZDZDBM-20250725-00001</t>
  </si>
  <si>
    <t>京东+剪映旗舰店</t>
  </si>
  <si>
    <t>京东</t>
  </si>
  <si>
    <t>江苏京东旭科信息技术有限公司</t>
  </si>
  <si>
    <t>XCHLW-YWRZDZDBM-20250731-00001</t>
  </si>
  <si>
    <t>XCHLW-YWRZDZDBM-20250805-00002</t>
  </si>
  <si>
    <t>6401.01.01</t>
  </si>
  <si>
    <t>销售成本-6%</t>
  </si>
  <si>
    <t>XCHLW-YWRZDZDBM-20250721-00001</t>
  </si>
  <si>
    <t>XCFL-YWRZDZDBM-20250721-00002</t>
  </si>
  <si>
    <t>XCHLW-YWRZDZDBM-20250806-00002</t>
  </si>
  <si>
    <t>厦门好慷家政服务有限公司</t>
  </si>
  <si>
    <t>XCFL-YWRZDZDBM-20250806-00002</t>
  </si>
  <si>
    <t>XCHLW-YWRZDZDBM-20250806-00001</t>
  </si>
  <si>
    <t>XCFL-YWRZDZDBM-20250729-00002</t>
  </si>
  <si>
    <t>6401.01.03</t>
  </si>
  <si>
    <t>销售成本-13%</t>
  </si>
  <si>
    <t>XCHLW-YWRZDZDBM-20250716-00002</t>
  </si>
  <si>
    <t>WHFL-YWRZDZDBM-20250805-00004</t>
  </si>
  <si>
    <t>生活权益达人内部自制权益</t>
  </si>
  <si>
    <t>沭阳葫芦娃网络科技有限公司</t>
  </si>
  <si>
    <t>XCHLW-YWRZDZDBM-20250805-00001</t>
  </si>
  <si>
    <t>天猫+天猫益禾堂旗舰店</t>
  </si>
  <si>
    <t>京东+京东益禾堂旗舰店</t>
  </si>
  <si>
    <t>XCHLW-YWRZDZDBM-20250806-00003</t>
  </si>
  <si>
    <t>XCFL-YWRZDZDBM-20250731-00001</t>
  </si>
  <si>
    <t>WHLS-YWRZDZDBM-20250725-00009</t>
  </si>
  <si>
    <t>XCFL-YWRZDZDBM-20250805-00006</t>
  </si>
  <si>
    <t>XCFL-YWRZDZDBM-20250717-00001</t>
  </si>
  <si>
    <t>XCFL-YWRZDZDBM-20250724-00001</t>
  </si>
  <si>
    <t>XCFL-YWRZDZDBM-20250715-00001</t>
  </si>
  <si>
    <t>WHSK-YWRZDZDBM-20250724-00001</t>
  </si>
  <si>
    <t>抖音+抖音剪映会员旗舰店</t>
  </si>
  <si>
    <t>XCFL-YWRZDZDBM-20250717-00002</t>
  </si>
  <si>
    <t>XCFL-YWRZDZDBM-20250801-00002</t>
  </si>
  <si>
    <t>XCFL-YWRZDZDBM-20250728-00001</t>
  </si>
  <si>
    <t>有巢住房租赁(深圳)有限公司</t>
  </si>
  <si>
    <t>XCFL-YWRZDZDBM-20250804-00005</t>
  </si>
  <si>
    <t>第三方+中国国际航空</t>
  </si>
  <si>
    <t>中国国际航空股份有限公司</t>
  </si>
  <si>
    <t>XCFL-YWRZDZDBM-20250804-00006</t>
  </si>
  <si>
    <t>第三方+平安新商城O2O</t>
  </si>
  <si>
    <t>平安银行股份有限公司</t>
  </si>
  <si>
    <t>KSYQW-YWRZDZDBM-20250718-00001</t>
  </si>
  <si>
    <t>上海分互链信息技术有限公司</t>
  </si>
  <si>
    <t>WHFL-YWRZDZDBM-20250728-00001</t>
  </si>
  <si>
    <t>第三方+福禄会员充值</t>
  </si>
  <si>
    <t>XCFL-YWRZDZDBM-20250729-00001</t>
  </si>
  <si>
    <t>FLCM-YWRZDZDBM-20250805-00009</t>
  </si>
  <si>
    <t>HZFZLZ-YWRZDZDBM-20250805-00001</t>
  </si>
  <si>
    <t>XCFL-YWRZDZDBM-20250806-00001</t>
  </si>
  <si>
    <t>XCFL-YWRZDZDBM-20250722-00004</t>
  </si>
  <si>
    <t>XCFL-YWRZDZDBM-20250722-00003</t>
  </si>
  <si>
    <t>FJFL-YWRZDZDBM-20250806-00001</t>
  </si>
  <si>
    <t>SYFY-YWRZDZDBM-20250804-00001</t>
  </si>
  <si>
    <t>SYFL-YWRZDZDBM-20250708-00001</t>
  </si>
  <si>
    <t>XCFL-YWRZDZDBM-20250728-00002</t>
  </si>
  <si>
    <t>XCFL-YWRZDZDBM-20250731-00002</t>
  </si>
  <si>
    <t>FJFL-YWRZDZDBM-20250804-00001</t>
  </si>
  <si>
    <t>XCFL-YWRZDZDBM-20250805-00005</t>
  </si>
  <si>
    <t>第三方+农行信用卡积分商城</t>
  </si>
  <si>
    <t>中国农业银行股份有限公司北京海淀东区支行</t>
  </si>
  <si>
    <t>XCFL-YWRZDZDBM-20250805-00001</t>
  </si>
  <si>
    <t>第三方+山姆</t>
  </si>
  <si>
    <t>沃尔玛(中国)投资有限公司</t>
  </si>
  <si>
    <t>XCFL-YWRZDZDBM-20250804-00002</t>
  </si>
  <si>
    <t>三六零科技集团有限公司</t>
  </si>
  <si>
    <t>XCFL-YWRZDZDBM-20250804-00008</t>
  </si>
  <si>
    <t>第三方+广发商城腾讯视频旗舰店</t>
  </si>
  <si>
    <t>广发银行股份有限公司信用卡中心</t>
  </si>
  <si>
    <t>第三方+新广发商城</t>
  </si>
  <si>
    <t>WHTS-YWRZDZDBM-20250804-00001</t>
  </si>
  <si>
    <t>武汉杰宇鑫科技有限公司</t>
  </si>
  <si>
    <t>武汉融商创银科技有限公司</t>
  </si>
  <si>
    <t>苏州智享微客数据科技有限公司</t>
  </si>
  <si>
    <t>昆仑赤霄科技(武汉)有限公司</t>
  </si>
  <si>
    <t>灵时云(苏州)信息科技有限公司</t>
  </si>
  <si>
    <t>JXFL-YWRZDZDBM-20250804-00002</t>
  </si>
  <si>
    <t>上饶元游网络科技有限公司</t>
  </si>
  <si>
    <t>JXFL-YWRZDZDBM-20250806-00001</t>
  </si>
  <si>
    <t>抖音+江西福禄充值雷神专卖店</t>
  </si>
  <si>
    <t>JXFL-YWRZDZDBM-20250807-00001</t>
  </si>
  <si>
    <t>快手+江西福禄游戏充值</t>
  </si>
  <si>
    <t>JXFL-YWRZDZDBM-20250807-00002</t>
  </si>
  <si>
    <t>抖音+游戏数字娱乐店</t>
  </si>
  <si>
    <t>JXFL-YWRZDZDBM-20250806-00003</t>
  </si>
  <si>
    <t>JXFL-YWRZDZDBM-20250806-00002</t>
  </si>
  <si>
    <t>SYFL-YWRZDZDBM-20250805-00001</t>
  </si>
  <si>
    <t>XCFL-YWRZDZDBM-20250721-00003</t>
  </si>
  <si>
    <t>SYFL-YWRZDZDBM-20250806-00001</t>
  </si>
  <si>
    <t>XCFL-YWRZDZDBM-20250725-00003</t>
  </si>
  <si>
    <t>XCFL-YWRZDZDBM-20250723-00002</t>
  </si>
  <si>
    <t>长沙雷电云网络科技有限公司</t>
  </si>
  <si>
    <t>FLFY-YWRZDZDBM-20250804-00001</t>
  </si>
  <si>
    <t>京东+腾讯游戏旗舰店福佑</t>
  </si>
  <si>
    <t>XCFL-YWRZDZDBM-20250724-00002</t>
  </si>
  <si>
    <t>天猫+腾讯游戏旗舰</t>
  </si>
  <si>
    <t>XCFL-YWRZDZDBM-20250801-00001</t>
  </si>
  <si>
    <t>京东+腾讯游戏旗舰店</t>
  </si>
  <si>
    <t>XCFL-YWRZDZDBM-20250723-00003</t>
  </si>
  <si>
    <t>XJHLW-YWRZDZDBM-20250806-00001</t>
  </si>
  <si>
    <t>卡密</t>
  </si>
  <si>
    <t>直储</t>
  </si>
  <si>
    <t>organize_name</t>
  </si>
  <si>
    <t>goods_category_name</t>
  </si>
  <si>
    <t>实际供应商往来全称</t>
  </si>
  <si>
    <t>求和项:含税销售价</t>
  </si>
  <si>
    <t>求和项:tax_cost_amount</t>
  </si>
  <si>
    <t>京东+京东自营-爱奇艺兑换券</t>
  </si>
  <si>
    <t>北京京东世纪贸易有限公司</t>
  </si>
  <si>
    <t>中国民生银行股份有限公司长沙分行工会委员会</t>
  </si>
  <si>
    <t>上海浦东文化传媒有限公司</t>
  </si>
  <si>
    <t>天猫+喜马拉雅FM旗舰店</t>
  </si>
  <si>
    <t>天猫+福禄网游数卡专营店</t>
  </si>
  <si>
    <t>天猫+剪映旗舰店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</si>
</sst>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43" fontId="1" fillId="0" borderId="0" xfId="1" applyFont="1">
      <alignment vertical="center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3" fontId="2" fillId="0" borderId="0" xfId="1" applyFont="1" applyAlignment="1">
      <alignment vertical="center" wrapText="1"/>
    </xf>
    <xf numFmtId="43" fontId="2" fillId="0" borderId="0" xfId="1" applyFont="1">
      <alignment vertical="center"/>
    </xf>
    <xf numFmtId="0" fontId="1" fillId="2" borderId="0" xfId="0" applyFont="1" applyFill="1">
      <alignment vertical="center"/>
    </xf>
    <xf numFmtId="43" fontId="1" fillId="2" borderId="0" xfId="1" applyFont="1" applyFill="1">
      <alignment vertical="center"/>
    </xf>
    <xf numFmtId="43" fontId="0" fillId="0" borderId="0" xfId="1">
      <alignment vertical="center"/>
    </xf>
    <xf numFmtId="176" fontId="2" fillId="3" borderId="0" xfId="0" applyNumberFormat="1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43" fontId="2" fillId="3" borderId="0" xfId="1" applyFont="1" applyFill="1">
      <alignment vertical="center"/>
    </xf>
    <xf numFmtId="43" fontId="1" fillId="0" borderId="0" xfId="1" applyNumberFormat="1" applyFont="1">
      <alignment vertical="center"/>
    </xf>
    <xf numFmtId="0" fontId="2" fillId="0" borderId="0" xfId="0" applyFont="1" applyAlignment="1">
      <alignment vertical="center"/>
    </xf>
    <xf numFmtId="43" fontId="2" fillId="0" borderId="0" xfId="1" applyFont="1" applyFill="1">
      <alignment vertical="center"/>
    </xf>
    <xf numFmtId="0" fontId="2" fillId="4" borderId="0" xfId="0" applyFont="1" applyFill="1">
      <alignment vertical="center"/>
    </xf>
    <xf numFmtId="43" fontId="2" fillId="4" borderId="0" xfId="1" applyFont="1" applyFill="1">
      <alignment vertical="center"/>
    </xf>
    <xf numFmtId="176" fontId="2" fillId="5" borderId="0" xfId="0" applyNumberFormat="1" applyFont="1" applyFill="1" applyAlignment="1">
      <alignment horizontal="left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left" vertical="center"/>
    </xf>
    <xf numFmtId="43" fontId="2" fillId="5" borderId="0" xfId="1" applyFont="1" applyFill="1">
      <alignment vertical="center"/>
    </xf>
    <xf numFmtId="0" fontId="2" fillId="6" borderId="0" xfId="0" applyFont="1" applyFill="1">
      <alignment vertical="center"/>
    </xf>
    <xf numFmtId="43" fontId="2" fillId="6" borderId="0" xfId="1" applyFont="1" applyFill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43" fontId="0" fillId="3" borderId="0" xfId="1" applyFill="1">
      <alignment vertical="center"/>
    </xf>
    <xf numFmtId="0" fontId="0" fillId="2" borderId="0" xfId="0" applyFill="1">
      <alignment vertical="center"/>
    </xf>
    <xf numFmtId="43" fontId="0" fillId="2" borderId="0" xfId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6.9571875" refreshedBy="Administrator" recordCount="78">
  <cacheSource type="worksheet">
    <worksheetSource ref="A1:Q79" sheet="内部POP"/>
  </cacheSource>
  <cacheFields count="17">
    <cacheField name="日期" numFmtId="176">
      <sharedItems containsSemiMixedTypes="0" containsString="0" containsNonDate="0" containsDate="1" minDate="2025-07-01T00:00:00" maxDate="2025-07-31T00:00:00" count="21">
        <d v="2025-07-22T00:00:00"/>
        <d v="2025-07-23T00:00:00"/>
        <d v="2025-07-15T00:00:00"/>
        <d v="2025-07-02T00:00:00"/>
        <d v="2025-07-28T00:00:00"/>
        <d v="2025-07-24T00:00:00"/>
        <d v="2025-07-25T00:00:00"/>
        <d v="2025-07-17T00:00:00"/>
        <d v="2025-07-18T00:00:00"/>
        <d v="2025-07-04T00:00:00"/>
        <d v="2025-07-31T00:00:00"/>
        <d v="2025-07-30T00:00:00"/>
        <d v="2025-07-16T00:00:00"/>
        <d v="2025-07-08T00:00:00"/>
        <d v="2025-07-03T00:00:00"/>
        <d v="2025-07-14T00:00:00"/>
        <d v="2025-07-26T00:00:00"/>
        <d v="2025-07-01T00:00:00"/>
        <d v="2025-07-07T00:00:00"/>
        <d v="2025-07-10T00:00:00"/>
        <d v="2025-07-21T00:00:00"/>
      </sharedItems>
    </cacheField>
    <cacheField name="数据源" numFmtId="0">
      <sharedItems count="1">
        <s v="内部POP手工订单"/>
      </sharedItems>
    </cacheField>
    <cacheField name="订单类型" numFmtId="0">
      <sharedItems count="1">
        <s v="内部POP手工订单"/>
      </sharedItems>
    </cacheField>
    <cacheField name="公司" numFmtId="0">
      <sharedItems count="3">
        <s v="西藏福禄网络科技有限公司"/>
        <s v="西藏葫芦娃网络科技有限公司"/>
        <s v="武汉福禄网络科技有限公司"/>
      </sharedItems>
    </cacheField>
    <cacheField name="店铺名称加平台" numFmtId="0">
      <sharedItems count="6">
        <s v="天猫+福禄网络旗舰店"/>
        <s v="京东+京东自营-爱奇艺兑换券"/>
        <s v="福禄开放平台"/>
        <s v="天猫+喜马拉雅FM旗舰店"/>
        <s v="天猫+福禄网游数卡专营店"/>
        <s v="天猫+剪映旗舰店"/>
      </sharedItems>
    </cacheField>
    <cacheField name="简称" numFmtId="0">
      <sharedItems count="3">
        <s v="天猫"/>
        <s v="京东"/>
        <s v="福禄开放平台"/>
      </sharedItems>
    </cacheField>
    <cacheField name="客户" numFmtId="0">
      <sharedItems containsBlank="1" count="5">
        <s v="支付宝(中国)网络技术有限公司"/>
        <m/>
        <s v="北京京东世纪贸易有限公司"/>
        <s v="中国民生银行股份有限公司长沙分行工会委员会"/>
        <s v="上海浦东文化传媒有限公司"/>
      </sharedItems>
    </cacheField>
    <cacheField name="是否关联客户" numFmtId="0">
      <sharedItems count="1">
        <s v="非关联"/>
      </sharedItems>
    </cacheField>
    <cacheField name="商品大类" numFmtId="0">
      <sharedItems count="2">
        <s v="卡券"/>
        <s v="网娱"/>
      </sharedItems>
    </cacheField>
    <cacheField name="供应商" numFmtId="0">
      <sharedItems count="11">
        <s v="沭阳福禄网络科技有限公司"/>
        <s v="上海宽娱数码科技有限公司"/>
        <s v="杭州福之禄至信息技术有限公司"/>
        <s v="武汉立硕科技有限公司"/>
        <s v="开放平台供应商"/>
        <s v="深圳市脸萌科技有限公司"/>
        <s v="西藏葫芦娃网络科技有限公司"/>
        <s v="西藏福禄网络科技有限公司"/>
        <s v="瑞幸咖啡(中国)有限公司"/>
        <s v="南京飞翰网络科技有限公司"/>
        <s v="深圳市腾讯计算机系统有限公司"/>
      </sharedItems>
    </cacheField>
    <cacheField name="是否关联供应商" numFmtId="0">
      <sharedItems count="2">
        <s v="关联"/>
        <s v="非关联"/>
      </sharedItems>
    </cacheField>
    <cacheField name="核算类型或返点类型" numFmtId="0">
      <sharedItems count="2">
        <s v="总额"/>
        <s v="净额"/>
      </sharedItems>
    </cacheField>
    <cacheField name="eas科目" numFmtId="0">
      <sharedItems containsNumber="1" containsMixedTypes="1" count="2">
        <s v="6001.01.01"/>
        <n v="6001.02"/>
      </sharedItems>
    </cacheField>
    <cacheField name="科目名称" numFmtId="0">
      <sharedItems count="2">
        <s v="销售收入-6%"/>
        <s v="寄售收入"/>
      </sharedItems>
    </cacheField>
    <cacheField name="含税销售额" numFmtId="43">
      <sharedItems containsSemiMixedTypes="0" containsString="0" containsNumber="1" minValue="0" maxValue="78660" count="40">
        <n v="1152"/>
        <n v="0"/>
        <n v="27170"/>
        <n v="2800"/>
        <n v="560"/>
        <n v="78660"/>
        <n v="1120"/>
        <n v="185"/>
        <n v="2212"/>
        <n v="32"/>
        <n v="329"/>
        <n v="2136"/>
        <n v="552"/>
        <n v="767"/>
        <n v="3400.8"/>
        <n v="154"/>
        <n v="250.2"/>
        <n v="350"/>
        <n v="26"/>
        <n v="200"/>
        <n v="864"/>
        <n v="380"/>
        <n v="690"/>
        <n v="115"/>
        <n v="96"/>
        <n v="450"/>
        <n v="76"/>
        <n v="1205"/>
        <n v="3526"/>
        <n v="1451"/>
        <n v="432"/>
        <n v="2408"/>
        <n v="280"/>
        <n v="90"/>
        <n v="45"/>
        <n v="720"/>
        <n v="500"/>
        <n v="94"/>
        <n v="312"/>
        <n v="323"/>
      </sharedItems>
    </cacheField>
    <cacheField name="含税采购成本" numFmtId="43">
      <sharedItems containsSemiMixedTypes="0" containsString="0" containsNumber="1" minValue="0" maxValue="69427.8" count="69">
        <n v="1144.83"/>
        <n v="232"/>
        <n v="315.9"/>
        <n v="116"/>
        <n v="222.09"/>
        <n v="129.5"/>
        <n v="18232.5"/>
        <n v="2411.75"/>
        <n v="482.35"/>
        <n v="69427.8"/>
        <n v="964.7"/>
        <n v="129"/>
        <n v="1791.72"/>
        <n v="28"/>
        <n v="216"/>
        <n v="1790.2"/>
        <n v="393.3"/>
        <n v="498.1"/>
        <n v="3007.37"/>
        <n v="130.9"/>
        <n v="211.5"/>
        <n v="312"/>
        <n v="21"/>
        <n v="72.9"/>
        <n v="14.4"/>
        <n v="77.4"/>
        <n v="164"/>
        <n v="615.6"/>
        <n v="228"/>
        <n v="625"/>
        <n v="90"/>
        <n v="84"/>
        <n v="283.5"/>
        <n v="61.2"/>
        <n v="25.8"/>
        <n v="9.9"/>
        <n v="23"/>
        <n v="45.6"/>
        <n v="790.5"/>
        <n v="3345.6"/>
        <n v="341.1"/>
        <n v="49500"/>
        <n v="1451"/>
        <n v="244.8"/>
        <n v="307.8"/>
        <n v="2284.8"/>
        <n v="189"/>
        <n v="68"/>
        <n v="35.7"/>
        <n v="49490.1"/>
        <n v="48272.4"/>
        <n v="673.2"/>
        <n v="27"/>
        <n v="525"/>
        <n v="402"/>
        <n v="174"/>
        <n v="72"/>
        <n v="222.3"/>
        <n v="188.7"/>
        <n v="378"/>
        <n v="59.5"/>
        <n v="107.1"/>
        <n v="112"/>
        <n v="190.4"/>
        <n v="42"/>
        <n v="24.17"/>
        <n v="270.48"/>
        <n v="92"/>
        <n v="448.96"/>
      </sharedItems>
    </cacheField>
    <cacheField name="含税差额收入" numFmtId="43">
      <sharedItems containsSemiMixedTypes="0" containsString="0" containsNumber="1" minValue="-49500" maxValue="9232.2" count="68">
        <n v="7.17"/>
        <n v="-232"/>
        <n v="-315.9"/>
        <n v="-116"/>
        <n v="-222.09"/>
        <n v="-129.5"/>
        <n v="8937.5"/>
        <n v="388.25"/>
        <n v="77.65"/>
        <n v="9232.2"/>
        <n v="155.3"/>
        <n v="56"/>
        <n v="420.28"/>
        <n v="4"/>
        <n v="113"/>
        <n v="345.8"/>
        <n v="158.7"/>
        <n v="268.9"/>
        <n v="393.43"/>
        <n v="23.1"/>
        <n v="38.7"/>
        <n v="38"/>
        <n v="5"/>
        <n v="-72.9"/>
        <n v="-14.4"/>
        <n v="-77.4"/>
        <n v="36"/>
        <n v="248.4"/>
        <n v="152"/>
        <n v="65"/>
        <n v="25"/>
        <n v="12"/>
        <n v="166.5"/>
        <n v="-61.2"/>
        <n v="-25.8"/>
        <n v="-9.9"/>
        <n v="-23"/>
        <n v="30.4"/>
        <n v="414.5"/>
        <n v="180.4"/>
        <n v="-341.1"/>
        <n v="-49500"/>
        <n v="0"/>
        <n v="-244.8"/>
        <n v="124.2"/>
        <n v="123.2"/>
        <n v="91"/>
        <n v="22"/>
        <n v="9.3"/>
        <n v="-49490.1"/>
        <n v="-48272.4"/>
        <n v="-673.2"/>
        <n v="-27"/>
        <n v="195"/>
        <n v="98"/>
        <n v="26"/>
        <n v="89.7"/>
        <n v="134.3"/>
        <n v="182"/>
        <n v="-59.5"/>
        <n v="-107.1"/>
        <n v="-112"/>
        <n v="-190.4"/>
        <n v="-42"/>
        <n v="-24.17"/>
        <n v="-270.48"/>
        <n v="-92"/>
        <n v="-448.9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6.9768981481" refreshedBy="Administrator" recordCount="817">
  <cacheSource type="worksheet">
    <worksheetSource ref="A1:M818" sheet="zdy_20250812200038750_0"/>
  </cacheSource>
  <cacheFields count="13">
    <cacheField name="月份" numFmtId="14">
      <sharedItems containsSemiMixedTypes="0" containsString="0" containsNonDate="0" containsDate="1" minDate="2025-07-01T00:00:00" maxDate="2025-07-01T00:00:00" count="1">
        <d v="2025-07-01T00:00:00"/>
      </sharedItems>
    </cacheField>
    <cacheField name="供应商名称" numFmtId="0">
      <sharedItems containsBlank="1" count="302">
        <m/>
        <s v="一九零五(北京)网络科技有限公司"/>
        <s v="一璟科技信息服务(武汉)有限公司"/>
        <s v="万达电影股份有限公司"/>
        <s v="上海三快智送科技有限公司"/>
        <s v="上海临冠数据科技有限公司"/>
        <s v="上海十鹿信息技术有限公司"/>
        <s v="上海喜马拉雅科技有限公司"/>
        <s v="上海季积信息科技有限公司"/>
        <s v="上海宽娱数码科技有限公司"/>
        <s v="上海履冰科技有限公司"/>
        <s v="上海希越文化传播有限公司"/>
        <s v="上海普麦信息科技有限公司"/>
        <s v="上海汇畅网络科技有限公司"/>
        <s v="上海汇隆思贸易有限公司"/>
        <s v="上海海牙湾信息科技有限公司"/>
        <s v="上海淘票票影视文化有限公司"/>
        <s v="上海盒马网络科技有限公司"/>
        <s v="上海荟分信息科技有限公司"/>
        <s v="上海荣数信息技术有限公司"/>
        <s v="上海轩夸网络科技有限公司"/>
        <s v="上海钧丰网络科技有限公司"/>
        <s v="上海闪限网络科技有限公司"/>
        <s v="上海阅文信息技术有限公司"/>
        <s v="上海馥邑企业管理有限公司"/>
        <s v="东莞市达布嘉网络科技有限公司"/>
        <s v="东莞茄子网络科技有限公司"/>
        <s v="中国联合网络通信有限公司深圳市分公司"/>
        <s v="中国银联股份有限公司浙江分公司"/>
        <s v="中影影院投资有限公司"/>
        <s v="中智无线(北京)科技有限公司"/>
        <s v="丰巢网络技术有限公司"/>
        <s v="乐视新生代(北京)文化传媒有限公司"/>
        <s v="仁跃电子商务(上海)有限公司"/>
        <s v="优酷信息技术(北京)有限公司"/>
        <s v="内部自制权益供货"/>
        <s v="北京一击企服科技有限公司"/>
        <s v="北京三快在线科技有限公司"/>
        <s v="北京三快科技有限公司"/>
        <s v="北京京东世纪信息技术有限公司"/>
        <s v="北京京东叁佰陆拾度电子商务有限公司"/>
        <s v="北京优趣时光文化科技有限公司"/>
        <s v="北京儒意景秀网络科技有限公司"/>
        <s v="北京全时分享科技有限公司"/>
        <s v="北京卡路里科技有限公司"/>
        <s v="北京大麦文化传媒发展有限公司"/>
        <s v="北京字跳网络技术有限公司"/>
        <s v="北京小桔新能源汽车科技有限公司"/>
        <s v="北京度友科技有限公司"/>
        <s v="北京得到信息科技有限公司"/>
        <s v="北京悦途出行网络科技有限公司"/>
        <s v="北京易行出行旅游有限公司"/>
        <s v="北京春田知韵科技有限公司"/>
        <s v="北京智诚互娱科技有限公司"/>
        <s v="北京沃盈文化传播有限公司"/>
        <s v="北京沃美影业有限公司"/>
        <s v="北京沃美影业有限公司顺义分公司"/>
        <s v="北京沃美影城投资有限公司"/>
        <s v="北京爱奇艺科技有限公司"/>
        <s v="北京特特天地科技有限公司"/>
        <s v="北京翰斯特网络有限公司"/>
        <s v="北京耀莱国际影城管理有限公司"/>
        <s v="北京蜜莱坞网络科技有限公司"/>
        <s v="北京超城联创科技有限公司"/>
        <s v="北京钱袋宝支付技术有限公司"/>
        <s v="北京闲徕互娱网络科技有限公司"/>
        <s v="北京鲸叹号数娱科技有限公司"/>
        <s v="华为软件技术有限公司"/>
        <s v="南京六六猴信息科技有限公司"/>
        <s v="南京捷融数科科技有限公司"/>
        <s v="南京梦尚网络科技有限公司"/>
        <s v="南京梦澄网络科技有限公司"/>
        <s v="南京浦上信息科技有限公司"/>
        <s v="南京车小保信息科技有限公司"/>
        <s v="南京飞翰网络科技有限公司"/>
        <s v="南昌奥斯通商务服务有限公司"/>
        <s v="博纳电影院线有限公司"/>
        <s v="厦门沃购电子商务有限公司"/>
        <s v="厦门沐晓网络科技有限公司"/>
        <s v="古茗科技集团有限公司"/>
        <s v="合肥企好服企业服务有限公司"/>
        <s v="合肥易琼网络科技服务有限公司"/>
        <s v="合肥沃美影城管理有限公司包河分公司"/>
        <s v="周口蝉益行网络科技有限公司"/>
        <s v="咪咕视讯科技有限公司"/>
        <s v="嘉贝(咸宁)信息科技有限公司"/>
        <s v="四川云时网络科技有限公司"/>
        <s v="四川佳诺信息技术有限公司"/>
        <s v="四川太平洋影院管理有限公司"/>
        <s v="四川太平洋悦影科技有限公司"/>
        <s v="四川岁岁欢网络科技有限公司"/>
        <s v="四川征云网络科技有限公司"/>
        <s v="四川茶姬企业管理有限公司"/>
        <s v="四川蜀信致远企业管理咨询有限公司"/>
        <s v="四川迈向未来信息科技有限公司"/>
        <s v="四川通钱信息技术有限公司"/>
        <s v="四川速宝网络科技有限公司"/>
        <s v="夏阳阳"/>
        <s v="天津京鼎顺信息科技有限公司"/>
        <s v="天津博晟信息技术有限公司"/>
        <s v="天津星空乐游科技有限公司"/>
        <s v="天津欢喜数娱网络科技有限公司"/>
        <s v="天津沃美影院管理有限公司第一分公司"/>
        <s v="天津洪恩完美未来教育科技有限公司"/>
        <s v="天津猫眼微影科技有限公司"/>
        <s v="天津雅钧信息技术有限公司"/>
        <s v="奕新禾科技(深圳)有限公司"/>
        <s v="宁波沃美影城管理有限公司"/>
        <s v="安徽兑吧网络科技有限公司"/>
        <s v="安徽奇那梦信息科技有限公司"/>
        <s v="安徽易派网络科技有限公司"/>
        <s v="安徽酷尚信息科技有限公司"/>
        <s v="小番茄(广州)电子商务有限公司"/>
        <s v="山东亿点点文化传播有限公司"/>
        <s v="山东维娜信息技术有限公司"/>
        <s v="希杰希界维(上海)企业管理有限公司"/>
        <s v="常州市久诺通信科技有限公司"/>
        <s v="常州思微科技有限公司"/>
        <s v="广州丰兴信息科技有限公司"/>
        <s v="广州吉先信息科技有限公司"/>
        <s v="广州唯品会电子商务有限公司"/>
        <s v="广州埋堆堆科技有限公司"/>
        <s v="广州子轩网络科技有限公司"/>
        <s v="广州微算互联信息技术有限公司"/>
        <s v="广州极目未来文化科技有限公司"/>
        <s v="广州津虹网络传媒有限公司"/>
        <s v="广州车行易科技股份有限公司"/>
        <s v="广州骑安科技有限公司"/>
        <s v="广州鱼看海网络有限公司"/>
        <s v="广西抖动信息科技有限公司"/>
        <s v="库迪供应链(安徽)有限公司"/>
        <s v="开放平台供应商"/>
        <s v="徐德成"/>
        <s v="微梦创科网络科技(中国)有限公司"/>
        <s v="成都俊云科技有限公司"/>
        <s v="成都合理网络科技有限公司"/>
        <s v="成都巨量引擎信息技术有限公司"/>
        <s v="成都彦浩信息技术有限公司"/>
        <s v="成都极风权益网络科技有限公司"/>
        <s v="成都蓝色兄弟网络科技有限公司"/>
        <s v="承德幽暗城网络科技有限公司"/>
        <s v="承德韦惠网络科技有限公司"/>
        <s v="拉扎斯网络科技(上海)有限公司"/>
        <s v="掌阅科技股份有限公司"/>
        <s v="探探文化发展(北京)有限公司"/>
        <s v="支付宝(中国)网络技术有限公司"/>
        <s v="支付宝(杭州)信息技术有限公司"/>
        <s v="易点生活电子商务有限公司"/>
        <s v="杭州乐读科技有限公司"/>
        <s v="杭州今日头条科技有限公司"/>
        <s v="杭州八十度文化传媒有限公司"/>
        <s v="杭州加凡科技有限公司"/>
        <s v="杭州印鸽科技有限公司"/>
        <s v="杭州友电科技有限公司"/>
        <s v="杭州同袍网络科技有限公司"/>
        <s v="杭州哩塔网络技术有限公司"/>
        <s v="杭州弯流科技有限公司"/>
        <s v="杭州惠购文化传媒有限公司"/>
        <s v="杭州沃美影城有限公司"/>
        <s v="杭州淘票票科技有限公司"/>
        <s v="杭州瑞普科技有限公司"/>
        <s v="杭州纵横通信股份有限公司"/>
        <s v="杭州绍琨科技有限公司"/>
        <s v="杭州网易雷火科技有限公司"/>
        <s v="杭州胖果网络科技有限公司"/>
        <s v="杭州青奇科技有限公司"/>
        <s v="武汉一起游网络科技有限公司"/>
        <s v="武汉享全益网络科技有限公司"/>
        <s v="武汉京东世纪贸易有限公司"/>
        <s v="武汉凌迈科技有限公司"/>
        <s v="武汉华侨城实业发展有限公司"/>
        <s v="武汉大河有鱼网络科技有限公司"/>
        <s v="武汉小狮子网络科技有限公司"/>
        <s v="武汉岚廷科技有限公司"/>
        <s v="武汉巨犀网络科技有限公司"/>
        <s v="武汉市成超一心餐饮有限公司"/>
        <s v="武汉市谋邑网络信息科技有限公司"/>
        <s v="武汉市黄陂区盘龙城小游网络工作室"/>
        <s v="武汉德驰立方网络科技有限公司"/>
        <s v="武汉搜卡科技有限公司"/>
        <s v="武汉昌盛科技有限公司"/>
        <s v="武汉有生网络科技有限公司"/>
        <s v="武汉沃影影院管理有限公司"/>
        <s v="武汉泛海国际影城有限公司"/>
        <s v="武汉熠汇饮科技有限公司"/>
        <s v="武汉燃星科技有限公司"/>
        <s v="武汉瓯越网视有限公司"/>
        <s v="武汉畅玩互动网络科技有限公司"/>
        <s v="武汉禄影网络科技有限公司"/>
        <s v="武汉福游网络科技有限公司"/>
        <s v="武汉福禄传媒有限公司"/>
        <s v="武汉福禄网络科技有限公司"/>
        <s v="武汉网娱互动科技有限公司"/>
        <s v="武汉艾杜电子商务有限公司"/>
        <s v="武汉菠菠菜数字科技有限公司"/>
        <s v="武汉萌桃网络科技有限公司"/>
        <s v="武汉酷创全天科技有限公司"/>
        <s v="武汉青蓝紫文化科技有限公司"/>
        <s v="武汉鱼渊网络科技有限公司"/>
        <s v="永辉超市股份有限公司"/>
        <s v="汉庭星空(上海)酒店管理有限公司"/>
        <s v="汉海信息技术(上海)有限公司"/>
        <s v="江苏京东信息技术有限公司"/>
        <s v="江苏佰联数字科技有限公司"/>
        <s v="江苏咖点网络科技有限公司"/>
        <s v="江西福禄网络科技有限公司"/>
        <s v="沃熙数据技术(陕西)有限公司"/>
        <s v="沭阳惠联信息技术有限公司"/>
        <s v="沭阳畅盈科技信息技术有限公司"/>
        <s v="河北玳邦科技有限公司"/>
        <s v="河北雄安沃美影城有限公司"/>
        <s v="洛阳沃美影院有限公司"/>
        <s v="济南沃影文化传播有限公司第一分公司"/>
        <s v="浙江天猫供应链管理有限公司"/>
        <s v="浙江天猫技术有限公司"/>
        <s v="浙江小满立胜信息科技有限公司"/>
        <s v="浙江微能科技股份有限公司"/>
        <s v="浙江艾克斯精灵人工智能科技有限公司"/>
        <s v="海南豹趣科技有限公司"/>
        <s v="淄博沃影文化传播有限公司"/>
        <s v="深圳依时货拉拉科技有限公司"/>
        <s v="深圳创酷互动信息技术有限公司"/>
        <s v="深圳市博宽网络科技有限公司"/>
        <s v="深圳市奈雪餐饮管理有限公司"/>
        <s v="深圳市年年卡网络科技有限公司"/>
        <s v="深圳市智法通信息技术有限公司"/>
        <s v="深圳市柚游信息技术有限公司"/>
        <s v="深圳市渡渡鸟网络科技有限公司"/>
        <s v="深圳市维缇网络科技有限公司"/>
        <s v="深圳市脸萌科技有限公司"/>
        <s v="深圳市腾讯天游科技有限公司"/>
        <s v="深圳市腾讯计算机系统有限公司"/>
        <s v="深圳市迅雷网络技术有限公司"/>
        <s v="深圳心慧科技有限公司"/>
        <s v="深圳美西西餐饮管理有限公司"/>
        <s v="深圳高竞文化传媒有限公司"/>
        <s v="深圳麟可科技有限公司"/>
        <s v="温州创想网络科技有限公司"/>
        <s v="温州耀扬网络科技有限公司"/>
        <s v="湖北喆胡信息技术有限公司"/>
        <s v="湖北巨量引擎科技有限公司"/>
        <s v="湖北异想天开生物科技有限公司"/>
        <s v="湖北长江银兴影院管理有限责任公司"/>
        <s v="湖南快乐阳光互动娱乐传媒有限公司"/>
        <s v="滴滴出行(北京)网络平台技术有限公司"/>
        <s v="火光摇曳教育科技(深圳)有限公司"/>
        <s v="环胜电子商务(上海)有限公司"/>
        <s v="珠海今日传媒有限公司"/>
        <s v="瑞幸咖啡(中国)有限公司"/>
        <s v="福州凌华网络科技有限公司"/>
        <s v="福州朴朴电子商务有限公司"/>
        <s v="福建易惠众益信息科技有限公司"/>
        <s v="福建网龙计算机网络信息技术有限公司"/>
        <s v="耐克商业(中国)有限公司"/>
        <s v="英皇电影城(北京)有限公司"/>
        <s v="薯鸿文化传媒(上海)有限公司"/>
        <s v="蜂助手股份有限公司"/>
        <s v="西安沃影文化传播有限公司浐灞分公司"/>
        <s v="西安沃美影院有限公司未央分公司"/>
        <s v="西安瑜乐文化科技股份有限公司"/>
        <s v="西安皑鸥软件科技有限公司"/>
        <s v="西安盛行网络科技有限公司"/>
        <s v="西藏福禄网络科技有限公司"/>
        <s v="西藏葫芦娃网络科技有限公司"/>
        <s v="财付通支付科技有限公司"/>
        <s v="资和信电子支付有限公司"/>
        <s v="赛韵网络科技(上海)有限公司"/>
        <s v="连云港坤一数字科技有限责任公司"/>
        <s v="邓杰萍"/>
        <s v="郑州帅雄网络科技有限公司"/>
        <s v="重庆世聚广源影院有限责任公司"/>
        <s v="重庆世聚广源影院有限责任公司九龙坡分公司"/>
        <s v="重庆亿奇达网络科技有限公司"/>
        <s v="重庆剧迷网络科技有限公司"/>
        <s v="重庆贰叁伍科技有限责任公司"/>
        <s v="金拱门(中国)有限公司"/>
        <s v="银盛通信有限公司"/>
        <s v="银联商务支付股份有限公司江苏分公司"/>
        <s v="长沙可近网络科技有限公司"/>
        <s v="长沙影辰互娱文化传媒有限公司"/>
        <s v="长沙星合网络科技有限公司"/>
        <s v="长沙沃美影城有限责任公司"/>
        <s v="长沙瑞联互动数码科技有限公司"/>
        <s v="阡陌数字信息科技(南京)有限公司"/>
        <s v="际扬信息科技有限公司"/>
        <s v="陕西佳之易网络科技有限公司"/>
        <s v="陕西网之聚网络科技有限公司"/>
        <s v="雷神(武汉)网络技术有限公司"/>
        <s v="青岛沃美文化传播有限公司"/>
        <s v="青岛腾跃鑫鸿网络科技有限公司"/>
        <s v="飞狐信息技术(天津)有限公司"/>
        <s v="馨欣信息技术(西安)有限公司"/>
        <s v="联通沃支付"/>
        <s v="中国邮政储蓄银行股份有限公司浙江省分行"/>
        <s v="北京豪腾创想科技有限公司"/>
        <s v="广州奇票信息技术有限公司"/>
        <s v="北京亿美软通科技有限公司"/>
        <s v="福建博士通信息股份有限公司"/>
        <s v="上海优铭云计算有限公司"/>
        <s v="浙江三子智联科技有限公司"/>
        <s v="腾讯音乐娱乐(深圳)有限公司"/>
        <s v="上海小度人工智能有限公司"/>
      </sharedItems>
    </cacheField>
    <cacheField name="公司名称" numFmtId="0">
      <sharedItems count="27">
        <s v="武汉福禄网络科技有限公司"/>
        <s v="西藏福禄网络科技有限公司"/>
        <s v="武汉一起游网络科技有限公司"/>
        <s v="武汉搜卡科技有限公司"/>
        <s v="福建福禄网络科技有限公司"/>
        <s v="江西福禄网络科技有限公司"/>
        <s v="武汉福禄传媒有限公司"/>
        <s v="武汉福韵网络科技有限公司"/>
        <s v="喀什一起玩网络科技有限公司"/>
        <s v="武汉立硕科技有限公司"/>
        <s v="西藏葫芦娃网络科技有限公司"/>
        <s v="杭州福之禄至信息技术有限公司"/>
        <s v="武汉福禄供应链管理有限公司"/>
        <s v="新疆葫芦娃网络科技有限公司"/>
        <s v="沭阳福禄网络科技有限公司"/>
        <s v="武汉天识科技有限公司"/>
        <s v="武汉福禄信息科技有限公司"/>
        <s v="沭阳福云网络科技有限公司"/>
        <s v="武汉亿禄网络科技有限公司"/>
        <s v="福禄福擎网络科技有限公司"/>
        <s v="南京宏昇网络科技有限公司"/>
        <s v="福禄福佑网络科技有限公司"/>
        <s v="武汉福游网络科技有限公司"/>
        <s v="湖北氪金网络科技有限公司"/>
        <s v="灌南福禄网络科技有限公司"/>
        <s v="武汉福禄传媒有限公司第一分公司"/>
        <s v="武汉福禄传媒有限公司第二分公司"/>
      </sharedItems>
    </cacheField>
    <cacheField name="商品大类" numFmtId="0">
      <sharedItems count="6">
        <s v="卡券"/>
        <s v="手游"/>
        <s v="网娱"/>
        <s v="网游"/>
        <s v="生活服务"/>
        <s v="通信"/>
      </sharedItems>
    </cacheField>
    <cacheField name="返点" numFmtId="43">
      <sharedItems containsString="0" containsBlank="1" containsNumber="1" minValue="-500962.83" maxValue="1016424.43" count="51">
        <m/>
        <n v="104009.01"/>
        <n v="480"/>
        <n v="35003.89"/>
        <n v="479303.06"/>
        <n v="13970"/>
        <n v="13320.18"/>
        <n v="39.6"/>
        <n v="32680"/>
        <n v="775"/>
        <n v="32079.52"/>
        <n v="196900"/>
        <n v="59500.04"/>
        <n v="3032"/>
        <n v="312294.15"/>
        <n v="141827.96"/>
        <n v="1911"/>
        <n v="4901.8"/>
        <n v="998.9"/>
        <n v="470059.41"/>
        <n v="-20954.18"/>
        <n v="85917.41"/>
        <n v="1229.82"/>
        <n v="100190"/>
        <n v="76.95"/>
        <n v="580624.2"/>
        <n v="-457040.379999999"/>
        <n v="4500"/>
        <n v="15866.7"/>
        <n v="180000"/>
        <n v="101158.8"/>
        <n v="70104.6"/>
        <n v="168807.5"/>
        <n v="990"/>
        <n v="2334"/>
        <n v="34317.57"/>
        <n v="20714.51"/>
        <n v="28.8"/>
        <n v="199.08"/>
        <n v="35385.41"/>
        <n v="47541.41"/>
        <n v="626.36"/>
        <n v="107375.42"/>
        <n v="16069.33"/>
        <n v="70.52"/>
        <n v="1016424.43"/>
        <n v="430974.15"/>
        <n v="9758.75"/>
        <n v="-500962.83"/>
        <n v="146730"/>
        <n v="923752.64"/>
      </sharedItems>
    </cacheField>
    <cacheField name="调整后gmv" numFmtId="43">
      <sharedItems containsString="0" containsBlank="1" containsNumber="1" minValue="-893841.180555555" maxValue="233941826.597766" count="726">
        <n v="2325.2676"/>
        <n v="151754.245634619"/>
        <n v="306.6018"/>
        <n v="34.06"/>
        <n v="1192.41"/>
        <n v="26"/>
        <n v="1"/>
        <n v="9.3"/>
        <n v="407.2"/>
        <m/>
        <n v="105.489999999999"/>
        <n v="-13.323"/>
        <n v="49.78"/>
        <n v="98.74"/>
        <n v="60.1599999999999"/>
        <n v="89.3599999999999"/>
        <n v="7.5"/>
        <n v="32.32"/>
        <n v="28.54"/>
        <n v="3098.94"/>
        <n v="25061.813"/>
        <n v="9288.1"/>
        <n v="207017.52887"/>
        <n v="1494"/>
        <n v="50256.98"/>
        <n v="-2663.52"/>
        <n v="35"/>
        <n v="3.83146256"/>
        <n v="1471340.248"/>
        <n v="-150233.292"/>
        <n v="1311.936"/>
        <n v="432"/>
        <n v="3781.72"/>
        <n v="14.548"/>
        <n v="97.716"/>
        <n v="281.484"/>
        <n v="439401.049359272"/>
        <n v="3219.504"/>
        <n v="445100.7733"/>
        <n v="2237042.92949999"/>
        <n v="7817.69"/>
        <n v="141.92"/>
        <n v="5715.26"/>
        <n v="768"/>
        <n v="18711.68"/>
        <n v="1541.92"/>
        <n v="4319136.921"/>
        <n v="1318915.82"/>
        <n v="792"/>
        <n v="9330.2"/>
        <n v="1626.27"/>
        <n v="41889.45"/>
        <n v="241254.049999999"/>
        <n v="170406.7952"/>
        <n v="281.7"/>
        <n v="5795.77999998"/>
        <n v="5005.98"/>
        <n v="337074.726475239"/>
        <n v="178.45"/>
        <n v="2037.696"/>
        <n v="984489.808"/>
        <n v="498.75"/>
        <n v="1920.31166657"/>
        <n v="111.24"/>
        <n v="366666.64"/>
        <n v="16.3836"/>
        <n v="7565.684"/>
        <n v="1586.31"/>
        <n v="2318669.808"/>
        <n v="1731028.398"/>
        <n v="38728.26"/>
        <n v="1757.5"/>
        <n v="1313.746"/>
        <n v="22.32"/>
        <n v="449.3"/>
        <n v="-6732.35"/>
        <n v="14.7"/>
        <n v="3414234.169"/>
        <n v="4640.6455"/>
        <n v="2218.87"/>
        <n v="1273250.86067579"/>
        <n v="6190.1"/>
        <n v="42"/>
        <n v="51897.865"/>
        <n v="42.5"/>
        <n v="-42.5"/>
        <n v="77.7"/>
        <n v="16.5"/>
        <n v="1915.96"/>
        <n v="193712.6"/>
        <n v="2108.0683"/>
        <n v="20.4"/>
        <n v="-48.0086607600003"/>
        <n v="61092.8704999999"/>
        <n v="32.66"/>
        <n v="44332.79"/>
        <n v="20585.2359999999"/>
        <n v="4338.27"/>
        <n v="336792.62"/>
        <n v="592657.64"/>
        <n v="638047.049999999"/>
        <n v="268.32"/>
        <n v="1890"/>
        <n v="37.08"/>
        <n v="2530.98"/>
        <n v="24705.5"/>
        <n v="391.36"/>
        <n v="3611.52"/>
        <n v="5553.9"/>
        <n v="7608.9"/>
        <n v="9787.44"/>
        <n v="63"/>
        <n v="23284.24"/>
        <n v="4470.8"/>
        <n v="174948"/>
        <n v="315"/>
        <n v="27.7297"/>
        <n v="99.9995"/>
        <n v="388297.12"/>
        <n v="25010.0666"/>
        <n v="-16223"/>
        <n v="-19584.7049"/>
        <n v="664107.2236"/>
        <n v="2147788.31099881"/>
        <n v="943665.5663"/>
        <n v="4035.9999"/>
        <n v="185335.6001"/>
        <n v="6279.9184"/>
        <n v="36937.67"/>
        <n v="11505.78"/>
        <n v="12772345.1796"/>
        <n v="19550"/>
        <n v="38.6"/>
        <n v="139.2"/>
        <n v="6716.4"/>
        <n v="82893.5999999999"/>
        <n v="1.95"/>
        <n v="140"/>
        <n v="417.76"/>
        <n v="3.3"/>
        <n v="86278.29"/>
        <n v="556.5"/>
        <n v="-118.39"/>
        <n v="2940"/>
        <n v="13820.4"/>
        <n v="27.32"/>
        <n v="464465.5384"/>
        <n v="1037139.12"/>
        <n v="9.49"/>
        <n v="22113"/>
        <n v="33206.41"/>
        <n v="1484.74"/>
        <n v="17839.4988"/>
        <n v="93818.8"/>
        <n v="4740339.8212"/>
        <n v="1782.68"/>
        <n v="208.875"/>
        <n v="46269.6"/>
        <n v="15525"/>
        <n v="2392.79"/>
        <n v="7.8"/>
        <n v="109.7874"/>
        <n v="1269.35"/>
        <n v="305369.14646667"/>
        <n v="11.0099"/>
        <n v="50985"/>
        <n v="16995"/>
        <n v="22671.33"/>
        <n v="11862.86"/>
        <n v="685163.239999999"/>
        <n v="819.81"/>
        <n v="40107.385600001"/>
        <n v="2449519.04999999"/>
        <n v="90337.84599441"/>
        <n v="61.1204"/>
        <n v="93.06"/>
        <n v="11519.7"/>
        <n v="27.3"/>
        <n v="1495.86"/>
        <n v="1233318.22"/>
        <n v="12242.32"/>
        <n v="42762.8"/>
        <n v="12872.55"/>
        <n v="1609.55562578"/>
        <n v="700482.999999999"/>
        <n v="2500"/>
        <n v="40879.36"/>
        <n v="40"/>
        <n v="324407"/>
        <n v="-455.0169"/>
        <n v="14760.405"/>
        <n v="271292.9169"/>
        <n v="9249"/>
        <n v="4818.19"/>
        <n v="3381.5"/>
        <n v="2000518.88"/>
        <n v="304991.85"/>
        <n v="123748.3"/>
        <n v="36283.2"/>
        <n v="32.68"/>
        <n v="647.37"/>
        <n v="505513.22"/>
        <n v="28274.3999999999"/>
        <n v="647057.6"/>
        <n v="246"/>
        <n v="8347.21"/>
        <n v="126651.7"/>
        <n v="365224.6"/>
        <n v="3744269"/>
        <n v="67"/>
        <n v="1253.05"/>
        <n v="84"/>
        <n v="943.2"/>
        <n v="4123.73043329"/>
        <n v="176.16"/>
        <n v="635340.25013317"/>
        <n v="3026"/>
        <n v="88201.2"/>
        <n v="164"/>
        <n v="46405.5"/>
        <n v="469989"/>
        <n v="31528673.1"/>
        <n v="17127.5"/>
        <n v="-11529.0509999999"/>
        <n v="206.4"/>
        <n v="3528.2343"/>
        <n v="39.8"/>
        <n v="115707.65450352"/>
        <n v="447744.599999999"/>
        <n v="271560"/>
        <n v="1218300"/>
        <n v="40487.5"/>
        <n v="2706"/>
        <n v="100127.3"/>
        <n v="1594586.15"/>
        <n v="98959.9"/>
        <n v="1012.8"/>
        <n v="1.755"/>
        <n v="6495.2"/>
        <n v="464"/>
        <n v="650009.5"/>
        <n v="19760"/>
        <n v="22.4"/>
        <n v="6390"/>
        <n v="107254.6"/>
        <n v="427.839999999999"/>
        <n v="30.5999999999999"/>
        <n v="216.568"/>
        <n v="-16645.6413"/>
        <n v="47.3385"/>
        <n v="273030.0433"/>
        <n v="5735.808"/>
        <n v="3417.24120932999"/>
        <n v="3738.998"/>
        <n v="12.6"/>
        <n v="194954.9182"/>
        <n v="153.3"/>
        <n v="128"/>
        <n v="503.36"/>
        <n v="275"/>
        <n v="1077.6"/>
        <n v="168785.7"/>
        <n v="701"/>
        <n v="6.3"/>
        <n v="3078"/>
        <n v="43.2"/>
        <n v="32941.5009999999"/>
        <n v="261.8587"/>
        <n v="762.6099"/>
        <n v="2405709.5642"/>
        <n v="2.5"/>
        <n v="91.8718"/>
        <n v="313.55"/>
        <n v="288344.4"/>
        <n v="2"/>
        <n v="5710.31999999999"/>
        <n v="356299.1"/>
        <n v="705288.692"/>
        <n v="606.273"/>
        <n v="100.28"/>
        <n v="18179.22"/>
        <n v="12783.55766665"/>
        <n v="6582.26"/>
        <n v="160641.01"/>
        <n v="152.8"/>
        <n v="51"/>
        <n v="10753.33"/>
        <n v="16925.74"/>
        <n v="13354.96"/>
        <n v="4761"/>
        <n v="271198.5"/>
        <n v="-92.5"/>
        <n v="985363"/>
        <n v="505.25"/>
        <n v="4645.65"/>
        <n v="-99"/>
        <n v="2074.92"/>
        <n v="208"/>
        <n v="5075.24"/>
        <n v="84.5"/>
        <n v="90"/>
        <n v="11860.515"/>
        <n v="1311.79"/>
        <n v="49045.16750905"/>
        <n v="244.2"/>
        <n v="402"/>
        <n v="6401.15"/>
        <n v="5626.39"/>
        <n v="137.2"/>
        <n v="17541.5928"/>
        <n v="890.75"/>
        <n v="2783.39"/>
        <n v="825.6"/>
        <n v="296.45"/>
        <n v="13.75"/>
        <n v="1849.6414"/>
        <n v="1011.25"/>
        <n v="11600.135"/>
        <n v="310.55"/>
        <n v="862.4"/>
        <n v="183726.44"/>
        <n v="28.4"/>
        <n v="235"/>
        <n v="7394.4"/>
        <n v="31465.5"/>
        <n v="117.6"/>
        <n v="7896.9"/>
        <n v="3690.45"/>
        <n v="3414.63"/>
        <n v="217.16"/>
        <n v="63650.98"/>
        <n v="249.16"/>
        <n v="3430.46"/>
        <n v="8540885.22"/>
        <n v="2849.914"/>
        <n v="147.999999999999"/>
        <n v="4.1"/>
        <n v="3875.15312704852"/>
        <n v="91308.6709"/>
        <n v="106326"/>
        <n v="701.559999999999"/>
        <n v="-26630.8299999999"/>
        <n v="365119.459999999"/>
        <n v="-1.19999999999999"/>
        <n v="-279.91"/>
        <n v="14736"/>
        <n v="483.3"/>
        <n v="5749.55"/>
        <n v="5293.7"/>
        <n v="669184.85"/>
        <n v="611081.45"/>
        <n v="7834.04999999999"/>
        <n v="12.2"/>
        <n v="3258.36"/>
        <n v="663.08"/>
        <n v="54692.34"/>
        <n v="170.7"/>
        <n v="36"/>
        <n v="8402.4172"/>
        <n v="758.1"/>
        <n v="136459.128"/>
        <n v="4365.61999999999"/>
        <n v="74487.9799999999"/>
        <n v="406443.72"/>
        <n v="1397.75804892"/>
        <n v="6940.4"/>
        <n v="406.289"/>
        <n v="1212.57"/>
        <n v="15.6"/>
        <n v="40.5378"/>
        <n v="586780.331"/>
        <n v="628224.1"/>
        <n v="903.350299999999"/>
        <n v="3.75"/>
        <n v="18940.4487999999"/>
        <n v="-3.8861"/>
        <n v="50"/>
        <n v="4558.79999999999"/>
        <n v="8.2"/>
        <n v="34329.6"/>
        <n v="3785.97"/>
        <n v="488681.024"/>
        <n v="191027.01"/>
        <n v="346947.25"/>
        <n v="38119203.19"/>
        <n v="3.15"/>
        <n v="1522.5"/>
        <n v="233941826.597766"/>
        <n v="524.05"/>
        <n v="432258.124999999"/>
        <n v="48.4"/>
        <n v="64538.6"/>
        <n v="359.75"/>
        <n v="5970.4022"/>
        <n v="192.714"/>
        <n v="747076.71728802"/>
        <n v="397"/>
        <n v="886.1"/>
        <n v="185.64"/>
        <n v="156.467"/>
        <n v="52.9"/>
        <n v="2467.2"/>
        <n v="1806416.06"/>
        <n v="22637.34"/>
        <n v="127317.7"/>
        <n v="167783.6"/>
        <n v="15027.4"/>
        <n v="10892.6399999999"/>
        <n v="112032"/>
        <n v="36.5"/>
        <n v="41.28"/>
        <n v="868"/>
        <n v="367"/>
        <n v="1536.525"/>
        <n v="21264.2"/>
        <n v="436.24"/>
        <n v="2343.6"/>
        <n v="2947.7"/>
        <n v="718.86"/>
        <n v="247117.93"/>
        <n v="74376.5"/>
        <n v="7107.99058260317"/>
        <n v="65387.7465999999"/>
        <n v="51631.1299999999"/>
        <n v="2.98"/>
        <n v="126.9"/>
        <n v="8284"/>
        <n v="594.08"/>
        <n v="8186492.37019999"/>
        <n v="5862844.394"/>
        <n v="11117745.5347999"/>
        <n v="400006.839"/>
        <n v="40.5"/>
        <n v="201057"/>
        <n v="163568.4"/>
        <n v="714"/>
        <n v="1091.275"/>
        <n v="19389.00005658"/>
        <n v="946"/>
        <n v="345.73"/>
        <n v="1166.85"/>
        <n v="403.5"/>
        <n v="2032579.8398"/>
        <n v="18565.89"/>
        <n v="9250.74"/>
        <n v="298.8"/>
        <n v="2047609.70228404"/>
        <n v="1631.24"/>
        <n v="299"/>
        <n v="12.5"/>
        <n v="78100.85"/>
        <n v="245795.72"/>
        <n v="619873.52"/>
        <n v="154042.5"/>
        <n v="-510"/>
        <n v="450020"/>
        <n v="146449"/>
        <n v="1795478.21999999"/>
        <n v="95"/>
        <n v="10890"/>
        <n v="263660.7"/>
        <n v="418766"/>
        <n v="15665.0299999999"/>
        <n v="60.6"/>
        <n v="253.71"/>
        <n v="-73.9399999999999"/>
        <n v="-893841.180555555"/>
        <n v="10824830.976"/>
        <n v="5525.001"/>
        <n v="25918.905"/>
        <n v="3673.263"/>
        <n v="23981.125"/>
        <n v="145450.336"/>
        <n v="99650.461"/>
        <n v="-16.7999999999999"/>
        <n v="11449.5"/>
        <n v="3775.75"/>
        <n v="52.5"/>
        <n v="634175.28"/>
        <n v="5086.8"/>
        <n v="43079.02"/>
        <n v="127.5"/>
        <n v="786179.739999999"/>
        <n v="0"/>
        <n v="965"/>
        <n v="3507704.72999999"/>
        <n v="2967.15"/>
        <n v="481989.919999999"/>
        <n v="451127.885999999"/>
        <n v="6436.49999999999"/>
        <n v="130138.509999999"/>
        <n v="409900.929399999"/>
        <n v="398509.783499999"/>
        <n v="10052.25"/>
        <n v="137.88"/>
        <n v="47656.87"/>
        <n v="24.2"/>
        <n v="-32.2999999999999"/>
        <n v="60919.04"/>
        <n v="32401.7"/>
        <n v="891.9"/>
        <n v="1465.39999999999"/>
        <n v="38.4"/>
        <n v="38580.5"/>
        <n v="416.8"/>
        <n v="35333.5"/>
        <n v="25593.88"/>
        <n v="12874.95"/>
        <n v="1249.2"/>
        <n v="151334.55"/>
        <n v="-520.6"/>
        <n v="-19203.7899999999"/>
        <n v="2.1"/>
        <n v="1881540.0596"/>
        <n v="30410.8"/>
        <n v="76938.65"/>
        <n v="45308.6699999999"/>
        <n v="7573.8"/>
        <n v="1141.79999999999"/>
        <n v="3.4"/>
        <n v="7224.025"/>
        <n v="719019"/>
        <n v="191.875"/>
        <n v="21334.59"/>
        <n v="4806.11999999999"/>
        <n v="344380"/>
        <n v="2846.865"/>
        <n v="716.9371"/>
        <n v="3822766.9"/>
        <n v="346855.78"/>
        <n v="49.91"/>
        <n v="-5005.66999999999"/>
        <n v="1169.82"/>
        <n v="149.76"/>
        <n v="72.8899999999999"/>
        <n v="3436.54999999999"/>
        <n v="4925.1"/>
        <n v="373152"/>
        <n v="12.75"/>
        <n v="1400"/>
        <n v="2086171.8920181"/>
        <n v="516646.8"/>
        <n v="24091.6"/>
        <n v="148.8918"/>
        <n v="358.11"/>
        <n v="110.6"/>
        <n v="-109.2"/>
        <n v="480"/>
        <n v="47045.44"/>
        <n v="117822.44"/>
        <n v="13.45"/>
        <n v="4170.45348492831"/>
        <n v="91.43"/>
        <n v="23.46"/>
        <n v="-8871.24633074936"/>
        <n v="4547188.0895"/>
        <n v="1669845.24"/>
        <n v="1043043.98"/>
        <n v="1059220.27999999"/>
        <n v="98"/>
        <n v="13.4"/>
        <n v="7066767.16"/>
        <n v="548741.7"/>
        <n v="41820.02"/>
        <n v="39050.892"/>
        <n v="8.1"/>
        <n v="29.56"/>
        <n v="3993447.1072"/>
        <n v="-203"/>
        <n v="75360"/>
        <n v="642033.255766281"/>
        <n v="4887.256"/>
        <n v="8593644.96216825"/>
        <n v="67331.18"/>
        <n v="15"/>
        <n v="1617"/>
        <n v="3839"/>
        <n v="159760.72333333"/>
        <n v="-6337.35"/>
        <n v="796762.455"/>
        <n v="9805.35"/>
        <n v="3033"/>
        <n v="6024.2"/>
        <n v="2153.67"/>
        <n v="106400.2"/>
        <n v="863.87"/>
        <n v="22961.126"/>
        <n v="-20.924"/>
        <n v="381364.983999999"/>
        <n v="405277.108651159"/>
        <n v="239.5"/>
        <n v="55561.6"/>
        <n v="3130.25"/>
        <n v="3921628.93"/>
        <n v="4039590.1"/>
        <n v="7449210.97"/>
        <n v="297.7836"/>
        <n v="70580.22"/>
        <n v="171938.989999999"/>
        <n v="400.399999999999"/>
        <n v="3.2"/>
        <n v="-11595.0849999999"/>
        <n v="110429.519999999"/>
        <n v="-130"/>
        <n v="11.2"/>
        <n v="292.9791"/>
        <n v="320056.1509"/>
        <n v="55268.04"/>
        <n v="12516.997"/>
        <n v="5235.1886"/>
        <n v="1361907.2896"/>
        <n v="417.973599999999"/>
        <n v="14381.0538999999"/>
        <n v="6468.03999999998"/>
        <n v="227649.95"/>
        <n v="1232.98999999999"/>
        <n v="64123.99"/>
        <n v="4272750.21639999"/>
        <n v="63271.97"/>
        <n v="28207821.5149999"/>
        <n v="47.4"/>
        <n v="1532.6"/>
        <n v="166.306"/>
        <n v="2952811.436"/>
        <n v="416.764"/>
        <n v="7986.68"/>
        <n v="14965999"/>
        <n v="59670"/>
        <n v="27687.61"/>
        <n v="39666.33"/>
        <n v="45342.66"/>
        <n v="2.3"/>
        <n v="2851.48"/>
        <n v="279.92"/>
        <n v="2558"/>
        <n v="409.7992"/>
        <n v="4567.5"/>
        <n v="-1.5"/>
        <n v="29385.7949999999"/>
        <n v="5081896.39999999"/>
        <n v="7.35"/>
        <n v="20066746.9734999"/>
        <n v="377131.7638"/>
        <n v="24922403.42"/>
        <n v="-3544.34"/>
        <n v="2478.64"/>
        <n v="322579.539999999"/>
        <n v="312.5"/>
        <n v="2193.9"/>
        <n v="11442.28447"/>
        <n v="549.84"/>
        <n v="1495.5"/>
        <n v="22865.26"/>
        <n v="981064.689999999"/>
        <n v="507693.659999999"/>
        <n v="31679.15"/>
        <n v="120420.109899999"/>
        <n v="68.95"/>
        <n v="10"/>
        <n v="23976.7"/>
        <n v="249.9"/>
        <n v="376"/>
        <n v="211495.22"/>
        <n v="155561"/>
        <n v="3005.51"/>
        <n v="268.6"/>
        <n v="14861.6"/>
        <n v="2142"/>
        <n v="10091.3"/>
        <n v="1916.15"/>
        <n v="1892.09999999999"/>
        <n v="36.06"/>
        <n v="7960.98"/>
        <n v="134.75"/>
        <n v="20367.7999999999"/>
        <n v="75.55"/>
        <n v="17.5"/>
        <n v="32235.4118"/>
        <n v="5780.54"/>
        <n v="874474.524"/>
        <n v="79252"/>
        <n v="23.33"/>
        <n v="3684.8"/>
        <n v="162"/>
        <n v="60038.98"/>
        <n v="749.3"/>
        <n v="96.835"/>
        <n v="195.6274305"/>
        <n v="19479.6"/>
        <n v="444.5"/>
        <n v="190188.979999999"/>
        <n v="7308"/>
        <n v="1042659.8"/>
        <n v="3444"/>
        <n v="5.4481"/>
        <n v="2099.62"/>
        <n v="9947.34"/>
        <n v="15087.5"/>
        <n v="78"/>
        <n v="196"/>
        <n v="11318.9999999999"/>
        <n v="1187.2"/>
        <n v="3507223.7212093"/>
        <n v="3544392.8"/>
        <n v="5457277.15"/>
        <n v="36465.75"/>
        <n v="-25721.34"/>
        <n v="11318.67"/>
        <n v="58.5"/>
        <n v="-97.3"/>
        <n v="4693.77"/>
        <n v="487398.8"/>
        <n v="477978.3"/>
        <n v="759464"/>
        <n v="1729306.47"/>
        <n v="101541.76"/>
        <n v="43966.07"/>
        <n v="2388212.49"/>
        <n v="8098.57"/>
        <n v="5909.97"/>
        <n v="2768.56"/>
        <n v="6835.83682624442"/>
        <n v="2033.2"/>
        <n v="46830.35"/>
        <n v="25185.9731737556"/>
        <n v="199"/>
      </sharedItems>
    </cacheField>
    <cacheField name="调整后成本" numFmtId="43">
      <sharedItems containsString="0" containsBlank="1" containsNumber="1" minValue="-1645969.3585" maxValue="232541822.529999" count="545">
        <n v="0.004"/>
        <n v="150061.5"/>
        <m/>
        <n v="-567.58"/>
        <n v="-0.309999999999999"/>
        <n v="-0.1"/>
        <n v="-79.6899999999999"/>
        <n v="2246.80999999999"/>
        <n v="39.7599999999999"/>
        <n v="3098.94"/>
        <n v="24817.59"/>
        <n v="9262.17"/>
        <n v="202093.135"/>
        <n v="1388.8"/>
        <n v="53389"/>
        <n v="35"/>
        <n v="1535241.86"/>
        <n v="1202"/>
        <n v="410.4"/>
        <n v="3181.12"/>
        <n v="4063.86"/>
        <n v="537393.66"/>
        <n v="2709336.0721884"/>
        <n v="7110.5"/>
        <n v="137.7"/>
        <n v="4267246.5"/>
        <n v="1332018"/>
        <n v="792"/>
        <n v="9330.2"/>
        <n v="1540.8"/>
        <n v="40537.5"/>
        <n v="228888.3"/>
        <n v="170406.53"/>
        <n v="254.4"/>
        <n v="5370.3"/>
        <n v="4393.9"/>
        <n v="311944.34"/>
        <n v="984468.58"/>
        <n v="498.75"/>
        <n v="342544.37"/>
        <n v="2403763.02"/>
        <n v="1793500"/>
        <n v="17202.84"/>
        <n v="34905.6"/>
        <n v="1757.24"/>
        <n v="21984.95"/>
        <n v="20.2"/>
        <n v="423.55"/>
        <n v="3393282.75"/>
        <n v="1311959.15"/>
        <n v="5942.496"/>
        <n v="51596"/>
        <n v="42.5"/>
        <n v="193710.65"/>
        <n v="47680.8"/>
        <n v="32.66"/>
        <n v="53882.7"/>
        <n v="27568.6999999999"/>
        <n v="4338.27"/>
        <n v="323087.07"/>
        <n v="734161.73"/>
        <n v="693630.559999999"/>
        <n v="263.16"/>
        <n v="1996.98"/>
        <n v="2502.7"/>
        <n v="24183.27"/>
        <n v="3611.52"/>
        <n v="5251"/>
        <n v="7548.2"/>
        <n v="10059.5"/>
        <n v="46.8"/>
        <n v="22594.86"/>
        <n v="215164"/>
        <n v="388297.12"/>
        <n v="24883.5"/>
        <n v="861767.8058"/>
        <n v="1732795.48999999"/>
        <n v="789221"/>
        <n v="189680"/>
        <n v="11807.55"/>
        <n v="12871458"/>
        <n v="18860"/>
        <n v="82754.3999999999"/>
        <n v="140"/>
        <n v="655.680000000107"/>
        <n v="2940"/>
        <n v="18722.2"/>
        <n v="461158.172599999"/>
        <n v="1024847.1008"/>
        <n v="23066"/>
        <n v="4759464.52"/>
        <n v="47268.5"/>
        <n v="14076"/>
        <n v="2324"/>
        <n v="302036.3"/>
        <n v="45000"/>
        <n v="15000"/>
        <n v="20010"/>
        <n v="13480.57"/>
        <n v="685163.239999999"/>
        <n v="3056376.196"/>
        <n v="13239.58"/>
        <n v="82.5"/>
        <n v="10750"/>
        <n v="26"/>
        <n v="1469.8"/>
        <n v="1233312.14999999"/>
        <n v="41805.5"/>
        <n v="12493"/>
        <n v="698180.77800995"/>
        <n v="40767.05"/>
        <n v="40"/>
        <n v="315407"/>
        <n v="14949.61"/>
        <n v="312124.3"/>
        <n v="77501.72"/>
        <n v="4720.546"/>
        <n v="3346.2"/>
        <n v="1996052.4"/>
        <n v="297901.4"/>
        <n v="123513"/>
        <n v="34855.55"/>
        <n v="31.82"/>
        <n v="647.37"/>
        <n v="497518.499999999"/>
        <n v="27489"/>
        <n v="646649.45"/>
        <n v="125951.23"/>
        <n v="363122.6"/>
        <n v="3716062.81"/>
        <n v="1232"/>
        <n v="-0.019999999999996"/>
        <n v="588289.24"/>
        <n v="3456.28999999999"/>
        <n v="88388.45"/>
        <n v="160"/>
        <n v="48985"/>
        <n v="455000"/>
        <n v="30757405.5"/>
        <n v="15329.5"/>
        <n v="-11498.6981999999"/>
        <n v="94267.5"/>
        <n v="296964.9"/>
        <n v="268640"/>
        <n v="1205200"/>
        <n v="39816"/>
        <n v="2612.6"/>
        <n v="98553.08"/>
        <n v="1585699.98"/>
        <n v="-1396"/>
        <n v="98007"/>
        <n v="965.76"/>
        <n v="1.65"/>
        <n v="6463"/>
        <n v="456.8"/>
        <n v="650009.499999999"/>
        <n v="19380"/>
        <n v="5256.42"/>
        <n v="99004.5"/>
        <n v="272.899999999999"/>
        <n v="30.5999999999999"/>
        <n v="277354.35"/>
        <n v="5827.38"/>
        <n v="190036"/>
        <n v="121.04"/>
        <n v="144.5"/>
        <n v="480.3"/>
        <n v="189.2"/>
        <n v="918"/>
        <n v="139091.43"/>
        <n v="3078"/>
        <n v="43.2"/>
        <n v="2627756.78469999"/>
        <n v="237591"/>
        <n v="0.2"/>
        <n v="5040"/>
        <n v="347641.552"/>
        <n v="690962.7553"/>
        <n v="569.59"/>
        <n v="97.7"/>
        <n v="16704.49"/>
        <n v="11120.29"/>
        <n v="5716.76"/>
        <n v="144897.58"/>
        <n v="152.8"/>
        <n v="48"/>
        <n v="9425"/>
        <n v="10763.66"/>
        <n v="11435.74"/>
        <n v="4702.5"/>
        <n v="267520"/>
        <n v="-92.5"/>
        <n v="971549.5"/>
        <n v="498.2"/>
        <n v="4619.7"/>
        <n v="-83"/>
        <n v="1427.8"/>
        <n v="140.9"/>
        <n v="4295.8"/>
        <n v="72.8"/>
        <n v="90"/>
        <n v="11006.54"/>
        <n v="1178.62"/>
        <n v="45302.2799999999"/>
        <n v="164.28"/>
        <n v="382.35"/>
        <n v="5813.7"/>
        <n v="5074.1"/>
        <n v="128.1"/>
        <n v="16006.77"/>
        <n v="883.75"/>
        <n v="2658.71"/>
        <n v="816"/>
        <n v="275"/>
        <n v="13.75"/>
        <n v="1478.51"/>
        <n v="923.74"/>
        <n v="9187.87"/>
        <n v="180745"/>
        <n v="-221.8"/>
        <n v="7074.2"/>
        <n v="30339"/>
        <n v="114"/>
        <n v="7657.2"/>
        <n v="79703.1"/>
        <n v="8715189"/>
        <n v="2790"/>
        <n v="50832.64"/>
        <n v="91308.6628"/>
        <n v="106326"/>
        <n v="-12734.79"/>
        <n v="365119.459999999"/>
        <n v="20.01"/>
        <n v="-3"/>
        <n v="8216.48999999999"/>
        <n v="14622.2"/>
        <n v="1567.22"/>
        <n v="1.86"/>
        <n v="-49700"/>
        <n v="483.3"/>
        <n v="657861.85"/>
        <n v="534798.749999999"/>
        <n v="7234.4"/>
        <n v="12.2"/>
        <n v="2691.2"/>
        <n v="611.6"/>
        <n v="50758.51"/>
        <n v="127.6"/>
        <n v="30.6"/>
        <n v="6460.1"/>
        <n v="686.3"/>
        <n v="122200.75"/>
        <n v="5385.19"/>
        <n v="92264.26"/>
        <n v="446905.199999999"/>
        <n v="1354.85"/>
        <n v="6940.4"/>
        <n v="376.6"/>
        <n v="1092.2"/>
        <n v="0.001"/>
        <n v="0.3191"/>
        <n v="579343.659999999"/>
        <n v="231798.5"/>
        <n v="68157.3"/>
        <n v="50"/>
        <n v="34329.6"/>
        <n v="488681.024"/>
        <n v="38356280.54"/>
        <n v="3.05"/>
        <n v="-47263.2849999999"/>
        <n v="232541822.529999"/>
        <n v="430350"/>
        <n v="64351.76"/>
        <n v="823133.91"/>
        <n v="390.8"/>
        <n v="-28.75"/>
        <n v="867.3"/>
        <n v="184.76"/>
        <n v="153.0974"/>
        <n v="52.45"/>
        <n v="2440.8"/>
        <n v="1806416.06"/>
        <n v="19980"/>
        <n v="127607.4"/>
        <n v="165194.2"/>
        <n v="14982.4"/>
        <n v="10043.9999999999"/>
        <n v="111098.499999999"/>
        <n v="36.5"/>
        <n v="41.24"/>
        <n v="666.4"/>
        <n v="364.5"/>
        <n v="1286.39789999999"/>
        <n v="21130.6"/>
        <n v="433.65"/>
        <n v="2343.6"/>
        <n v="2696.95"/>
        <n v="680.5"/>
        <n v="242868.48"/>
        <n v="72348.05"/>
        <n v="-66493.74"/>
        <n v="65387.7464999999"/>
        <n v="40879.36"/>
        <n v="8284"/>
        <n v="594.08"/>
        <n v="8256221"/>
        <n v="5842400"/>
        <n v="11410351.85"/>
        <n v="201057"/>
        <n v="163568.4"/>
        <n v="714"/>
        <n v="952.85"/>
        <n v="16127.6"/>
        <n v="631.45"/>
        <n v="269.15"/>
        <n v="1025.83"/>
        <n v="395.03"/>
        <n v="1983292.395"/>
        <n v="18033.94"/>
        <n v="8917.38"/>
        <n v="298.8"/>
        <n v="1973224.243"/>
        <n v="1444.915"/>
        <n v="8251.8"/>
        <n v="11.61"/>
        <n v="75162.93"/>
        <n v="240347.108"/>
        <n v="619240.996"/>
        <n v="153370"/>
        <n v="-510"/>
        <n v="17.8199999999999"/>
        <n v="365491"/>
        <n v="-215"/>
        <n v="1340962.11999999"/>
        <n v="10890"/>
        <n v="255172.9"/>
        <n v="403709"/>
        <n v="15578.3899999999"/>
        <n v="60.6"/>
        <n v="-802362.355"/>
        <n v="10824830.976"/>
        <n v="145012.672"/>
        <n v="100354.819126465"/>
        <n v="11449.5"/>
        <n v="3753.6"/>
        <n v="52.5"/>
        <n v="627807.539999999"/>
        <n v="4945.5"/>
        <n v="34338.19"/>
        <n v="120.349999999999"/>
        <n v="632296.64"/>
        <n v="0.999999998486601"/>
        <n v="965"/>
        <n v="3440934.83999999"/>
        <n v="2910.6"/>
        <n v="474846.42"/>
        <n v="439295.552999999"/>
        <n v="6433.39999999999"/>
        <n v="128024.509999999"/>
        <n v="407159.119399999"/>
        <n v="398025.483499999"/>
        <n v="9883.8"/>
        <n v="45880"/>
        <n v="24"/>
        <n v="-32.2999999999999"/>
        <n v="-5.24"/>
        <n v="60333"/>
        <n v="32221.8"/>
        <n v="891.9"/>
        <n v="238.8"/>
        <n v="32.64"/>
        <n v="37817.04"/>
        <n v="418"/>
        <n v="34583"/>
        <n v="25136.186"/>
        <n v="12744.86"/>
        <n v="1217.425"/>
        <n v="148972.37"/>
        <n v="-35570.53"/>
        <n v="-1645969.3585"/>
        <n v="2.1"/>
        <n v="1841604.41169999"/>
        <n v="30446.32"/>
        <n v="76083.67"/>
        <n v="39999.9974999999"/>
        <n v="7800"/>
        <n v="733967.699999999"/>
        <n v="181.5"/>
        <n v="21080.5"/>
        <n v="4781.93"/>
        <n v="140900.02"/>
        <n v="2704"/>
        <n v="3793369.84"/>
        <n v="353930.34"/>
        <n v="0.91"/>
        <n v="-5006.54"/>
        <n v="1169.82"/>
        <n v="379109.43"/>
        <n v="1784"/>
        <n v="2023392"/>
        <n v="526702.8"/>
        <n v="23590.24"/>
        <n v="143.46"/>
        <n v="366.809999999999"/>
        <n v="100.1"/>
        <n v="-109.2"/>
        <n v="46795.07"/>
        <n v="117774.51"/>
        <n v="2354"/>
        <n v="4463296.60492944"/>
        <n v="68.6899999999999"/>
        <n v="1678553.76"/>
        <n v="1043043.98"/>
        <n v="1059220.27999999"/>
        <n v="98"/>
        <n v="7079721"/>
        <n v="548790"/>
        <n v="41827.3"/>
        <n v="39050.892"/>
        <n v="4042129.26148936"/>
        <n v="3733.2"/>
        <n v="75360"/>
        <n v="4212"/>
        <n v="9364861.79"/>
        <n v="777833.47"/>
        <n v="5195.12"/>
        <n v="113679.95"/>
        <n v="858"/>
        <n v="371833.13"/>
        <n v="1.35"/>
        <n v="401601.199999999"/>
        <n v="55561.6"/>
        <n v="2237.5"/>
        <n v="3754914.912"/>
        <n v="3903552.576"/>
        <n v="7107443.28"/>
        <n v="284"/>
        <n v="69744.55"/>
        <n v="171935.239999999"/>
        <n v="110429.519999999"/>
        <n v="-119.999999999999"/>
        <n v="310869.04"/>
        <n v="55268"/>
        <n v="1212228.20999999"/>
        <n v="4987.5"/>
        <n v="227649.95"/>
        <n v="342.5"/>
        <n v="60769.0699999999"/>
        <n v="4192257.2164"/>
        <n v="62326.7"/>
        <n v="420"/>
        <n v="27883027.5536"/>
        <n v="1580"/>
        <n v="201"/>
        <n v="3100390"/>
        <n v="14620500"/>
        <n v="27687.61"/>
        <n v="34999.9637999999"/>
        <n v="39999.9899999999"/>
        <n v="2690.8"/>
        <n v="2524.8"/>
        <n v="422.59"/>
        <n v="3655.1"/>
        <n v="-305.27"/>
        <n v="5298937.25"/>
        <n v="7"/>
        <n v="20157124.9752"/>
        <n v="25641163"/>
        <n v="322091.999999999"/>
        <n v="306.3"/>
        <n v="2151.3"/>
        <n v="11431.46"/>
        <n v="457.38"/>
        <n v="1263.24"/>
        <n v="19972.26"/>
        <n v="-51235.58"/>
        <n v="967316.51"/>
        <n v="496565.349999999"/>
        <n v="31596.6399999999"/>
        <n v="119158.305699999"/>
        <n v="56"/>
        <n v="8"/>
        <n v="21170"/>
        <n v="245.65"/>
        <n v="317.7"/>
        <n v="210348"/>
        <n v="154080.51"/>
        <n v="2996.7"/>
        <n v="238"/>
        <n v="15098.87"/>
        <n v="10124.3"/>
        <n v="1905.7"/>
        <n v="1999.2"/>
        <n v="5687.04"/>
        <n v="17752.8044"/>
        <n v="69"/>
        <n v="17.5"/>
        <n v="29349.03"/>
        <n v="5667"/>
        <n v="729341.38"/>
        <n v="69863.8"/>
        <n v="21.75"/>
        <n v="3601.67"/>
        <n v="158.4"/>
        <n v="59135.2"/>
        <n v="767.8"/>
        <n v="96.3235"/>
        <n v="1891.0836"/>
        <n v="187.5"/>
        <n v="17392.5"/>
        <n v="181.25"/>
        <n v="167596.5"/>
        <n v="6259"/>
        <n v="1041460.9"/>
        <n v="3300"/>
        <n v="3089.62"/>
        <n v="6415.48"/>
        <n v="15075.6"/>
        <n v="59.28"/>
        <n v="11319"/>
        <n v="1065.3"/>
        <n v="3288413.52"/>
        <n v="3426512.544"/>
        <n v="5167669.248"/>
        <n v="35817.6"/>
        <n v="-31455.32"/>
        <n v="9990"/>
        <n v="54"/>
        <n v="10661"/>
        <n v="450707.45"/>
        <n v="462236.6"/>
        <n v="709201.8"/>
        <n v="101216.42"/>
        <n v="0"/>
        <n v="2405551.23041753"/>
        <n v="8269.1"/>
        <n v="4951.31"/>
        <n v="5435.75"/>
        <n v="1305.06"/>
        <n v="37453.8987104465"/>
        <n v="20027.49"/>
        <n v="-151040"/>
        <n v="2112"/>
        <n v="237160"/>
        <n v="166.6"/>
      </sharedItems>
    </cacheField>
    <cacheField name="调整后毛利" numFmtId="43">
      <sharedItems containsSemiMixedTypes="0" containsString="0" containsNumber="1" minValue="-771216.827831751" maxValue="1729306.47" count="685">
        <n v="2325.2636"/>
        <n v="1692.745634619"/>
        <n v="306.6018"/>
        <n v="34.06"/>
        <n v="1192.41"/>
        <n v="26"/>
        <n v="1"/>
        <n v="9.3"/>
        <n v="407.2"/>
        <n v="567.58"/>
        <n v="105.799999999999"/>
        <n v="-13.223"/>
        <n v="79.6899999999999"/>
        <n v="-2246.80999999999"/>
        <n v="49.78"/>
        <n v="98.74"/>
        <n v="-39.7599999999999"/>
        <n v="60.1599999999999"/>
        <n v="89.3599999999999"/>
        <n v="7.5"/>
        <n v="32.32"/>
        <n v="28.54"/>
        <n v="0"/>
        <n v="244.222999999998"/>
        <n v="25.9300000000003"/>
        <n v="4924.39387"/>
        <n v="105.2"/>
        <n v="-3132.02"/>
        <n v="-2663.52"/>
        <n v="3.83146256"/>
        <n v="-63901.6120000002"/>
        <n v="-150233.292"/>
        <n v="109.936"/>
        <n v="21.6"/>
        <n v="600.6"/>
        <n v="14.548"/>
        <n v="97.716"/>
        <n v="281.484"/>
        <n v="439401.049359272"/>
        <n v="-844.356"/>
        <n v="-92292.8867"/>
        <n v="-472293.14268841"/>
        <n v="707.19"/>
        <n v="4.22"/>
        <n v="5715.26"/>
        <n v="768"/>
        <n v="18711.68"/>
        <n v="1541.92"/>
        <n v="51890.4210000001"/>
        <n v="-13102.1799999999"/>
        <n v="85.47"/>
        <n v="1351.95"/>
        <n v="12365.749999999"/>
        <n v="0.265199999994366"/>
        <n v="27.3"/>
        <n v="425.47999998"/>
        <n v="612.08"/>
        <n v="25130.386475239"/>
        <n v="178.45"/>
        <n v="2037.696"/>
        <n v="21.2280000000028"/>
        <n v="1920.31166657"/>
        <n v="111.24"/>
        <n v="24122.27"/>
        <n v="16.3836"/>
        <n v="7565.684"/>
        <n v="1586.31"/>
        <n v="-85093.2119999998"/>
        <n v="-62471.602"/>
        <n v="-17202.84"/>
        <n v="3822.66"/>
        <n v="0.259999999999991"/>
        <n v="-20671.204"/>
        <n v="2.12"/>
        <n v="25.75"/>
        <n v="-6732.35"/>
        <n v="14.7"/>
        <n v="20951.4190000002"/>
        <n v="4640.6455"/>
        <n v="2218.87"/>
        <n v="-38708.28932421"/>
        <n v="247.604"/>
        <n v="42"/>
        <n v="301.864999999998"/>
        <n v="-42.5"/>
        <n v="77.7"/>
        <n v="16.5"/>
        <n v="1915.96"/>
        <n v="1.95000000001164"/>
        <n v="2108.0683"/>
        <n v="20.4"/>
        <n v="-48.0086607600003"/>
        <n v="13412.0704999999"/>
        <n v="-9549.91"/>
        <n v="-6983.464"/>
        <n v="13705.55"/>
        <n v="-141504.09"/>
        <n v="-55583.51"/>
        <n v="5.15999999999997"/>
        <n v="-106.98"/>
        <n v="37.08"/>
        <n v="28.2800000000002"/>
        <n v="522.23"/>
        <n v="391.36"/>
        <n v="302.9"/>
        <n v="60.6999999999998"/>
        <n v="-272.06"/>
        <n v="16.2"/>
        <n v="689.380000000001"/>
        <n v="4470.8"/>
        <n v="-40216"/>
        <n v="315"/>
        <n v="27.7297"/>
        <n v="99.9995"/>
        <n v="126.566599999998"/>
        <n v="-16223"/>
        <n v="-19584.7049"/>
        <n v="-197660.5822"/>
        <n v="414992.82099882"/>
        <n v="154444.5663"/>
        <n v="4035.9999"/>
        <n v="-4344.39989999999"/>
        <n v="6279.9184"/>
        <n v="36937.67"/>
        <n v="-301.769999999999"/>
        <n v="-99112.8203999996"/>
        <n v="690"/>
        <n v="38.6"/>
        <n v="139.2"/>
        <n v="6716.4"/>
        <n v="139.199999999997"/>
        <n v="1.95"/>
        <n v="417.76"/>
        <n v="3.3"/>
        <n v="85622.6099999999"/>
        <n v="556.5"/>
        <n v="-118.39"/>
        <n v="-4901.8"/>
        <n v="27.32"/>
        <n v="3307.36580000102"/>
        <n v="12292.0192"/>
        <n v="9.49"/>
        <n v="-953"/>
        <n v="33206.41"/>
        <n v="1484.74"/>
        <n v="17839.4988"/>
        <n v="93818.8"/>
        <n v="-19124.6987999994"/>
        <n v="1782.68"/>
        <n v="208.875"/>
        <n v="-998.900000000002"/>
        <n v="1449"/>
        <n v="68.79"/>
        <n v="7.8"/>
        <n v="109.7874"/>
        <n v="1269.35"/>
        <n v="3332.84646666999"/>
        <n v="11.0099"/>
        <n v="5985"/>
        <n v="1995"/>
        <n v="2661.33"/>
        <n v="-1617.71"/>
        <n v="819.81"/>
        <n v="40107.385600001"/>
        <n v="-606857.14600001"/>
        <n v="77098.26599441"/>
        <n v="61.1204"/>
        <n v="10.56"/>
        <n v="769.700000000001"/>
        <n v="1.3"/>
        <n v="26.0599999999999"/>
        <n v="6.07000001007691"/>
        <n v="12242.32"/>
        <n v="957.300000000003"/>
        <n v="379.549999999999"/>
        <n v="1609.55562578"/>
        <n v="2302.221990049"/>
        <n v="2500"/>
        <n v="112.309999999998"/>
        <n v="9000"/>
        <n v="-455.0169"/>
        <n v="-189.205"/>
        <n v="-40831.3831"/>
        <n v="-68252.72"/>
        <n v="97.6439999999993"/>
        <n v="35.3000000000002"/>
        <n v="4466.47999999998"/>
        <n v="7090.44999999995"/>
        <n v="235.300000000003"/>
        <n v="1427.64999999999"/>
        <n v="0.859999999999999"/>
        <n v="7994.72000000096"/>
        <n v="785.3999999999"/>
        <n v="408.150000000023"/>
        <n v="246"/>
        <n v="8347.21"/>
        <n v="700.470000000001"/>
        <n v="2102"/>
        <n v="28206.1899999999"/>
        <n v="67"/>
        <n v="21.05"/>
        <n v="84.02"/>
        <n v="943.2"/>
        <n v="4123.73043329"/>
        <n v="176.16"/>
        <n v="47051.0101331701"/>
        <n v="-430.28999999999"/>
        <n v="-187.25"/>
        <n v="4"/>
        <n v="-2579.5"/>
        <n v="14989"/>
        <n v="771267.600000002"/>
        <n v="1798"/>
        <n v="-30.3527999999988"/>
        <n v="206.4"/>
        <n v="3528.2343"/>
        <n v="39.8"/>
        <n v="21440.15450352"/>
        <n v="150779.699999999"/>
        <n v="2920"/>
        <n v="13100"/>
        <n v="671.5"/>
        <n v="93.4000000000001"/>
        <n v="1574.22"/>
        <n v="8886.16999999993"/>
        <n v="1396"/>
        <n v="952.899999999994"/>
        <n v="47.04"/>
        <n v="0.105"/>
        <n v="32.1999999999998"/>
        <n v="7.19999999999999"/>
        <n v="1.04773789644241e-9"/>
        <n v="380"/>
        <n v="2.2"/>
        <n v="1133.58"/>
        <n v="8250.10000000001"/>
        <n v="154.94"/>
        <n v="216.568"/>
        <n v="-16645.6413"/>
        <n v="47.3385"/>
        <n v="-4324.30670000002"/>
        <n v="-91.5720000000001"/>
        <n v="3417.24120932999"/>
        <n v="3738.998"/>
        <n v="12.6"/>
        <n v="4918.91819999999"/>
        <n v="32.26"/>
        <n v="-16.5"/>
        <n v="23.06"/>
        <n v="85.8"/>
        <n v="159.6"/>
        <n v="29694.27"/>
        <n v="701"/>
        <n v="6.3"/>
        <n v="32941.5009999999"/>
        <n v="261.8587"/>
        <n v="762.6099"/>
        <n v="-222047.22049999"/>
        <n v="2.5"/>
        <n v="91.8718"/>
        <n v="313.55"/>
        <n v="50753.4"/>
        <n v="1.8"/>
        <n v="670.31999999999"/>
        <n v="8657.54799999995"/>
        <n v="14325.9367000001"/>
        <n v="36.683"/>
        <n v="2.58"/>
        <n v="1474.73"/>
        <n v="1663.26766665"/>
        <n v="865.5"/>
        <n v="15743.43"/>
        <n v="3"/>
        <n v="1328.33"/>
        <n v="6162.08"/>
        <n v="1919.22"/>
        <n v="58.5"/>
        <n v="3678.5"/>
        <n v="13813.5"/>
        <n v="7.05000000000001"/>
        <n v="25.9499999999998"/>
        <n v="-16"/>
        <n v="647.12"/>
        <n v="67.1"/>
        <n v="779.44"/>
        <n v="11.7"/>
        <n v="853.974999999999"/>
        <n v="133.17"/>
        <n v="3742.8875090501"/>
        <n v="79.92"/>
        <n v="19.65"/>
        <n v="587.45"/>
        <n v="552.29"/>
        <n v="9.09999999999999"/>
        <n v="1534.8228"/>
        <n v="7"/>
        <n v="124.68"/>
        <n v="9.60000000000002"/>
        <n v="21.45"/>
        <n v="371.1314"/>
        <n v="87.51"/>
        <n v="2412.265"/>
        <n v="310.55"/>
        <n v="862.4"/>
        <n v="2981.44"/>
        <n v="28.4"/>
        <n v="456.8"/>
        <n v="320.2"/>
        <n v="1126.5"/>
        <n v="3.59999999999999"/>
        <n v="239.7"/>
        <n v="3690.45"/>
        <n v="3414.63"/>
        <n v="217.16"/>
        <n v="-16052.12"/>
        <n v="249.16"/>
        <n v="3430.46"/>
        <n v="-174303.779999999"/>
        <n v="59.9140000000002"/>
        <n v="147.999999999999"/>
        <n v="4.1"/>
        <n v="-46957.4868729515"/>
        <n v="0.00809999999182765"/>
        <n v="13436.35"/>
        <n v="-26630.8299999999"/>
        <n v="-20.01"/>
        <n v="1.80000000000001"/>
        <n v="-8496.39999999999"/>
        <n v="113.799999999999"/>
        <n v="-1567.22"/>
        <n v="-1.86"/>
        <n v="49700"/>
        <n v="5749.55"/>
        <n v="5293.7"/>
        <n v="11323"/>
        <n v="76282.700000001"/>
        <n v="599.649999999991"/>
        <n v="567.16"/>
        <n v="51.48"/>
        <n v="3933.82999999999"/>
        <n v="43.1"/>
        <n v="5.4"/>
        <n v="1942.3172"/>
        <n v="71.8000000000001"/>
        <n v="14258.378"/>
        <n v="-1019.57000000001"/>
        <n v="-17776.2800000001"/>
        <n v="-40461.4799999991"/>
        <n v="42.9080489200001"/>
        <n v="29.689"/>
        <n v="120.37"/>
        <n v="15.599"/>
        <n v="40.2187"/>
        <n v="7436.67100000102"/>
        <n v="396425.6"/>
        <n v="903.350299999999"/>
        <n v="3.75"/>
        <n v="-49216.8512000001"/>
        <n v="-3.8861"/>
        <n v="4558.79999999999"/>
        <n v="8.2"/>
        <n v="3785.97"/>
        <n v="191027.01"/>
        <n v="346947.25"/>
        <n v="-237077.350000002"/>
        <n v="0.1"/>
        <n v="48785.7849999999"/>
        <n v="1400004.06776702"/>
        <n v="524.05"/>
        <n v="1908.12499999901"/>
        <n v="48.4"/>
        <n v="186.839999999997"/>
        <n v="359.75"/>
        <n v="5970.4022"/>
        <n v="192.714"/>
        <n v="-76057.1927119801"/>
        <n v="6.19999999999999"/>
        <n v="28.75"/>
        <n v="18.8000000000001"/>
        <n v="0.879999999999996"/>
        <n v="3.36960000000002"/>
        <n v="0.449999999999996"/>
        <n v="26.3999999999996"/>
        <n v="2657.34"/>
        <n v="-289.699999999997"/>
        <n v="2589.39999999999"/>
        <n v="45"/>
        <n v="848.639999999999"/>
        <n v="933.500000001004"/>
        <n v="0.0399999999999992"/>
        <n v="201.6"/>
        <n v="250.12710000001"/>
        <n v="133.600000000002"/>
        <n v="2.59000000000003"/>
        <n v="250.75"/>
        <n v="38.36"/>
        <n v="4249.44999999998"/>
        <n v="2028.45"/>
        <n v="51"/>
        <n v="73601.7305826032"/>
        <n v="9.99999974737875e-5"/>
        <n v="10751.7699999999"/>
        <n v="2.98"/>
        <n v="126.9"/>
        <n v="-69728.6298000095"/>
        <n v="20444.3940000003"/>
        <n v="-292606.3152001"/>
        <n v="400006.839"/>
        <n v="40.5"/>
        <n v="138.425"/>
        <n v="3261.40005658"/>
        <n v="314.55"/>
        <n v="76.58"/>
        <n v="141.02"/>
        <n v="8.47000000000003"/>
        <n v="49287.4447999999"/>
        <n v="531.950000000001"/>
        <n v="333.360000000001"/>
        <n v="74385.4592840418"/>
        <n v="186.325"/>
        <n v="-7952.8"/>
        <n v="0.890000000000001"/>
        <n v="2937.92000000001"/>
        <n v="5448.61199999999"/>
        <n v="632.523999999976"/>
        <n v="672.5"/>
        <n v="-17.8199999999999"/>
        <n v="84529"/>
        <n v="215"/>
        <n v="146449"/>
        <n v="454516.1"/>
        <n v="12.5"/>
        <n v="8487.80000000002"/>
        <n v="15057"/>
        <n v="86.6400000000012"/>
        <n v="253.71"/>
        <n v="-73.9399999999999"/>
        <n v="-91478.8255555549"/>
        <n v="5525.001"/>
        <n v="25918.905"/>
        <n v="3673.263"/>
        <n v="23981.125"/>
        <n v="437.664000000019"/>
        <n v="-704.358126464998"/>
        <n v="-16.7999999999999"/>
        <n v="22.1500000000001"/>
        <n v="6367.74000000104"/>
        <n v="141.3"/>
        <n v="8740.83"/>
        <n v="7.150000000001"/>
        <n v="153883.099999999"/>
        <n v="-0.999999998486601"/>
        <n v="66769.8900000001"/>
        <n v="56.5500000000002"/>
        <n v="7143.49999999901"/>
        <n v="11832.333"/>
        <n v="3.10000000000036"/>
        <n v="2114"/>
        <n v="2741.81"/>
        <n v="484.299999999988"/>
        <n v="168.450000000001"/>
        <n v="137.88"/>
        <n v="1776.87"/>
        <n v="0.199999999999999"/>
        <n v="5.24"/>
        <n v="586.040000000001"/>
        <n v="179.900000000001"/>
        <n v="1226.59999999999"/>
        <n v="5.76"/>
        <n v="763.459999999999"/>
        <n v="-1.19999999999999"/>
        <n v="750.5"/>
        <n v="457.694"/>
        <n v="130.09"/>
        <n v="31.7750000000001"/>
        <n v="2362.17999999999"/>
        <n v="35049.93"/>
        <n v="1626765.5685"/>
        <n v="39935.64790001"/>
        <n v="-35.5200000000004"/>
        <n v="854.979999999996"/>
        <n v="5308.67249999999"/>
        <n v="-226.2"/>
        <n v="1141.79999999999"/>
        <n v="3.4"/>
        <n v="7224.025"/>
        <n v="-14948.699999999"/>
        <n v="10.375"/>
        <n v="254.09"/>
        <n v="24.1899999999896"/>
        <n v="203479.98"/>
        <n v="142.865"/>
        <n v="716.9371"/>
        <n v="29397.0600000001"/>
        <n v="-7074.56"/>
        <n v="49"/>
        <n v="0.870000000009895"/>
        <n v="149.76"/>
        <n v="72.8899999999999"/>
        <n v="3436.54999999999"/>
        <n v="4925.1"/>
        <n v="-5957.42999999999"/>
        <n v="12.75"/>
        <n v="-384"/>
        <n v="62779.8920181"/>
        <n v="-10056.0000000001"/>
        <n v="501.359999999997"/>
        <n v="5.43179999999998"/>
        <n v="-8.69999999999897"/>
        <n v="10.5"/>
        <n v="480"/>
        <n v="250.370000000003"/>
        <n v="47.9300000000076"/>
        <n v="13.45"/>
        <n v="1816.45348492831"/>
        <n v="91.43"/>
        <n v="23.46"/>
        <n v="-8871.24633074936"/>
        <n v="83891.4845705601"/>
        <n v="-68.6899999999999"/>
        <n v="-8708.52000000002"/>
        <n v="13.4"/>
        <n v="-12953.8399999999"/>
        <n v="-48.2999999999302"/>
        <n v="-7.27999999999884"/>
        <n v="8.1"/>
        <n v="29.56"/>
        <n v="-48682.1542893602"/>
        <n v="-3936.2"/>
        <n v="637821.255766281"/>
        <n v="4887.256"/>
        <n v="-771216.827831751"/>
        <n v="67331.18"/>
        <n v="15"/>
        <n v="1617"/>
        <n v="3839"/>
        <n v="159760.72333333"/>
        <n v="-6337.35"/>
        <n v="18928.985"/>
        <n v="9805.35"/>
        <n v="3033"/>
        <n v="6024.2"/>
        <n v="-3041.45"/>
        <n v="-7279.75"/>
        <n v="5.87000000000001"/>
        <n v="22961.126"/>
        <n v="-20.924"/>
        <n v="9531.853999999"/>
        <n v="-1.35"/>
        <n v="3675.90865115996"/>
        <n v="239.5"/>
        <n v="892.75"/>
        <n v="166714.018"/>
        <n v="136037.524"/>
        <n v="341767.69"/>
        <n v="13.7836"/>
        <n v="835.669999999998"/>
        <n v="400.399999999999"/>
        <n v="3.2"/>
        <n v="-11595.0849999999"/>
        <n v="-10.000000000001"/>
        <n v="11.2"/>
        <n v="292.9791"/>
        <n v="9187.11090000003"/>
        <n v="164"/>
        <n v="0.0400000000008731"/>
        <n v="12516.997"/>
        <n v="5235.1886"/>
        <n v="149679.07960001"/>
        <n v="417.973599999999"/>
        <n v="9393.5538999999"/>
        <n v="6468.03999999998"/>
        <n v="890.48999999999"/>
        <n v="3354.9200000001"/>
        <n v="80492.9999999902"/>
        <n v="945.270000000004"/>
        <n v="-420"/>
        <n v="324793.961399902"/>
        <n v="47.4"/>
        <n v="-47.4000000000001"/>
        <n v="-34.694"/>
        <n v="-147578.564"/>
        <n v="416.764"/>
        <n v="7986.68"/>
        <n v="345499"/>
        <n v="59670"/>
        <n v="4666.3662000001"/>
        <n v="5342.6700000001"/>
        <n v="2.3"/>
        <n v="160.68"/>
        <n v="4.92000000000002"/>
        <n v="33.1999999999998"/>
        <n v="-12.7908"/>
        <n v="912.4"/>
        <n v="303.77"/>
        <n v="29385.7949999999"/>
        <n v="-217040.85000001"/>
        <n v="0.35"/>
        <n v="-90378.0017000996"/>
        <n v="377131.7638"/>
        <n v="-718759.579999998"/>
        <n v="-3544.34"/>
        <n v="2478.64"/>
        <n v="487.539999999979"/>
        <n v="42.5999999999999"/>
        <n v="10.8244700000014"/>
        <n v="92.46"/>
        <n v="232.26"/>
        <n v="2893"/>
        <n v="51235.58"/>
        <n v="13748.179999999"/>
        <n v="11128.31"/>
        <n v="82.5100000001003"/>
        <n v="1261.80420000001"/>
        <n v="12.95"/>
        <n v="2"/>
        <n v="2806.7"/>
        <n v="4.25"/>
        <n v="58.3"/>
        <n v="1147.22"/>
        <n v="1480.48999999999"/>
        <n v="8.8100000000004"/>
        <n v="30.6"/>
        <n v="-237.27"/>
        <n v="2142"/>
        <n v="-33"/>
        <n v="10.45"/>
        <n v="-107.10000000001"/>
        <n v="36.06"/>
        <n v="2273.94"/>
        <n v="6.65000000000001"/>
        <n v="2614.9955999999"/>
        <n v="6.55"/>
        <n v="2886.3818"/>
        <n v="113.54"/>
        <n v="145133.144"/>
        <n v="9388.2"/>
        <n v="1.58"/>
        <n v="83.1300000000001"/>
        <n v="903.780000000006"/>
        <n v="-18.5"/>
        <n v="0.511499999999998"/>
        <n v="-1.08359999999993"/>
        <n v="8.1274305"/>
        <n v="2087.1"/>
        <n v="263.25"/>
        <n v="22592.479999999"/>
        <n v="1049"/>
        <n v="1198.90000000002"/>
        <n v="144"/>
        <n v="5.4481"/>
        <n v="-990"/>
        <n v="3531.86"/>
        <n v="11.8999999999996"/>
        <n v="18.72"/>
        <n v="196"/>
        <n v="-1.00044417195022e-10"/>
        <n v="121.9"/>
        <n v="218810.2012093"/>
        <n v="117880.256"/>
        <n v="289607.902000001"/>
        <n v="648.150000000002"/>
        <n v="5733.98"/>
        <n v="1328.67"/>
        <n v="4.5"/>
        <n v="-97.3"/>
        <n v="-5967.23"/>
        <n v="36691.35"/>
        <n v="15741.7"/>
        <n v="50262.2"/>
        <n v="1729306.47"/>
        <n v="325.339999999997"/>
        <n v="43966.07"/>
        <n v="-17338.7404175298"/>
        <n v="-170.530000000001"/>
        <n v="958.66"/>
        <n v="2768.56"/>
        <n v="1400.08682624442"/>
        <n v="728.14"/>
        <n v="9376.4512895535"/>
        <n v="5158.4831737556"/>
        <n v="151040"/>
        <n v="-2112"/>
        <n v="-237160"/>
        <n v="32.4"/>
      </sharedItems>
    </cacheField>
    <cacheField name="调整后毛利（含返点）" numFmtId="43">
      <sharedItems containsSemiMixedTypes="0" containsString="0" containsNumber="1" minValue="-679087.600499989" maxValue="1729306.47" count="692">
        <n v="2325.2636"/>
        <n v="1692.745634619"/>
        <n v="306.6018"/>
        <n v="34.06"/>
        <n v="1192.41"/>
        <n v="26"/>
        <n v="1"/>
        <n v="9.3"/>
        <n v="407.2"/>
        <n v="567.58"/>
        <n v="105.799999999999"/>
        <n v="-13.223"/>
        <n v="79.6899999999999"/>
        <n v="-2246.80999999999"/>
        <n v="49.78"/>
        <n v="98.74"/>
        <n v="-39.7599999999999"/>
        <n v="60.1599999999999"/>
        <n v="89.3599999999999"/>
        <n v="7.5"/>
        <n v="32.32"/>
        <n v="28.54"/>
        <n v="0"/>
        <n v="244.222999999998"/>
        <n v="25.9300000000003"/>
        <n v="4924.39387"/>
        <n v="105.2"/>
        <n v="-3132.02"/>
        <n v="-2663.52"/>
        <n v="3.83146256"/>
        <n v="40107.3979999998"/>
        <n v="-150233.292"/>
        <n v="109.936"/>
        <n v="21.6"/>
        <n v="600.6"/>
        <n v="14.548"/>
        <n v="97.716"/>
        <n v="281.484"/>
        <n v="439401.049359272"/>
        <n v="-364.356"/>
        <n v="-57288.9967"/>
        <n v="7009.91731158964"/>
        <n v="707.19"/>
        <n v="4.22"/>
        <n v="5715.26"/>
        <n v="768"/>
        <n v="18711.68"/>
        <n v="1541.92"/>
        <n v="65860.4210000001"/>
        <n v="218.000000000065"/>
        <n v="39.6"/>
        <n v="85.47"/>
        <n v="1351.95"/>
        <n v="12365.749999999"/>
        <n v="0.265199999994366"/>
        <n v="27.3"/>
        <n v="425.47999998"/>
        <n v="612.08"/>
        <n v="25130.386475239"/>
        <n v="178.45"/>
        <n v="2037.696"/>
        <n v="21.2280000000028"/>
        <n v="1920.31166657"/>
        <n v="111.24"/>
        <n v="24122.27"/>
        <n v="16.3836"/>
        <n v="7565.684"/>
        <n v="1586.31"/>
        <n v="-85093.2119999998"/>
        <n v="-29791.602"/>
        <n v="-17202.84"/>
        <n v="3822.66"/>
        <n v="0.259999999999991"/>
        <n v="-20671.204"/>
        <n v="2.12"/>
        <n v="25.75"/>
        <n v="-6732.35"/>
        <n v="14.7"/>
        <n v="20951.4190000002"/>
        <n v="4640.6455"/>
        <n v="2218.87"/>
        <n v="-38708.28932421"/>
        <n v="247.604"/>
        <n v="42"/>
        <n v="301.864999999998"/>
        <n v="-42.5"/>
        <n v="77.7"/>
        <n v="16.5"/>
        <n v="1915.96"/>
        <n v="1.95000000001164"/>
        <n v="2108.0683"/>
        <n v="20.4"/>
        <n v="-48.0086607600003"/>
        <n v="13412.0704999999"/>
        <n v="-9549.91"/>
        <n v="-6983.464"/>
        <n v="13705.55"/>
        <n v="-141504.09"/>
        <n v="-55583.51"/>
        <n v="5.15999999999997"/>
        <n v="775"/>
        <n v="-106.98"/>
        <n v="37.08"/>
        <n v="28.2800000000002"/>
        <n v="522.23"/>
        <n v="391.36"/>
        <n v="302.9"/>
        <n v="60.6999999999998"/>
        <n v="-272.06"/>
        <n v="16.2"/>
        <n v="689.380000000001"/>
        <n v="4470.8"/>
        <n v="-8136.48"/>
        <n v="315"/>
        <n v="27.7297"/>
        <n v="99.9995"/>
        <n v="126.566599999998"/>
        <n v="-16223"/>
        <n v="-19584.7049"/>
        <n v="-760.582199999946"/>
        <n v="474492.86099882"/>
        <n v="154444.5663"/>
        <n v="4035.9999"/>
        <n v="-1312.39989999999"/>
        <n v="6279.9184"/>
        <n v="36937.67"/>
        <n v="-301.769999999999"/>
        <n v="213181.3296"/>
        <n v="690"/>
        <n v="38.6"/>
        <n v="139.2"/>
        <n v="6716.4"/>
        <n v="141967.16"/>
        <n v="1.95"/>
        <n v="417.76"/>
        <n v="3.3"/>
        <n v="85622.6099999999"/>
        <n v="556.5"/>
        <n v="-118.39"/>
        <n v="1911"/>
        <n v="27.32"/>
        <n v="3307.36580000102"/>
        <n v="12292.0192"/>
        <n v="9.49"/>
        <n v="-953"/>
        <n v="33206.41"/>
        <n v="1484.74"/>
        <n v="17839.4988"/>
        <n v="93818.8"/>
        <n v="-19124.6987999994"/>
        <n v="1782.68"/>
        <n v="208.875"/>
        <n v="-1.47792889038101e-12"/>
        <n v="1449"/>
        <n v="68.79"/>
        <n v="7.8"/>
        <n v="109.7874"/>
        <n v="1269.35"/>
        <n v="3332.84646666999"/>
        <n v="11.0099"/>
        <n v="5985"/>
        <n v="1995"/>
        <n v="2661.33"/>
        <n v="-1617.71"/>
        <n v="819.81"/>
        <n v="40107.385600001"/>
        <n v="-136797.73600001"/>
        <n v="56144.08599441"/>
        <n v="61.1204"/>
        <n v="10.56"/>
        <n v="769.700000000001"/>
        <n v="1.3"/>
        <n v="26.0599999999999"/>
        <n v="6.07000001007691"/>
        <n v="12242.32"/>
        <n v="957.300000000003"/>
        <n v="379.549999999999"/>
        <n v="1609.55562578"/>
        <n v="2302.221990049"/>
        <n v="2500"/>
        <n v="112.309999999998"/>
        <n v="9000"/>
        <n v="-455.0169"/>
        <n v="85728.205"/>
        <n v="-40831.3831"/>
        <n v="-68252.72"/>
        <n v="97.6439999999993"/>
        <n v="35.3000000000002"/>
        <n v="4466.47999999998"/>
        <n v="7090.44999999995"/>
        <n v="235.300000000003"/>
        <n v="1427.64999999999"/>
        <n v="0.859999999999999"/>
        <n v="7994.72000000096"/>
        <n v="785.3999999999"/>
        <n v="408.150000000023"/>
        <n v="246"/>
        <n v="8347.21"/>
        <n v="700.470000000001"/>
        <n v="2102"/>
        <n v="28206.1899999999"/>
        <n v="67"/>
        <n v="21.05"/>
        <n v="84.02"/>
        <n v="943.2"/>
        <n v="4123.73043329"/>
        <n v="176.16"/>
        <n v="47051.0101331701"/>
        <n v="-430.28999999999"/>
        <n v="-187.25"/>
        <n v="4"/>
        <n v="-2579.5"/>
        <n v="14989"/>
        <n v="771267.600000002"/>
        <n v="1798"/>
        <n v="-30.3527999999988"/>
        <n v="206.4"/>
        <n v="3528.2343"/>
        <n v="39.8"/>
        <n v="21440.15450352"/>
        <n v="150779.699999999"/>
        <n v="2920"/>
        <n v="13100"/>
        <n v="671.5"/>
        <n v="93.4000000000001"/>
        <n v="1574.22"/>
        <n v="8886.16999999993"/>
        <n v="2625.82"/>
        <n v="952.899999999994"/>
        <n v="47.04"/>
        <n v="0.105"/>
        <n v="32.1999999999998"/>
        <n v="7.19999999999999"/>
        <n v="1.04773789644241e-9"/>
        <n v="380"/>
        <n v="2.2"/>
        <n v="1133.58"/>
        <n v="8250.10000000001"/>
        <n v="154.94"/>
        <n v="216.568"/>
        <n v="-16645.6413"/>
        <n v="47.3385"/>
        <n v="95865.6933"/>
        <n v="-91.5720000000001"/>
        <n v="3417.24120932999"/>
        <n v="3738.998"/>
        <n v="12.6"/>
        <n v="4918.91819999999"/>
        <n v="32.26"/>
        <n v="-16.5"/>
        <n v="23.06"/>
        <n v="85.8"/>
        <n v="159.6"/>
        <n v="29694.27"/>
        <n v="701"/>
        <n v="6.3"/>
        <n v="76.95"/>
        <n v="580624.2"/>
        <n v="32941.5009999999"/>
        <n v="261.8587"/>
        <n v="762.6099"/>
        <n v="-679087.600499989"/>
        <n v="2.5"/>
        <n v="91.8718"/>
        <n v="313.55"/>
        <n v="50753.4"/>
        <n v="1.8"/>
        <n v="670.31999999999"/>
        <n v="8657.54799999995"/>
        <n v="14325.9367000001"/>
        <n v="36.683"/>
        <n v="2.58"/>
        <n v="1474.73"/>
        <n v="1663.26766665"/>
        <n v="865.5"/>
        <n v="15743.43"/>
        <n v="3"/>
        <n v="1328.33"/>
        <n v="6162.08"/>
        <n v="1919.22"/>
        <n v="58.5"/>
        <n v="3678.5"/>
        <n v="13813.5"/>
        <n v="7.05000000000001"/>
        <n v="25.9499999999998"/>
        <n v="-16"/>
        <n v="647.12"/>
        <n v="67.1"/>
        <n v="779.44"/>
        <n v="11.7"/>
        <n v="853.974999999999"/>
        <n v="133.17"/>
        <n v="3742.8875090501"/>
        <n v="79.92"/>
        <n v="19.65"/>
        <n v="587.45"/>
        <n v="552.29"/>
        <n v="9.09999999999999"/>
        <n v="1534.8228"/>
        <n v="7"/>
        <n v="124.68"/>
        <n v="9.60000000000002"/>
        <n v="21.45"/>
        <n v="371.1314"/>
        <n v="87.51"/>
        <n v="2412.265"/>
        <n v="310.55"/>
        <n v="862.4"/>
        <n v="7481.44"/>
        <n v="28.4"/>
        <n v="456.8"/>
        <n v="320.2"/>
        <n v="1126.5"/>
        <n v="3.59999999999999"/>
        <n v="239.7"/>
        <n v="3690.45"/>
        <n v="3414.63"/>
        <n v="217.16"/>
        <n v="-185.420000000002"/>
        <n v="249.16"/>
        <n v="3430.46"/>
        <n v="5696.22000000067"/>
        <n v="59.9140000000002"/>
        <n v="147.999999999999"/>
        <n v="4.1"/>
        <n v="-46957.4868729515"/>
        <n v="0.00809999999182765"/>
        <n v="13436.35"/>
        <n v="-26630.8299999999"/>
        <n v="-20.01"/>
        <n v="1.80000000000001"/>
        <n v="-8496.39999999999"/>
        <n v="113.799999999999"/>
        <n v="-1567.22"/>
        <n v="-1.86"/>
        <n v="49700"/>
        <n v="5749.55"/>
        <n v="5293.7"/>
        <n v="11323"/>
        <n v="76282.700000001"/>
        <n v="599.649999999991"/>
        <n v="567.16"/>
        <n v="51.48"/>
        <n v="3933.82999999999"/>
        <n v="43.1"/>
        <n v="5.4"/>
        <n v="1942.3172"/>
        <n v="71.8000000000001"/>
        <n v="14258.378"/>
        <n v="-1019.57000000001"/>
        <n v="-17776.2800000001"/>
        <n v="-40461.4799999991"/>
        <n v="42.9080489200001"/>
        <n v="29.689"/>
        <n v="120.37"/>
        <n v="15.599"/>
        <n v="40.2187"/>
        <n v="7436.67100000102"/>
        <n v="396425.6"/>
        <n v="903.350299999999"/>
        <n v="3.75"/>
        <n v="-49216.8512000001"/>
        <n v="-3.8861"/>
        <n v="4558.79999999999"/>
        <n v="8.2"/>
        <n v="3785.97"/>
        <n v="191027.01"/>
        <n v="346947.25"/>
        <n v="-237077.350000002"/>
        <n v="0.1"/>
        <n v="48785.7849999999"/>
        <n v="1400004.06776702"/>
        <n v="524.05"/>
        <n v="1908.12499999901"/>
        <n v="48.4"/>
        <n v="186.839999999997"/>
        <n v="359.75"/>
        <n v="5970.4022"/>
        <n v="192.714"/>
        <n v="25101.6072880199"/>
        <n v="6.19999999999999"/>
        <n v="28.75"/>
        <n v="18.8000000000001"/>
        <n v="0.879999999999996"/>
        <n v="3.36960000000002"/>
        <n v="0.449999999999996"/>
        <n v="26.3999999999996"/>
        <n v="2657.34"/>
        <n v="-289.699999999997"/>
        <n v="2589.39999999999"/>
        <n v="45"/>
        <n v="848.639999999999"/>
        <n v="933.500000001004"/>
        <n v="0.0399999999999992"/>
        <n v="201.6"/>
        <n v="250.12710000001"/>
        <n v="133.600000000002"/>
        <n v="2.59000000000003"/>
        <n v="250.75"/>
        <n v="38.36"/>
        <n v="4249.44999999998"/>
        <n v="2028.45"/>
        <n v="51"/>
        <n v="73601.7305826032"/>
        <n v="9.99999974737875e-5"/>
        <n v="10751.7699999999"/>
        <n v="2.98"/>
        <n v="126.9"/>
        <n v="375.970199990465"/>
        <n v="20444.3940000003"/>
        <n v="-123798.8152001"/>
        <n v="400006.839"/>
        <n v="40.5"/>
        <n v="138.425"/>
        <n v="3261.40005658"/>
        <n v="314.55"/>
        <n v="76.58"/>
        <n v="141.02"/>
        <n v="8.47000000000003"/>
        <n v="49287.4447999999"/>
        <n v="531.950000000001"/>
        <n v="333.360000000001"/>
        <n v="74385.4592840418"/>
        <n v="186.325"/>
        <n v="-7952.8"/>
        <n v="0.890000000000001"/>
        <n v="2937.92000000001"/>
        <n v="5448.61199999999"/>
        <n v="632.523999999976"/>
        <n v="672.5"/>
        <n v="-17.8199999999999"/>
        <n v="84529"/>
        <n v="215"/>
        <n v="146449"/>
        <n v="454516.1"/>
        <n v="12.5"/>
        <n v="8487.80000000002"/>
        <n v="15057"/>
        <n v="86.6400000000012"/>
        <n v="253.71"/>
        <n v="-73.9399999999999"/>
        <n v="-91478.8255555549"/>
        <n v="5525.001"/>
        <n v="25918.905"/>
        <n v="3673.263"/>
        <n v="23981.125"/>
        <n v="437.664000000019"/>
        <n v="-704.358126464998"/>
        <n v="-16.7999999999999"/>
        <n v="22.1500000000001"/>
        <n v="6367.74000000104"/>
        <n v="141.3"/>
        <n v="8740.83"/>
        <n v="7.150000000001"/>
        <n v="153883.099999999"/>
        <n v="-0.999999998486601"/>
        <n v="66769.8900000001"/>
        <n v="56.5500000000002"/>
        <n v="7143.49999999901"/>
        <n v="11832.333"/>
        <n v="3.10000000000036"/>
        <n v="2114"/>
        <n v="2741.81"/>
        <n v="484.299999999988"/>
        <n v="990"/>
        <n v="168.450000000001"/>
        <n v="137.88"/>
        <n v="4110.87"/>
        <n v="0.199999999999999"/>
        <n v="5.24"/>
        <n v="586.040000000001"/>
        <n v="179.900000000001"/>
        <n v="1226.59999999999"/>
        <n v="5.76"/>
        <n v="763.459999999999"/>
        <n v="-1.19999999999999"/>
        <n v="750.5"/>
        <n v="457.694"/>
        <n v="130.09"/>
        <n v="31.7750000000001"/>
        <n v="2362.17999999999"/>
        <n v="35049.93"/>
        <n v="1626765.5685"/>
        <n v="39935.64790001"/>
        <n v="-35.5200000000004"/>
        <n v="854.979999999996"/>
        <n v="5308.67249999999"/>
        <n v="34091.37"/>
        <n v="1141.79999999999"/>
        <n v="3.4"/>
        <n v="27938.535"/>
        <n v="-14948.699999999"/>
        <n v="10.375"/>
        <n v="254.09"/>
        <n v="24.1899999999896"/>
        <n v="203479.98"/>
        <n v="142.865"/>
        <n v="716.9371"/>
        <n v="29397.0600000001"/>
        <n v="-7074.56"/>
        <n v="49"/>
        <n v="0.870000000009895"/>
        <n v="149.76"/>
        <n v="72.8899999999999"/>
        <n v="3436.54999999999"/>
        <n v="4925.1"/>
        <n v="-5957.42999999999"/>
        <n v="12.75"/>
        <n v="-384"/>
        <n v="62779.8920181"/>
        <n v="-10056.0000000001"/>
        <n v="501.359999999997"/>
        <n v="5.43179999999998"/>
        <n v="-8.69999999999897"/>
        <n v="10.5"/>
        <n v="480"/>
        <n v="250.370000000003"/>
        <n v="47.9300000000076"/>
        <n v="13.45"/>
        <n v="1845.25348492831"/>
        <n v="91.43"/>
        <n v="23.46"/>
        <n v="-8871.24633074936"/>
        <n v="84090.5645705601"/>
        <n v="-68.6899999999999"/>
        <n v="26676.89"/>
        <n v="47541.41"/>
        <n v="626.36"/>
        <n v="13.4"/>
        <n v="94421.5800000002"/>
        <n v="16021.0300000001"/>
        <n v="63.2400000000012"/>
        <n v="8.1"/>
        <n v="29.56"/>
        <n v="967742.27571064"/>
        <n v="-3936.2"/>
        <n v="637821.255766281"/>
        <n v="4887.256"/>
        <n v="-340242.677831751"/>
        <n v="67331.18"/>
        <n v="15"/>
        <n v="1617"/>
        <n v="3839"/>
        <n v="159760.72333333"/>
        <n v="-6337.35"/>
        <n v="18928.985"/>
        <n v="9805.35"/>
        <n v="3033"/>
        <n v="6024.2"/>
        <n v="-3041.45"/>
        <n v="2479"/>
        <n v="5.87000000000001"/>
        <n v="22961.126"/>
        <n v="-20.924"/>
        <n v="9531.853999999"/>
        <n v="-1.35"/>
        <n v="3675.90865115996"/>
        <n v="239.5"/>
        <n v="892.75"/>
        <n v="166714.018"/>
        <n v="136037.524"/>
        <n v="341767.69"/>
        <n v="13.7836"/>
        <n v="835.669999999998"/>
        <n v="400.399999999999"/>
        <n v="3.2"/>
        <n v="-11595.0849999999"/>
        <n v="-10.000000000001"/>
        <n v="11.2"/>
        <n v="292.9791"/>
        <n v="9187.11090000003"/>
        <n v="164"/>
        <n v="0.0400000000008731"/>
        <n v="12516.997"/>
        <n v="5235.1886"/>
        <n v="149679.07960001"/>
        <n v="417.973599999999"/>
        <n v="9393.5538999999"/>
        <n v="6468.03999999998"/>
        <n v="-500072.34"/>
        <n v="3354.9200000001"/>
        <n v="80492.9999999902"/>
        <n v="945.270000000004"/>
        <n v="-420"/>
        <n v="324793.961399902"/>
        <n v="47.4"/>
        <n v="-47.4000000000001"/>
        <n v="-34.694"/>
        <n v="-848.56399999978"/>
        <n v="416.764"/>
        <n v="7986.68"/>
        <n v="345499"/>
        <n v="59670"/>
        <n v="4666.3662000001"/>
        <n v="5342.6700000001"/>
        <n v="2.3"/>
        <n v="160.68"/>
        <n v="4.92000000000002"/>
        <n v="33.1999999999998"/>
        <n v="-12.7908"/>
        <n v="912.4"/>
        <n v="303.77"/>
        <n v="29385.7949999999"/>
        <n v="-217040.85000001"/>
        <n v="0.35"/>
        <n v="-90378.0017000996"/>
        <n v="377131.7638"/>
        <n v="204993.060000002"/>
        <n v="-3544.34"/>
        <n v="2478.64"/>
        <n v="487.539999999979"/>
        <n v="42.5999999999999"/>
        <n v="10.8244700000014"/>
        <n v="92.46"/>
        <n v="232.26"/>
        <n v="2893"/>
        <n v="51235.58"/>
        <n v="13748.179999999"/>
        <n v="11128.31"/>
        <n v="82.5100000001003"/>
        <n v="1261.80420000001"/>
        <n v="12.95"/>
        <n v="2"/>
        <n v="2806.7"/>
        <n v="4.25"/>
        <n v="58.3"/>
        <n v="1147.22"/>
        <n v="1480.48999999999"/>
        <n v="8.8100000000004"/>
        <n v="30.6"/>
        <n v="-237.27"/>
        <n v="2142"/>
        <n v="-33"/>
        <n v="10.45"/>
        <n v="-107.10000000001"/>
        <n v="36.06"/>
        <n v="2273.94"/>
        <n v="6.65000000000001"/>
        <n v="2614.9955999999"/>
        <n v="6.55"/>
        <n v="2886.3818"/>
        <n v="113.54"/>
        <n v="145133.144"/>
        <n v="9388.2"/>
        <n v="1.58"/>
        <n v="83.1300000000001"/>
        <n v="903.780000000006"/>
        <n v="-18.5"/>
        <n v="0.511499999999998"/>
        <n v="-1.08359999999993"/>
        <n v="8.1274305"/>
        <n v="2087.1"/>
        <n v="263.25"/>
        <n v="22592.479999999"/>
        <n v="1049"/>
        <n v="1198.90000000002"/>
        <n v="144"/>
        <n v="5.4481"/>
        <n v="-990"/>
        <n v="3531.86"/>
        <n v="11.8999999999996"/>
        <n v="18.72"/>
        <n v="196"/>
        <n v="-1.00044417195022e-10"/>
        <n v="121.9"/>
        <n v="218810.2012093"/>
        <n v="117880.256"/>
        <n v="289607.902000001"/>
        <n v="648.150000000002"/>
        <n v="5733.98"/>
        <n v="1328.67"/>
        <n v="4.5"/>
        <n v="-97.3"/>
        <n v="-5967.23"/>
        <n v="36691.35"/>
        <n v="15741.7"/>
        <n v="50262.2"/>
        <n v="1729306.47"/>
        <n v="325.339999999997"/>
        <n v="43966.07"/>
        <n v="-17338.7404175298"/>
        <n v="-170.530000000001"/>
        <n v="958.66"/>
        <n v="2768.56"/>
        <n v="1400.08682624442"/>
        <n v="728.14"/>
        <n v="9376.4512895535"/>
        <n v="5158.4831737556"/>
        <n v="151040"/>
        <n v="-2112"/>
        <n v="-237160"/>
        <n v="32.4"/>
      </sharedItems>
    </cacheField>
    <cacheField name="代运营收入" numFmtId="43">
      <sharedItems containsString="0" containsBlank="1" containsNumber="1" minValue="-90000" maxValue="1003294.95" count="44">
        <m/>
        <n v="71257.14"/>
        <n v="80403"/>
        <n v="114720.53"/>
        <n v="236000"/>
        <n v="113839.66"/>
        <n v="41498.83"/>
        <n v="3300.07"/>
        <n v="-90000"/>
        <n v="878981.94"/>
        <n v="90000"/>
        <n v="-18950"/>
        <n v="18950"/>
        <n v="99807.68"/>
        <n v="163178.6"/>
        <n v="5078.9"/>
        <n v="45743.14"/>
        <n v="150465.3"/>
        <n v="17807.11"/>
        <n v="195888.67"/>
        <n v="29980.78"/>
        <n v="71401.77"/>
        <n v="5374.86999999999"/>
        <n v="26825.17"/>
        <n v="163466.22"/>
        <n v="25000"/>
        <n v="32.85"/>
        <n v="12.63"/>
        <n v="11.73"/>
        <n v="13462.88"/>
        <n v="14278.48"/>
        <n v="7850"/>
        <n v="148332.62"/>
        <n v="587759.81"/>
        <n v="226040.67"/>
        <n v="676510.27"/>
        <n v="188298.92"/>
        <n v="440401.299999999"/>
        <n v="57000"/>
        <n v="17.67"/>
        <n v="165242.15"/>
        <n v="191250.53"/>
        <n v="1003294.95"/>
        <n v="73.37"/>
      </sharedItems>
    </cacheField>
    <cacheField name="代运营成本" numFmtId="43">
      <sharedItems containsString="0" containsBlank="1" containsNumber="1" minValue="-954" maxValue="231747.42" count="29">
        <m/>
        <n v="19392.88"/>
        <n v="24491.46"/>
        <n v="30000"/>
        <n v="9344.59"/>
        <n v="1812"/>
        <n v="90449.8"/>
        <n v="97672.7"/>
        <n v="-954"/>
        <n v="451.709999999999"/>
        <n v="71907.91"/>
        <n v="172203.3"/>
        <n v="-106.39"/>
        <n v="34291.23"/>
        <n v="156729.52"/>
        <n v="2423.87"/>
        <n v="171033.35"/>
        <n v="7850"/>
        <n v="13462.88"/>
        <n v="8.05"/>
        <n v="18892.27"/>
        <n v="20523"/>
        <n v="22500"/>
        <n v="231747.42"/>
        <n v="28743"/>
        <n v="148835.09"/>
        <n v="50114.6699999999"/>
        <n v="246.21"/>
        <n v="172453.88"/>
      </sharedItems>
    </cacheField>
    <cacheField name="代运营毛利" numFmtId="43">
      <sharedItems containsSemiMixedTypes="0" containsString="0" containsNumber="1" minValue="-172453.88" maxValue="1003294.95" count="64">
        <n v="0"/>
        <n v="51864.26"/>
        <n v="80403"/>
        <n v="-24491.46"/>
        <n v="84720.53"/>
        <n v="236000"/>
        <n v="113839.66"/>
        <n v="41498.83"/>
        <n v="3300.07"/>
        <n v="-90000"/>
        <n v="878981.94"/>
        <n v="90000"/>
        <n v="-18950"/>
        <n v="18950"/>
        <n v="99807.68"/>
        <n v="163178.6"/>
        <n v="5078.9"/>
        <n v="-9344.59"/>
        <n v="45743.14"/>
        <n v="150465.3"/>
        <n v="17807.11"/>
        <n v="-1812"/>
        <n v="-90449.8"/>
        <n v="-97672.7"/>
        <n v="954"/>
        <n v="-451.709999999999"/>
        <n v="-71907.91"/>
        <n v="195888.67"/>
        <n v="29980.78"/>
        <n v="71401.77"/>
        <n v="5374.86999999999"/>
        <n v="-172203.3"/>
        <n v="106.39"/>
        <n v="26825.17"/>
        <n v="-34291.23"/>
        <n v="6736.70000000001"/>
        <n v="25000"/>
        <n v="32.85"/>
        <n v="12.63"/>
        <n v="11.73"/>
        <n v="-2423.87"/>
        <n v="-171033.35"/>
        <n v="13462.88"/>
        <n v="-7850"/>
        <n v="14278.48"/>
        <n v="-13462.88"/>
        <n v="7850"/>
        <n v="-8.05"/>
        <n v="-18892.27"/>
        <n v="148332.62"/>
        <n v="567236.81"/>
        <n v="203540.67"/>
        <n v="444762.85"/>
        <n v="159555.92"/>
        <n v="291566.209999999"/>
        <n v="57000"/>
        <n v="17.67"/>
        <n v="165242.15"/>
        <n v="-50114.6699999999"/>
        <n v="191250.53"/>
        <n v="1003294.95"/>
        <n v="73.37"/>
        <n v="-246.21"/>
        <n v="-172453.88"/>
      </sharedItems>
    </cacheField>
    <cacheField name="合并毛利" numFmtId="43">
      <sharedItems containsSemiMixedTypes="0" containsString="0" containsNumber="1" minValue="-679087.600499989" maxValue="1729306.47" count="743">
        <n v="2325.2636"/>
        <n v="1692.745634619"/>
        <n v="306.6018"/>
        <n v="34.06"/>
        <n v="1192.41"/>
        <n v="26"/>
        <n v="1"/>
        <n v="9.3"/>
        <n v="407.2"/>
        <n v="567.58"/>
        <n v="105.799999999999"/>
        <n v="-13.223"/>
        <n v="79.6899999999999"/>
        <n v="-2246.80999999999"/>
        <n v="49.78"/>
        <n v="98.74"/>
        <n v="-39.7599999999999"/>
        <n v="60.1599999999999"/>
        <n v="89.3599999999999"/>
        <n v="7.5"/>
        <n v="32.32"/>
        <n v="28.54"/>
        <n v="0"/>
        <n v="244.222999999998"/>
        <n v="25.9300000000003"/>
        <n v="4924.39387"/>
        <n v="105.2"/>
        <n v="-3132.02"/>
        <n v="-2663.52"/>
        <n v="3.83146256"/>
        <n v="40107.3979999998"/>
        <n v="-150233.292"/>
        <n v="109.936"/>
        <n v="21.6"/>
        <n v="600.6"/>
        <n v="14.548"/>
        <n v="97.716"/>
        <n v="281.484"/>
        <n v="439401.049359272"/>
        <n v="-364.356"/>
        <n v="-57288.9967"/>
        <n v="58874.1773115896"/>
        <n v="707.19"/>
        <n v="4.22"/>
        <n v="5715.26"/>
        <n v="768"/>
        <n v="18711.68"/>
        <n v="1541.92"/>
        <n v="146263.421"/>
        <n v="218.000000000065"/>
        <n v="39.6"/>
        <n v="-24491.46"/>
        <n v="85.47"/>
        <n v="1351.95"/>
        <n v="12365.749999999"/>
        <n v="0.265199999994366"/>
        <n v="27.3"/>
        <n v="425.47999998"/>
        <n v="612.08"/>
        <n v="25130.386475239"/>
        <n v="178.45"/>
        <n v="2037.696"/>
        <n v="21.2280000000028"/>
        <n v="1920.31166657"/>
        <n v="111.24"/>
        <n v="24122.27"/>
        <n v="16.3836"/>
        <n v="7565.684"/>
        <n v="1586.31"/>
        <n v="-85093.2119999998"/>
        <n v="-29791.602"/>
        <n v="-17202.84"/>
        <n v="3822.66"/>
        <n v="0.259999999999991"/>
        <n v="-20671.204"/>
        <n v="2.12"/>
        <n v="25.75"/>
        <n v="-6732.35"/>
        <n v="14.7"/>
        <n v="20951.4190000002"/>
        <n v="4640.6455"/>
        <n v="2218.87"/>
        <n v="-38708.28932421"/>
        <n v="247.604"/>
        <n v="42"/>
        <n v="301.864999999998"/>
        <n v="-42.5"/>
        <n v="77.7"/>
        <n v="16.5"/>
        <n v="1915.96"/>
        <n v="1.95000000001164"/>
        <n v="2108.0683"/>
        <n v="20.4"/>
        <n v="-48.0086607600003"/>
        <n v="13412.0704999999"/>
        <n v="-9549.91"/>
        <n v="-6983.464"/>
        <n v="13705.55"/>
        <n v="-141504.09"/>
        <n v="-55583.51"/>
        <n v="5.15999999999997"/>
        <n v="775"/>
        <n v="-106.98"/>
        <n v="37.08"/>
        <n v="84720.53"/>
        <n v="28.2800000000002"/>
        <n v="522.23"/>
        <n v="391.36"/>
        <n v="302.9"/>
        <n v="60.6999999999998"/>
        <n v="-272.06"/>
        <n v="16.2"/>
        <n v="689.380000000001"/>
        <n v="240470.8"/>
        <n v="105703.18"/>
        <n v="315"/>
        <n v="27.7297"/>
        <n v="99.9995"/>
        <n v="126.566599999998"/>
        <n v="-16223"/>
        <n v="-19584.7049"/>
        <n v="-760.582199999946"/>
        <n v="515991.69099882"/>
        <n v="154444.5663"/>
        <n v="4035.9999"/>
        <n v="-1312.39989999999"/>
        <n v="6279.9184"/>
        <n v="36937.67"/>
        <n v="-301.769999999999"/>
        <n v="213181.3296"/>
        <n v="690"/>
        <n v="38.6"/>
        <n v="139.2"/>
        <n v="6716.4"/>
        <n v="141967.16"/>
        <n v="1.95"/>
        <n v="417.76"/>
        <n v="3.3"/>
        <n v="85622.6099999999"/>
        <n v="556.5"/>
        <n v="-118.39"/>
        <n v="1911"/>
        <n v="3300.07"/>
        <n v="27.32"/>
        <n v="3307.36580000102"/>
        <n v="12292.0192"/>
        <n v="-90000"/>
        <n v="9.49"/>
        <n v="-953"/>
        <n v="33206.41"/>
        <n v="1484.74"/>
        <n v="17839.4988"/>
        <n v="878981.94"/>
        <n v="93818.8"/>
        <n v="-19124.6987999994"/>
        <n v="1782.68"/>
        <n v="208.875"/>
        <n v="-1.47792889038101e-12"/>
        <n v="1449"/>
        <n v="68.79"/>
        <n v="7.8"/>
        <n v="109.7874"/>
        <n v="1269.35"/>
        <n v="3332.84646666999"/>
        <n v="11.0099"/>
        <n v="90000"/>
        <n v="-18950"/>
        <n v="18950"/>
        <n v="5985"/>
        <n v="1995"/>
        <n v="2661.33"/>
        <n v="99807.68"/>
        <n v="-1617.71"/>
        <n v="819.81"/>
        <n v="163178.6"/>
        <n v="40107.385600001"/>
        <n v="-136797.73600001"/>
        <n v="5078.9"/>
        <n v="56144.08599441"/>
        <n v="61.1204"/>
        <n v="10.56"/>
        <n v="769.700000000001"/>
        <n v="1.3"/>
        <n v="26.0599999999999"/>
        <n v="-9344.59"/>
        <n v="45743.14"/>
        <n v="6.07000001007691"/>
        <n v="12242.32"/>
        <n v="957.300000000003"/>
        <n v="379.549999999999"/>
        <n v="1609.55562578"/>
        <n v="2302.221990049"/>
        <n v="2500"/>
        <n v="112.309999999998"/>
        <n v="9000"/>
        <n v="-455.0169"/>
        <n v="85728.205"/>
        <n v="-40831.3831"/>
        <n v="-68252.72"/>
        <n v="97.6439999999993"/>
        <n v="35.3000000000002"/>
        <n v="4466.47999999998"/>
        <n v="7090.44999999995"/>
        <n v="235.300000000003"/>
        <n v="1427.64999999999"/>
        <n v="0.859999999999999"/>
        <n v="7994.72000000096"/>
        <n v="785.3999999999"/>
        <n v="408.150000000023"/>
        <n v="246"/>
        <n v="8347.21"/>
        <n v="700.470000000001"/>
        <n v="2102"/>
        <n v="28206.1899999999"/>
        <n v="67"/>
        <n v="21.05"/>
        <n v="84.02"/>
        <n v="943.2"/>
        <n v="4123.73043329"/>
        <n v="176.16"/>
        <n v="47051.0101331701"/>
        <n v="-430.28999999999"/>
        <n v="-187.25"/>
        <n v="4"/>
        <n v="-2579.5"/>
        <n v="14989"/>
        <n v="150465.3"/>
        <n v="771267.600000002"/>
        <n v="1798"/>
        <n v="-30.3527999999988"/>
        <n v="206.4"/>
        <n v="3528.2343"/>
        <n v="39.8"/>
        <n v="21440.15450352"/>
        <n v="150779.699999999"/>
        <n v="2920"/>
        <n v="13100"/>
        <n v="671.5"/>
        <n v="93.4000000000001"/>
        <n v="1574.22"/>
        <n v="8886.16999999993"/>
        <n v="2625.82"/>
        <n v="952.899999999994"/>
        <n v="47.04"/>
        <n v="0.105"/>
        <n v="32.1999999999998"/>
        <n v="7.19999999999999"/>
        <n v="17807.11"/>
        <n v="1.04773789644241e-9"/>
        <n v="380"/>
        <n v="2.2"/>
        <n v="1133.58"/>
        <n v="8250.10000000001"/>
        <n v="154.94"/>
        <n v="216.568"/>
        <n v="-16645.6413"/>
        <n v="47.3385"/>
        <n v="95865.6933"/>
        <n v="-91.5720000000001"/>
        <n v="3417.24120932999"/>
        <n v="3738.998"/>
        <n v="12.6"/>
        <n v="4918.91819999999"/>
        <n v="32.26"/>
        <n v="-16.5"/>
        <n v="23.06"/>
        <n v="85.8"/>
        <n v="159.6"/>
        <n v="29694.27"/>
        <n v="701"/>
        <n v="6.3"/>
        <n v="-1812"/>
        <n v="-90449.8"/>
        <n v="-97672.7"/>
        <n v="954"/>
        <n v="76.95"/>
        <n v="580624.2"/>
        <n v="32941.5009999999"/>
        <n v="261.8587"/>
        <n v="762.6099"/>
        <n v="-679087.600499989"/>
        <n v="2.5"/>
        <n v="91.8718"/>
        <n v="313.55"/>
        <n v="50753.4"/>
        <n v="-451.709999999999"/>
        <n v="1.8"/>
        <n v="670.31999999999"/>
        <n v="8657.54799999995"/>
        <n v="14325.9367000001"/>
        <n v="36.683"/>
        <n v="2.58"/>
        <n v="1474.73"/>
        <n v="1663.26766665"/>
        <n v="865.5"/>
        <n v="15743.43"/>
        <n v="3"/>
        <n v="1328.33"/>
        <n v="6162.08"/>
        <n v="1919.22"/>
        <n v="58.5"/>
        <n v="3678.5"/>
        <n v="-71907.91"/>
        <n v="13813.5"/>
        <n v="195888.67"/>
        <n v="29980.78"/>
        <n v="7.05000000000001"/>
        <n v="25.9499999999998"/>
        <n v="-16"/>
        <n v="647.12"/>
        <n v="67.1"/>
        <n v="779.44"/>
        <n v="11.7"/>
        <n v="853.974999999999"/>
        <n v="133.17"/>
        <n v="3742.8875090501"/>
        <n v="79.92"/>
        <n v="19.65"/>
        <n v="587.45"/>
        <n v="552.29"/>
        <n v="9.09999999999999"/>
        <n v="1534.8228"/>
        <n v="7"/>
        <n v="124.68"/>
        <n v="9.60000000000002"/>
        <n v="21.45"/>
        <n v="371.1314"/>
        <n v="87.51"/>
        <n v="2412.265"/>
        <n v="310.55"/>
        <n v="862.4"/>
        <n v="7481.44"/>
        <n v="28.4"/>
        <n v="456.8"/>
        <n v="320.2"/>
        <n v="1126.5"/>
        <n v="3.59999999999999"/>
        <n v="239.7"/>
        <n v="71401.77"/>
        <n v="3690.45"/>
        <n v="3414.63"/>
        <n v="217.16"/>
        <n v="5189.44999999999"/>
        <n v="249.16"/>
        <n v="3430.46"/>
        <n v="5696.22000000067"/>
        <n v="59.9140000000002"/>
        <n v="147.999999999999"/>
        <n v="4.1"/>
        <n v="-46957.4868729515"/>
        <n v="0.00809999999182765"/>
        <n v="-172203.3"/>
        <n v="13436.35"/>
        <n v="-26630.8299999999"/>
        <n v="-20.01"/>
        <n v="1.80000000000001"/>
        <n v="-8496.39999999999"/>
        <n v="113.799999999999"/>
        <n v="-1567.22"/>
        <n v="-1.86"/>
        <n v="49700"/>
        <n v="5749.55"/>
        <n v="5293.7"/>
        <n v="11323"/>
        <n v="76282.700000001"/>
        <n v="599.649999999991"/>
        <n v="106.39"/>
        <n v="567.16"/>
        <n v="51.48"/>
        <n v="3933.82999999999"/>
        <n v="43.1"/>
        <n v="5.4"/>
        <n v="1942.3172"/>
        <n v="71.8000000000001"/>
        <n v="14258.378"/>
        <n v="-1019.57000000001"/>
        <n v="-17776.2800000001"/>
        <n v="-40461.4799999991"/>
        <n v="42.9080489200001"/>
        <n v="29.689"/>
        <n v="120.37"/>
        <n v="15.599"/>
        <n v="40.2187"/>
        <n v="7436.67100000102"/>
        <n v="423250.77"/>
        <n v="903.350299999999"/>
        <n v="3.75"/>
        <n v="-49216.8512000001"/>
        <n v="-3.8861"/>
        <n v="4558.79999999999"/>
        <n v="8.2"/>
        <n v="3785.97"/>
        <n v="191027.01"/>
        <n v="346947.25"/>
        <n v="-237077.350000002"/>
        <n v="0.1"/>
        <n v="48785.7849999999"/>
        <n v="1400004.06776702"/>
        <n v="524.05"/>
        <n v="1908.12499999901"/>
        <n v="48.4"/>
        <n v="186.839999999997"/>
        <n v="359.75"/>
        <n v="5970.4022"/>
        <n v="192.714"/>
        <n v="25101.6072880199"/>
        <n v="-34291.23"/>
        <n v="6736.70000000001"/>
        <n v="6.19999999999999"/>
        <n v="28.75"/>
        <n v="18.8000000000001"/>
        <n v="0.879999999999996"/>
        <n v="3.36960000000002"/>
        <n v="0.449999999999996"/>
        <n v="26.3999999999996"/>
        <n v="2657.34"/>
        <n v="25000"/>
        <n v="-289.699999999997"/>
        <n v="2589.39999999999"/>
        <n v="45"/>
        <n v="848.639999999999"/>
        <n v="933.500000001004"/>
        <n v="0.0399999999999992"/>
        <n v="201.6"/>
        <n v="250.12710000001"/>
        <n v="133.600000000002"/>
        <n v="2.59000000000003"/>
        <n v="250.75"/>
        <n v="38.36"/>
        <n v="4249.44999999998"/>
        <n v="2028.45"/>
        <n v="51"/>
        <n v="73601.7305826032"/>
        <n v="9.99999974737875e-5"/>
        <n v="10751.7699999999"/>
        <n v="2.98"/>
        <n v="126.9"/>
        <n v="375.970199990465"/>
        <n v="20444.3940000003"/>
        <n v="-123798.8152001"/>
        <n v="400006.839"/>
        <n v="40.5"/>
        <n v="32.85"/>
        <n v="138.425"/>
        <n v="3261.40005658"/>
        <n v="314.55"/>
        <n v="76.58"/>
        <n v="141.02"/>
        <n v="8.47000000000003"/>
        <n v="49287.4447999999"/>
        <n v="531.950000000001"/>
        <n v="333.360000000001"/>
        <n v="74385.4592840418"/>
        <n v="186.325"/>
        <n v="-7952.8"/>
        <n v="0.890000000000001"/>
        <n v="2937.92000000001"/>
        <n v="5448.61199999999"/>
        <n v="632.523999999976"/>
        <n v="672.5"/>
        <n v="12.63"/>
        <n v="-17.8199999999999"/>
        <n v="84529"/>
        <n v="215"/>
        <n v="146449"/>
        <n v="454516.1"/>
        <n v="12.5"/>
        <n v="8487.80000000002"/>
        <n v="15057"/>
        <n v="86.6400000000012"/>
        <n v="11.73"/>
        <n v="253.71"/>
        <n v="-73.9399999999999"/>
        <n v="-91478.8255555549"/>
        <n v="-2423.87"/>
        <n v="5525.001"/>
        <n v="25918.905"/>
        <n v="3673.263"/>
        <n v="23981.125"/>
        <n v="437.664000000019"/>
        <n v="-704.358126464998"/>
        <n v="-16.7999999999999"/>
        <n v="22.1500000000001"/>
        <n v="-171033.35"/>
        <n v="6367.74000000104"/>
        <n v="141.3"/>
        <n v="8740.83"/>
        <n v="7.150000000001"/>
        <n v="153883.099999999"/>
        <n v="13462.88"/>
        <n v="-7850"/>
        <n v="14278.48"/>
        <n v="-0.999999998486601"/>
        <n v="-13462.88"/>
        <n v="7850"/>
        <n v="66769.8900000001"/>
        <n v="56.5500000000002"/>
        <n v="7143.49999999901"/>
        <n v="11832.333"/>
        <n v="-8.05"/>
        <n v="3.10000000000036"/>
        <n v="2114"/>
        <n v="2741.81"/>
        <n v="484.299999999988"/>
        <n v="990"/>
        <n v="-18892.27"/>
        <n v="168.450000000001"/>
        <n v="137.88"/>
        <n v="4110.87"/>
        <n v="0.199999999999999"/>
        <n v="5.24"/>
        <n v="586.040000000001"/>
        <n v="179.900000000001"/>
        <n v="1226.59999999999"/>
        <n v="5.76"/>
        <n v="763.459999999999"/>
        <n v="-1.19999999999999"/>
        <n v="750.5"/>
        <n v="457.694"/>
        <n v="130.09"/>
        <n v="31.7750000000001"/>
        <n v="2362.17999999999"/>
        <n v="35049.93"/>
        <n v="1626765.5685"/>
        <n v="39935.64790001"/>
        <n v="-35.5200000000004"/>
        <n v="854.979999999996"/>
        <n v="5308.67249999999"/>
        <n v="34091.37"/>
        <n v="1141.79999999999"/>
        <n v="3.4"/>
        <n v="27938.535"/>
        <n v="-14948.699999999"/>
        <n v="10.375"/>
        <n v="254.09"/>
        <n v="24.1899999999896"/>
        <n v="203479.98"/>
        <n v="142.865"/>
        <n v="716.9371"/>
        <n v="29397.0600000001"/>
        <n v="-7074.56"/>
        <n v="49"/>
        <n v="0.870000000009895"/>
        <n v="149.76"/>
        <n v="72.8899999999999"/>
        <n v="3436.54999999999"/>
        <n v="4925.1"/>
        <n v="-5957.42999999999"/>
        <n v="12.75"/>
        <n v="-384"/>
        <n v="62779.8920181"/>
        <n v="-10056.0000000001"/>
        <n v="501.359999999997"/>
        <n v="5.43179999999998"/>
        <n v="-8.69999999999897"/>
        <n v="10.5"/>
        <n v="480"/>
        <n v="250.370000000003"/>
        <n v="47.9300000000076"/>
        <n v="148332.62"/>
        <n v="13.45"/>
        <n v="1845.25348492831"/>
        <n v="91.43"/>
        <n v="23.46"/>
        <n v="-8871.24633074936"/>
        <n v="651327.37457056"/>
        <n v="-68.6899999999999"/>
        <n v="26676.89"/>
        <n v="47541.41"/>
        <n v="626.36"/>
        <n v="13.4"/>
        <n v="94421.5800000002"/>
        <n v="16021.0300000001"/>
        <n v="63.2400000000012"/>
        <n v="8.1"/>
        <n v="29.56"/>
        <n v="967742.27571064"/>
        <n v="-3936.2"/>
        <n v="841361.925766281"/>
        <n v="4887.256"/>
        <n v="-340242.677831751"/>
        <n v="67331.18"/>
        <n v="15"/>
        <n v="1617"/>
        <n v="3839"/>
        <n v="159760.72333333"/>
        <n v="-6337.35"/>
        <n v="18928.985"/>
        <n v="9805.35"/>
        <n v="3033"/>
        <n v="6024.2"/>
        <n v="441721.4"/>
        <n v="162034.92"/>
        <n v="5.87000000000001"/>
        <n v="22961.126"/>
        <n v="-20.924"/>
        <n v="9531.853999999"/>
        <n v="-1.35"/>
        <n v="3675.90865115996"/>
        <n v="239.5"/>
        <n v="892.75"/>
        <n v="291566.209999999"/>
        <n v="166714.018"/>
        <n v="136037.524"/>
        <n v="341767.69"/>
        <n v="13.7836"/>
        <n v="835.669999999998"/>
        <n v="57400.4"/>
        <n v="3.2"/>
        <n v="-11595.0849999999"/>
        <n v="17.67"/>
        <n v="-10.000000000001"/>
        <n v="165242.15"/>
        <n v="11.2"/>
        <n v="292.9791"/>
        <n v="9187.11090000003"/>
        <n v="164"/>
        <n v="0.0400000000008731"/>
        <n v="12516.997"/>
        <n v="5235.1886"/>
        <n v="149679.07960001"/>
        <n v="417.973599999999"/>
        <n v="9393.5538999999"/>
        <n v="-50114.6699999999"/>
        <n v="191250.53"/>
        <n v="6468.03999999998"/>
        <n v="-500072.34"/>
        <n v="3354.9200000001"/>
        <n v="1003294.95"/>
        <n v="80492.9999999902"/>
        <n v="945.270000000004"/>
        <n v="-420"/>
        <n v="324793.961399902"/>
        <n v="47.4"/>
        <n v="-47.4000000000001"/>
        <n v="-34.694"/>
        <n v="-848.56399999978"/>
        <n v="416.764"/>
        <n v="7986.68"/>
        <n v="345499"/>
        <n v="59670"/>
        <n v="73.37"/>
        <n v="-246.21"/>
        <n v="4666.3662000001"/>
        <n v="5342.6700000001"/>
        <n v="2.3"/>
        <n v="160.68"/>
        <n v="4.92000000000002"/>
        <n v="33.1999999999998"/>
        <n v="-12.7908"/>
        <n v="912.4"/>
        <n v="303.77"/>
        <n v="29385.7949999999"/>
        <n v="-217040.85000001"/>
        <n v="0.35"/>
        <n v="-90378.0017000996"/>
        <n v="377131.7638"/>
        <n v="204993.060000002"/>
        <n v="-3544.34"/>
        <n v="2478.64"/>
        <n v="487.539999999979"/>
        <n v="42.5999999999999"/>
        <n v="10.8244700000014"/>
        <n v="92.46"/>
        <n v="232.26"/>
        <n v="2893"/>
        <n v="51235.58"/>
        <n v="13748.179999999"/>
        <n v="11128.31"/>
        <n v="82.5100000001003"/>
        <n v="1261.80420000001"/>
        <n v="12.95"/>
        <n v="2"/>
        <n v="2806.7"/>
        <n v="4.25"/>
        <n v="58.3"/>
        <n v="1147.22"/>
        <n v="1480.48999999999"/>
        <n v="8.8100000000004"/>
        <n v="30.6"/>
        <n v="-237.27"/>
        <n v="2142"/>
        <n v="-33"/>
        <n v="10.45"/>
        <n v="-107.10000000001"/>
        <n v="36.06"/>
        <n v="2273.94"/>
        <n v="6.65000000000001"/>
        <n v="2614.9955999999"/>
        <n v="6.55"/>
        <n v="2886.3818"/>
        <n v="113.54"/>
        <n v="145133.144"/>
        <n v="9388.2"/>
        <n v="1.58"/>
        <n v="83.1300000000001"/>
        <n v="-172453.88"/>
        <n v="903.780000000006"/>
        <n v="-18.5"/>
        <n v="0.511499999999998"/>
        <n v="-1.08359999999993"/>
        <n v="8.1274305"/>
        <n v="2087.1"/>
        <n v="263.25"/>
        <n v="22592.479999999"/>
        <n v="1049"/>
        <n v="1198.90000000002"/>
        <n v="144"/>
        <n v="5.4481"/>
        <n v="-990"/>
        <n v="3531.86"/>
        <n v="11.8999999999996"/>
        <n v="18.72"/>
        <n v="196"/>
        <n v="-1.00044417195022e-10"/>
        <n v="121.9"/>
        <n v="218810.2012093"/>
        <n v="117880.256"/>
        <n v="289607.902000001"/>
        <n v="648.150000000002"/>
        <n v="5733.98"/>
        <n v="1328.67"/>
        <n v="4.5"/>
        <n v="-97.3"/>
        <n v="-5967.23"/>
        <n v="36691.35"/>
        <n v="15741.7"/>
        <n v="50262.2"/>
        <n v="1729306.47"/>
        <n v="325.339999999997"/>
        <n v="43966.07"/>
        <n v="-17338.7404175298"/>
        <n v="-170.530000000001"/>
        <n v="958.66"/>
        <n v="2768.56"/>
        <n v="1400.08682624442"/>
        <n v="728.14"/>
        <n v="9376.4512895535"/>
        <n v="5158.4831737556"/>
        <n v="151040"/>
        <n v="-2112"/>
        <n v="-237160"/>
        <n v="32.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"/>
    <x v="1"/>
    <x v="1"/>
    <x v="0"/>
    <x v="1"/>
    <x v="1"/>
    <x v="1"/>
    <x v="0"/>
    <x v="0"/>
    <x v="0"/>
    <x v="1"/>
    <x v="1"/>
    <x v="1"/>
  </r>
  <r>
    <x v="2"/>
    <x v="0"/>
    <x v="0"/>
    <x v="0"/>
    <x v="1"/>
    <x v="1"/>
    <x v="2"/>
    <x v="0"/>
    <x v="1"/>
    <x v="2"/>
    <x v="0"/>
    <x v="0"/>
    <x v="0"/>
    <x v="0"/>
    <x v="1"/>
    <x v="2"/>
    <x v="2"/>
  </r>
  <r>
    <x v="3"/>
    <x v="0"/>
    <x v="0"/>
    <x v="0"/>
    <x v="1"/>
    <x v="1"/>
    <x v="1"/>
    <x v="0"/>
    <x v="1"/>
    <x v="1"/>
    <x v="1"/>
    <x v="0"/>
    <x v="0"/>
    <x v="0"/>
    <x v="1"/>
    <x v="3"/>
    <x v="3"/>
  </r>
  <r>
    <x v="4"/>
    <x v="0"/>
    <x v="0"/>
    <x v="0"/>
    <x v="1"/>
    <x v="1"/>
    <x v="2"/>
    <x v="0"/>
    <x v="1"/>
    <x v="3"/>
    <x v="0"/>
    <x v="0"/>
    <x v="0"/>
    <x v="0"/>
    <x v="1"/>
    <x v="4"/>
    <x v="4"/>
  </r>
  <r>
    <x v="4"/>
    <x v="0"/>
    <x v="0"/>
    <x v="0"/>
    <x v="1"/>
    <x v="1"/>
    <x v="1"/>
    <x v="0"/>
    <x v="1"/>
    <x v="1"/>
    <x v="1"/>
    <x v="0"/>
    <x v="0"/>
    <x v="0"/>
    <x v="1"/>
    <x v="5"/>
    <x v="5"/>
  </r>
  <r>
    <x v="4"/>
    <x v="0"/>
    <x v="0"/>
    <x v="1"/>
    <x v="2"/>
    <x v="2"/>
    <x v="3"/>
    <x v="0"/>
    <x v="1"/>
    <x v="4"/>
    <x v="1"/>
    <x v="0"/>
    <x v="0"/>
    <x v="0"/>
    <x v="2"/>
    <x v="6"/>
    <x v="6"/>
  </r>
  <r>
    <x v="5"/>
    <x v="0"/>
    <x v="0"/>
    <x v="1"/>
    <x v="2"/>
    <x v="2"/>
    <x v="4"/>
    <x v="0"/>
    <x v="1"/>
    <x v="5"/>
    <x v="1"/>
    <x v="0"/>
    <x v="0"/>
    <x v="0"/>
    <x v="3"/>
    <x v="7"/>
    <x v="7"/>
  </r>
  <r>
    <x v="6"/>
    <x v="0"/>
    <x v="0"/>
    <x v="1"/>
    <x v="2"/>
    <x v="2"/>
    <x v="4"/>
    <x v="0"/>
    <x v="1"/>
    <x v="5"/>
    <x v="1"/>
    <x v="0"/>
    <x v="0"/>
    <x v="0"/>
    <x v="4"/>
    <x v="8"/>
    <x v="8"/>
  </r>
  <r>
    <x v="4"/>
    <x v="0"/>
    <x v="0"/>
    <x v="1"/>
    <x v="2"/>
    <x v="2"/>
    <x v="3"/>
    <x v="0"/>
    <x v="1"/>
    <x v="4"/>
    <x v="1"/>
    <x v="0"/>
    <x v="0"/>
    <x v="0"/>
    <x v="5"/>
    <x v="9"/>
    <x v="9"/>
  </r>
  <r>
    <x v="6"/>
    <x v="0"/>
    <x v="0"/>
    <x v="1"/>
    <x v="2"/>
    <x v="2"/>
    <x v="4"/>
    <x v="0"/>
    <x v="1"/>
    <x v="5"/>
    <x v="1"/>
    <x v="0"/>
    <x v="0"/>
    <x v="0"/>
    <x v="6"/>
    <x v="10"/>
    <x v="10"/>
  </r>
  <r>
    <x v="4"/>
    <x v="0"/>
    <x v="0"/>
    <x v="1"/>
    <x v="2"/>
    <x v="2"/>
    <x v="3"/>
    <x v="0"/>
    <x v="1"/>
    <x v="4"/>
    <x v="1"/>
    <x v="0"/>
    <x v="0"/>
    <x v="0"/>
    <x v="7"/>
    <x v="11"/>
    <x v="11"/>
  </r>
  <r>
    <x v="7"/>
    <x v="0"/>
    <x v="0"/>
    <x v="2"/>
    <x v="3"/>
    <x v="0"/>
    <x v="0"/>
    <x v="0"/>
    <x v="1"/>
    <x v="6"/>
    <x v="0"/>
    <x v="0"/>
    <x v="0"/>
    <x v="0"/>
    <x v="8"/>
    <x v="12"/>
    <x v="12"/>
  </r>
  <r>
    <x v="8"/>
    <x v="0"/>
    <x v="0"/>
    <x v="2"/>
    <x v="4"/>
    <x v="0"/>
    <x v="0"/>
    <x v="0"/>
    <x v="1"/>
    <x v="4"/>
    <x v="1"/>
    <x v="0"/>
    <x v="0"/>
    <x v="0"/>
    <x v="9"/>
    <x v="13"/>
    <x v="13"/>
  </r>
  <r>
    <x v="8"/>
    <x v="0"/>
    <x v="0"/>
    <x v="2"/>
    <x v="4"/>
    <x v="0"/>
    <x v="0"/>
    <x v="0"/>
    <x v="1"/>
    <x v="7"/>
    <x v="0"/>
    <x v="0"/>
    <x v="0"/>
    <x v="0"/>
    <x v="10"/>
    <x v="14"/>
    <x v="14"/>
  </r>
  <r>
    <x v="9"/>
    <x v="0"/>
    <x v="0"/>
    <x v="2"/>
    <x v="3"/>
    <x v="0"/>
    <x v="0"/>
    <x v="0"/>
    <x v="1"/>
    <x v="6"/>
    <x v="0"/>
    <x v="0"/>
    <x v="0"/>
    <x v="0"/>
    <x v="11"/>
    <x v="15"/>
    <x v="15"/>
  </r>
  <r>
    <x v="5"/>
    <x v="0"/>
    <x v="0"/>
    <x v="2"/>
    <x v="4"/>
    <x v="0"/>
    <x v="0"/>
    <x v="0"/>
    <x v="1"/>
    <x v="2"/>
    <x v="0"/>
    <x v="0"/>
    <x v="0"/>
    <x v="0"/>
    <x v="12"/>
    <x v="16"/>
    <x v="16"/>
  </r>
  <r>
    <x v="5"/>
    <x v="0"/>
    <x v="0"/>
    <x v="2"/>
    <x v="4"/>
    <x v="0"/>
    <x v="0"/>
    <x v="0"/>
    <x v="1"/>
    <x v="7"/>
    <x v="0"/>
    <x v="0"/>
    <x v="0"/>
    <x v="0"/>
    <x v="13"/>
    <x v="17"/>
    <x v="17"/>
  </r>
  <r>
    <x v="10"/>
    <x v="0"/>
    <x v="0"/>
    <x v="2"/>
    <x v="4"/>
    <x v="0"/>
    <x v="0"/>
    <x v="0"/>
    <x v="1"/>
    <x v="6"/>
    <x v="0"/>
    <x v="0"/>
    <x v="0"/>
    <x v="0"/>
    <x v="14"/>
    <x v="18"/>
    <x v="18"/>
  </r>
  <r>
    <x v="5"/>
    <x v="0"/>
    <x v="0"/>
    <x v="2"/>
    <x v="4"/>
    <x v="0"/>
    <x v="0"/>
    <x v="0"/>
    <x v="1"/>
    <x v="4"/>
    <x v="1"/>
    <x v="0"/>
    <x v="0"/>
    <x v="0"/>
    <x v="15"/>
    <x v="19"/>
    <x v="19"/>
  </r>
  <r>
    <x v="8"/>
    <x v="0"/>
    <x v="0"/>
    <x v="2"/>
    <x v="4"/>
    <x v="0"/>
    <x v="0"/>
    <x v="0"/>
    <x v="1"/>
    <x v="2"/>
    <x v="0"/>
    <x v="0"/>
    <x v="0"/>
    <x v="0"/>
    <x v="12"/>
    <x v="16"/>
    <x v="16"/>
  </r>
  <r>
    <x v="5"/>
    <x v="0"/>
    <x v="0"/>
    <x v="2"/>
    <x v="4"/>
    <x v="0"/>
    <x v="0"/>
    <x v="0"/>
    <x v="1"/>
    <x v="4"/>
    <x v="1"/>
    <x v="0"/>
    <x v="0"/>
    <x v="0"/>
    <x v="16"/>
    <x v="20"/>
    <x v="20"/>
  </r>
  <r>
    <x v="5"/>
    <x v="0"/>
    <x v="0"/>
    <x v="2"/>
    <x v="4"/>
    <x v="0"/>
    <x v="0"/>
    <x v="0"/>
    <x v="1"/>
    <x v="6"/>
    <x v="0"/>
    <x v="0"/>
    <x v="0"/>
    <x v="0"/>
    <x v="17"/>
    <x v="21"/>
    <x v="21"/>
  </r>
  <r>
    <x v="8"/>
    <x v="0"/>
    <x v="0"/>
    <x v="2"/>
    <x v="4"/>
    <x v="0"/>
    <x v="0"/>
    <x v="0"/>
    <x v="1"/>
    <x v="4"/>
    <x v="1"/>
    <x v="0"/>
    <x v="0"/>
    <x v="0"/>
    <x v="18"/>
    <x v="22"/>
    <x v="22"/>
  </r>
  <r>
    <x v="7"/>
    <x v="0"/>
    <x v="0"/>
    <x v="2"/>
    <x v="3"/>
    <x v="0"/>
    <x v="0"/>
    <x v="0"/>
    <x v="1"/>
    <x v="6"/>
    <x v="0"/>
    <x v="0"/>
    <x v="0"/>
    <x v="0"/>
    <x v="1"/>
    <x v="23"/>
    <x v="23"/>
  </r>
  <r>
    <x v="11"/>
    <x v="0"/>
    <x v="0"/>
    <x v="2"/>
    <x v="4"/>
    <x v="0"/>
    <x v="0"/>
    <x v="0"/>
    <x v="0"/>
    <x v="6"/>
    <x v="0"/>
    <x v="1"/>
    <x v="1"/>
    <x v="1"/>
    <x v="1"/>
    <x v="24"/>
    <x v="24"/>
  </r>
  <r>
    <x v="7"/>
    <x v="0"/>
    <x v="0"/>
    <x v="2"/>
    <x v="4"/>
    <x v="0"/>
    <x v="0"/>
    <x v="0"/>
    <x v="0"/>
    <x v="6"/>
    <x v="0"/>
    <x v="0"/>
    <x v="0"/>
    <x v="0"/>
    <x v="1"/>
    <x v="25"/>
    <x v="25"/>
  </r>
  <r>
    <x v="8"/>
    <x v="0"/>
    <x v="0"/>
    <x v="2"/>
    <x v="4"/>
    <x v="0"/>
    <x v="0"/>
    <x v="0"/>
    <x v="1"/>
    <x v="6"/>
    <x v="0"/>
    <x v="0"/>
    <x v="0"/>
    <x v="0"/>
    <x v="19"/>
    <x v="26"/>
    <x v="26"/>
  </r>
  <r>
    <x v="12"/>
    <x v="0"/>
    <x v="0"/>
    <x v="2"/>
    <x v="4"/>
    <x v="0"/>
    <x v="0"/>
    <x v="0"/>
    <x v="1"/>
    <x v="2"/>
    <x v="0"/>
    <x v="0"/>
    <x v="0"/>
    <x v="0"/>
    <x v="20"/>
    <x v="27"/>
    <x v="27"/>
  </r>
  <r>
    <x v="12"/>
    <x v="0"/>
    <x v="0"/>
    <x v="2"/>
    <x v="4"/>
    <x v="0"/>
    <x v="0"/>
    <x v="0"/>
    <x v="1"/>
    <x v="4"/>
    <x v="1"/>
    <x v="0"/>
    <x v="0"/>
    <x v="0"/>
    <x v="21"/>
    <x v="28"/>
    <x v="28"/>
  </r>
  <r>
    <x v="12"/>
    <x v="0"/>
    <x v="0"/>
    <x v="2"/>
    <x v="4"/>
    <x v="0"/>
    <x v="0"/>
    <x v="0"/>
    <x v="1"/>
    <x v="6"/>
    <x v="0"/>
    <x v="0"/>
    <x v="0"/>
    <x v="0"/>
    <x v="22"/>
    <x v="29"/>
    <x v="29"/>
  </r>
  <r>
    <x v="13"/>
    <x v="0"/>
    <x v="0"/>
    <x v="2"/>
    <x v="4"/>
    <x v="0"/>
    <x v="0"/>
    <x v="0"/>
    <x v="1"/>
    <x v="7"/>
    <x v="0"/>
    <x v="0"/>
    <x v="0"/>
    <x v="0"/>
    <x v="23"/>
    <x v="30"/>
    <x v="30"/>
  </r>
  <r>
    <x v="12"/>
    <x v="0"/>
    <x v="0"/>
    <x v="2"/>
    <x v="4"/>
    <x v="0"/>
    <x v="0"/>
    <x v="0"/>
    <x v="1"/>
    <x v="4"/>
    <x v="1"/>
    <x v="0"/>
    <x v="0"/>
    <x v="0"/>
    <x v="24"/>
    <x v="31"/>
    <x v="31"/>
  </r>
  <r>
    <x v="13"/>
    <x v="0"/>
    <x v="0"/>
    <x v="2"/>
    <x v="4"/>
    <x v="0"/>
    <x v="0"/>
    <x v="0"/>
    <x v="1"/>
    <x v="4"/>
    <x v="1"/>
    <x v="0"/>
    <x v="0"/>
    <x v="0"/>
    <x v="25"/>
    <x v="32"/>
    <x v="32"/>
  </r>
  <r>
    <x v="13"/>
    <x v="0"/>
    <x v="0"/>
    <x v="2"/>
    <x v="4"/>
    <x v="0"/>
    <x v="0"/>
    <x v="0"/>
    <x v="1"/>
    <x v="4"/>
    <x v="1"/>
    <x v="0"/>
    <x v="0"/>
    <x v="0"/>
    <x v="9"/>
    <x v="13"/>
    <x v="13"/>
  </r>
  <r>
    <x v="12"/>
    <x v="0"/>
    <x v="0"/>
    <x v="2"/>
    <x v="4"/>
    <x v="0"/>
    <x v="0"/>
    <x v="0"/>
    <x v="1"/>
    <x v="6"/>
    <x v="0"/>
    <x v="0"/>
    <x v="0"/>
    <x v="0"/>
    <x v="1"/>
    <x v="33"/>
    <x v="33"/>
  </r>
  <r>
    <x v="9"/>
    <x v="0"/>
    <x v="0"/>
    <x v="2"/>
    <x v="4"/>
    <x v="0"/>
    <x v="0"/>
    <x v="0"/>
    <x v="1"/>
    <x v="6"/>
    <x v="0"/>
    <x v="0"/>
    <x v="0"/>
    <x v="0"/>
    <x v="1"/>
    <x v="33"/>
    <x v="33"/>
  </r>
  <r>
    <x v="9"/>
    <x v="0"/>
    <x v="0"/>
    <x v="2"/>
    <x v="4"/>
    <x v="0"/>
    <x v="0"/>
    <x v="0"/>
    <x v="0"/>
    <x v="6"/>
    <x v="0"/>
    <x v="0"/>
    <x v="0"/>
    <x v="0"/>
    <x v="1"/>
    <x v="34"/>
    <x v="34"/>
  </r>
  <r>
    <x v="12"/>
    <x v="0"/>
    <x v="0"/>
    <x v="2"/>
    <x v="4"/>
    <x v="0"/>
    <x v="0"/>
    <x v="0"/>
    <x v="0"/>
    <x v="7"/>
    <x v="0"/>
    <x v="0"/>
    <x v="0"/>
    <x v="0"/>
    <x v="1"/>
    <x v="35"/>
    <x v="35"/>
  </r>
  <r>
    <x v="12"/>
    <x v="0"/>
    <x v="0"/>
    <x v="2"/>
    <x v="4"/>
    <x v="0"/>
    <x v="0"/>
    <x v="0"/>
    <x v="1"/>
    <x v="6"/>
    <x v="0"/>
    <x v="0"/>
    <x v="0"/>
    <x v="0"/>
    <x v="1"/>
    <x v="36"/>
    <x v="36"/>
  </r>
  <r>
    <x v="3"/>
    <x v="0"/>
    <x v="0"/>
    <x v="2"/>
    <x v="4"/>
    <x v="0"/>
    <x v="0"/>
    <x v="0"/>
    <x v="1"/>
    <x v="6"/>
    <x v="0"/>
    <x v="0"/>
    <x v="0"/>
    <x v="0"/>
    <x v="1"/>
    <x v="33"/>
    <x v="33"/>
  </r>
  <r>
    <x v="13"/>
    <x v="0"/>
    <x v="0"/>
    <x v="2"/>
    <x v="4"/>
    <x v="0"/>
    <x v="0"/>
    <x v="0"/>
    <x v="1"/>
    <x v="4"/>
    <x v="1"/>
    <x v="0"/>
    <x v="0"/>
    <x v="0"/>
    <x v="26"/>
    <x v="37"/>
    <x v="37"/>
  </r>
  <r>
    <x v="12"/>
    <x v="0"/>
    <x v="0"/>
    <x v="2"/>
    <x v="4"/>
    <x v="0"/>
    <x v="0"/>
    <x v="0"/>
    <x v="1"/>
    <x v="7"/>
    <x v="0"/>
    <x v="0"/>
    <x v="0"/>
    <x v="0"/>
    <x v="27"/>
    <x v="38"/>
    <x v="38"/>
  </r>
  <r>
    <x v="3"/>
    <x v="0"/>
    <x v="0"/>
    <x v="2"/>
    <x v="4"/>
    <x v="0"/>
    <x v="0"/>
    <x v="0"/>
    <x v="1"/>
    <x v="6"/>
    <x v="0"/>
    <x v="0"/>
    <x v="0"/>
    <x v="0"/>
    <x v="28"/>
    <x v="39"/>
    <x v="39"/>
  </r>
  <r>
    <x v="14"/>
    <x v="0"/>
    <x v="0"/>
    <x v="2"/>
    <x v="5"/>
    <x v="0"/>
    <x v="0"/>
    <x v="0"/>
    <x v="1"/>
    <x v="6"/>
    <x v="0"/>
    <x v="0"/>
    <x v="0"/>
    <x v="0"/>
    <x v="1"/>
    <x v="40"/>
    <x v="40"/>
  </r>
  <r>
    <x v="15"/>
    <x v="0"/>
    <x v="0"/>
    <x v="2"/>
    <x v="4"/>
    <x v="0"/>
    <x v="0"/>
    <x v="0"/>
    <x v="0"/>
    <x v="7"/>
    <x v="0"/>
    <x v="0"/>
    <x v="0"/>
    <x v="0"/>
    <x v="1"/>
    <x v="41"/>
    <x v="41"/>
  </r>
  <r>
    <x v="15"/>
    <x v="0"/>
    <x v="0"/>
    <x v="2"/>
    <x v="4"/>
    <x v="0"/>
    <x v="0"/>
    <x v="0"/>
    <x v="0"/>
    <x v="7"/>
    <x v="0"/>
    <x v="0"/>
    <x v="0"/>
    <x v="0"/>
    <x v="1"/>
    <x v="41"/>
    <x v="41"/>
  </r>
  <r>
    <x v="3"/>
    <x v="0"/>
    <x v="0"/>
    <x v="2"/>
    <x v="4"/>
    <x v="0"/>
    <x v="0"/>
    <x v="0"/>
    <x v="1"/>
    <x v="6"/>
    <x v="0"/>
    <x v="0"/>
    <x v="0"/>
    <x v="0"/>
    <x v="29"/>
    <x v="42"/>
    <x v="42"/>
  </r>
  <r>
    <x v="13"/>
    <x v="0"/>
    <x v="0"/>
    <x v="2"/>
    <x v="4"/>
    <x v="0"/>
    <x v="0"/>
    <x v="0"/>
    <x v="1"/>
    <x v="6"/>
    <x v="0"/>
    <x v="0"/>
    <x v="0"/>
    <x v="0"/>
    <x v="1"/>
    <x v="43"/>
    <x v="43"/>
  </r>
  <r>
    <x v="13"/>
    <x v="0"/>
    <x v="0"/>
    <x v="2"/>
    <x v="4"/>
    <x v="0"/>
    <x v="0"/>
    <x v="0"/>
    <x v="1"/>
    <x v="2"/>
    <x v="0"/>
    <x v="0"/>
    <x v="0"/>
    <x v="0"/>
    <x v="30"/>
    <x v="44"/>
    <x v="44"/>
  </r>
  <r>
    <x v="3"/>
    <x v="0"/>
    <x v="0"/>
    <x v="2"/>
    <x v="4"/>
    <x v="0"/>
    <x v="0"/>
    <x v="0"/>
    <x v="1"/>
    <x v="6"/>
    <x v="0"/>
    <x v="0"/>
    <x v="0"/>
    <x v="0"/>
    <x v="31"/>
    <x v="45"/>
    <x v="45"/>
  </r>
  <r>
    <x v="16"/>
    <x v="0"/>
    <x v="0"/>
    <x v="2"/>
    <x v="4"/>
    <x v="0"/>
    <x v="0"/>
    <x v="0"/>
    <x v="1"/>
    <x v="7"/>
    <x v="0"/>
    <x v="0"/>
    <x v="0"/>
    <x v="0"/>
    <x v="32"/>
    <x v="46"/>
    <x v="46"/>
  </r>
  <r>
    <x v="16"/>
    <x v="0"/>
    <x v="0"/>
    <x v="2"/>
    <x v="4"/>
    <x v="0"/>
    <x v="0"/>
    <x v="0"/>
    <x v="1"/>
    <x v="4"/>
    <x v="1"/>
    <x v="0"/>
    <x v="0"/>
    <x v="0"/>
    <x v="33"/>
    <x v="47"/>
    <x v="47"/>
  </r>
  <r>
    <x v="16"/>
    <x v="0"/>
    <x v="0"/>
    <x v="2"/>
    <x v="4"/>
    <x v="0"/>
    <x v="0"/>
    <x v="0"/>
    <x v="1"/>
    <x v="4"/>
    <x v="1"/>
    <x v="0"/>
    <x v="0"/>
    <x v="0"/>
    <x v="34"/>
    <x v="48"/>
    <x v="48"/>
  </r>
  <r>
    <x v="17"/>
    <x v="0"/>
    <x v="0"/>
    <x v="2"/>
    <x v="4"/>
    <x v="0"/>
    <x v="0"/>
    <x v="0"/>
    <x v="1"/>
    <x v="4"/>
    <x v="1"/>
    <x v="0"/>
    <x v="0"/>
    <x v="0"/>
    <x v="9"/>
    <x v="13"/>
    <x v="13"/>
  </r>
  <r>
    <x v="15"/>
    <x v="0"/>
    <x v="0"/>
    <x v="2"/>
    <x v="4"/>
    <x v="0"/>
    <x v="0"/>
    <x v="0"/>
    <x v="0"/>
    <x v="7"/>
    <x v="0"/>
    <x v="0"/>
    <x v="0"/>
    <x v="0"/>
    <x v="1"/>
    <x v="49"/>
    <x v="49"/>
  </r>
  <r>
    <x v="15"/>
    <x v="0"/>
    <x v="0"/>
    <x v="2"/>
    <x v="4"/>
    <x v="0"/>
    <x v="0"/>
    <x v="0"/>
    <x v="0"/>
    <x v="7"/>
    <x v="0"/>
    <x v="0"/>
    <x v="0"/>
    <x v="0"/>
    <x v="1"/>
    <x v="50"/>
    <x v="50"/>
  </r>
  <r>
    <x v="17"/>
    <x v="0"/>
    <x v="0"/>
    <x v="2"/>
    <x v="4"/>
    <x v="0"/>
    <x v="0"/>
    <x v="0"/>
    <x v="1"/>
    <x v="6"/>
    <x v="0"/>
    <x v="0"/>
    <x v="0"/>
    <x v="0"/>
    <x v="1"/>
    <x v="51"/>
    <x v="51"/>
  </r>
  <r>
    <x v="6"/>
    <x v="0"/>
    <x v="0"/>
    <x v="2"/>
    <x v="4"/>
    <x v="0"/>
    <x v="0"/>
    <x v="0"/>
    <x v="0"/>
    <x v="6"/>
    <x v="0"/>
    <x v="0"/>
    <x v="0"/>
    <x v="0"/>
    <x v="1"/>
    <x v="52"/>
    <x v="52"/>
  </r>
  <r>
    <x v="17"/>
    <x v="0"/>
    <x v="0"/>
    <x v="2"/>
    <x v="4"/>
    <x v="0"/>
    <x v="0"/>
    <x v="0"/>
    <x v="1"/>
    <x v="4"/>
    <x v="1"/>
    <x v="0"/>
    <x v="0"/>
    <x v="0"/>
    <x v="35"/>
    <x v="53"/>
    <x v="53"/>
  </r>
  <r>
    <x v="17"/>
    <x v="0"/>
    <x v="0"/>
    <x v="2"/>
    <x v="4"/>
    <x v="0"/>
    <x v="0"/>
    <x v="0"/>
    <x v="1"/>
    <x v="6"/>
    <x v="0"/>
    <x v="0"/>
    <x v="0"/>
    <x v="0"/>
    <x v="36"/>
    <x v="54"/>
    <x v="54"/>
  </r>
  <r>
    <x v="16"/>
    <x v="0"/>
    <x v="0"/>
    <x v="2"/>
    <x v="4"/>
    <x v="0"/>
    <x v="0"/>
    <x v="0"/>
    <x v="1"/>
    <x v="6"/>
    <x v="0"/>
    <x v="0"/>
    <x v="0"/>
    <x v="0"/>
    <x v="19"/>
    <x v="55"/>
    <x v="55"/>
  </r>
  <r>
    <x v="16"/>
    <x v="0"/>
    <x v="0"/>
    <x v="2"/>
    <x v="4"/>
    <x v="0"/>
    <x v="0"/>
    <x v="0"/>
    <x v="1"/>
    <x v="4"/>
    <x v="1"/>
    <x v="0"/>
    <x v="0"/>
    <x v="0"/>
    <x v="37"/>
    <x v="56"/>
    <x v="47"/>
  </r>
  <r>
    <x v="16"/>
    <x v="0"/>
    <x v="0"/>
    <x v="2"/>
    <x v="4"/>
    <x v="0"/>
    <x v="0"/>
    <x v="0"/>
    <x v="1"/>
    <x v="2"/>
    <x v="0"/>
    <x v="0"/>
    <x v="0"/>
    <x v="0"/>
    <x v="38"/>
    <x v="57"/>
    <x v="56"/>
  </r>
  <r>
    <x v="17"/>
    <x v="0"/>
    <x v="0"/>
    <x v="2"/>
    <x v="4"/>
    <x v="0"/>
    <x v="0"/>
    <x v="0"/>
    <x v="1"/>
    <x v="4"/>
    <x v="1"/>
    <x v="0"/>
    <x v="0"/>
    <x v="0"/>
    <x v="39"/>
    <x v="58"/>
    <x v="57"/>
  </r>
  <r>
    <x v="17"/>
    <x v="0"/>
    <x v="0"/>
    <x v="2"/>
    <x v="4"/>
    <x v="0"/>
    <x v="0"/>
    <x v="0"/>
    <x v="1"/>
    <x v="4"/>
    <x v="1"/>
    <x v="0"/>
    <x v="0"/>
    <x v="0"/>
    <x v="4"/>
    <x v="59"/>
    <x v="58"/>
  </r>
  <r>
    <x v="6"/>
    <x v="0"/>
    <x v="0"/>
    <x v="0"/>
    <x v="2"/>
    <x v="2"/>
    <x v="1"/>
    <x v="0"/>
    <x v="0"/>
    <x v="8"/>
    <x v="1"/>
    <x v="1"/>
    <x v="1"/>
    <x v="1"/>
    <x v="1"/>
    <x v="60"/>
    <x v="59"/>
  </r>
  <r>
    <x v="18"/>
    <x v="0"/>
    <x v="0"/>
    <x v="0"/>
    <x v="2"/>
    <x v="2"/>
    <x v="1"/>
    <x v="0"/>
    <x v="0"/>
    <x v="8"/>
    <x v="1"/>
    <x v="1"/>
    <x v="1"/>
    <x v="1"/>
    <x v="1"/>
    <x v="61"/>
    <x v="60"/>
  </r>
  <r>
    <x v="17"/>
    <x v="0"/>
    <x v="0"/>
    <x v="0"/>
    <x v="2"/>
    <x v="2"/>
    <x v="1"/>
    <x v="0"/>
    <x v="1"/>
    <x v="1"/>
    <x v="1"/>
    <x v="0"/>
    <x v="0"/>
    <x v="0"/>
    <x v="1"/>
    <x v="62"/>
    <x v="61"/>
  </r>
  <r>
    <x v="15"/>
    <x v="0"/>
    <x v="0"/>
    <x v="0"/>
    <x v="2"/>
    <x v="2"/>
    <x v="1"/>
    <x v="0"/>
    <x v="0"/>
    <x v="8"/>
    <x v="1"/>
    <x v="1"/>
    <x v="1"/>
    <x v="1"/>
    <x v="1"/>
    <x v="63"/>
    <x v="62"/>
  </r>
  <r>
    <x v="19"/>
    <x v="0"/>
    <x v="0"/>
    <x v="0"/>
    <x v="2"/>
    <x v="2"/>
    <x v="1"/>
    <x v="0"/>
    <x v="1"/>
    <x v="9"/>
    <x v="1"/>
    <x v="0"/>
    <x v="0"/>
    <x v="0"/>
    <x v="1"/>
    <x v="64"/>
    <x v="63"/>
  </r>
  <r>
    <x v="9"/>
    <x v="0"/>
    <x v="0"/>
    <x v="0"/>
    <x v="2"/>
    <x v="2"/>
    <x v="1"/>
    <x v="0"/>
    <x v="1"/>
    <x v="3"/>
    <x v="0"/>
    <x v="0"/>
    <x v="0"/>
    <x v="0"/>
    <x v="1"/>
    <x v="65"/>
    <x v="64"/>
  </r>
  <r>
    <x v="18"/>
    <x v="0"/>
    <x v="0"/>
    <x v="0"/>
    <x v="2"/>
    <x v="2"/>
    <x v="1"/>
    <x v="0"/>
    <x v="1"/>
    <x v="3"/>
    <x v="0"/>
    <x v="0"/>
    <x v="0"/>
    <x v="0"/>
    <x v="1"/>
    <x v="66"/>
    <x v="65"/>
  </r>
  <r>
    <x v="15"/>
    <x v="0"/>
    <x v="0"/>
    <x v="0"/>
    <x v="2"/>
    <x v="2"/>
    <x v="1"/>
    <x v="0"/>
    <x v="1"/>
    <x v="10"/>
    <x v="1"/>
    <x v="0"/>
    <x v="0"/>
    <x v="0"/>
    <x v="1"/>
    <x v="66"/>
    <x v="65"/>
  </r>
  <r>
    <x v="20"/>
    <x v="0"/>
    <x v="0"/>
    <x v="0"/>
    <x v="2"/>
    <x v="2"/>
    <x v="1"/>
    <x v="0"/>
    <x v="1"/>
    <x v="10"/>
    <x v="1"/>
    <x v="0"/>
    <x v="0"/>
    <x v="0"/>
    <x v="1"/>
    <x v="66"/>
    <x v="65"/>
  </r>
  <r>
    <x v="9"/>
    <x v="0"/>
    <x v="0"/>
    <x v="0"/>
    <x v="2"/>
    <x v="2"/>
    <x v="1"/>
    <x v="0"/>
    <x v="1"/>
    <x v="10"/>
    <x v="1"/>
    <x v="0"/>
    <x v="0"/>
    <x v="0"/>
    <x v="1"/>
    <x v="67"/>
    <x v="66"/>
  </r>
  <r>
    <x v="9"/>
    <x v="0"/>
    <x v="0"/>
    <x v="0"/>
    <x v="2"/>
    <x v="2"/>
    <x v="1"/>
    <x v="0"/>
    <x v="1"/>
    <x v="10"/>
    <x v="1"/>
    <x v="0"/>
    <x v="0"/>
    <x v="0"/>
    <x v="1"/>
    <x v="68"/>
    <x v="67"/>
  </r>
  <r>
    <x v="13"/>
    <x v="0"/>
    <x v="0"/>
    <x v="0"/>
    <x v="2"/>
    <x v="2"/>
    <x v="1"/>
    <x v="0"/>
    <x v="1"/>
    <x v="10"/>
    <x v="1"/>
    <x v="0"/>
    <x v="0"/>
    <x v="0"/>
    <x v="1"/>
    <x v="66"/>
    <x v="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7">
  <r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0"/>
    <x v="1"/>
    <x v="1"/>
    <x v="1"/>
    <x v="1"/>
    <x v="0"/>
    <x v="0"/>
    <x v="0"/>
    <x v="1"/>
  </r>
  <r>
    <x v="0"/>
    <x v="0"/>
    <x v="2"/>
    <x v="1"/>
    <x v="0"/>
    <x v="2"/>
    <x v="2"/>
    <x v="2"/>
    <x v="2"/>
    <x v="0"/>
    <x v="0"/>
    <x v="0"/>
    <x v="2"/>
  </r>
  <r>
    <x v="0"/>
    <x v="0"/>
    <x v="3"/>
    <x v="1"/>
    <x v="0"/>
    <x v="3"/>
    <x v="2"/>
    <x v="3"/>
    <x v="3"/>
    <x v="0"/>
    <x v="0"/>
    <x v="0"/>
    <x v="3"/>
  </r>
  <r>
    <x v="0"/>
    <x v="0"/>
    <x v="0"/>
    <x v="1"/>
    <x v="0"/>
    <x v="4"/>
    <x v="2"/>
    <x v="4"/>
    <x v="4"/>
    <x v="0"/>
    <x v="0"/>
    <x v="0"/>
    <x v="4"/>
  </r>
  <r>
    <x v="0"/>
    <x v="0"/>
    <x v="0"/>
    <x v="2"/>
    <x v="0"/>
    <x v="5"/>
    <x v="2"/>
    <x v="5"/>
    <x v="5"/>
    <x v="0"/>
    <x v="0"/>
    <x v="0"/>
    <x v="5"/>
  </r>
  <r>
    <x v="0"/>
    <x v="0"/>
    <x v="1"/>
    <x v="2"/>
    <x v="0"/>
    <x v="6"/>
    <x v="2"/>
    <x v="6"/>
    <x v="6"/>
    <x v="0"/>
    <x v="0"/>
    <x v="0"/>
    <x v="6"/>
  </r>
  <r>
    <x v="0"/>
    <x v="0"/>
    <x v="0"/>
    <x v="3"/>
    <x v="0"/>
    <x v="7"/>
    <x v="2"/>
    <x v="7"/>
    <x v="7"/>
    <x v="0"/>
    <x v="0"/>
    <x v="0"/>
    <x v="7"/>
  </r>
  <r>
    <x v="0"/>
    <x v="0"/>
    <x v="1"/>
    <x v="3"/>
    <x v="0"/>
    <x v="8"/>
    <x v="2"/>
    <x v="8"/>
    <x v="8"/>
    <x v="0"/>
    <x v="0"/>
    <x v="0"/>
    <x v="8"/>
  </r>
  <r>
    <x v="0"/>
    <x v="0"/>
    <x v="4"/>
    <x v="0"/>
    <x v="0"/>
    <x v="9"/>
    <x v="3"/>
    <x v="9"/>
    <x v="9"/>
    <x v="0"/>
    <x v="0"/>
    <x v="0"/>
    <x v="9"/>
  </r>
  <r>
    <x v="0"/>
    <x v="0"/>
    <x v="1"/>
    <x v="0"/>
    <x v="0"/>
    <x v="10"/>
    <x v="4"/>
    <x v="10"/>
    <x v="10"/>
    <x v="0"/>
    <x v="0"/>
    <x v="0"/>
    <x v="10"/>
  </r>
  <r>
    <x v="0"/>
    <x v="0"/>
    <x v="5"/>
    <x v="1"/>
    <x v="0"/>
    <x v="11"/>
    <x v="5"/>
    <x v="11"/>
    <x v="11"/>
    <x v="0"/>
    <x v="0"/>
    <x v="0"/>
    <x v="11"/>
  </r>
  <r>
    <x v="0"/>
    <x v="0"/>
    <x v="6"/>
    <x v="4"/>
    <x v="0"/>
    <x v="9"/>
    <x v="6"/>
    <x v="12"/>
    <x v="12"/>
    <x v="0"/>
    <x v="0"/>
    <x v="0"/>
    <x v="12"/>
  </r>
  <r>
    <x v="0"/>
    <x v="0"/>
    <x v="7"/>
    <x v="4"/>
    <x v="0"/>
    <x v="9"/>
    <x v="7"/>
    <x v="13"/>
    <x v="13"/>
    <x v="0"/>
    <x v="0"/>
    <x v="0"/>
    <x v="13"/>
  </r>
  <r>
    <x v="0"/>
    <x v="0"/>
    <x v="1"/>
    <x v="4"/>
    <x v="0"/>
    <x v="12"/>
    <x v="2"/>
    <x v="14"/>
    <x v="14"/>
    <x v="0"/>
    <x v="0"/>
    <x v="0"/>
    <x v="14"/>
  </r>
  <r>
    <x v="0"/>
    <x v="0"/>
    <x v="8"/>
    <x v="2"/>
    <x v="0"/>
    <x v="13"/>
    <x v="2"/>
    <x v="15"/>
    <x v="15"/>
    <x v="0"/>
    <x v="0"/>
    <x v="0"/>
    <x v="15"/>
  </r>
  <r>
    <x v="0"/>
    <x v="0"/>
    <x v="6"/>
    <x v="2"/>
    <x v="0"/>
    <x v="9"/>
    <x v="8"/>
    <x v="16"/>
    <x v="16"/>
    <x v="0"/>
    <x v="0"/>
    <x v="0"/>
    <x v="16"/>
  </r>
  <r>
    <x v="0"/>
    <x v="0"/>
    <x v="9"/>
    <x v="2"/>
    <x v="0"/>
    <x v="14"/>
    <x v="2"/>
    <x v="17"/>
    <x v="17"/>
    <x v="0"/>
    <x v="0"/>
    <x v="0"/>
    <x v="17"/>
  </r>
  <r>
    <x v="0"/>
    <x v="0"/>
    <x v="1"/>
    <x v="2"/>
    <x v="0"/>
    <x v="15"/>
    <x v="2"/>
    <x v="18"/>
    <x v="18"/>
    <x v="0"/>
    <x v="0"/>
    <x v="0"/>
    <x v="18"/>
  </r>
  <r>
    <x v="0"/>
    <x v="0"/>
    <x v="8"/>
    <x v="3"/>
    <x v="0"/>
    <x v="16"/>
    <x v="2"/>
    <x v="19"/>
    <x v="19"/>
    <x v="0"/>
    <x v="0"/>
    <x v="0"/>
    <x v="19"/>
  </r>
  <r>
    <x v="0"/>
    <x v="1"/>
    <x v="0"/>
    <x v="2"/>
    <x v="0"/>
    <x v="17"/>
    <x v="2"/>
    <x v="20"/>
    <x v="20"/>
    <x v="0"/>
    <x v="0"/>
    <x v="0"/>
    <x v="20"/>
  </r>
  <r>
    <x v="0"/>
    <x v="1"/>
    <x v="1"/>
    <x v="2"/>
    <x v="0"/>
    <x v="18"/>
    <x v="2"/>
    <x v="21"/>
    <x v="21"/>
    <x v="0"/>
    <x v="0"/>
    <x v="0"/>
    <x v="21"/>
  </r>
  <r>
    <x v="0"/>
    <x v="1"/>
    <x v="10"/>
    <x v="2"/>
    <x v="0"/>
    <x v="19"/>
    <x v="9"/>
    <x v="22"/>
    <x v="22"/>
    <x v="0"/>
    <x v="0"/>
    <x v="0"/>
    <x v="22"/>
  </r>
  <r>
    <x v="0"/>
    <x v="2"/>
    <x v="0"/>
    <x v="0"/>
    <x v="0"/>
    <x v="20"/>
    <x v="10"/>
    <x v="23"/>
    <x v="23"/>
    <x v="0"/>
    <x v="0"/>
    <x v="0"/>
    <x v="23"/>
  </r>
  <r>
    <x v="0"/>
    <x v="2"/>
    <x v="9"/>
    <x v="0"/>
    <x v="0"/>
    <x v="21"/>
    <x v="11"/>
    <x v="24"/>
    <x v="24"/>
    <x v="0"/>
    <x v="0"/>
    <x v="0"/>
    <x v="24"/>
  </r>
  <r>
    <x v="0"/>
    <x v="2"/>
    <x v="1"/>
    <x v="0"/>
    <x v="0"/>
    <x v="22"/>
    <x v="12"/>
    <x v="25"/>
    <x v="25"/>
    <x v="0"/>
    <x v="0"/>
    <x v="0"/>
    <x v="25"/>
  </r>
  <r>
    <x v="0"/>
    <x v="2"/>
    <x v="1"/>
    <x v="2"/>
    <x v="0"/>
    <x v="23"/>
    <x v="13"/>
    <x v="26"/>
    <x v="26"/>
    <x v="0"/>
    <x v="0"/>
    <x v="0"/>
    <x v="26"/>
  </r>
  <r>
    <x v="0"/>
    <x v="3"/>
    <x v="6"/>
    <x v="0"/>
    <x v="0"/>
    <x v="24"/>
    <x v="14"/>
    <x v="27"/>
    <x v="27"/>
    <x v="0"/>
    <x v="0"/>
    <x v="0"/>
    <x v="27"/>
  </r>
  <r>
    <x v="0"/>
    <x v="3"/>
    <x v="9"/>
    <x v="0"/>
    <x v="0"/>
    <x v="25"/>
    <x v="2"/>
    <x v="28"/>
    <x v="28"/>
    <x v="0"/>
    <x v="0"/>
    <x v="0"/>
    <x v="28"/>
  </r>
  <r>
    <x v="0"/>
    <x v="3"/>
    <x v="1"/>
    <x v="0"/>
    <x v="0"/>
    <x v="26"/>
    <x v="15"/>
    <x v="22"/>
    <x v="22"/>
    <x v="0"/>
    <x v="0"/>
    <x v="0"/>
    <x v="22"/>
  </r>
  <r>
    <x v="0"/>
    <x v="4"/>
    <x v="0"/>
    <x v="0"/>
    <x v="0"/>
    <x v="27"/>
    <x v="2"/>
    <x v="29"/>
    <x v="29"/>
    <x v="0"/>
    <x v="0"/>
    <x v="0"/>
    <x v="29"/>
  </r>
  <r>
    <x v="0"/>
    <x v="4"/>
    <x v="1"/>
    <x v="0"/>
    <x v="1"/>
    <x v="28"/>
    <x v="16"/>
    <x v="30"/>
    <x v="30"/>
    <x v="0"/>
    <x v="0"/>
    <x v="0"/>
    <x v="30"/>
  </r>
  <r>
    <x v="0"/>
    <x v="4"/>
    <x v="10"/>
    <x v="0"/>
    <x v="0"/>
    <x v="29"/>
    <x v="2"/>
    <x v="31"/>
    <x v="31"/>
    <x v="0"/>
    <x v="0"/>
    <x v="0"/>
    <x v="31"/>
  </r>
  <r>
    <x v="0"/>
    <x v="5"/>
    <x v="1"/>
    <x v="2"/>
    <x v="0"/>
    <x v="30"/>
    <x v="17"/>
    <x v="32"/>
    <x v="32"/>
    <x v="0"/>
    <x v="0"/>
    <x v="0"/>
    <x v="32"/>
  </r>
  <r>
    <x v="0"/>
    <x v="6"/>
    <x v="0"/>
    <x v="2"/>
    <x v="0"/>
    <x v="31"/>
    <x v="18"/>
    <x v="33"/>
    <x v="33"/>
    <x v="0"/>
    <x v="0"/>
    <x v="0"/>
    <x v="33"/>
  </r>
  <r>
    <x v="0"/>
    <x v="6"/>
    <x v="1"/>
    <x v="2"/>
    <x v="0"/>
    <x v="32"/>
    <x v="19"/>
    <x v="34"/>
    <x v="34"/>
    <x v="0"/>
    <x v="0"/>
    <x v="0"/>
    <x v="34"/>
  </r>
  <r>
    <x v="0"/>
    <x v="7"/>
    <x v="8"/>
    <x v="2"/>
    <x v="0"/>
    <x v="33"/>
    <x v="2"/>
    <x v="35"/>
    <x v="35"/>
    <x v="0"/>
    <x v="0"/>
    <x v="0"/>
    <x v="35"/>
  </r>
  <r>
    <x v="0"/>
    <x v="7"/>
    <x v="11"/>
    <x v="2"/>
    <x v="0"/>
    <x v="34"/>
    <x v="2"/>
    <x v="36"/>
    <x v="36"/>
    <x v="0"/>
    <x v="0"/>
    <x v="0"/>
    <x v="36"/>
  </r>
  <r>
    <x v="0"/>
    <x v="7"/>
    <x v="12"/>
    <x v="2"/>
    <x v="0"/>
    <x v="35"/>
    <x v="2"/>
    <x v="37"/>
    <x v="37"/>
    <x v="0"/>
    <x v="0"/>
    <x v="0"/>
    <x v="37"/>
  </r>
  <r>
    <x v="0"/>
    <x v="7"/>
    <x v="0"/>
    <x v="2"/>
    <x v="0"/>
    <x v="36"/>
    <x v="2"/>
    <x v="38"/>
    <x v="38"/>
    <x v="0"/>
    <x v="0"/>
    <x v="0"/>
    <x v="38"/>
  </r>
  <r>
    <x v="0"/>
    <x v="7"/>
    <x v="9"/>
    <x v="2"/>
    <x v="2"/>
    <x v="37"/>
    <x v="20"/>
    <x v="39"/>
    <x v="39"/>
    <x v="0"/>
    <x v="0"/>
    <x v="0"/>
    <x v="39"/>
  </r>
  <r>
    <x v="0"/>
    <x v="7"/>
    <x v="1"/>
    <x v="2"/>
    <x v="3"/>
    <x v="38"/>
    <x v="21"/>
    <x v="40"/>
    <x v="40"/>
    <x v="0"/>
    <x v="0"/>
    <x v="0"/>
    <x v="40"/>
  </r>
  <r>
    <x v="0"/>
    <x v="7"/>
    <x v="10"/>
    <x v="2"/>
    <x v="4"/>
    <x v="39"/>
    <x v="22"/>
    <x v="41"/>
    <x v="41"/>
    <x v="1"/>
    <x v="1"/>
    <x v="1"/>
    <x v="41"/>
  </r>
  <r>
    <x v="0"/>
    <x v="8"/>
    <x v="0"/>
    <x v="0"/>
    <x v="0"/>
    <x v="40"/>
    <x v="23"/>
    <x v="42"/>
    <x v="42"/>
    <x v="0"/>
    <x v="0"/>
    <x v="0"/>
    <x v="42"/>
  </r>
  <r>
    <x v="0"/>
    <x v="8"/>
    <x v="1"/>
    <x v="0"/>
    <x v="0"/>
    <x v="41"/>
    <x v="24"/>
    <x v="43"/>
    <x v="43"/>
    <x v="0"/>
    <x v="0"/>
    <x v="0"/>
    <x v="43"/>
  </r>
  <r>
    <x v="0"/>
    <x v="9"/>
    <x v="8"/>
    <x v="2"/>
    <x v="0"/>
    <x v="42"/>
    <x v="2"/>
    <x v="44"/>
    <x v="44"/>
    <x v="0"/>
    <x v="0"/>
    <x v="0"/>
    <x v="44"/>
  </r>
  <r>
    <x v="0"/>
    <x v="9"/>
    <x v="11"/>
    <x v="2"/>
    <x v="0"/>
    <x v="43"/>
    <x v="2"/>
    <x v="45"/>
    <x v="45"/>
    <x v="0"/>
    <x v="0"/>
    <x v="0"/>
    <x v="45"/>
  </r>
  <r>
    <x v="0"/>
    <x v="9"/>
    <x v="0"/>
    <x v="2"/>
    <x v="0"/>
    <x v="44"/>
    <x v="2"/>
    <x v="46"/>
    <x v="46"/>
    <x v="0"/>
    <x v="0"/>
    <x v="0"/>
    <x v="46"/>
  </r>
  <r>
    <x v="0"/>
    <x v="9"/>
    <x v="9"/>
    <x v="2"/>
    <x v="0"/>
    <x v="45"/>
    <x v="2"/>
    <x v="47"/>
    <x v="47"/>
    <x v="0"/>
    <x v="0"/>
    <x v="0"/>
    <x v="47"/>
  </r>
  <r>
    <x v="0"/>
    <x v="9"/>
    <x v="1"/>
    <x v="2"/>
    <x v="5"/>
    <x v="46"/>
    <x v="25"/>
    <x v="48"/>
    <x v="48"/>
    <x v="2"/>
    <x v="0"/>
    <x v="2"/>
    <x v="48"/>
  </r>
  <r>
    <x v="0"/>
    <x v="9"/>
    <x v="10"/>
    <x v="2"/>
    <x v="6"/>
    <x v="47"/>
    <x v="26"/>
    <x v="49"/>
    <x v="49"/>
    <x v="0"/>
    <x v="0"/>
    <x v="0"/>
    <x v="49"/>
  </r>
  <r>
    <x v="0"/>
    <x v="10"/>
    <x v="2"/>
    <x v="1"/>
    <x v="7"/>
    <x v="48"/>
    <x v="27"/>
    <x v="22"/>
    <x v="50"/>
    <x v="0"/>
    <x v="0"/>
    <x v="0"/>
    <x v="50"/>
  </r>
  <r>
    <x v="0"/>
    <x v="11"/>
    <x v="6"/>
    <x v="4"/>
    <x v="0"/>
    <x v="9"/>
    <x v="2"/>
    <x v="22"/>
    <x v="22"/>
    <x v="0"/>
    <x v="2"/>
    <x v="3"/>
    <x v="51"/>
  </r>
  <r>
    <x v="0"/>
    <x v="12"/>
    <x v="13"/>
    <x v="0"/>
    <x v="0"/>
    <x v="49"/>
    <x v="28"/>
    <x v="22"/>
    <x v="22"/>
    <x v="0"/>
    <x v="0"/>
    <x v="0"/>
    <x v="22"/>
  </r>
  <r>
    <x v="0"/>
    <x v="12"/>
    <x v="0"/>
    <x v="0"/>
    <x v="0"/>
    <x v="50"/>
    <x v="29"/>
    <x v="50"/>
    <x v="51"/>
    <x v="0"/>
    <x v="0"/>
    <x v="0"/>
    <x v="52"/>
  </r>
  <r>
    <x v="0"/>
    <x v="12"/>
    <x v="9"/>
    <x v="0"/>
    <x v="0"/>
    <x v="51"/>
    <x v="30"/>
    <x v="51"/>
    <x v="52"/>
    <x v="0"/>
    <x v="0"/>
    <x v="0"/>
    <x v="53"/>
  </r>
  <r>
    <x v="0"/>
    <x v="12"/>
    <x v="1"/>
    <x v="0"/>
    <x v="0"/>
    <x v="52"/>
    <x v="31"/>
    <x v="52"/>
    <x v="53"/>
    <x v="0"/>
    <x v="0"/>
    <x v="0"/>
    <x v="54"/>
  </r>
  <r>
    <x v="0"/>
    <x v="12"/>
    <x v="13"/>
    <x v="2"/>
    <x v="0"/>
    <x v="53"/>
    <x v="32"/>
    <x v="53"/>
    <x v="54"/>
    <x v="0"/>
    <x v="0"/>
    <x v="0"/>
    <x v="55"/>
  </r>
  <r>
    <x v="0"/>
    <x v="12"/>
    <x v="11"/>
    <x v="2"/>
    <x v="0"/>
    <x v="54"/>
    <x v="33"/>
    <x v="54"/>
    <x v="55"/>
    <x v="0"/>
    <x v="0"/>
    <x v="0"/>
    <x v="56"/>
  </r>
  <r>
    <x v="0"/>
    <x v="12"/>
    <x v="0"/>
    <x v="2"/>
    <x v="0"/>
    <x v="55"/>
    <x v="34"/>
    <x v="55"/>
    <x v="56"/>
    <x v="0"/>
    <x v="0"/>
    <x v="0"/>
    <x v="57"/>
  </r>
  <r>
    <x v="0"/>
    <x v="12"/>
    <x v="9"/>
    <x v="2"/>
    <x v="0"/>
    <x v="56"/>
    <x v="35"/>
    <x v="56"/>
    <x v="57"/>
    <x v="0"/>
    <x v="0"/>
    <x v="0"/>
    <x v="58"/>
  </r>
  <r>
    <x v="0"/>
    <x v="12"/>
    <x v="1"/>
    <x v="2"/>
    <x v="0"/>
    <x v="57"/>
    <x v="36"/>
    <x v="57"/>
    <x v="58"/>
    <x v="0"/>
    <x v="0"/>
    <x v="0"/>
    <x v="59"/>
  </r>
  <r>
    <x v="0"/>
    <x v="13"/>
    <x v="0"/>
    <x v="3"/>
    <x v="0"/>
    <x v="58"/>
    <x v="2"/>
    <x v="58"/>
    <x v="59"/>
    <x v="0"/>
    <x v="0"/>
    <x v="0"/>
    <x v="60"/>
  </r>
  <r>
    <x v="0"/>
    <x v="13"/>
    <x v="1"/>
    <x v="3"/>
    <x v="0"/>
    <x v="59"/>
    <x v="2"/>
    <x v="59"/>
    <x v="60"/>
    <x v="0"/>
    <x v="0"/>
    <x v="0"/>
    <x v="61"/>
  </r>
  <r>
    <x v="0"/>
    <x v="13"/>
    <x v="10"/>
    <x v="3"/>
    <x v="0"/>
    <x v="60"/>
    <x v="37"/>
    <x v="60"/>
    <x v="61"/>
    <x v="0"/>
    <x v="0"/>
    <x v="0"/>
    <x v="62"/>
  </r>
  <r>
    <x v="0"/>
    <x v="14"/>
    <x v="10"/>
    <x v="0"/>
    <x v="0"/>
    <x v="61"/>
    <x v="38"/>
    <x v="22"/>
    <x v="22"/>
    <x v="0"/>
    <x v="0"/>
    <x v="0"/>
    <x v="22"/>
  </r>
  <r>
    <x v="0"/>
    <x v="15"/>
    <x v="0"/>
    <x v="2"/>
    <x v="0"/>
    <x v="62"/>
    <x v="2"/>
    <x v="61"/>
    <x v="62"/>
    <x v="0"/>
    <x v="0"/>
    <x v="0"/>
    <x v="63"/>
  </r>
  <r>
    <x v="0"/>
    <x v="15"/>
    <x v="9"/>
    <x v="2"/>
    <x v="0"/>
    <x v="63"/>
    <x v="2"/>
    <x v="62"/>
    <x v="63"/>
    <x v="0"/>
    <x v="0"/>
    <x v="0"/>
    <x v="64"/>
  </r>
  <r>
    <x v="0"/>
    <x v="15"/>
    <x v="1"/>
    <x v="2"/>
    <x v="0"/>
    <x v="64"/>
    <x v="39"/>
    <x v="63"/>
    <x v="64"/>
    <x v="0"/>
    <x v="0"/>
    <x v="0"/>
    <x v="65"/>
  </r>
  <r>
    <x v="0"/>
    <x v="16"/>
    <x v="0"/>
    <x v="0"/>
    <x v="0"/>
    <x v="65"/>
    <x v="2"/>
    <x v="64"/>
    <x v="65"/>
    <x v="0"/>
    <x v="0"/>
    <x v="0"/>
    <x v="66"/>
  </r>
  <r>
    <x v="0"/>
    <x v="17"/>
    <x v="0"/>
    <x v="0"/>
    <x v="0"/>
    <x v="66"/>
    <x v="2"/>
    <x v="65"/>
    <x v="66"/>
    <x v="0"/>
    <x v="0"/>
    <x v="0"/>
    <x v="67"/>
  </r>
  <r>
    <x v="0"/>
    <x v="17"/>
    <x v="9"/>
    <x v="0"/>
    <x v="0"/>
    <x v="67"/>
    <x v="2"/>
    <x v="66"/>
    <x v="67"/>
    <x v="0"/>
    <x v="0"/>
    <x v="0"/>
    <x v="68"/>
  </r>
  <r>
    <x v="0"/>
    <x v="17"/>
    <x v="14"/>
    <x v="0"/>
    <x v="0"/>
    <x v="68"/>
    <x v="40"/>
    <x v="67"/>
    <x v="68"/>
    <x v="0"/>
    <x v="0"/>
    <x v="0"/>
    <x v="69"/>
  </r>
  <r>
    <x v="0"/>
    <x v="17"/>
    <x v="1"/>
    <x v="0"/>
    <x v="8"/>
    <x v="69"/>
    <x v="41"/>
    <x v="68"/>
    <x v="69"/>
    <x v="0"/>
    <x v="0"/>
    <x v="0"/>
    <x v="70"/>
  </r>
  <r>
    <x v="0"/>
    <x v="18"/>
    <x v="0"/>
    <x v="0"/>
    <x v="0"/>
    <x v="9"/>
    <x v="42"/>
    <x v="69"/>
    <x v="70"/>
    <x v="0"/>
    <x v="0"/>
    <x v="0"/>
    <x v="71"/>
  </r>
  <r>
    <x v="0"/>
    <x v="18"/>
    <x v="8"/>
    <x v="2"/>
    <x v="0"/>
    <x v="70"/>
    <x v="43"/>
    <x v="70"/>
    <x v="71"/>
    <x v="0"/>
    <x v="0"/>
    <x v="0"/>
    <x v="72"/>
  </r>
  <r>
    <x v="0"/>
    <x v="18"/>
    <x v="15"/>
    <x v="2"/>
    <x v="0"/>
    <x v="71"/>
    <x v="44"/>
    <x v="71"/>
    <x v="72"/>
    <x v="0"/>
    <x v="0"/>
    <x v="0"/>
    <x v="73"/>
  </r>
  <r>
    <x v="0"/>
    <x v="18"/>
    <x v="0"/>
    <x v="2"/>
    <x v="0"/>
    <x v="72"/>
    <x v="45"/>
    <x v="72"/>
    <x v="73"/>
    <x v="0"/>
    <x v="0"/>
    <x v="0"/>
    <x v="74"/>
  </r>
  <r>
    <x v="0"/>
    <x v="18"/>
    <x v="5"/>
    <x v="2"/>
    <x v="0"/>
    <x v="73"/>
    <x v="46"/>
    <x v="73"/>
    <x v="74"/>
    <x v="0"/>
    <x v="0"/>
    <x v="0"/>
    <x v="75"/>
  </r>
  <r>
    <x v="0"/>
    <x v="18"/>
    <x v="1"/>
    <x v="2"/>
    <x v="0"/>
    <x v="74"/>
    <x v="47"/>
    <x v="74"/>
    <x v="75"/>
    <x v="0"/>
    <x v="0"/>
    <x v="0"/>
    <x v="76"/>
  </r>
  <r>
    <x v="0"/>
    <x v="19"/>
    <x v="0"/>
    <x v="0"/>
    <x v="0"/>
    <x v="75"/>
    <x v="2"/>
    <x v="75"/>
    <x v="76"/>
    <x v="0"/>
    <x v="0"/>
    <x v="0"/>
    <x v="77"/>
  </r>
  <r>
    <x v="0"/>
    <x v="19"/>
    <x v="9"/>
    <x v="0"/>
    <x v="0"/>
    <x v="76"/>
    <x v="2"/>
    <x v="76"/>
    <x v="77"/>
    <x v="0"/>
    <x v="0"/>
    <x v="0"/>
    <x v="78"/>
  </r>
  <r>
    <x v="0"/>
    <x v="19"/>
    <x v="1"/>
    <x v="0"/>
    <x v="0"/>
    <x v="77"/>
    <x v="48"/>
    <x v="77"/>
    <x v="78"/>
    <x v="0"/>
    <x v="0"/>
    <x v="0"/>
    <x v="79"/>
  </r>
  <r>
    <x v="0"/>
    <x v="19"/>
    <x v="0"/>
    <x v="2"/>
    <x v="0"/>
    <x v="78"/>
    <x v="2"/>
    <x v="78"/>
    <x v="79"/>
    <x v="0"/>
    <x v="0"/>
    <x v="0"/>
    <x v="80"/>
  </r>
  <r>
    <x v="0"/>
    <x v="19"/>
    <x v="9"/>
    <x v="2"/>
    <x v="0"/>
    <x v="79"/>
    <x v="2"/>
    <x v="79"/>
    <x v="80"/>
    <x v="0"/>
    <x v="0"/>
    <x v="0"/>
    <x v="81"/>
  </r>
  <r>
    <x v="0"/>
    <x v="19"/>
    <x v="1"/>
    <x v="2"/>
    <x v="0"/>
    <x v="80"/>
    <x v="49"/>
    <x v="80"/>
    <x v="81"/>
    <x v="0"/>
    <x v="0"/>
    <x v="0"/>
    <x v="82"/>
  </r>
  <r>
    <x v="0"/>
    <x v="20"/>
    <x v="1"/>
    <x v="0"/>
    <x v="0"/>
    <x v="81"/>
    <x v="50"/>
    <x v="81"/>
    <x v="82"/>
    <x v="0"/>
    <x v="0"/>
    <x v="0"/>
    <x v="83"/>
  </r>
  <r>
    <x v="0"/>
    <x v="21"/>
    <x v="0"/>
    <x v="0"/>
    <x v="0"/>
    <x v="82"/>
    <x v="2"/>
    <x v="82"/>
    <x v="83"/>
    <x v="0"/>
    <x v="0"/>
    <x v="0"/>
    <x v="84"/>
  </r>
  <r>
    <x v="0"/>
    <x v="21"/>
    <x v="1"/>
    <x v="0"/>
    <x v="0"/>
    <x v="83"/>
    <x v="51"/>
    <x v="83"/>
    <x v="84"/>
    <x v="0"/>
    <x v="0"/>
    <x v="0"/>
    <x v="85"/>
  </r>
  <r>
    <x v="0"/>
    <x v="22"/>
    <x v="15"/>
    <x v="0"/>
    <x v="0"/>
    <x v="84"/>
    <x v="52"/>
    <x v="22"/>
    <x v="22"/>
    <x v="0"/>
    <x v="0"/>
    <x v="0"/>
    <x v="22"/>
  </r>
  <r>
    <x v="0"/>
    <x v="22"/>
    <x v="0"/>
    <x v="0"/>
    <x v="0"/>
    <x v="85"/>
    <x v="2"/>
    <x v="84"/>
    <x v="85"/>
    <x v="0"/>
    <x v="0"/>
    <x v="0"/>
    <x v="86"/>
  </r>
  <r>
    <x v="0"/>
    <x v="23"/>
    <x v="0"/>
    <x v="2"/>
    <x v="0"/>
    <x v="86"/>
    <x v="2"/>
    <x v="85"/>
    <x v="86"/>
    <x v="0"/>
    <x v="0"/>
    <x v="0"/>
    <x v="87"/>
  </r>
  <r>
    <x v="0"/>
    <x v="23"/>
    <x v="9"/>
    <x v="2"/>
    <x v="0"/>
    <x v="87"/>
    <x v="2"/>
    <x v="86"/>
    <x v="87"/>
    <x v="0"/>
    <x v="0"/>
    <x v="0"/>
    <x v="88"/>
  </r>
  <r>
    <x v="0"/>
    <x v="23"/>
    <x v="1"/>
    <x v="2"/>
    <x v="0"/>
    <x v="88"/>
    <x v="2"/>
    <x v="87"/>
    <x v="88"/>
    <x v="0"/>
    <x v="0"/>
    <x v="0"/>
    <x v="89"/>
  </r>
  <r>
    <x v="0"/>
    <x v="23"/>
    <x v="10"/>
    <x v="2"/>
    <x v="0"/>
    <x v="89"/>
    <x v="53"/>
    <x v="88"/>
    <x v="89"/>
    <x v="0"/>
    <x v="0"/>
    <x v="0"/>
    <x v="90"/>
  </r>
  <r>
    <x v="0"/>
    <x v="24"/>
    <x v="0"/>
    <x v="0"/>
    <x v="0"/>
    <x v="90"/>
    <x v="2"/>
    <x v="89"/>
    <x v="90"/>
    <x v="0"/>
    <x v="0"/>
    <x v="0"/>
    <x v="91"/>
  </r>
  <r>
    <x v="0"/>
    <x v="24"/>
    <x v="9"/>
    <x v="0"/>
    <x v="0"/>
    <x v="91"/>
    <x v="2"/>
    <x v="90"/>
    <x v="91"/>
    <x v="0"/>
    <x v="0"/>
    <x v="0"/>
    <x v="92"/>
  </r>
  <r>
    <x v="0"/>
    <x v="24"/>
    <x v="1"/>
    <x v="0"/>
    <x v="0"/>
    <x v="92"/>
    <x v="2"/>
    <x v="91"/>
    <x v="92"/>
    <x v="0"/>
    <x v="0"/>
    <x v="0"/>
    <x v="93"/>
  </r>
  <r>
    <x v="0"/>
    <x v="24"/>
    <x v="10"/>
    <x v="0"/>
    <x v="0"/>
    <x v="93"/>
    <x v="54"/>
    <x v="92"/>
    <x v="93"/>
    <x v="0"/>
    <x v="0"/>
    <x v="0"/>
    <x v="94"/>
  </r>
  <r>
    <x v="0"/>
    <x v="25"/>
    <x v="0"/>
    <x v="0"/>
    <x v="0"/>
    <x v="94"/>
    <x v="55"/>
    <x v="22"/>
    <x v="22"/>
    <x v="0"/>
    <x v="0"/>
    <x v="0"/>
    <x v="22"/>
  </r>
  <r>
    <x v="0"/>
    <x v="25"/>
    <x v="1"/>
    <x v="0"/>
    <x v="0"/>
    <x v="95"/>
    <x v="56"/>
    <x v="93"/>
    <x v="94"/>
    <x v="0"/>
    <x v="0"/>
    <x v="0"/>
    <x v="95"/>
  </r>
  <r>
    <x v="0"/>
    <x v="25"/>
    <x v="10"/>
    <x v="0"/>
    <x v="0"/>
    <x v="96"/>
    <x v="57"/>
    <x v="94"/>
    <x v="95"/>
    <x v="0"/>
    <x v="0"/>
    <x v="0"/>
    <x v="96"/>
  </r>
  <r>
    <x v="0"/>
    <x v="25"/>
    <x v="16"/>
    <x v="2"/>
    <x v="0"/>
    <x v="97"/>
    <x v="58"/>
    <x v="22"/>
    <x v="22"/>
    <x v="0"/>
    <x v="0"/>
    <x v="0"/>
    <x v="22"/>
  </r>
  <r>
    <x v="0"/>
    <x v="25"/>
    <x v="0"/>
    <x v="2"/>
    <x v="0"/>
    <x v="98"/>
    <x v="59"/>
    <x v="95"/>
    <x v="96"/>
    <x v="0"/>
    <x v="0"/>
    <x v="0"/>
    <x v="97"/>
  </r>
  <r>
    <x v="0"/>
    <x v="25"/>
    <x v="1"/>
    <x v="2"/>
    <x v="0"/>
    <x v="99"/>
    <x v="60"/>
    <x v="96"/>
    <x v="97"/>
    <x v="0"/>
    <x v="0"/>
    <x v="0"/>
    <x v="98"/>
  </r>
  <r>
    <x v="0"/>
    <x v="25"/>
    <x v="10"/>
    <x v="2"/>
    <x v="0"/>
    <x v="100"/>
    <x v="61"/>
    <x v="97"/>
    <x v="98"/>
    <x v="0"/>
    <x v="0"/>
    <x v="0"/>
    <x v="99"/>
  </r>
  <r>
    <x v="0"/>
    <x v="26"/>
    <x v="1"/>
    <x v="2"/>
    <x v="0"/>
    <x v="101"/>
    <x v="62"/>
    <x v="98"/>
    <x v="99"/>
    <x v="0"/>
    <x v="0"/>
    <x v="0"/>
    <x v="100"/>
  </r>
  <r>
    <x v="0"/>
    <x v="27"/>
    <x v="15"/>
    <x v="5"/>
    <x v="9"/>
    <x v="9"/>
    <x v="2"/>
    <x v="22"/>
    <x v="100"/>
    <x v="0"/>
    <x v="0"/>
    <x v="0"/>
    <x v="101"/>
  </r>
  <r>
    <x v="0"/>
    <x v="28"/>
    <x v="17"/>
    <x v="0"/>
    <x v="0"/>
    <x v="102"/>
    <x v="63"/>
    <x v="99"/>
    <x v="101"/>
    <x v="0"/>
    <x v="0"/>
    <x v="0"/>
    <x v="102"/>
  </r>
  <r>
    <x v="0"/>
    <x v="28"/>
    <x v="1"/>
    <x v="0"/>
    <x v="0"/>
    <x v="103"/>
    <x v="2"/>
    <x v="100"/>
    <x v="102"/>
    <x v="0"/>
    <x v="0"/>
    <x v="0"/>
    <x v="103"/>
  </r>
  <r>
    <x v="0"/>
    <x v="29"/>
    <x v="6"/>
    <x v="4"/>
    <x v="0"/>
    <x v="9"/>
    <x v="2"/>
    <x v="22"/>
    <x v="22"/>
    <x v="3"/>
    <x v="3"/>
    <x v="4"/>
    <x v="104"/>
  </r>
  <r>
    <x v="0"/>
    <x v="30"/>
    <x v="15"/>
    <x v="2"/>
    <x v="0"/>
    <x v="104"/>
    <x v="64"/>
    <x v="101"/>
    <x v="103"/>
    <x v="0"/>
    <x v="0"/>
    <x v="0"/>
    <x v="105"/>
  </r>
  <r>
    <x v="0"/>
    <x v="31"/>
    <x v="1"/>
    <x v="0"/>
    <x v="0"/>
    <x v="105"/>
    <x v="65"/>
    <x v="102"/>
    <x v="104"/>
    <x v="0"/>
    <x v="0"/>
    <x v="0"/>
    <x v="106"/>
  </r>
  <r>
    <x v="0"/>
    <x v="32"/>
    <x v="0"/>
    <x v="2"/>
    <x v="0"/>
    <x v="106"/>
    <x v="2"/>
    <x v="103"/>
    <x v="105"/>
    <x v="0"/>
    <x v="0"/>
    <x v="0"/>
    <x v="107"/>
  </r>
  <r>
    <x v="0"/>
    <x v="32"/>
    <x v="10"/>
    <x v="2"/>
    <x v="0"/>
    <x v="107"/>
    <x v="66"/>
    <x v="22"/>
    <x v="22"/>
    <x v="0"/>
    <x v="0"/>
    <x v="0"/>
    <x v="22"/>
  </r>
  <r>
    <x v="0"/>
    <x v="33"/>
    <x v="0"/>
    <x v="0"/>
    <x v="0"/>
    <x v="108"/>
    <x v="67"/>
    <x v="104"/>
    <x v="106"/>
    <x v="0"/>
    <x v="0"/>
    <x v="0"/>
    <x v="108"/>
  </r>
  <r>
    <x v="0"/>
    <x v="33"/>
    <x v="9"/>
    <x v="0"/>
    <x v="0"/>
    <x v="109"/>
    <x v="68"/>
    <x v="105"/>
    <x v="107"/>
    <x v="0"/>
    <x v="0"/>
    <x v="0"/>
    <x v="109"/>
  </r>
  <r>
    <x v="0"/>
    <x v="33"/>
    <x v="1"/>
    <x v="0"/>
    <x v="0"/>
    <x v="110"/>
    <x v="69"/>
    <x v="106"/>
    <x v="108"/>
    <x v="0"/>
    <x v="0"/>
    <x v="0"/>
    <x v="110"/>
  </r>
  <r>
    <x v="0"/>
    <x v="33"/>
    <x v="0"/>
    <x v="2"/>
    <x v="0"/>
    <x v="111"/>
    <x v="70"/>
    <x v="107"/>
    <x v="109"/>
    <x v="0"/>
    <x v="0"/>
    <x v="0"/>
    <x v="111"/>
  </r>
  <r>
    <x v="0"/>
    <x v="33"/>
    <x v="1"/>
    <x v="2"/>
    <x v="0"/>
    <x v="112"/>
    <x v="71"/>
    <x v="108"/>
    <x v="110"/>
    <x v="0"/>
    <x v="0"/>
    <x v="0"/>
    <x v="112"/>
  </r>
  <r>
    <x v="0"/>
    <x v="34"/>
    <x v="0"/>
    <x v="2"/>
    <x v="0"/>
    <x v="113"/>
    <x v="2"/>
    <x v="109"/>
    <x v="111"/>
    <x v="4"/>
    <x v="0"/>
    <x v="5"/>
    <x v="113"/>
  </r>
  <r>
    <x v="0"/>
    <x v="34"/>
    <x v="1"/>
    <x v="2"/>
    <x v="10"/>
    <x v="114"/>
    <x v="72"/>
    <x v="110"/>
    <x v="112"/>
    <x v="5"/>
    <x v="0"/>
    <x v="6"/>
    <x v="114"/>
  </r>
  <r>
    <x v="0"/>
    <x v="34"/>
    <x v="10"/>
    <x v="2"/>
    <x v="0"/>
    <x v="115"/>
    <x v="2"/>
    <x v="111"/>
    <x v="113"/>
    <x v="0"/>
    <x v="0"/>
    <x v="0"/>
    <x v="115"/>
  </r>
  <r>
    <x v="0"/>
    <x v="35"/>
    <x v="1"/>
    <x v="0"/>
    <x v="0"/>
    <x v="116"/>
    <x v="2"/>
    <x v="112"/>
    <x v="114"/>
    <x v="0"/>
    <x v="0"/>
    <x v="0"/>
    <x v="116"/>
  </r>
  <r>
    <x v="0"/>
    <x v="35"/>
    <x v="0"/>
    <x v="2"/>
    <x v="0"/>
    <x v="117"/>
    <x v="2"/>
    <x v="113"/>
    <x v="115"/>
    <x v="0"/>
    <x v="0"/>
    <x v="0"/>
    <x v="117"/>
  </r>
  <r>
    <x v="0"/>
    <x v="36"/>
    <x v="0"/>
    <x v="0"/>
    <x v="0"/>
    <x v="118"/>
    <x v="73"/>
    <x v="22"/>
    <x v="22"/>
    <x v="0"/>
    <x v="0"/>
    <x v="0"/>
    <x v="22"/>
  </r>
  <r>
    <x v="0"/>
    <x v="37"/>
    <x v="15"/>
    <x v="0"/>
    <x v="0"/>
    <x v="119"/>
    <x v="74"/>
    <x v="114"/>
    <x v="116"/>
    <x v="0"/>
    <x v="0"/>
    <x v="0"/>
    <x v="118"/>
  </r>
  <r>
    <x v="0"/>
    <x v="37"/>
    <x v="16"/>
    <x v="0"/>
    <x v="0"/>
    <x v="120"/>
    <x v="2"/>
    <x v="115"/>
    <x v="117"/>
    <x v="0"/>
    <x v="0"/>
    <x v="0"/>
    <x v="119"/>
  </r>
  <r>
    <x v="0"/>
    <x v="37"/>
    <x v="0"/>
    <x v="0"/>
    <x v="0"/>
    <x v="121"/>
    <x v="2"/>
    <x v="116"/>
    <x v="118"/>
    <x v="0"/>
    <x v="0"/>
    <x v="0"/>
    <x v="120"/>
  </r>
  <r>
    <x v="0"/>
    <x v="37"/>
    <x v="9"/>
    <x v="0"/>
    <x v="11"/>
    <x v="122"/>
    <x v="75"/>
    <x v="117"/>
    <x v="119"/>
    <x v="0"/>
    <x v="0"/>
    <x v="0"/>
    <x v="121"/>
  </r>
  <r>
    <x v="0"/>
    <x v="37"/>
    <x v="1"/>
    <x v="0"/>
    <x v="12"/>
    <x v="123"/>
    <x v="76"/>
    <x v="118"/>
    <x v="120"/>
    <x v="6"/>
    <x v="0"/>
    <x v="7"/>
    <x v="122"/>
  </r>
  <r>
    <x v="0"/>
    <x v="37"/>
    <x v="10"/>
    <x v="0"/>
    <x v="0"/>
    <x v="124"/>
    <x v="77"/>
    <x v="119"/>
    <x v="121"/>
    <x v="0"/>
    <x v="0"/>
    <x v="0"/>
    <x v="123"/>
  </r>
  <r>
    <x v="0"/>
    <x v="38"/>
    <x v="0"/>
    <x v="0"/>
    <x v="0"/>
    <x v="125"/>
    <x v="2"/>
    <x v="120"/>
    <x v="122"/>
    <x v="0"/>
    <x v="0"/>
    <x v="0"/>
    <x v="124"/>
  </r>
  <r>
    <x v="0"/>
    <x v="38"/>
    <x v="1"/>
    <x v="0"/>
    <x v="13"/>
    <x v="126"/>
    <x v="78"/>
    <x v="121"/>
    <x v="123"/>
    <x v="0"/>
    <x v="0"/>
    <x v="0"/>
    <x v="125"/>
  </r>
  <r>
    <x v="0"/>
    <x v="39"/>
    <x v="0"/>
    <x v="0"/>
    <x v="0"/>
    <x v="127"/>
    <x v="2"/>
    <x v="122"/>
    <x v="124"/>
    <x v="0"/>
    <x v="0"/>
    <x v="0"/>
    <x v="126"/>
  </r>
  <r>
    <x v="0"/>
    <x v="39"/>
    <x v="9"/>
    <x v="0"/>
    <x v="0"/>
    <x v="128"/>
    <x v="2"/>
    <x v="123"/>
    <x v="125"/>
    <x v="0"/>
    <x v="0"/>
    <x v="0"/>
    <x v="127"/>
  </r>
  <r>
    <x v="0"/>
    <x v="39"/>
    <x v="14"/>
    <x v="0"/>
    <x v="0"/>
    <x v="129"/>
    <x v="79"/>
    <x v="124"/>
    <x v="126"/>
    <x v="0"/>
    <x v="0"/>
    <x v="0"/>
    <x v="128"/>
  </r>
  <r>
    <x v="0"/>
    <x v="39"/>
    <x v="1"/>
    <x v="0"/>
    <x v="14"/>
    <x v="130"/>
    <x v="80"/>
    <x v="125"/>
    <x v="127"/>
    <x v="0"/>
    <x v="0"/>
    <x v="0"/>
    <x v="129"/>
  </r>
  <r>
    <x v="0"/>
    <x v="40"/>
    <x v="1"/>
    <x v="0"/>
    <x v="0"/>
    <x v="131"/>
    <x v="81"/>
    <x v="126"/>
    <x v="128"/>
    <x v="0"/>
    <x v="0"/>
    <x v="0"/>
    <x v="130"/>
  </r>
  <r>
    <x v="0"/>
    <x v="41"/>
    <x v="12"/>
    <x v="2"/>
    <x v="0"/>
    <x v="132"/>
    <x v="2"/>
    <x v="127"/>
    <x v="129"/>
    <x v="0"/>
    <x v="0"/>
    <x v="0"/>
    <x v="131"/>
  </r>
  <r>
    <x v="0"/>
    <x v="41"/>
    <x v="0"/>
    <x v="2"/>
    <x v="0"/>
    <x v="133"/>
    <x v="2"/>
    <x v="128"/>
    <x v="130"/>
    <x v="0"/>
    <x v="0"/>
    <x v="0"/>
    <x v="132"/>
  </r>
  <r>
    <x v="0"/>
    <x v="41"/>
    <x v="1"/>
    <x v="2"/>
    <x v="0"/>
    <x v="134"/>
    <x v="2"/>
    <x v="129"/>
    <x v="131"/>
    <x v="0"/>
    <x v="0"/>
    <x v="0"/>
    <x v="133"/>
  </r>
  <r>
    <x v="0"/>
    <x v="41"/>
    <x v="10"/>
    <x v="2"/>
    <x v="15"/>
    <x v="135"/>
    <x v="82"/>
    <x v="130"/>
    <x v="132"/>
    <x v="0"/>
    <x v="0"/>
    <x v="0"/>
    <x v="134"/>
  </r>
  <r>
    <x v="0"/>
    <x v="42"/>
    <x v="1"/>
    <x v="2"/>
    <x v="0"/>
    <x v="136"/>
    <x v="2"/>
    <x v="131"/>
    <x v="133"/>
    <x v="0"/>
    <x v="0"/>
    <x v="0"/>
    <x v="135"/>
  </r>
  <r>
    <x v="0"/>
    <x v="42"/>
    <x v="10"/>
    <x v="2"/>
    <x v="0"/>
    <x v="137"/>
    <x v="83"/>
    <x v="22"/>
    <x v="22"/>
    <x v="0"/>
    <x v="0"/>
    <x v="0"/>
    <x v="22"/>
  </r>
  <r>
    <x v="0"/>
    <x v="43"/>
    <x v="0"/>
    <x v="0"/>
    <x v="0"/>
    <x v="138"/>
    <x v="2"/>
    <x v="132"/>
    <x v="134"/>
    <x v="0"/>
    <x v="0"/>
    <x v="0"/>
    <x v="136"/>
  </r>
  <r>
    <x v="0"/>
    <x v="43"/>
    <x v="9"/>
    <x v="0"/>
    <x v="0"/>
    <x v="139"/>
    <x v="2"/>
    <x v="133"/>
    <x v="135"/>
    <x v="0"/>
    <x v="0"/>
    <x v="0"/>
    <x v="137"/>
  </r>
  <r>
    <x v="0"/>
    <x v="43"/>
    <x v="1"/>
    <x v="0"/>
    <x v="0"/>
    <x v="140"/>
    <x v="84"/>
    <x v="134"/>
    <x v="136"/>
    <x v="0"/>
    <x v="0"/>
    <x v="0"/>
    <x v="138"/>
  </r>
  <r>
    <x v="0"/>
    <x v="44"/>
    <x v="12"/>
    <x v="0"/>
    <x v="0"/>
    <x v="141"/>
    <x v="2"/>
    <x v="135"/>
    <x v="137"/>
    <x v="0"/>
    <x v="0"/>
    <x v="0"/>
    <x v="139"/>
  </r>
  <r>
    <x v="0"/>
    <x v="44"/>
    <x v="0"/>
    <x v="0"/>
    <x v="0"/>
    <x v="142"/>
    <x v="2"/>
    <x v="136"/>
    <x v="138"/>
    <x v="0"/>
    <x v="0"/>
    <x v="0"/>
    <x v="140"/>
  </r>
  <r>
    <x v="0"/>
    <x v="44"/>
    <x v="1"/>
    <x v="0"/>
    <x v="16"/>
    <x v="143"/>
    <x v="85"/>
    <x v="22"/>
    <x v="139"/>
    <x v="0"/>
    <x v="0"/>
    <x v="0"/>
    <x v="141"/>
  </r>
  <r>
    <x v="0"/>
    <x v="44"/>
    <x v="10"/>
    <x v="0"/>
    <x v="17"/>
    <x v="144"/>
    <x v="86"/>
    <x v="137"/>
    <x v="22"/>
    <x v="0"/>
    <x v="0"/>
    <x v="0"/>
    <x v="22"/>
  </r>
  <r>
    <x v="0"/>
    <x v="45"/>
    <x v="10"/>
    <x v="0"/>
    <x v="0"/>
    <x v="9"/>
    <x v="2"/>
    <x v="22"/>
    <x v="22"/>
    <x v="7"/>
    <x v="0"/>
    <x v="8"/>
    <x v="142"/>
  </r>
  <r>
    <x v="0"/>
    <x v="46"/>
    <x v="0"/>
    <x v="0"/>
    <x v="0"/>
    <x v="145"/>
    <x v="2"/>
    <x v="138"/>
    <x v="140"/>
    <x v="0"/>
    <x v="0"/>
    <x v="0"/>
    <x v="143"/>
  </r>
  <r>
    <x v="0"/>
    <x v="46"/>
    <x v="1"/>
    <x v="0"/>
    <x v="0"/>
    <x v="146"/>
    <x v="87"/>
    <x v="139"/>
    <x v="141"/>
    <x v="0"/>
    <x v="0"/>
    <x v="0"/>
    <x v="144"/>
  </r>
  <r>
    <x v="0"/>
    <x v="46"/>
    <x v="1"/>
    <x v="1"/>
    <x v="0"/>
    <x v="147"/>
    <x v="88"/>
    <x v="140"/>
    <x v="142"/>
    <x v="0"/>
    <x v="0"/>
    <x v="0"/>
    <x v="145"/>
  </r>
  <r>
    <x v="0"/>
    <x v="46"/>
    <x v="6"/>
    <x v="2"/>
    <x v="0"/>
    <x v="9"/>
    <x v="2"/>
    <x v="22"/>
    <x v="22"/>
    <x v="8"/>
    <x v="0"/>
    <x v="9"/>
    <x v="146"/>
  </r>
  <r>
    <x v="0"/>
    <x v="47"/>
    <x v="0"/>
    <x v="0"/>
    <x v="0"/>
    <x v="148"/>
    <x v="2"/>
    <x v="141"/>
    <x v="143"/>
    <x v="0"/>
    <x v="0"/>
    <x v="0"/>
    <x v="147"/>
  </r>
  <r>
    <x v="0"/>
    <x v="47"/>
    <x v="1"/>
    <x v="0"/>
    <x v="0"/>
    <x v="149"/>
    <x v="89"/>
    <x v="142"/>
    <x v="144"/>
    <x v="0"/>
    <x v="0"/>
    <x v="0"/>
    <x v="148"/>
  </r>
  <r>
    <x v="0"/>
    <x v="48"/>
    <x v="8"/>
    <x v="2"/>
    <x v="0"/>
    <x v="150"/>
    <x v="2"/>
    <x v="143"/>
    <x v="145"/>
    <x v="0"/>
    <x v="0"/>
    <x v="0"/>
    <x v="149"/>
  </r>
  <r>
    <x v="0"/>
    <x v="48"/>
    <x v="18"/>
    <x v="2"/>
    <x v="0"/>
    <x v="151"/>
    <x v="2"/>
    <x v="144"/>
    <x v="146"/>
    <x v="0"/>
    <x v="0"/>
    <x v="0"/>
    <x v="150"/>
  </r>
  <r>
    <x v="0"/>
    <x v="48"/>
    <x v="0"/>
    <x v="2"/>
    <x v="0"/>
    <x v="152"/>
    <x v="2"/>
    <x v="145"/>
    <x v="147"/>
    <x v="0"/>
    <x v="0"/>
    <x v="0"/>
    <x v="151"/>
  </r>
  <r>
    <x v="0"/>
    <x v="48"/>
    <x v="19"/>
    <x v="2"/>
    <x v="0"/>
    <x v="9"/>
    <x v="2"/>
    <x v="22"/>
    <x v="22"/>
    <x v="9"/>
    <x v="0"/>
    <x v="10"/>
    <x v="152"/>
  </r>
  <r>
    <x v="0"/>
    <x v="48"/>
    <x v="1"/>
    <x v="2"/>
    <x v="0"/>
    <x v="153"/>
    <x v="2"/>
    <x v="146"/>
    <x v="148"/>
    <x v="0"/>
    <x v="0"/>
    <x v="0"/>
    <x v="153"/>
  </r>
  <r>
    <x v="0"/>
    <x v="48"/>
    <x v="10"/>
    <x v="2"/>
    <x v="0"/>
    <x v="154"/>
    <x v="90"/>
    <x v="147"/>
    <x v="149"/>
    <x v="0"/>
    <x v="0"/>
    <x v="0"/>
    <x v="154"/>
  </r>
  <r>
    <x v="0"/>
    <x v="49"/>
    <x v="0"/>
    <x v="2"/>
    <x v="0"/>
    <x v="155"/>
    <x v="2"/>
    <x v="148"/>
    <x v="150"/>
    <x v="0"/>
    <x v="0"/>
    <x v="0"/>
    <x v="155"/>
  </r>
  <r>
    <x v="0"/>
    <x v="49"/>
    <x v="1"/>
    <x v="2"/>
    <x v="0"/>
    <x v="156"/>
    <x v="2"/>
    <x v="149"/>
    <x v="151"/>
    <x v="0"/>
    <x v="0"/>
    <x v="0"/>
    <x v="156"/>
  </r>
  <r>
    <x v="0"/>
    <x v="49"/>
    <x v="10"/>
    <x v="2"/>
    <x v="18"/>
    <x v="157"/>
    <x v="91"/>
    <x v="150"/>
    <x v="152"/>
    <x v="0"/>
    <x v="0"/>
    <x v="0"/>
    <x v="157"/>
  </r>
  <r>
    <x v="0"/>
    <x v="50"/>
    <x v="0"/>
    <x v="0"/>
    <x v="0"/>
    <x v="158"/>
    <x v="92"/>
    <x v="151"/>
    <x v="153"/>
    <x v="0"/>
    <x v="0"/>
    <x v="0"/>
    <x v="158"/>
  </r>
  <r>
    <x v="0"/>
    <x v="50"/>
    <x v="1"/>
    <x v="0"/>
    <x v="0"/>
    <x v="159"/>
    <x v="93"/>
    <x v="152"/>
    <x v="154"/>
    <x v="0"/>
    <x v="0"/>
    <x v="0"/>
    <x v="159"/>
  </r>
  <r>
    <x v="0"/>
    <x v="51"/>
    <x v="15"/>
    <x v="0"/>
    <x v="0"/>
    <x v="160"/>
    <x v="2"/>
    <x v="153"/>
    <x v="155"/>
    <x v="0"/>
    <x v="0"/>
    <x v="0"/>
    <x v="160"/>
  </r>
  <r>
    <x v="0"/>
    <x v="51"/>
    <x v="0"/>
    <x v="0"/>
    <x v="0"/>
    <x v="161"/>
    <x v="2"/>
    <x v="154"/>
    <x v="156"/>
    <x v="0"/>
    <x v="0"/>
    <x v="0"/>
    <x v="161"/>
  </r>
  <r>
    <x v="0"/>
    <x v="51"/>
    <x v="9"/>
    <x v="0"/>
    <x v="0"/>
    <x v="162"/>
    <x v="2"/>
    <x v="155"/>
    <x v="157"/>
    <x v="0"/>
    <x v="0"/>
    <x v="0"/>
    <x v="162"/>
  </r>
  <r>
    <x v="0"/>
    <x v="51"/>
    <x v="1"/>
    <x v="0"/>
    <x v="0"/>
    <x v="163"/>
    <x v="94"/>
    <x v="156"/>
    <x v="158"/>
    <x v="0"/>
    <x v="0"/>
    <x v="0"/>
    <x v="163"/>
  </r>
  <r>
    <x v="0"/>
    <x v="51"/>
    <x v="10"/>
    <x v="0"/>
    <x v="0"/>
    <x v="164"/>
    <x v="2"/>
    <x v="157"/>
    <x v="159"/>
    <x v="0"/>
    <x v="0"/>
    <x v="0"/>
    <x v="164"/>
  </r>
  <r>
    <x v="0"/>
    <x v="52"/>
    <x v="6"/>
    <x v="2"/>
    <x v="0"/>
    <x v="9"/>
    <x v="2"/>
    <x v="22"/>
    <x v="22"/>
    <x v="10"/>
    <x v="0"/>
    <x v="11"/>
    <x v="165"/>
  </r>
  <r>
    <x v="0"/>
    <x v="53"/>
    <x v="7"/>
    <x v="1"/>
    <x v="0"/>
    <x v="9"/>
    <x v="2"/>
    <x v="22"/>
    <x v="22"/>
    <x v="11"/>
    <x v="0"/>
    <x v="12"/>
    <x v="166"/>
  </r>
  <r>
    <x v="0"/>
    <x v="53"/>
    <x v="5"/>
    <x v="1"/>
    <x v="0"/>
    <x v="9"/>
    <x v="2"/>
    <x v="22"/>
    <x v="22"/>
    <x v="12"/>
    <x v="0"/>
    <x v="13"/>
    <x v="167"/>
  </r>
  <r>
    <x v="0"/>
    <x v="54"/>
    <x v="20"/>
    <x v="4"/>
    <x v="0"/>
    <x v="165"/>
    <x v="95"/>
    <x v="158"/>
    <x v="160"/>
    <x v="0"/>
    <x v="0"/>
    <x v="0"/>
    <x v="168"/>
  </r>
  <r>
    <x v="0"/>
    <x v="55"/>
    <x v="20"/>
    <x v="4"/>
    <x v="0"/>
    <x v="166"/>
    <x v="96"/>
    <x v="159"/>
    <x v="161"/>
    <x v="0"/>
    <x v="0"/>
    <x v="0"/>
    <x v="169"/>
  </r>
  <r>
    <x v="0"/>
    <x v="56"/>
    <x v="20"/>
    <x v="4"/>
    <x v="0"/>
    <x v="167"/>
    <x v="97"/>
    <x v="160"/>
    <x v="162"/>
    <x v="0"/>
    <x v="0"/>
    <x v="0"/>
    <x v="170"/>
  </r>
  <r>
    <x v="0"/>
    <x v="57"/>
    <x v="6"/>
    <x v="4"/>
    <x v="0"/>
    <x v="9"/>
    <x v="2"/>
    <x v="22"/>
    <x v="22"/>
    <x v="13"/>
    <x v="0"/>
    <x v="14"/>
    <x v="171"/>
  </r>
  <r>
    <x v="0"/>
    <x v="58"/>
    <x v="20"/>
    <x v="2"/>
    <x v="0"/>
    <x v="168"/>
    <x v="98"/>
    <x v="161"/>
    <x v="163"/>
    <x v="0"/>
    <x v="0"/>
    <x v="0"/>
    <x v="172"/>
  </r>
  <r>
    <x v="0"/>
    <x v="58"/>
    <x v="8"/>
    <x v="2"/>
    <x v="0"/>
    <x v="169"/>
    <x v="99"/>
    <x v="22"/>
    <x v="22"/>
    <x v="0"/>
    <x v="0"/>
    <x v="0"/>
    <x v="22"/>
  </r>
  <r>
    <x v="0"/>
    <x v="58"/>
    <x v="11"/>
    <x v="2"/>
    <x v="0"/>
    <x v="170"/>
    <x v="2"/>
    <x v="162"/>
    <x v="164"/>
    <x v="0"/>
    <x v="0"/>
    <x v="0"/>
    <x v="173"/>
  </r>
  <r>
    <x v="0"/>
    <x v="58"/>
    <x v="16"/>
    <x v="2"/>
    <x v="0"/>
    <x v="9"/>
    <x v="2"/>
    <x v="22"/>
    <x v="22"/>
    <x v="14"/>
    <x v="0"/>
    <x v="15"/>
    <x v="174"/>
  </r>
  <r>
    <x v="0"/>
    <x v="58"/>
    <x v="0"/>
    <x v="2"/>
    <x v="0"/>
    <x v="171"/>
    <x v="2"/>
    <x v="163"/>
    <x v="165"/>
    <x v="0"/>
    <x v="0"/>
    <x v="0"/>
    <x v="175"/>
  </r>
  <r>
    <x v="0"/>
    <x v="58"/>
    <x v="9"/>
    <x v="2"/>
    <x v="19"/>
    <x v="172"/>
    <x v="100"/>
    <x v="164"/>
    <x v="166"/>
    <x v="0"/>
    <x v="0"/>
    <x v="0"/>
    <x v="176"/>
  </r>
  <r>
    <x v="0"/>
    <x v="58"/>
    <x v="19"/>
    <x v="2"/>
    <x v="0"/>
    <x v="9"/>
    <x v="2"/>
    <x v="22"/>
    <x v="22"/>
    <x v="15"/>
    <x v="0"/>
    <x v="16"/>
    <x v="177"/>
  </r>
  <r>
    <x v="0"/>
    <x v="58"/>
    <x v="1"/>
    <x v="2"/>
    <x v="20"/>
    <x v="173"/>
    <x v="101"/>
    <x v="165"/>
    <x v="167"/>
    <x v="0"/>
    <x v="0"/>
    <x v="0"/>
    <x v="178"/>
  </r>
  <r>
    <x v="0"/>
    <x v="58"/>
    <x v="10"/>
    <x v="2"/>
    <x v="0"/>
    <x v="174"/>
    <x v="2"/>
    <x v="166"/>
    <x v="168"/>
    <x v="0"/>
    <x v="0"/>
    <x v="0"/>
    <x v="179"/>
  </r>
  <r>
    <x v="0"/>
    <x v="59"/>
    <x v="0"/>
    <x v="0"/>
    <x v="0"/>
    <x v="175"/>
    <x v="102"/>
    <x v="167"/>
    <x v="169"/>
    <x v="0"/>
    <x v="0"/>
    <x v="0"/>
    <x v="180"/>
  </r>
  <r>
    <x v="0"/>
    <x v="59"/>
    <x v="1"/>
    <x v="0"/>
    <x v="0"/>
    <x v="176"/>
    <x v="103"/>
    <x v="168"/>
    <x v="170"/>
    <x v="0"/>
    <x v="0"/>
    <x v="0"/>
    <x v="181"/>
  </r>
  <r>
    <x v="0"/>
    <x v="59"/>
    <x v="0"/>
    <x v="2"/>
    <x v="0"/>
    <x v="177"/>
    <x v="104"/>
    <x v="169"/>
    <x v="171"/>
    <x v="0"/>
    <x v="0"/>
    <x v="0"/>
    <x v="182"/>
  </r>
  <r>
    <x v="0"/>
    <x v="59"/>
    <x v="1"/>
    <x v="2"/>
    <x v="0"/>
    <x v="178"/>
    <x v="105"/>
    <x v="170"/>
    <x v="172"/>
    <x v="0"/>
    <x v="0"/>
    <x v="0"/>
    <x v="183"/>
  </r>
  <r>
    <x v="0"/>
    <x v="60"/>
    <x v="19"/>
    <x v="2"/>
    <x v="0"/>
    <x v="9"/>
    <x v="2"/>
    <x v="22"/>
    <x v="22"/>
    <x v="0"/>
    <x v="4"/>
    <x v="17"/>
    <x v="184"/>
  </r>
  <r>
    <x v="0"/>
    <x v="61"/>
    <x v="6"/>
    <x v="4"/>
    <x v="0"/>
    <x v="9"/>
    <x v="2"/>
    <x v="22"/>
    <x v="22"/>
    <x v="16"/>
    <x v="0"/>
    <x v="18"/>
    <x v="185"/>
  </r>
  <r>
    <x v="0"/>
    <x v="62"/>
    <x v="15"/>
    <x v="2"/>
    <x v="0"/>
    <x v="179"/>
    <x v="106"/>
    <x v="171"/>
    <x v="173"/>
    <x v="0"/>
    <x v="0"/>
    <x v="0"/>
    <x v="186"/>
  </r>
  <r>
    <x v="0"/>
    <x v="62"/>
    <x v="0"/>
    <x v="2"/>
    <x v="0"/>
    <x v="180"/>
    <x v="2"/>
    <x v="172"/>
    <x v="174"/>
    <x v="0"/>
    <x v="0"/>
    <x v="0"/>
    <x v="187"/>
  </r>
  <r>
    <x v="0"/>
    <x v="63"/>
    <x v="0"/>
    <x v="5"/>
    <x v="0"/>
    <x v="181"/>
    <x v="107"/>
    <x v="173"/>
    <x v="175"/>
    <x v="0"/>
    <x v="0"/>
    <x v="0"/>
    <x v="188"/>
  </r>
  <r>
    <x v="0"/>
    <x v="63"/>
    <x v="1"/>
    <x v="5"/>
    <x v="0"/>
    <x v="182"/>
    <x v="108"/>
    <x v="174"/>
    <x v="176"/>
    <x v="0"/>
    <x v="0"/>
    <x v="0"/>
    <x v="189"/>
  </r>
  <r>
    <x v="0"/>
    <x v="64"/>
    <x v="0"/>
    <x v="0"/>
    <x v="0"/>
    <x v="183"/>
    <x v="2"/>
    <x v="175"/>
    <x v="177"/>
    <x v="0"/>
    <x v="0"/>
    <x v="0"/>
    <x v="190"/>
  </r>
  <r>
    <x v="0"/>
    <x v="64"/>
    <x v="4"/>
    <x v="0"/>
    <x v="0"/>
    <x v="184"/>
    <x v="109"/>
    <x v="176"/>
    <x v="178"/>
    <x v="0"/>
    <x v="0"/>
    <x v="0"/>
    <x v="191"/>
  </r>
  <r>
    <x v="0"/>
    <x v="64"/>
    <x v="1"/>
    <x v="0"/>
    <x v="0"/>
    <x v="185"/>
    <x v="2"/>
    <x v="177"/>
    <x v="179"/>
    <x v="0"/>
    <x v="0"/>
    <x v="0"/>
    <x v="192"/>
  </r>
  <r>
    <x v="0"/>
    <x v="65"/>
    <x v="2"/>
    <x v="1"/>
    <x v="0"/>
    <x v="186"/>
    <x v="110"/>
    <x v="178"/>
    <x v="180"/>
    <x v="0"/>
    <x v="0"/>
    <x v="0"/>
    <x v="193"/>
  </r>
  <r>
    <x v="0"/>
    <x v="66"/>
    <x v="1"/>
    <x v="0"/>
    <x v="0"/>
    <x v="187"/>
    <x v="111"/>
    <x v="22"/>
    <x v="22"/>
    <x v="0"/>
    <x v="0"/>
    <x v="0"/>
    <x v="22"/>
  </r>
  <r>
    <x v="0"/>
    <x v="66"/>
    <x v="20"/>
    <x v="4"/>
    <x v="0"/>
    <x v="188"/>
    <x v="112"/>
    <x v="179"/>
    <x v="181"/>
    <x v="0"/>
    <x v="0"/>
    <x v="0"/>
    <x v="194"/>
  </r>
  <r>
    <x v="0"/>
    <x v="67"/>
    <x v="0"/>
    <x v="2"/>
    <x v="0"/>
    <x v="189"/>
    <x v="2"/>
    <x v="180"/>
    <x v="182"/>
    <x v="0"/>
    <x v="0"/>
    <x v="0"/>
    <x v="195"/>
  </r>
  <r>
    <x v="0"/>
    <x v="67"/>
    <x v="1"/>
    <x v="2"/>
    <x v="21"/>
    <x v="190"/>
    <x v="113"/>
    <x v="181"/>
    <x v="183"/>
    <x v="0"/>
    <x v="0"/>
    <x v="0"/>
    <x v="196"/>
  </r>
  <r>
    <x v="0"/>
    <x v="67"/>
    <x v="10"/>
    <x v="2"/>
    <x v="0"/>
    <x v="191"/>
    <x v="114"/>
    <x v="182"/>
    <x v="184"/>
    <x v="0"/>
    <x v="0"/>
    <x v="0"/>
    <x v="197"/>
  </r>
  <r>
    <x v="0"/>
    <x v="68"/>
    <x v="0"/>
    <x v="0"/>
    <x v="0"/>
    <x v="192"/>
    <x v="115"/>
    <x v="183"/>
    <x v="185"/>
    <x v="0"/>
    <x v="0"/>
    <x v="0"/>
    <x v="198"/>
  </r>
  <r>
    <x v="0"/>
    <x v="68"/>
    <x v="1"/>
    <x v="0"/>
    <x v="0"/>
    <x v="193"/>
    <x v="116"/>
    <x v="184"/>
    <x v="186"/>
    <x v="0"/>
    <x v="0"/>
    <x v="0"/>
    <x v="199"/>
  </r>
  <r>
    <x v="0"/>
    <x v="69"/>
    <x v="0"/>
    <x v="0"/>
    <x v="0"/>
    <x v="194"/>
    <x v="117"/>
    <x v="185"/>
    <x v="187"/>
    <x v="0"/>
    <x v="0"/>
    <x v="0"/>
    <x v="200"/>
  </r>
  <r>
    <x v="0"/>
    <x v="69"/>
    <x v="1"/>
    <x v="0"/>
    <x v="0"/>
    <x v="195"/>
    <x v="118"/>
    <x v="186"/>
    <x v="188"/>
    <x v="0"/>
    <x v="0"/>
    <x v="0"/>
    <x v="201"/>
  </r>
  <r>
    <x v="0"/>
    <x v="70"/>
    <x v="0"/>
    <x v="0"/>
    <x v="0"/>
    <x v="196"/>
    <x v="119"/>
    <x v="187"/>
    <x v="189"/>
    <x v="0"/>
    <x v="0"/>
    <x v="0"/>
    <x v="202"/>
  </r>
  <r>
    <x v="0"/>
    <x v="70"/>
    <x v="9"/>
    <x v="0"/>
    <x v="0"/>
    <x v="197"/>
    <x v="120"/>
    <x v="188"/>
    <x v="190"/>
    <x v="0"/>
    <x v="0"/>
    <x v="0"/>
    <x v="203"/>
  </r>
  <r>
    <x v="0"/>
    <x v="70"/>
    <x v="1"/>
    <x v="0"/>
    <x v="0"/>
    <x v="198"/>
    <x v="121"/>
    <x v="189"/>
    <x v="191"/>
    <x v="0"/>
    <x v="0"/>
    <x v="0"/>
    <x v="204"/>
  </r>
  <r>
    <x v="0"/>
    <x v="70"/>
    <x v="0"/>
    <x v="2"/>
    <x v="0"/>
    <x v="199"/>
    <x v="122"/>
    <x v="190"/>
    <x v="192"/>
    <x v="0"/>
    <x v="0"/>
    <x v="0"/>
    <x v="205"/>
  </r>
  <r>
    <x v="0"/>
    <x v="70"/>
    <x v="1"/>
    <x v="2"/>
    <x v="0"/>
    <x v="200"/>
    <x v="123"/>
    <x v="22"/>
    <x v="22"/>
    <x v="0"/>
    <x v="0"/>
    <x v="0"/>
    <x v="22"/>
  </r>
  <r>
    <x v="0"/>
    <x v="71"/>
    <x v="1"/>
    <x v="2"/>
    <x v="0"/>
    <x v="201"/>
    <x v="124"/>
    <x v="191"/>
    <x v="193"/>
    <x v="0"/>
    <x v="0"/>
    <x v="0"/>
    <x v="206"/>
  </r>
  <r>
    <x v="0"/>
    <x v="71"/>
    <x v="10"/>
    <x v="2"/>
    <x v="0"/>
    <x v="202"/>
    <x v="125"/>
    <x v="192"/>
    <x v="194"/>
    <x v="0"/>
    <x v="0"/>
    <x v="0"/>
    <x v="207"/>
  </r>
  <r>
    <x v="0"/>
    <x v="72"/>
    <x v="0"/>
    <x v="0"/>
    <x v="0"/>
    <x v="203"/>
    <x v="126"/>
    <x v="193"/>
    <x v="195"/>
    <x v="0"/>
    <x v="0"/>
    <x v="0"/>
    <x v="208"/>
  </r>
  <r>
    <x v="0"/>
    <x v="72"/>
    <x v="9"/>
    <x v="0"/>
    <x v="0"/>
    <x v="204"/>
    <x v="2"/>
    <x v="194"/>
    <x v="196"/>
    <x v="0"/>
    <x v="0"/>
    <x v="0"/>
    <x v="209"/>
  </r>
  <r>
    <x v="0"/>
    <x v="72"/>
    <x v="1"/>
    <x v="0"/>
    <x v="0"/>
    <x v="205"/>
    <x v="2"/>
    <x v="195"/>
    <x v="197"/>
    <x v="0"/>
    <x v="0"/>
    <x v="0"/>
    <x v="210"/>
  </r>
  <r>
    <x v="0"/>
    <x v="73"/>
    <x v="0"/>
    <x v="0"/>
    <x v="0"/>
    <x v="206"/>
    <x v="127"/>
    <x v="196"/>
    <x v="198"/>
    <x v="0"/>
    <x v="0"/>
    <x v="0"/>
    <x v="211"/>
  </r>
  <r>
    <x v="0"/>
    <x v="73"/>
    <x v="9"/>
    <x v="0"/>
    <x v="0"/>
    <x v="207"/>
    <x v="128"/>
    <x v="197"/>
    <x v="199"/>
    <x v="0"/>
    <x v="0"/>
    <x v="0"/>
    <x v="212"/>
  </r>
  <r>
    <x v="0"/>
    <x v="73"/>
    <x v="1"/>
    <x v="0"/>
    <x v="0"/>
    <x v="208"/>
    <x v="129"/>
    <x v="198"/>
    <x v="200"/>
    <x v="0"/>
    <x v="0"/>
    <x v="0"/>
    <x v="213"/>
  </r>
  <r>
    <x v="0"/>
    <x v="74"/>
    <x v="0"/>
    <x v="0"/>
    <x v="0"/>
    <x v="209"/>
    <x v="2"/>
    <x v="199"/>
    <x v="201"/>
    <x v="0"/>
    <x v="0"/>
    <x v="0"/>
    <x v="214"/>
  </r>
  <r>
    <x v="0"/>
    <x v="74"/>
    <x v="1"/>
    <x v="0"/>
    <x v="0"/>
    <x v="210"/>
    <x v="130"/>
    <x v="200"/>
    <x v="202"/>
    <x v="0"/>
    <x v="0"/>
    <x v="0"/>
    <x v="215"/>
  </r>
  <r>
    <x v="0"/>
    <x v="74"/>
    <x v="10"/>
    <x v="0"/>
    <x v="0"/>
    <x v="211"/>
    <x v="131"/>
    <x v="201"/>
    <x v="203"/>
    <x v="0"/>
    <x v="0"/>
    <x v="0"/>
    <x v="216"/>
  </r>
  <r>
    <x v="0"/>
    <x v="74"/>
    <x v="11"/>
    <x v="2"/>
    <x v="0"/>
    <x v="212"/>
    <x v="2"/>
    <x v="202"/>
    <x v="204"/>
    <x v="0"/>
    <x v="0"/>
    <x v="0"/>
    <x v="217"/>
  </r>
  <r>
    <x v="0"/>
    <x v="74"/>
    <x v="0"/>
    <x v="2"/>
    <x v="0"/>
    <x v="213"/>
    <x v="2"/>
    <x v="203"/>
    <x v="205"/>
    <x v="0"/>
    <x v="0"/>
    <x v="0"/>
    <x v="218"/>
  </r>
  <r>
    <x v="0"/>
    <x v="74"/>
    <x v="9"/>
    <x v="2"/>
    <x v="0"/>
    <x v="214"/>
    <x v="2"/>
    <x v="204"/>
    <x v="206"/>
    <x v="0"/>
    <x v="0"/>
    <x v="0"/>
    <x v="219"/>
  </r>
  <r>
    <x v="0"/>
    <x v="74"/>
    <x v="1"/>
    <x v="2"/>
    <x v="0"/>
    <x v="215"/>
    <x v="132"/>
    <x v="205"/>
    <x v="207"/>
    <x v="0"/>
    <x v="0"/>
    <x v="0"/>
    <x v="220"/>
  </r>
  <r>
    <x v="0"/>
    <x v="74"/>
    <x v="10"/>
    <x v="2"/>
    <x v="0"/>
    <x v="216"/>
    <x v="133"/>
    <x v="206"/>
    <x v="208"/>
    <x v="0"/>
    <x v="0"/>
    <x v="0"/>
    <x v="221"/>
  </r>
  <r>
    <x v="0"/>
    <x v="74"/>
    <x v="1"/>
    <x v="5"/>
    <x v="0"/>
    <x v="217"/>
    <x v="134"/>
    <x v="207"/>
    <x v="209"/>
    <x v="0"/>
    <x v="0"/>
    <x v="0"/>
    <x v="222"/>
  </r>
  <r>
    <x v="0"/>
    <x v="75"/>
    <x v="1"/>
    <x v="0"/>
    <x v="0"/>
    <x v="218"/>
    <x v="135"/>
    <x v="208"/>
    <x v="210"/>
    <x v="0"/>
    <x v="0"/>
    <x v="0"/>
    <x v="223"/>
  </r>
  <r>
    <x v="0"/>
    <x v="76"/>
    <x v="6"/>
    <x v="0"/>
    <x v="0"/>
    <x v="219"/>
    <x v="136"/>
    <x v="209"/>
    <x v="211"/>
    <x v="0"/>
    <x v="0"/>
    <x v="0"/>
    <x v="224"/>
  </r>
  <r>
    <x v="0"/>
    <x v="76"/>
    <x v="20"/>
    <x v="4"/>
    <x v="0"/>
    <x v="220"/>
    <x v="137"/>
    <x v="210"/>
    <x v="212"/>
    <x v="0"/>
    <x v="0"/>
    <x v="0"/>
    <x v="225"/>
  </r>
  <r>
    <x v="0"/>
    <x v="76"/>
    <x v="6"/>
    <x v="4"/>
    <x v="0"/>
    <x v="9"/>
    <x v="2"/>
    <x v="22"/>
    <x v="22"/>
    <x v="17"/>
    <x v="0"/>
    <x v="19"/>
    <x v="226"/>
  </r>
  <r>
    <x v="0"/>
    <x v="77"/>
    <x v="0"/>
    <x v="0"/>
    <x v="0"/>
    <x v="221"/>
    <x v="138"/>
    <x v="211"/>
    <x v="213"/>
    <x v="0"/>
    <x v="0"/>
    <x v="0"/>
    <x v="227"/>
  </r>
  <r>
    <x v="0"/>
    <x v="77"/>
    <x v="1"/>
    <x v="0"/>
    <x v="0"/>
    <x v="222"/>
    <x v="139"/>
    <x v="212"/>
    <x v="214"/>
    <x v="0"/>
    <x v="0"/>
    <x v="0"/>
    <x v="228"/>
  </r>
  <r>
    <x v="0"/>
    <x v="78"/>
    <x v="21"/>
    <x v="2"/>
    <x v="0"/>
    <x v="223"/>
    <x v="140"/>
    <x v="213"/>
    <x v="215"/>
    <x v="0"/>
    <x v="0"/>
    <x v="0"/>
    <x v="229"/>
  </r>
  <r>
    <x v="0"/>
    <x v="79"/>
    <x v="11"/>
    <x v="0"/>
    <x v="0"/>
    <x v="224"/>
    <x v="2"/>
    <x v="214"/>
    <x v="216"/>
    <x v="0"/>
    <x v="0"/>
    <x v="0"/>
    <x v="230"/>
  </r>
  <r>
    <x v="0"/>
    <x v="79"/>
    <x v="0"/>
    <x v="0"/>
    <x v="0"/>
    <x v="225"/>
    <x v="2"/>
    <x v="215"/>
    <x v="217"/>
    <x v="0"/>
    <x v="0"/>
    <x v="0"/>
    <x v="231"/>
  </r>
  <r>
    <x v="0"/>
    <x v="79"/>
    <x v="9"/>
    <x v="0"/>
    <x v="0"/>
    <x v="226"/>
    <x v="2"/>
    <x v="216"/>
    <x v="218"/>
    <x v="0"/>
    <x v="0"/>
    <x v="0"/>
    <x v="232"/>
  </r>
  <r>
    <x v="0"/>
    <x v="79"/>
    <x v="1"/>
    <x v="0"/>
    <x v="0"/>
    <x v="227"/>
    <x v="141"/>
    <x v="217"/>
    <x v="219"/>
    <x v="0"/>
    <x v="0"/>
    <x v="0"/>
    <x v="233"/>
  </r>
  <r>
    <x v="0"/>
    <x v="79"/>
    <x v="10"/>
    <x v="0"/>
    <x v="0"/>
    <x v="228"/>
    <x v="142"/>
    <x v="218"/>
    <x v="220"/>
    <x v="0"/>
    <x v="0"/>
    <x v="0"/>
    <x v="234"/>
  </r>
  <r>
    <x v="0"/>
    <x v="80"/>
    <x v="0"/>
    <x v="0"/>
    <x v="0"/>
    <x v="229"/>
    <x v="143"/>
    <x v="219"/>
    <x v="221"/>
    <x v="0"/>
    <x v="0"/>
    <x v="0"/>
    <x v="235"/>
  </r>
  <r>
    <x v="0"/>
    <x v="80"/>
    <x v="9"/>
    <x v="0"/>
    <x v="0"/>
    <x v="230"/>
    <x v="144"/>
    <x v="220"/>
    <x v="222"/>
    <x v="0"/>
    <x v="0"/>
    <x v="0"/>
    <x v="236"/>
  </r>
  <r>
    <x v="0"/>
    <x v="81"/>
    <x v="1"/>
    <x v="0"/>
    <x v="0"/>
    <x v="231"/>
    <x v="145"/>
    <x v="221"/>
    <x v="223"/>
    <x v="0"/>
    <x v="0"/>
    <x v="0"/>
    <x v="237"/>
  </r>
  <r>
    <x v="0"/>
    <x v="82"/>
    <x v="20"/>
    <x v="4"/>
    <x v="0"/>
    <x v="165"/>
    <x v="95"/>
    <x v="158"/>
    <x v="160"/>
    <x v="0"/>
    <x v="0"/>
    <x v="0"/>
    <x v="168"/>
  </r>
  <r>
    <x v="0"/>
    <x v="83"/>
    <x v="0"/>
    <x v="2"/>
    <x v="0"/>
    <x v="232"/>
    <x v="146"/>
    <x v="222"/>
    <x v="224"/>
    <x v="0"/>
    <x v="0"/>
    <x v="0"/>
    <x v="238"/>
  </r>
  <r>
    <x v="0"/>
    <x v="83"/>
    <x v="1"/>
    <x v="2"/>
    <x v="0"/>
    <x v="233"/>
    <x v="147"/>
    <x v="223"/>
    <x v="225"/>
    <x v="0"/>
    <x v="0"/>
    <x v="0"/>
    <x v="239"/>
  </r>
  <r>
    <x v="0"/>
    <x v="83"/>
    <x v="10"/>
    <x v="2"/>
    <x v="0"/>
    <x v="234"/>
    <x v="148"/>
    <x v="224"/>
    <x v="226"/>
    <x v="0"/>
    <x v="0"/>
    <x v="0"/>
    <x v="240"/>
  </r>
  <r>
    <x v="0"/>
    <x v="84"/>
    <x v="10"/>
    <x v="2"/>
    <x v="22"/>
    <x v="9"/>
    <x v="149"/>
    <x v="225"/>
    <x v="227"/>
    <x v="0"/>
    <x v="0"/>
    <x v="0"/>
    <x v="241"/>
  </r>
  <r>
    <x v="0"/>
    <x v="85"/>
    <x v="0"/>
    <x v="0"/>
    <x v="0"/>
    <x v="235"/>
    <x v="150"/>
    <x v="226"/>
    <x v="228"/>
    <x v="0"/>
    <x v="0"/>
    <x v="0"/>
    <x v="242"/>
  </r>
  <r>
    <x v="0"/>
    <x v="85"/>
    <x v="1"/>
    <x v="0"/>
    <x v="0"/>
    <x v="236"/>
    <x v="151"/>
    <x v="227"/>
    <x v="229"/>
    <x v="0"/>
    <x v="0"/>
    <x v="0"/>
    <x v="243"/>
  </r>
  <r>
    <x v="0"/>
    <x v="86"/>
    <x v="1"/>
    <x v="1"/>
    <x v="0"/>
    <x v="237"/>
    <x v="152"/>
    <x v="228"/>
    <x v="230"/>
    <x v="0"/>
    <x v="0"/>
    <x v="0"/>
    <x v="244"/>
  </r>
  <r>
    <x v="0"/>
    <x v="87"/>
    <x v="1"/>
    <x v="0"/>
    <x v="0"/>
    <x v="238"/>
    <x v="153"/>
    <x v="229"/>
    <x v="231"/>
    <x v="0"/>
    <x v="0"/>
    <x v="0"/>
    <x v="245"/>
  </r>
  <r>
    <x v="0"/>
    <x v="87"/>
    <x v="10"/>
    <x v="0"/>
    <x v="0"/>
    <x v="239"/>
    <x v="154"/>
    <x v="230"/>
    <x v="232"/>
    <x v="0"/>
    <x v="0"/>
    <x v="0"/>
    <x v="246"/>
  </r>
  <r>
    <x v="0"/>
    <x v="88"/>
    <x v="6"/>
    <x v="4"/>
    <x v="0"/>
    <x v="9"/>
    <x v="2"/>
    <x v="22"/>
    <x v="22"/>
    <x v="18"/>
    <x v="0"/>
    <x v="20"/>
    <x v="247"/>
  </r>
  <r>
    <x v="0"/>
    <x v="89"/>
    <x v="6"/>
    <x v="4"/>
    <x v="0"/>
    <x v="240"/>
    <x v="155"/>
    <x v="231"/>
    <x v="233"/>
    <x v="0"/>
    <x v="0"/>
    <x v="0"/>
    <x v="248"/>
  </r>
  <r>
    <x v="0"/>
    <x v="90"/>
    <x v="1"/>
    <x v="0"/>
    <x v="0"/>
    <x v="241"/>
    <x v="156"/>
    <x v="232"/>
    <x v="234"/>
    <x v="0"/>
    <x v="0"/>
    <x v="0"/>
    <x v="249"/>
  </r>
  <r>
    <x v="0"/>
    <x v="90"/>
    <x v="8"/>
    <x v="2"/>
    <x v="0"/>
    <x v="242"/>
    <x v="46"/>
    <x v="233"/>
    <x v="235"/>
    <x v="0"/>
    <x v="0"/>
    <x v="0"/>
    <x v="250"/>
  </r>
  <r>
    <x v="0"/>
    <x v="90"/>
    <x v="0"/>
    <x v="2"/>
    <x v="0"/>
    <x v="243"/>
    <x v="157"/>
    <x v="234"/>
    <x v="236"/>
    <x v="0"/>
    <x v="0"/>
    <x v="0"/>
    <x v="251"/>
  </r>
  <r>
    <x v="0"/>
    <x v="90"/>
    <x v="10"/>
    <x v="2"/>
    <x v="0"/>
    <x v="244"/>
    <x v="158"/>
    <x v="235"/>
    <x v="237"/>
    <x v="0"/>
    <x v="0"/>
    <x v="0"/>
    <x v="252"/>
  </r>
  <r>
    <x v="0"/>
    <x v="91"/>
    <x v="22"/>
    <x v="1"/>
    <x v="0"/>
    <x v="245"/>
    <x v="159"/>
    <x v="236"/>
    <x v="238"/>
    <x v="0"/>
    <x v="0"/>
    <x v="0"/>
    <x v="253"/>
  </r>
  <r>
    <x v="0"/>
    <x v="91"/>
    <x v="5"/>
    <x v="1"/>
    <x v="0"/>
    <x v="246"/>
    <x v="160"/>
    <x v="22"/>
    <x v="22"/>
    <x v="0"/>
    <x v="0"/>
    <x v="0"/>
    <x v="22"/>
  </r>
  <r>
    <x v="0"/>
    <x v="92"/>
    <x v="11"/>
    <x v="0"/>
    <x v="0"/>
    <x v="247"/>
    <x v="2"/>
    <x v="237"/>
    <x v="239"/>
    <x v="0"/>
    <x v="0"/>
    <x v="0"/>
    <x v="254"/>
  </r>
  <r>
    <x v="0"/>
    <x v="92"/>
    <x v="0"/>
    <x v="0"/>
    <x v="0"/>
    <x v="248"/>
    <x v="2"/>
    <x v="238"/>
    <x v="240"/>
    <x v="0"/>
    <x v="0"/>
    <x v="0"/>
    <x v="255"/>
  </r>
  <r>
    <x v="0"/>
    <x v="92"/>
    <x v="9"/>
    <x v="0"/>
    <x v="0"/>
    <x v="249"/>
    <x v="2"/>
    <x v="239"/>
    <x v="241"/>
    <x v="0"/>
    <x v="0"/>
    <x v="0"/>
    <x v="256"/>
  </r>
  <r>
    <x v="0"/>
    <x v="92"/>
    <x v="14"/>
    <x v="0"/>
    <x v="23"/>
    <x v="250"/>
    <x v="161"/>
    <x v="240"/>
    <x v="242"/>
    <x v="0"/>
    <x v="0"/>
    <x v="0"/>
    <x v="257"/>
  </r>
  <r>
    <x v="0"/>
    <x v="92"/>
    <x v="4"/>
    <x v="0"/>
    <x v="0"/>
    <x v="251"/>
    <x v="162"/>
    <x v="241"/>
    <x v="243"/>
    <x v="0"/>
    <x v="0"/>
    <x v="0"/>
    <x v="258"/>
  </r>
  <r>
    <x v="0"/>
    <x v="92"/>
    <x v="1"/>
    <x v="0"/>
    <x v="0"/>
    <x v="252"/>
    <x v="2"/>
    <x v="242"/>
    <x v="244"/>
    <x v="0"/>
    <x v="0"/>
    <x v="0"/>
    <x v="259"/>
  </r>
  <r>
    <x v="0"/>
    <x v="93"/>
    <x v="0"/>
    <x v="0"/>
    <x v="0"/>
    <x v="253"/>
    <x v="2"/>
    <x v="243"/>
    <x v="245"/>
    <x v="0"/>
    <x v="0"/>
    <x v="0"/>
    <x v="260"/>
  </r>
  <r>
    <x v="0"/>
    <x v="93"/>
    <x v="9"/>
    <x v="0"/>
    <x v="0"/>
    <x v="254"/>
    <x v="2"/>
    <x v="244"/>
    <x v="246"/>
    <x v="0"/>
    <x v="0"/>
    <x v="0"/>
    <x v="261"/>
  </r>
  <r>
    <x v="0"/>
    <x v="93"/>
    <x v="1"/>
    <x v="0"/>
    <x v="0"/>
    <x v="255"/>
    <x v="163"/>
    <x v="245"/>
    <x v="247"/>
    <x v="0"/>
    <x v="0"/>
    <x v="0"/>
    <x v="262"/>
  </r>
  <r>
    <x v="0"/>
    <x v="94"/>
    <x v="9"/>
    <x v="0"/>
    <x v="0"/>
    <x v="256"/>
    <x v="164"/>
    <x v="246"/>
    <x v="248"/>
    <x v="0"/>
    <x v="0"/>
    <x v="0"/>
    <x v="263"/>
  </r>
  <r>
    <x v="0"/>
    <x v="94"/>
    <x v="0"/>
    <x v="2"/>
    <x v="0"/>
    <x v="257"/>
    <x v="165"/>
    <x v="247"/>
    <x v="249"/>
    <x v="0"/>
    <x v="0"/>
    <x v="0"/>
    <x v="264"/>
  </r>
  <r>
    <x v="0"/>
    <x v="94"/>
    <x v="1"/>
    <x v="2"/>
    <x v="0"/>
    <x v="258"/>
    <x v="166"/>
    <x v="248"/>
    <x v="250"/>
    <x v="0"/>
    <x v="0"/>
    <x v="0"/>
    <x v="265"/>
  </r>
  <r>
    <x v="0"/>
    <x v="95"/>
    <x v="0"/>
    <x v="2"/>
    <x v="0"/>
    <x v="259"/>
    <x v="167"/>
    <x v="249"/>
    <x v="251"/>
    <x v="0"/>
    <x v="0"/>
    <x v="0"/>
    <x v="266"/>
  </r>
  <r>
    <x v="0"/>
    <x v="95"/>
    <x v="1"/>
    <x v="2"/>
    <x v="0"/>
    <x v="260"/>
    <x v="168"/>
    <x v="250"/>
    <x v="252"/>
    <x v="0"/>
    <x v="0"/>
    <x v="0"/>
    <x v="267"/>
  </r>
  <r>
    <x v="0"/>
    <x v="96"/>
    <x v="2"/>
    <x v="1"/>
    <x v="0"/>
    <x v="261"/>
    <x v="169"/>
    <x v="251"/>
    <x v="253"/>
    <x v="0"/>
    <x v="0"/>
    <x v="0"/>
    <x v="268"/>
  </r>
  <r>
    <x v="0"/>
    <x v="96"/>
    <x v="18"/>
    <x v="1"/>
    <x v="0"/>
    <x v="262"/>
    <x v="2"/>
    <x v="252"/>
    <x v="254"/>
    <x v="0"/>
    <x v="0"/>
    <x v="0"/>
    <x v="269"/>
  </r>
  <r>
    <x v="0"/>
    <x v="96"/>
    <x v="0"/>
    <x v="1"/>
    <x v="0"/>
    <x v="263"/>
    <x v="2"/>
    <x v="253"/>
    <x v="255"/>
    <x v="0"/>
    <x v="0"/>
    <x v="0"/>
    <x v="270"/>
  </r>
  <r>
    <x v="0"/>
    <x v="97"/>
    <x v="0"/>
    <x v="2"/>
    <x v="0"/>
    <x v="9"/>
    <x v="2"/>
    <x v="22"/>
    <x v="22"/>
    <x v="0"/>
    <x v="5"/>
    <x v="21"/>
    <x v="271"/>
  </r>
  <r>
    <x v="0"/>
    <x v="98"/>
    <x v="6"/>
    <x v="4"/>
    <x v="0"/>
    <x v="9"/>
    <x v="2"/>
    <x v="22"/>
    <x v="22"/>
    <x v="0"/>
    <x v="6"/>
    <x v="22"/>
    <x v="272"/>
  </r>
  <r>
    <x v="0"/>
    <x v="98"/>
    <x v="6"/>
    <x v="2"/>
    <x v="0"/>
    <x v="9"/>
    <x v="2"/>
    <x v="22"/>
    <x v="22"/>
    <x v="0"/>
    <x v="7"/>
    <x v="23"/>
    <x v="273"/>
  </r>
  <r>
    <x v="0"/>
    <x v="99"/>
    <x v="6"/>
    <x v="4"/>
    <x v="0"/>
    <x v="9"/>
    <x v="2"/>
    <x v="22"/>
    <x v="22"/>
    <x v="0"/>
    <x v="8"/>
    <x v="24"/>
    <x v="274"/>
  </r>
  <r>
    <x v="0"/>
    <x v="100"/>
    <x v="3"/>
    <x v="1"/>
    <x v="24"/>
    <x v="264"/>
    <x v="170"/>
    <x v="22"/>
    <x v="256"/>
    <x v="0"/>
    <x v="0"/>
    <x v="0"/>
    <x v="275"/>
  </r>
  <r>
    <x v="0"/>
    <x v="101"/>
    <x v="10"/>
    <x v="2"/>
    <x v="0"/>
    <x v="265"/>
    <x v="171"/>
    <x v="22"/>
    <x v="22"/>
    <x v="0"/>
    <x v="0"/>
    <x v="0"/>
    <x v="22"/>
  </r>
  <r>
    <x v="0"/>
    <x v="102"/>
    <x v="20"/>
    <x v="4"/>
    <x v="0"/>
    <x v="165"/>
    <x v="95"/>
    <x v="158"/>
    <x v="160"/>
    <x v="0"/>
    <x v="0"/>
    <x v="0"/>
    <x v="168"/>
  </r>
  <r>
    <x v="0"/>
    <x v="103"/>
    <x v="10"/>
    <x v="0"/>
    <x v="25"/>
    <x v="9"/>
    <x v="2"/>
    <x v="22"/>
    <x v="257"/>
    <x v="0"/>
    <x v="0"/>
    <x v="0"/>
    <x v="276"/>
  </r>
  <r>
    <x v="0"/>
    <x v="103"/>
    <x v="12"/>
    <x v="2"/>
    <x v="0"/>
    <x v="266"/>
    <x v="2"/>
    <x v="254"/>
    <x v="258"/>
    <x v="0"/>
    <x v="0"/>
    <x v="0"/>
    <x v="277"/>
  </r>
  <r>
    <x v="0"/>
    <x v="103"/>
    <x v="0"/>
    <x v="2"/>
    <x v="0"/>
    <x v="267"/>
    <x v="2"/>
    <x v="255"/>
    <x v="259"/>
    <x v="0"/>
    <x v="0"/>
    <x v="0"/>
    <x v="278"/>
  </r>
  <r>
    <x v="0"/>
    <x v="103"/>
    <x v="1"/>
    <x v="2"/>
    <x v="0"/>
    <x v="268"/>
    <x v="2"/>
    <x v="256"/>
    <x v="260"/>
    <x v="0"/>
    <x v="0"/>
    <x v="0"/>
    <x v="279"/>
  </r>
  <r>
    <x v="0"/>
    <x v="103"/>
    <x v="10"/>
    <x v="2"/>
    <x v="26"/>
    <x v="269"/>
    <x v="172"/>
    <x v="257"/>
    <x v="261"/>
    <x v="0"/>
    <x v="0"/>
    <x v="0"/>
    <x v="280"/>
  </r>
  <r>
    <x v="0"/>
    <x v="104"/>
    <x v="15"/>
    <x v="0"/>
    <x v="0"/>
    <x v="270"/>
    <x v="2"/>
    <x v="258"/>
    <x v="262"/>
    <x v="0"/>
    <x v="0"/>
    <x v="0"/>
    <x v="281"/>
  </r>
  <r>
    <x v="0"/>
    <x v="104"/>
    <x v="0"/>
    <x v="0"/>
    <x v="0"/>
    <x v="271"/>
    <x v="2"/>
    <x v="259"/>
    <x v="263"/>
    <x v="0"/>
    <x v="0"/>
    <x v="0"/>
    <x v="282"/>
  </r>
  <r>
    <x v="0"/>
    <x v="104"/>
    <x v="9"/>
    <x v="0"/>
    <x v="0"/>
    <x v="272"/>
    <x v="2"/>
    <x v="260"/>
    <x v="264"/>
    <x v="0"/>
    <x v="0"/>
    <x v="0"/>
    <x v="283"/>
  </r>
  <r>
    <x v="0"/>
    <x v="104"/>
    <x v="1"/>
    <x v="0"/>
    <x v="0"/>
    <x v="273"/>
    <x v="173"/>
    <x v="261"/>
    <x v="265"/>
    <x v="0"/>
    <x v="0"/>
    <x v="0"/>
    <x v="284"/>
  </r>
  <r>
    <x v="0"/>
    <x v="105"/>
    <x v="6"/>
    <x v="2"/>
    <x v="0"/>
    <x v="9"/>
    <x v="2"/>
    <x v="22"/>
    <x v="22"/>
    <x v="0"/>
    <x v="9"/>
    <x v="25"/>
    <x v="285"/>
  </r>
  <r>
    <x v="0"/>
    <x v="106"/>
    <x v="1"/>
    <x v="0"/>
    <x v="0"/>
    <x v="274"/>
    <x v="174"/>
    <x v="262"/>
    <x v="266"/>
    <x v="0"/>
    <x v="0"/>
    <x v="0"/>
    <x v="286"/>
  </r>
  <r>
    <x v="0"/>
    <x v="107"/>
    <x v="20"/>
    <x v="4"/>
    <x v="0"/>
    <x v="275"/>
    <x v="175"/>
    <x v="263"/>
    <x v="267"/>
    <x v="0"/>
    <x v="0"/>
    <x v="0"/>
    <x v="287"/>
  </r>
  <r>
    <x v="0"/>
    <x v="108"/>
    <x v="0"/>
    <x v="0"/>
    <x v="0"/>
    <x v="276"/>
    <x v="176"/>
    <x v="264"/>
    <x v="268"/>
    <x v="0"/>
    <x v="0"/>
    <x v="0"/>
    <x v="288"/>
  </r>
  <r>
    <x v="0"/>
    <x v="108"/>
    <x v="1"/>
    <x v="0"/>
    <x v="0"/>
    <x v="277"/>
    <x v="177"/>
    <x v="265"/>
    <x v="269"/>
    <x v="0"/>
    <x v="0"/>
    <x v="0"/>
    <x v="289"/>
  </r>
  <r>
    <x v="0"/>
    <x v="109"/>
    <x v="0"/>
    <x v="0"/>
    <x v="0"/>
    <x v="278"/>
    <x v="178"/>
    <x v="266"/>
    <x v="270"/>
    <x v="0"/>
    <x v="0"/>
    <x v="0"/>
    <x v="290"/>
  </r>
  <r>
    <x v="0"/>
    <x v="109"/>
    <x v="9"/>
    <x v="0"/>
    <x v="0"/>
    <x v="279"/>
    <x v="179"/>
    <x v="267"/>
    <x v="271"/>
    <x v="0"/>
    <x v="0"/>
    <x v="0"/>
    <x v="291"/>
  </r>
  <r>
    <x v="0"/>
    <x v="109"/>
    <x v="1"/>
    <x v="0"/>
    <x v="0"/>
    <x v="280"/>
    <x v="180"/>
    <x v="268"/>
    <x v="272"/>
    <x v="0"/>
    <x v="0"/>
    <x v="0"/>
    <x v="292"/>
  </r>
  <r>
    <x v="0"/>
    <x v="109"/>
    <x v="0"/>
    <x v="2"/>
    <x v="0"/>
    <x v="281"/>
    <x v="181"/>
    <x v="269"/>
    <x v="273"/>
    <x v="0"/>
    <x v="0"/>
    <x v="0"/>
    <x v="293"/>
  </r>
  <r>
    <x v="0"/>
    <x v="109"/>
    <x v="9"/>
    <x v="2"/>
    <x v="0"/>
    <x v="282"/>
    <x v="182"/>
    <x v="270"/>
    <x v="274"/>
    <x v="0"/>
    <x v="0"/>
    <x v="0"/>
    <x v="294"/>
  </r>
  <r>
    <x v="0"/>
    <x v="109"/>
    <x v="1"/>
    <x v="2"/>
    <x v="0"/>
    <x v="283"/>
    <x v="183"/>
    <x v="271"/>
    <x v="275"/>
    <x v="0"/>
    <x v="0"/>
    <x v="0"/>
    <x v="295"/>
  </r>
  <r>
    <x v="0"/>
    <x v="110"/>
    <x v="0"/>
    <x v="0"/>
    <x v="0"/>
    <x v="284"/>
    <x v="184"/>
    <x v="22"/>
    <x v="22"/>
    <x v="0"/>
    <x v="0"/>
    <x v="0"/>
    <x v="22"/>
  </r>
  <r>
    <x v="0"/>
    <x v="110"/>
    <x v="1"/>
    <x v="0"/>
    <x v="0"/>
    <x v="285"/>
    <x v="185"/>
    <x v="272"/>
    <x v="276"/>
    <x v="0"/>
    <x v="0"/>
    <x v="0"/>
    <x v="296"/>
  </r>
  <r>
    <x v="0"/>
    <x v="110"/>
    <x v="8"/>
    <x v="2"/>
    <x v="0"/>
    <x v="286"/>
    <x v="186"/>
    <x v="273"/>
    <x v="277"/>
    <x v="0"/>
    <x v="0"/>
    <x v="0"/>
    <x v="297"/>
  </r>
  <r>
    <x v="0"/>
    <x v="110"/>
    <x v="0"/>
    <x v="2"/>
    <x v="0"/>
    <x v="287"/>
    <x v="187"/>
    <x v="274"/>
    <x v="278"/>
    <x v="0"/>
    <x v="0"/>
    <x v="0"/>
    <x v="298"/>
  </r>
  <r>
    <x v="0"/>
    <x v="110"/>
    <x v="1"/>
    <x v="2"/>
    <x v="0"/>
    <x v="288"/>
    <x v="188"/>
    <x v="275"/>
    <x v="279"/>
    <x v="0"/>
    <x v="0"/>
    <x v="0"/>
    <x v="299"/>
  </r>
  <r>
    <x v="0"/>
    <x v="111"/>
    <x v="9"/>
    <x v="0"/>
    <x v="0"/>
    <x v="289"/>
    <x v="189"/>
    <x v="276"/>
    <x v="280"/>
    <x v="0"/>
    <x v="0"/>
    <x v="0"/>
    <x v="300"/>
  </r>
  <r>
    <x v="0"/>
    <x v="111"/>
    <x v="1"/>
    <x v="0"/>
    <x v="0"/>
    <x v="290"/>
    <x v="190"/>
    <x v="277"/>
    <x v="281"/>
    <x v="0"/>
    <x v="0"/>
    <x v="0"/>
    <x v="301"/>
  </r>
  <r>
    <x v="0"/>
    <x v="112"/>
    <x v="10"/>
    <x v="0"/>
    <x v="0"/>
    <x v="291"/>
    <x v="191"/>
    <x v="22"/>
    <x v="22"/>
    <x v="0"/>
    <x v="0"/>
    <x v="0"/>
    <x v="22"/>
  </r>
  <r>
    <x v="0"/>
    <x v="113"/>
    <x v="6"/>
    <x v="4"/>
    <x v="0"/>
    <x v="9"/>
    <x v="2"/>
    <x v="22"/>
    <x v="22"/>
    <x v="0"/>
    <x v="10"/>
    <x v="26"/>
    <x v="302"/>
  </r>
  <r>
    <x v="0"/>
    <x v="114"/>
    <x v="1"/>
    <x v="0"/>
    <x v="0"/>
    <x v="292"/>
    <x v="192"/>
    <x v="278"/>
    <x v="282"/>
    <x v="0"/>
    <x v="0"/>
    <x v="0"/>
    <x v="303"/>
  </r>
  <r>
    <x v="0"/>
    <x v="115"/>
    <x v="6"/>
    <x v="4"/>
    <x v="0"/>
    <x v="9"/>
    <x v="2"/>
    <x v="22"/>
    <x v="22"/>
    <x v="19"/>
    <x v="0"/>
    <x v="27"/>
    <x v="304"/>
  </r>
  <r>
    <x v="0"/>
    <x v="115"/>
    <x v="0"/>
    <x v="4"/>
    <x v="0"/>
    <x v="9"/>
    <x v="2"/>
    <x v="22"/>
    <x v="22"/>
    <x v="20"/>
    <x v="0"/>
    <x v="28"/>
    <x v="305"/>
  </r>
  <r>
    <x v="0"/>
    <x v="116"/>
    <x v="0"/>
    <x v="0"/>
    <x v="0"/>
    <x v="293"/>
    <x v="193"/>
    <x v="279"/>
    <x v="283"/>
    <x v="0"/>
    <x v="0"/>
    <x v="0"/>
    <x v="306"/>
  </r>
  <r>
    <x v="0"/>
    <x v="116"/>
    <x v="1"/>
    <x v="0"/>
    <x v="0"/>
    <x v="294"/>
    <x v="194"/>
    <x v="280"/>
    <x v="284"/>
    <x v="0"/>
    <x v="0"/>
    <x v="0"/>
    <x v="307"/>
  </r>
  <r>
    <x v="0"/>
    <x v="117"/>
    <x v="1"/>
    <x v="0"/>
    <x v="0"/>
    <x v="295"/>
    <x v="195"/>
    <x v="281"/>
    <x v="285"/>
    <x v="0"/>
    <x v="0"/>
    <x v="0"/>
    <x v="308"/>
  </r>
  <r>
    <x v="0"/>
    <x v="117"/>
    <x v="0"/>
    <x v="2"/>
    <x v="0"/>
    <x v="296"/>
    <x v="196"/>
    <x v="282"/>
    <x v="286"/>
    <x v="0"/>
    <x v="0"/>
    <x v="0"/>
    <x v="309"/>
  </r>
  <r>
    <x v="0"/>
    <x v="117"/>
    <x v="9"/>
    <x v="2"/>
    <x v="0"/>
    <x v="297"/>
    <x v="197"/>
    <x v="283"/>
    <x v="287"/>
    <x v="0"/>
    <x v="0"/>
    <x v="0"/>
    <x v="310"/>
  </r>
  <r>
    <x v="0"/>
    <x v="117"/>
    <x v="1"/>
    <x v="2"/>
    <x v="0"/>
    <x v="298"/>
    <x v="198"/>
    <x v="284"/>
    <x v="288"/>
    <x v="0"/>
    <x v="0"/>
    <x v="0"/>
    <x v="311"/>
  </r>
  <r>
    <x v="0"/>
    <x v="118"/>
    <x v="11"/>
    <x v="0"/>
    <x v="0"/>
    <x v="299"/>
    <x v="199"/>
    <x v="285"/>
    <x v="289"/>
    <x v="0"/>
    <x v="0"/>
    <x v="0"/>
    <x v="312"/>
  </r>
  <r>
    <x v="0"/>
    <x v="118"/>
    <x v="15"/>
    <x v="0"/>
    <x v="0"/>
    <x v="300"/>
    <x v="200"/>
    <x v="22"/>
    <x v="22"/>
    <x v="0"/>
    <x v="0"/>
    <x v="0"/>
    <x v="22"/>
  </r>
  <r>
    <x v="0"/>
    <x v="118"/>
    <x v="0"/>
    <x v="0"/>
    <x v="0"/>
    <x v="301"/>
    <x v="201"/>
    <x v="286"/>
    <x v="290"/>
    <x v="0"/>
    <x v="0"/>
    <x v="0"/>
    <x v="313"/>
  </r>
  <r>
    <x v="0"/>
    <x v="118"/>
    <x v="9"/>
    <x v="0"/>
    <x v="0"/>
    <x v="302"/>
    <x v="202"/>
    <x v="287"/>
    <x v="291"/>
    <x v="0"/>
    <x v="0"/>
    <x v="0"/>
    <x v="314"/>
  </r>
  <r>
    <x v="0"/>
    <x v="118"/>
    <x v="1"/>
    <x v="0"/>
    <x v="0"/>
    <x v="303"/>
    <x v="203"/>
    <x v="288"/>
    <x v="292"/>
    <x v="0"/>
    <x v="0"/>
    <x v="0"/>
    <x v="315"/>
  </r>
  <r>
    <x v="0"/>
    <x v="118"/>
    <x v="11"/>
    <x v="2"/>
    <x v="0"/>
    <x v="304"/>
    <x v="204"/>
    <x v="289"/>
    <x v="293"/>
    <x v="0"/>
    <x v="0"/>
    <x v="0"/>
    <x v="316"/>
  </r>
  <r>
    <x v="0"/>
    <x v="118"/>
    <x v="15"/>
    <x v="2"/>
    <x v="0"/>
    <x v="305"/>
    <x v="205"/>
    <x v="290"/>
    <x v="294"/>
    <x v="0"/>
    <x v="0"/>
    <x v="0"/>
    <x v="317"/>
  </r>
  <r>
    <x v="0"/>
    <x v="118"/>
    <x v="0"/>
    <x v="2"/>
    <x v="0"/>
    <x v="306"/>
    <x v="206"/>
    <x v="291"/>
    <x v="295"/>
    <x v="0"/>
    <x v="0"/>
    <x v="0"/>
    <x v="318"/>
  </r>
  <r>
    <x v="0"/>
    <x v="118"/>
    <x v="1"/>
    <x v="2"/>
    <x v="0"/>
    <x v="307"/>
    <x v="207"/>
    <x v="292"/>
    <x v="296"/>
    <x v="0"/>
    <x v="0"/>
    <x v="0"/>
    <x v="319"/>
  </r>
  <r>
    <x v="0"/>
    <x v="119"/>
    <x v="15"/>
    <x v="0"/>
    <x v="0"/>
    <x v="308"/>
    <x v="208"/>
    <x v="293"/>
    <x v="297"/>
    <x v="0"/>
    <x v="0"/>
    <x v="0"/>
    <x v="320"/>
  </r>
  <r>
    <x v="0"/>
    <x v="119"/>
    <x v="0"/>
    <x v="0"/>
    <x v="0"/>
    <x v="309"/>
    <x v="209"/>
    <x v="294"/>
    <x v="298"/>
    <x v="0"/>
    <x v="0"/>
    <x v="0"/>
    <x v="321"/>
  </r>
  <r>
    <x v="0"/>
    <x v="119"/>
    <x v="9"/>
    <x v="0"/>
    <x v="0"/>
    <x v="310"/>
    <x v="210"/>
    <x v="295"/>
    <x v="299"/>
    <x v="0"/>
    <x v="0"/>
    <x v="0"/>
    <x v="322"/>
  </r>
  <r>
    <x v="0"/>
    <x v="119"/>
    <x v="1"/>
    <x v="0"/>
    <x v="0"/>
    <x v="311"/>
    <x v="211"/>
    <x v="296"/>
    <x v="300"/>
    <x v="0"/>
    <x v="0"/>
    <x v="0"/>
    <x v="323"/>
  </r>
  <r>
    <x v="0"/>
    <x v="119"/>
    <x v="10"/>
    <x v="0"/>
    <x v="0"/>
    <x v="312"/>
    <x v="212"/>
    <x v="297"/>
    <x v="301"/>
    <x v="0"/>
    <x v="0"/>
    <x v="0"/>
    <x v="324"/>
  </r>
  <r>
    <x v="0"/>
    <x v="119"/>
    <x v="11"/>
    <x v="2"/>
    <x v="0"/>
    <x v="313"/>
    <x v="213"/>
    <x v="298"/>
    <x v="302"/>
    <x v="0"/>
    <x v="0"/>
    <x v="0"/>
    <x v="325"/>
  </r>
  <r>
    <x v="0"/>
    <x v="119"/>
    <x v="15"/>
    <x v="2"/>
    <x v="0"/>
    <x v="314"/>
    <x v="214"/>
    <x v="22"/>
    <x v="22"/>
    <x v="0"/>
    <x v="0"/>
    <x v="0"/>
    <x v="22"/>
  </r>
  <r>
    <x v="0"/>
    <x v="119"/>
    <x v="0"/>
    <x v="2"/>
    <x v="0"/>
    <x v="315"/>
    <x v="215"/>
    <x v="299"/>
    <x v="303"/>
    <x v="0"/>
    <x v="0"/>
    <x v="0"/>
    <x v="326"/>
  </r>
  <r>
    <x v="0"/>
    <x v="119"/>
    <x v="9"/>
    <x v="2"/>
    <x v="0"/>
    <x v="316"/>
    <x v="216"/>
    <x v="300"/>
    <x v="304"/>
    <x v="0"/>
    <x v="0"/>
    <x v="0"/>
    <x v="327"/>
  </r>
  <r>
    <x v="0"/>
    <x v="119"/>
    <x v="1"/>
    <x v="2"/>
    <x v="0"/>
    <x v="317"/>
    <x v="217"/>
    <x v="301"/>
    <x v="305"/>
    <x v="0"/>
    <x v="0"/>
    <x v="0"/>
    <x v="328"/>
  </r>
  <r>
    <x v="0"/>
    <x v="120"/>
    <x v="15"/>
    <x v="0"/>
    <x v="0"/>
    <x v="318"/>
    <x v="2"/>
    <x v="302"/>
    <x v="306"/>
    <x v="0"/>
    <x v="0"/>
    <x v="0"/>
    <x v="329"/>
  </r>
  <r>
    <x v="0"/>
    <x v="120"/>
    <x v="0"/>
    <x v="0"/>
    <x v="0"/>
    <x v="319"/>
    <x v="2"/>
    <x v="303"/>
    <x v="307"/>
    <x v="0"/>
    <x v="0"/>
    <x v="0"/>
    <x v="330"/>
  </r>
  <r>
    <x v="0"/>
    <x v="120"/>
    <x v="1"/>
    <x v="0"/>
    <x v="27"/>
    <x v="320"/>
    <x v="218"/>
    <x v="304"/>
    <x v="308"/>
    <x v="0"/>
    <x v="0"/>
    <x v="0"/>
    <x v="331"/>
  </r>
  <r>
    <x v="0"/>
    <x v="121"/>
    <x v="0"/>
    <x v="2"/>
    <x v="0"/>
    <x v="321"/>
    <x v="2"/>
    <x v="305"/>
    <x v="309"/>
    <x v="0"/>
    <x v="0"/>
    <x v="0"/>
    <x v="332"/>
  </r>
  <r>
    <x v="0"/>
    <x v="121"/>
    <x v="1"/>
    <x v="2"/>
    <x v="0"/>
    <x v="322"/>
    <x v="219"/>
    <x v="306"/>
    <x v="310"/>
    <x v="0"/>
    <x v="0"/>
    <x v="0"/>
    <x v="333"/>
  </r>
  <r>
    <x v="0"/>
    <x v="121"/>
    <x v="10"/>
    <x v="2"/>
    <x v="0"/>
    <x v="323"/>
    <x v="220"/>
    <x v="307"/>
    <x v="311"/>
    <x v="0"/>
    <x v="0"/>
    <x v="0"/>
    <x v="334"/>
  </r>
  <r>
    <x v="0"/>
    <x v="122"/>
    <x v="1"/>
    <x v="0"/>
    <x v="0"/>
    <x v="324"/>
    <x v="221"/>
    <x v="308"/>
    <x v="312"/>
    <x v="0"/>
    <x v="0"/>
    <x v="0"/>
    <x v="335"/>
  </r>
  <r>
    <x v="0"/>
    <x v="122"/>
    <x v="10"/>
    <x v="0"/>
    <x v="0"/>
    <x v="325"/>
    <x v="222"/>
    <x v="309"/>
    <x v="313"/>
    <x v="0"/>
    <x v="0"/>
    <x v="0"/>
    <x v="336"/>
  </r>
  <r>
    <x v="0"/>
    <x v="122"/>
    <x v="1"/>
    <x v="2"/>
    <x v="0"/>
    <x v="326"/>
    <x v="223"/>
    <x v="310"/>
    <x v="314"/>
    <x v="0"/>
    <x v="0"/>
    <x v="0"/>
    <x v="337"/>
  </r>
  <r>
    <x v="0"/>
    <x v="123"/>
    <x v="10"/>
    <x v="2"/>
    <x v="0"/>
    <x v="9"/>
    <x v="2"/>
    <x v="22"/>
    <x v="22"/>
    <x v="21"/>
    <x v="0"/>
    <x v="29"/>
    <x v="338"/>
  </r>
  <r>
    <x v="0"/>
    <x v="124"/>
    <x v="12"/>
    <x v="2"/>
    <x v="0"/>
    <x v="327"/>
    <x v="2"/>
    <x v="311"/>
    <x v="315"/>
    <x v="0"/>
    <x v="0"/>
    <x v="0"/>
    <x v="339"/>
  </r>
  <r>
    <x v="0"/>
    <x v="124"/>
    <x v="0"/>
    <x v="2"/>
    <x v="0"/>
    <x v="328"/>
    <x v="2"/>
    <x v="312"/>
    <x v="316"/>
    <x v="0"/>
    <x v="0"/>
    <x v="0"/>
    <x v="340"/>
  </r>
  <r>
    <x v="0"/>
    <x v="124"/>
    <x v="1"/>
    <x v="2"/>
    <x v="0"/>
    <x v="329"/>
    <x v="2"/>
    <x v="313"/>
    <x v="317"/>
    <x v="0"/>
    <x v="0"/>
    <x v="0"/>
    <x v="341"/>
  </r>
  <r>
    <x v="0"/>
    <x v="124"/>
    <x v="10"/>
    <x v="2"/>
    <x v="28"/>
    <x v="330"/>
    <x v="224"/>
    <x v="314"/>
    <x v="318"/>
    <x v="22"/>
    <x v="0"/>
    <x v="30"/>
    <x v="342"/>
  </r>
  <r>
    <x v="0"/>
    <x v="125"/>
    <x v="18"/>
    <x v="2"/>
    <x v="0"/>
    <x v="331"/>
    <x v="2"/>
    <x v="315"/>
    <x v="319"/>
    <x v="0"/>
    <x v="0"/>
    <x v="0"/>
    <x v="343"/>
  </r>
  <r>
    <x v="0"/>
    <x v="125"/>
    <x v="0"/>
    <x v="2"/>
    <x v="0"/>
    <x v="332"/>
    <x v="2"/>
    <x v="316"/>
    <x v="320"/>
    <x v="0"/>
    <x v="0"/>
    <x v="0"/>
    <x v="344"/>
  </r>
  <r>
    <x v="0"/>
    <x v="125"/>
    <x v="10"/>
    <x v="2"/>
    <x v="29"/>
    <x v="333"/>
    <x v="225"/>
    <x v="317"/>
    <x v="321"/>
    <x v="0"/>
    <x v="0"/>
    <x v="0"/>
    <x v="345"/>
  </r>
  <r>
    <x v="0"/>
    <x v="126"/>
    <x v="1"/>
    <x v="0"/>
    <x v="0"/>
    <x v="334"/>
    <x v="226"/>
    <x v="318"/>
    <x v="322"/>
    <x v="0"/>
    <x v="0"/>
    <x v="0"/>
    <x v="346"/>
  </r>
  <r>
    <x v="0"/>
    <x v="127"/>
    <x v="0"/>
    <x v="0"/>
    <x v="0"/>
    <x v="335"/>
    <x v="2"/>
    <x v="319"/>
    <x v="323"/>
    <x v="0"/>
    <x v="0"/>
    <x v="0"/>
    <x v="347"/>
  </r>
  <r>
    <x v="0"/>
    <x v="127"/>
    <x v="23"/>
    <x v="0"/>
    <x v="0"/>
    <x v="336"/>
    <x v="2"/>
    <x v="320"/>
    <x v="324"/>
    <x v="0"/>
    <x v="0"/>
    <x v="0"/>
    <x v="348"/>
  </r>
  <r>
    <x v="0"/>
    <x v="127"/>
    <x v="1"/>
    <x v="0"/>
    <x v="0"/>
    <x v="337"/>
    <x v="227"/>
    <x v="321"/>
    <x v="325"/>
    <x v="0"/>
    <x v="0"/>
    <x v="0"/>
    <x v="349"/>
  </r>
  <r>
    <x v="0"/>
    <x v="127"/>
    <x v="10"/>
    <x v="0"/>
    <x v="0"/>
    <x v="338"/>
    <x v="228"/>
    <x v="322"/>
    <x v="326"/>
    <x v="0"/>
    <x v="0"/>
    <x v="0"/>
    <x v="350"/>
  </r>
  <r>
    <x v="0"/>
    <x v="128"/>
    <x v="6"/>
    <x v="4"/>
    <x v="0"/>
    <x v="339"/>
    <x v="229"/>
    <x v="22"/>
    <x v="22"/>
    <x v="0"/>
    <x v="0"/>
    <x v="0"/>
    <x v="22"/>
  </r>
  <r>
    <x v="0"/>
    <x v="129"/>
    <x v="19"/>
    <x v="2"/>
    <x v="0"/>
    <x v="9"/>
    <x v="2"/>
    <x v="22"/>
    <x v="22"/>
    <x v="0"/>
    <x v="11"/>
    <x v="31"/>
    <x v="351"/>
  </r>
  <r>
    <x v="0"/>
    <x v="130"/>
    <x v="0"/>
    <x v="0"/>
    <x v="0"/>
    <x v="340"/>
    <x v="230"/>
    <x v="323"/>
    <x v="327"/>
    <x v="0"/>
    <x v="0"/>
    <x v="0"/>
    <x v="352"/>
  </r>
  <r>
    <x v="0"/>
    <x v="130"/>
    <x v="1"/>
    <x v="0"/>
    <x v="0"/>
    <x v="341"/>
    <x v="2"/>
    <x v="324"/>
    <x v="328"/>
    <x v="0"/>
    <x v="0"/>
    <x v="0"/>
    <x v="353"/>
  </r>
  <r>
    <x v="0"/>
    <x v="130"/>
    <x v="10"/>
    <x v="0"/>
    <x v="0"/>
    <x v="342"/>
    <x v="231"/>
    <x v="22"/>
    <x v="22"/>
    <x v="0"/>
    <x v="0"/>
    <x v="0"/>
    <x v="22"/>
  </r>
  <r>
    <x v="0"/>
    <x v="131"/>
    <x v="15"/>
    <x v="0"/>
    <x v="0"/>
    <x v="9"/>
    <x v="232"/>
    <x v="325"/>
    <x v="329"/>
    <x v="0"/>
    <x v="0"/>
    <x v="0"/>
    <x v="354"/>
  </r>
  <r>
    <x v="0"/>
    <x v="131"/>
    <x v="0"/>
    <x v="0"/>
    <x v="0"/>
    <x v="343"/>
    <x v="233"/>
    <x v="326"/>
    <x v="330"/>
    <x v="0"/>
    <x v="0"/>
    <x v="0"/>
    <x v="355"/>
  </r>
  <r>
    <x v="0"/>
    <x v="131"/>
    <x v="1"/>
    <x v="0"/>
    <x v="0"/>
    <x v="344"/>
    <x v="234"/>
    <x v="327"/>
    <x v="331"/>
    <x v="0"/>
    <x v="0"/>
    <x v="0"/>
    <x v="356"/>
  </r>
  <r>
    <x v="0"/>
    <x v="131"/>
    <x v="10"/>
    <x v="0"/>
    <x v="0"/>
    <x v="345"/>
    <x v="235"/>
    <x v="328"/>
    <x v="332"/>
    <x v="0"/>
    <x v="0"/>
    <x v="0"/>
    <x v="357"/>
  </r>
  <r>
    <x v="0"/>
    <x v="131"/>
    <x v="0"/>
    <x v="2"/>
    <x v="0"/>
    <x v="9"/>
    <x v="236"/>
    <x v="329"/>
    <x v="333"/>
    <x v="0"/>
    <x v="0"/>
    <x v="0"/>
    <x v="358"/>
  </r>
  <r>
    <x v="0"/>
    <x v="131"/>
    <x v="1"/>
    <x v="2"/>
    <x v="0"/>
    <x v="9"/>
    <x v="237"/>
    <x v="330"/>
    <x v="334"/>
    <x v="0"/>
    <x v="0"/>
    <x v="0"/>
    <x v="359"/>
  </r>
  <r>
    <x v="0"/>
    <x v="131"/>
    <x v="10"/>
    <x v="2"/>
    <x v="0"/>
    <x v="9"/>
    <x v="238"/>
    <x v="331"/>
    <x v="335"/>
    <x v="0"/>
    <x v="0"/>
    <x v="0"/>
    <x v="360"/>
  </r>
  <r>
    <x v="0"/>
    <x v="132"/>
    <x v="2"/>
    <x v="1"/>
    <x v="0"/>
    <x v="346"/>
    <x v="239"/>
    <x v="22"/>
    <x v="22"/>
    <x v="0"/>
    <x v="0"/>
    <x v="0"/>
    <x v="22"/>
  </r>
  <r>
    <x v="0"/>
    <x v="133"/>
    <x v="12"/>
    <x v="2"/>
    <x v="0"/>
    <x v="347"/>
    <x v="2"/>
    <x v="332"/>
    <x v="336"/>
    <x v="0"/>
    <x v="0"/>
    <x v="0"/>
    <x v="361"/>
  </r>
  <r>
    <x v="0"/>
    <x v="133"/>
    <x v="0"/>
    <x v="2"/>
    <x v="0"/>
    <x v="348"/>
    <x v="2"/>
    <x v="333"/>
    <x v="337"/>
    <x v="0"/>
    <x v="0"/>
    <x v="0"/>
    <x v="362"/>
  </r>
  <r>
    <x v="0"/>
    <x v="133"/>
    <x v="1"/>
    <x v="2"/>
    <x v="0"/>
    <x v="349"/>
    <x v="240"/>
    <x v="334"/>
    <x v="338"/>
    <x v="0"/>
    <x v="0"/>
    <x v="0"/>
    <x v="363"/>
  </r>
  <r>
    <x v="0"/>
    <x v="133"/>
    <x v="10"/>
    <x v="2"/>
    <x v="0"/>
    <x v="350"/>
    <x v="241"/>
    <x v="335"/>
    <x v="339"/>
    <x v="0"/>
    <x v="0"/>
    <x v="0"/>
    <x v="364"/>
  </r>
  <r>
    <x v="0"/>
    <x v="134"/>
    <x v="22"/>
    <x v="1"/>
    <x v="0"/>
    <x v="351"/>
    <x v="242"/>
    <x v="336"/>
    <x v="340"/>
    <x v="0"/>
    <x v="0"/>
    <x v="0"/>
    <x v="365"/>
  </r>
  <r>
    <x v="0"/>
    <x v="135"/>
    <x v="0"/>
    <x v="0"/>
    <x v="0"/>
    <x v="352"/>
    <x v="243"/>
    <x v="22"/>
    <x v="22"/>
    <x v="0"/>
    <x v="0"/>
    <x v="0"/>
    <x v="22"/>
  </r>
  <r>
    <x v="0"/>
    <x v="136"/>
    <x v="0"/>
    <x v="1"/>
    <x v="0"/>
    <x v="9"/>
    <x v="2"/>
    <x v="22"/>
    <x v="22"/>
    <x v="0"/>
    <x v="12"/>
    <x v="32"/>
    <x v="366"/>
  </r>
  <r>
    <x v="0"/>
    <x v="137"/>
    <x v="0"/>
    <x v="0"/>
    <x v="0"/>
    <x v="353"/>
    <x v="244"/>
    <x v="337"/>
    <x v="341"/>
    <x v="0"/>
    <x v="0"/>
    <x v="0"/>
    <x v="367"/>
  </r>
  <r>
    <x v="0"/>
    <x v="137"/>
    <x v="9"/>
    <x v="0"/>
    <x v="0"/>
    <x v="354"/>
    <x v="245"/>
    <x v="338"/>
    <x v="342"/>
    <x v="0"/>
    <x v="0"/>
    <x v="0"/>
    <x v="368"/>
  </r>
  <r>
    <x v="0"/>
    <x v="137"/>
    <x v="1"/>
    <x v="0"/>
    <x v="0"/>
    <x v="355"/>
    <x v="246"/>
    <x v="339"/>
    <x v="343"/>
    <x v="0"/>
    <x v="0"/>
    <x v="0"/>
    <x v="369"/>
  </r>
  <r>
    <x v="0"/>
    <x v="137"/>
    <x v="11"/>
    <x v="2"/>
    <x v="0"/>
    <x v="356"/>
    <x v="247"/>
    <x v="340"/>
    <x v="344"/>
    <x v="0"/>
    <x v="0"/>
    <x v="0"/>
    <x v="370"/>
  </r>
  <r>
    <x v="0"/>
    <x v="137"/>
    <x v="15"/>
    <x v="2"/>
    <x v="0"/>
    <x v="357"/>
    <x v="248"/>
    <x v="341"/>
    <x v="345"/>
    <x v="0"/>
    <x v="0"/>
    <x v="0"/>
    <x v="371"/>
  </r>
  <r>
    <x v="0"/>
    <x v="137"/>
    <x v="0"/>
    <x v="2"/>
    <x v="0"/>
    <x v="358"/>
    <x v="249"/>
    <x v="342"/>
    <x v="346"/>
    <x v="0"/>
    <x v="0"/>
    <x v="0"/>
    <x v="372"/>
  </r>
  <r>
    <x v="0"/>
    <x v="137"/>
    <x v="9"/>
    <x v="2"/>
    <x v="0"/>
    <x v="359"/>
    <x v="250"/>
    <x v="343"/>
    <x v="347"/>
    <x v="0"/>
    <x v="0"/>
    <x v="0"/>
    <x v="373"/>
  </r>
  <r>
    <x v="0"/>
    <x v="137"/>
    <x v="1"/>
    <x v="2"/>
    <x v="0"/>
    <x v="360"/>
    <x v="251"/>
    <x v="344"/>
    <x v="348"/>
    <x v="0"/>
    <x v="0"/>
    <x v="0"/>
    <x v="374"/>
  </r>
  <r>
    <x v="0"/>
    <x v="138"/>
    <x v="0"/>
    <x v="2"/>
    <x v="0"/>
    <x v="361"/>
    <x v="252"/>
    <x v="345"/>
    <x v="349"/>
    <x v="0"/>
    <x v="0"/>
    <x v="0"/>
    <x v="375"/>
  </r>
  <r>
    <x v="0"/>
    <x v="138"/>
    <x v="1"/>
    <x v="2"/>
    <x v="0"/>
    <x v="362"/>
    <x v="253"/>
    <x v="346"/>
    <x v="350"/>
    <x v="0"/>
    <x v="0"/>
    <x v="0"/>
    <x v="376"/>
  </r>
  <r>
    <x v="0"/>
    <x v="138"/>
    <x v="10"/>
    <x v="2"/>
    <x v="0"/>
    <x v="363"/>
    <x v="254"/>
    <x v="347"/>
    <x v="351"/>
    <x v="0"/>
    <x v="0"/>
    <x v="0"/>
    <x v="377"/>
  </r>
  <r>
    <x v="0"/>
    <x v="139"/>
    <x v="0"/>
    <x v="0"/>
    <x v="0"/>
    <x v="364"/>
    <x v="255"/>
    <x v="348"/>
    <x v="352"/>
    <x v="0"/>
    <x v="0"/>
    <x v="0"/>
    <x v="378"/>
  </r>
  <r>
    <x v="0"/>
    <x v="139"/>
    <x v="1"/>
    <x v="0"/>
    <x v="0"/>
    <x v="365"/>
    <x v="256"/>
    <x v="22"/>
    <x v="22"/>
    <x v="0"/>
    <x v="0"/>
    <x v="0"/>
    <x v="22"/>
  </r>
  <r>
    <x v="0"/>
    <x v="139"/>
    <x v="0"/>
    <x v="2"/>
    <x v="0"/>
    <x v="366"/>
    <x v="257"/>
    <x v="349"/>
    <x v="353"/>
    <x v="0"/>
    <x v="0"/>
    <x v="0"/>
    <x v="379"/>
  </r>
  <r>
    <x v="0"/>
    <x v="139"/>
    <x v="1"/>
    <x v="2"/>
    <x v="0"/>
    <x v="367"/>
    <x v="258"/>
    <x v="350"/>
    <x v="354"/>
    <x v="0"/>
    <x v="0"/>
    <x v="0"/>
    <x v="380"/>
  </r>
  <r>
    <x v="0"/>
    <x v="140"/>
    <x v="0"/>
    <x v="0"/>
    <x v="0"/>
    <x v="368"/>
    <x v="259"/>
    <x v="351"/>
    <x v="355"/>
    <x v="0"/>
    <x v="0"/>
    <x v="0"/>
    <x v="381"/>
  </r>
  <r>
    <x v="0"/>
    <x v="140"/>
    <x v="1"/>
    <x v="0"/>
    <x v="0"/>
    <x v="369"/>
    <x v="260"/>
    <x v="352"/>
    <x v="356"/>
    <x v="0"/>
    <x v="0"/>
    <x v="0"/>
    <x v="382"/>
  </r>
  <r>
    <x v="0"/>
    <x v="141"/>
    <x v="0"/>
    <x v="3"/>
    <x v="0"/>
    <x v="370"/>
    <x v="261"/>
    <x v="353"/>
    <x v="357"/>
    <x v="0"/>
    <x v="0"/>
    <x v="0"/>
    <x v="383"/>
  </r>
  <r>
    <x v="0"/>
    <x v="142"/>
    <x v="16"/>
    <x v="0"/>
    <x v="0"/>
    <x v="371"/>
    <x v="262"/>
    <x v="354"/>
    <x v="358"/>
    <x v="23"/>
    <x v="0"/>
    <x v="33"/>
    <x v="384"/>
  </r>
  <r>
    <x v="0"/>
    <x v="142"/>
    <x v="0"/>
    <x v="0"/>
    <x v="0"/>
    <x v="372"/>
    <x v="2"/>
    <x v="355"/>
    <x v="359"/>
    <x v="0"/>
    <x v="0"/>
    <x v="0"/>
    <x v="385"/>
  </r>
  <r>
    <x v="0"/>
    <x v="142"/>
    <x v="9"/>
    <x v="0"/>
    <x v="0"/>
    <x v="373"/>
    <x v="2"/>
    <x v="356"/>
    <x v="360"/>
    <x v="0"/>
    <x v="0"/>
    <x v="0"/>
    <x v="386"/>
  </r>
  <r>
    <x v="0"/>
    <x v="142"/>
    <x v="1"/>
    <x v="0"/>
    <x v="0"/>
    <x v="374"/>
    <x v="263"/>
    <x v="357"/>
    <x v="361"/>
    <x v="0"/>
    <x v="0"/>
    <x v="0"/>
    <x v="387"/>
  </r>
  <r>
    <x v="0"/>
    <x v="142"/>
    <x v="10"/>
    <x v="0"/>
    <x v="0"/>
    <x v="375"/>
    <x v="2"/>
    <x v="358"/>
    <x v="362"/>
    <x v="0"/>
    <x v="0"/>
    <x v="0"/>
    <x v="388"/>
  </r>
  <r>
    <x v="0"/>
    <x v="143"/>
    <x v="15"/>
    <x v="2"/>
    <x v="0"/>
    <x v="376"/>
    <x v="264"/>
    <x v="22"/>
    <x v="22"/>
    <x v="0"/>
    <x v="0"/>
    <x v="0"/>
    <x v="22"/>
  </r>
  <r>
    <x v="0"/>
    <x v="143"/>
    <x v="0"/>
    <x v="2"/>
    <x v="0"/>
    <x v="377"/>
    <x v="2"/>
    <x v="359"/>
    <x v="363"/>
    <x v="0"/>
    <x v="0"/>
    <x v="0"/>
    <x v="389"/>
  </r>
  <r>
    <x v="0"/>
    <x v="143"/>
    <x v="1"/>
    <x v="2"/>
    <x v="0"/>
    <x v="378"/>
    <x v="2"/>
    <x v="360"/>
    <x v="364"/>
    <x v="0"/>
    <x v="0"/>
    <x v="0"/>
    <x v="390"/>
  </r>
  <r>
    <x v="0"/>
    <x v="143"/>
    <x v="10"/>
    <x v="2"/>
    <x v="0"/>
    <x v="379"/>
    <x v="265"/>
    <x v="22"/>
    <x v="22"/>
    <x v="0"/>
    <x v="0"/>
    <x v="0"/>
    <x v="22"/>
  </r>
  <r>
    <x v="0"/>
    <x v="144"/>
    <x v="0"/>
    <x v="2"/>
    <x v="0"/>
    <x v="380"/>
    <x v="2"/>
    <x v="361"/>
    <x v="365"/>
    <x v="0"/>
    <x v="0"/>
    <x v="0"/>
    <x v="391"/>
  </r>
  <r>
    <x v="0"/>
    <x v="144"/>
    <x v="10"/>
    <x v="2"/>
    <x v="0"/>
    <x v="381"/>
    <x v="266"/>
    <x v="22"/>
    <x v="22"/>
    <x v="0"/>
    <x v="0"/>
    <x v="0"/>
    <x v="22"/>
  </r>
  <r>
    <x v="0"/>
    <x v="145"/>
    <x v="0"/>
    <x v="0"/>
    <x v="0"/>
    <x v="382"/>
    <x v="2"/>
    <x v="362"/>
    <x v="366"/>
    <x v="0"/>
    <x v="0"/>
    <x v="0"/>
    <x v="392"/>
  </r>
  <r>
    <x v="0"/>
    <x v="145"/>
    <x v="9"/>
    <x v="0"/>
    <x v="0"/>
    <x v="383"/>
    <x v="2"/>
    <x v="363"/>
    <x v="367"/>
    <x v="0"/>
    <x v="0"/>
    <x v="0"/>
    <x v="393"/>
  </r>
  <r>
    <x v="0"/>
    <x v="145"/>
    <x v="17"/>
    <x v="0"/>
    <x v="0"/>
    <x v="384"/>
    <x v="267"/>
    <x v="364"/>
    <x v="368"/>
    <x v="0"/>
    <x v="0"/>
    <x v="0"/>
    <x v="394"/>
  </r>
  <r>
    <x v="0"/>
    <x v="145"/>
    <x v="24"/>
    <x v="0"/>
    <x v="0"/>
    <x v="385"/>
    <x v="268"/>
    <x v="365"/>
    <x v="369"/>
    <x v="0"/>
    <x v="0"/>
    <x v="0"/>
    <x v="395"/>
  </r>
  <r>
    <x v="0"/>
    <x v="145"/>
    <x v="4"/>
    <x v="0"/>
    <x v="0"/>
    <x v="386"/>
    <x v="269"/>
    <x v="366"/>
    <x v="370"/>
    <x v="0"/>
    <x v="0"/>
    <x v="0"/>
    <x v="396"/>
  </r>
  <r>
    <x v="0"/>
    <x v="145"/>
    <x v="1"/>
    <x v="0"/>
    <x v="0"/>
    <x v="387"/>
    <x v="270"/>
    <x v="367"/>
    <x v="371"/>
    <x v="0"/>
    <x v="0"/>
    <x v="0"/>
    <x v="397"/>
  </r>
  <r>
    <x v="0"/>
    <x v="146"/>
    <x v="0"/>
    <x v="5"/>
    <x v="0"/>
    <x v="388"/>
    <x v="2"/>
    <x v="368"/>
    <x v="372"/>
    <x v="0"/>
    <x v="0"/>
    <x v="0"/>
    <x v="398"/>
  </r>
  <r>
    <x v="0"/>
    <x v="146"/>
    <x v="1"/>
    <x v="5"/>
    <x v="0"/>
    <x v="389"/>
    <x v="271"/>
    <x v="369"/>
    <x v="373"/>
    <x v="0"/>
    <x v="0"/>
    <x v="0"/>
    <x v="399"/>
  </r>
  <r>
    <x v="0"/>
    <x v="147"/>
    <x v="0"/>
    <x v="0"/>
    <x v="0"/>
    <x v="390"/>
    <x v="2"/>
    <x v="370"/>
    <x v="374"/>
    <x v="0"/>
    <x v="0"/>
    <x v="0"/>
    <x v="400"/>
  </r>
  <r>
    <x v="0"/>
    <x v="147"/>
    <x v="1"/>
    <x v="0"/>
    <x v="0"/>
    <x v="391"/>
    <x v="272"/>
    <x v="371"/>
    <x v="375"/>
    <x v="0"/>
    <x v="0"/>
    <x v="0"/>
    <x v="401"/>
  </r>
  <r>
    <x v="0"/>
    <x v="148"/>
    <x v="11"/>
    <x v="2"/>
    <x v="0"/>
    <x v="392"/>
    <x v="2"/>
    <x v="372"/>
    <x v="376"/>
    <x v="0"/>
    <x v="0"/>
    <x v="0"/>
    <x v="402"/>
  </r>
  <r>
    <x v="0"/>
    <x v="148"/>
    <x v="0"/>
    <x v="2"/>
    <x v="0"/>
    <x v="393"/>
    <x v="2"/>
    <x v="373"/>
    <x v="377"/>
    <x v="0"/>
    <x v="0"/>
    <x v="0"/>
    <x v="403"/>
  </r>
  <r>
    <x v="0"/>
    <x v="148"/>
    <x v="9"/>
    <x v="2"/>
    <x v="0"/>
    <x v="394"/>
    <x v="2"/>
    <x v="374"/>
    <x v="378"/>
    <x v="0"/>
    <x v="0"/>
    <x v="0"/>
    <x v="404"/>
  </r>
  <r>
    <x v="0"/>
    <x v="148"/>
    <x v="1"/>
    <x v="2"/>
    <x v="30"/>
    <x v="395"/>
    <x v="273"/>
    <x v="375"/>
    <x v="379"/>
    <x v="0"/>
    <x v="0"/>
    <x v="0"/>
    <x v="405"/>
  </r>
  <r>
    <x v="0"/>
    <x v="149"/>
    <x v="6"/>
    <x v="4"/>
    <x v="0"/>
    <x v="9"/>
    <x v="2"/>
    <x v="22"/>
    <x v="22"/>
    <x v="0"/>
    <x v="13"/>
    <x v="34"/>
    <x v="406"/>
  </r>
  <r>
    <x v="0"/>
    <x v="150"/>
    <x v="21"/>
    <x v="1"/>
    <x v="0"/>
    <x v="9"/>
    <x v="2"/>
    <x v="22"/>
    <x v="22"/>
    <x v="24"/>
    <x v="14"/>
    <x v="35"/>
    <x v="407"/>
  </r>
  <r>
    <x v="0"/>
    <x v="151"/>
    <x v="0"/>
    <x v="0"/>
    <x v="0"/>
    <x v="396"/>
    <x v="274"/>
    <x v="376"/>
    <x v="380"/>
    <x v="0"/>
    <x v="0"/>
    <x v="0"/>
    <x v="408"/>
  </r>
  <r>
    <x v="0"/>
    <x v="152"/>
    <x v="8"/>
    <x v="2"/>
    <x v="0"/>
    <x v="9"/>
    <x v="275"/>
    <x v="377"/>
    <x v="381"/>
    <x v="0"/>
    <x v="0"/>
    <x v="0"/>
    <x v="409"/>
  </r>
  <r>
    <x v="0"/>
    <x v="153"/>
    <x v="1"/>
    <x v="0"/>
    <x v="0"/>
    <x v="397"/>
    <x v="276"/>
    <x v="378"/>
    <x v="382"/>
    <x v="0"/>
    <x v="0"/>
    <x v="0"/>
    <x v="410"/>
  </r>
  <r>
    <x v="0"/>
    <x v="154"/>
    <x v="0"/>
    <x v="2"/>
    <x v="0"/>
    <x v="398"/>
    <x v="277"/>
    <x v="379"/>
    <x v="383"/>
    <x v="0"/>
    <x v="0"/>
    <x v="0"/>
    <x v="411"/>
  </r>
  <r>
    <x v="0"/>
    <x v="155"/>
    <x v="1"/>
    <x v="0"/>
    <x v="0"/>
    <x v="399"/>
    <x v="278"/>
    <x v="380"/>
    <x v="384"/>
    <x v="0"/>
    <x v="0"/>
    <x v="0"/>
    <x v="412"/>
  </r>
  <r>
    <x v="0"/>
    <x v="156"/>
    <x v="1"/>
    <x v="0"/>
    <x v="0"/>
    <x v="400"/>
    <x v="279"/>
    <x v="381"/>
    <x v="385"/>
    <x v="0"/>
    <x v="0"/>
    <x v="0"/>
    <x v="413"/>
  </r>
  <r>
    <x v="0"/>
    <x v="156"/>
    <x v="10"/>
    <x v="0"/>
    <x v="0"/>
    <x v="401"/>
    <x v="280"/>
    <x v="382"/>
    <x v="386"/>
    <x v="0"/>
    <x v="0"/>
    <x v="0"/>
    <x v="414"/>
  </r>
  <r>
    <x v="0"/>
    <x v="157"/>
    <x v="3"/>
    <x v="1"/>
    <x v="0"/>
    <x v="402"/>
    <x v="281"/>
    <x v="22"/>
    <x v="22"/>
    <x v="0"/>
    <x v="0"/>
    <x v="0"/>
    <x v="22"/>
  </r>
  <r>
    <x v="0"/>
    <x v="158"/>
    <x v="20"/>
    <x v="4"/>
    <x v="0"/>
    <x v="403"/>
    <x v="282"/>
    <x v="383"/>
    <x v="387"/>
    <x v="0"/>
    <x v="0"/>
    <x v="0"/>
    <x v="415"/>
  </r>
  <r>
    <x v="0"/>
    <x v="159"/>
    <x v="0"/>
    <x v="4"/>
    <x v="0"/>
    <x v="9"/>
    <x v="2"/>
    <x v="22"/>
    <x v="22"/>
    <x v="25"/>
    <x v="0"/>
    <x v="36"/>
    <x v="416"/>
  </r>
  <r>
    <x v="0"/>
    <x v="160"/>
    <x v="0"/>
    <x v="5"/>
    <x v="0"/>
    <x v="404"/>
    <x v="283"/>
    <x v="384"/>
    <x v="388"/>
    <x v="0"/>
    <x v="0"/>
    <x v="0"/>
    <x v="417"/>
  </r>
  <r>
    <x v="0"/>
    <x v="160"/>
    <x v="1"/>
    <x v="5"/>
    <x v="0"/>
    <x v="405"/>
    <x v="284"/>
    <x v="385"/>
    <x v="389"/>
    <x v="0"/>
    <x v="0"/>
    <x v="0"/>
    <x v="418"/>
  </r>
  <r>
    <x v="0"/>
    <x v="161"/>
    <x v="1"/>
    <x v="2"/>
    <x v="0"/>
    <x v="406"/>
    <x v="285"/>
    <x v="386"/>
    <x v="390"/>
    <x v="0"/>
    <x v="0"/>
    <x v="0"/>
    <x v="419"/>
  </r>
  <r>
    <x v="0"/>
    <x v="162"/>
    <x v="12"/>
    <x v="2"/>
    <x v="0"/>
    <x v="407"/>
    <x v="286"/>
    <x v="387"/>
    <x v="391"/>
    <x v="0"/>
    <x v="0"/>
    <x v="0"/>
    <x v="420"/>
  </r>
  <r>
    <x v="0"/>
    <x v="162"/>
    <x v="1"/>
    <x v="2"/>
    <x v="0"/>
    <x v="408"/>
    <x v="287"/>
    <x v="388"/>
    <x v="392"/>
    <x v="0"/>
    <x v="0"/>
    <x v="0"/>
    <x v="421"/>
  </r>
  <r>
    <x v="0"/>
    <x v="163"/>
    <x v="2"/>
    <x v="1"/>
    <x v="0"/>
    <x v="409"/>
    <x v="288"/>
    <x v="22"/>
    <x v="22"/>
    <x v="0"/>
    <x v="0"/>
    <x v="0"/>
    <x v="22"/>
  </r>
  <r>
    <x v="0"/>
    <x v="164"/>
    <x v="15"/>
    <x v="0"/>
    <x v="0"/>
    <x v="410"/>
    <x v="289"/>
    <x v="389"/>
    <x v="393"/>
    <x v="0"/>
    <x v="0"/>
    <x v="0"/>
    <x v="422"/>
  </r>
  <r>
    <x v="0"/>
    <x v="164"/>
    <x v="0"/>
    <x v="0"/>
    <x v="0"/>
    <x v="411"/>
    <x v="290"/>
    <x v="390"/>
    <x v="394"/>
    <x v="0"/>
    <x v="0"/>
    <x v="0"/>
    <x v="423"/>
  </r>
  <r>
    <x v="0"/>
    <x v="164"/>
    <x v="9"/>
    <x v="0"/>
    <x v="0"/>
    <x v="412"/>
    <x v="291"/>
    <x v="258"/>
    <x v="262"/>
    <x v="0"/>
    <x v="0"/>
    <x v="0"/>
    <x v="281"/>
  </r>
  <r>
    <x v="0"/>
    <x v="164"/>
    <x v="1"/>
    <x v="0"/>
    <x v="0"/>
    <x v="413"/>
    <x v="292"/>
    <x v="391"/>
    <x v="395"/>
    <x v="0"/>
    <x v="0"/>
    <x v="0"/>
    <x v="424"/>
  </r>
  <r>
    <x v="0"/>
    <x v="164"/>
    <x v="10"/>
    <x v="0"/>
    <x v="0"/>
    <x v="414"/>
    <x v="293"/>
    <x v="392"/>
    <x v="396"/>
    <x v="0"/>
    <x v="0"/>
    <x v="0"/>
    <x v="425"/>
  </r>
  <r>
    <x v="0"/>
    <x v="164"/>
    <x v="15"/>
    <x v="2"/>
    <x v="0"/>
    <x v="415"/>
    <x v="294"/>
    <x v="393"/>
    <x v="397"/>
    <x v="0"/>
    <x v="0"/>
    <x v="0"/>
    <x v="426"/>
  </r>
  <r>
    <x v="0"/>
    <x v="164"/>
    <x v="16"/>
    <x v="2"/>
    <x v="0"/>
    <x v="416"/>
    <x v="295"/>
    <x v="22"/>
    <x v="22"/>
    <x v="0"/>
    <x v="0"/>
    <x v="0"/>
    <x v="22"/>
  </r>
  <r>
    <x v="0"/>
    <x v="164"/>
    <x v="0"/>
    <x v="2"/>
    <x v="0"/>
    <x v="417"/>
    <x v="296"/>
    <x v="394"/>
    <x v="398"/>
    <x v="0"/>
    <x v="0"/>
    <x v="0"/>
    <x v="427"/>
  </r>
  <r>
    <x v="0"/>
    <x v="164"/>
    <x v="9"/>
    <x v="2"/>
    <x v="0"/>
    <x v="418"/>
    <x v="297"/>
    <x v="395"/>
    <x v="399"/>
    <x v="0"/>
    <x v="0"/>
    <x v="0"/>
    <x v="428"/>
  </r>
  <r>
    <x v="0"/>
    <x v="164"/>
    <x v="1"/>
    <x v="2"/>
    <x v="0"/>
    <x v="419"/>
    <x v="298"/>
    <x v="396"/>
    <x v="400"/>
    <x v="0"/>
    <x v="0"/>
    <x v="0"/>
    <x v="429"/>
  </r>
  <r>
    <x v="0"/>
    <x v="164"/>
    <x v="15"/>
    <x v="3"/>
    <x v="0"/>
    <x v="420"/>
    <x v="299"/>
    <x v="397"/>
    <x v="401"/>
    <x v="0"/>
    <x v="0"/>
    <x v="0"/>
    <x v="430"/>
  </r>
  <r>
    <x v="0"/>
    <x v="165"/>
    <x v="0"/>
    <x v="0"/>
    <x v="0"/>
    <x v="285"/>
    <x v="2"/>
    <x v="398"/>
    <x v="402"/>
    <x v="0"/>
    <x v="0"/>
    <x v="0"/>
    <x v="431"/>
  </r>
  <r>
    <x v="0"/>
    <x v="165"/>
    <x v="1"/>
    <x v="0"/>
    <x v="0"/>
    <x v="421"/>
    <x v="300"/>
    <x v="399"/>
    <x v="403"/>
    <x v="0"/>
    <x v="0"/>
    <x v="0"/>
    <x v="432"/>
  </r>
  <r>
    <x v="0"/>
    <x v="165"/>
    <x v="10"/>
    <x v="0"/>
    <x v="0"/>
    <x v="422"/>
    <x v="301"/>
    <x v="400"/>
    <x v="404"/>
    <x v="0"/>
    <x v="0"/>
    <x v="0"/>
    <x v="433"/>
  </r>
  <r>
    <x v="0"/>
    <x v="166"/>
    <x v="3"/>
    <x v="1"/>
    <x v="0"/>
    <x v="423"/>
    <x v="302"/>
    <x v="401"/>
    <x v="405"/>
    <x v="0"/>
    <x v="0"/>
    <x v="0"/>
    <x v="434"/>
  </r>
  <r>
    <x v="0"/>
    <x v="167"/>
    <x v="6"/>
    <x v="0"/>
    <x v="0"/>
    <x v="424"/>
    <x v="2"/>
    <x v="402"/>
    <x v="406"/>
    <x v="0"/>
    <x v="0"/>
    <x v="0"/>
    <x v="435"/>
  </r>
  <r>
    <x v="0"/>
    <x v="167"/>
    <x v="0"/>
    <x v="0"/>
    <x v="0"/>
    <x v="425"/>
    <x v="2"/>
    <x v="403"/>
    <x v="407"/>
    <x v="0"/>
    <x v="0"/>
    <x v="0"/>
    <x v="436"/>
  </r>
  <r>
    <x v="0"/>
    <x v="167"/>
    <x v="10"/>
    <x v="0"/>
    <x v="0"/>
    <x v="426"/>
    <x v="303"/>
    <x v="22"/>
    <x v="22"/>
    <x v="0"/>
    <x v="0"/>
    <x v="0"/>
    <x v="22"/>
  </r>
  <r>
    <x v="0"/>
    <x v="167"/>
    <x v="10"/>
    <x v="2"/>
    <x v="0"/>
    <x v="427"/>
    <x v="304"/>
    <x v="22"/>
    <x v="22"/>
    <x v="0"/>
    <x v="0"/>
    <x v="0"/>
    <x v="22"/>
  </r>
  <r>
    <x v="0"/>
    <x v="168"/>
    <x v="0"/>
    <x v="0"/>
    <x v="31"/>
    <x v="428"/>
    <x v="305"/>
    <x v="404"/>
    <x v="408"/>
    <x v="0"/>
    <x v="0"/>
    <x v="0"/>
    <x v="437"/>
  </r>
  <r>
    <x v="0"/>
    <x v="168"/>
    <x v="9"/>
    <x v="0"/>
    <x v="0"/>
    <x v="429"/>
    <x v="306"/>
    <x v="405"/>
    <x v="409"/>
    <x v="0"/>
    <x v="0"/>
    <x v="0"/>
    <x v="438"/>
  </r>
  <r>
    <x v="0"/>
    <x v="168"/>
    <x v="14"/>
    <x v="0"/>
    <x v="32"/>
    <x v="430"/>
    <x v="307"/>
    <x v="406"/>
    <x v="410"/>
    <x v="0"/>
    <x v="0"/>
    <x v="0"/>
    <x v="439"/>
  </r>
  <r>
    <x v="0"/>
    <x v="168"/>
    <x v="1"/>
    <x v="0"/>
    <x v="0"/>
    <x v="431"/>
    <x v="2"/>
    <x v="407"/>
    <x v="411"/>
    <x v="0"/>
    <x v="0"/>
    <x v="0"/>
    <x v="440"/>
  </r>
  <r>
    <x v="0"/>
    <x v="168"/>
    <x v="10"/>
    <x v="0"/>
    <x v="0"/>
    <x v="432"/>
    <x v="2"/>
    <x v="408"/>
    <x v="412"/>
    <x v="0"/>
    <x v="0"/>
    <x v="0"/>
    <x v="441"/>
  </r>
  <r>
    <x v="0"/>
    <x v="169"/>
    <x v="7"/>
    <x v="0"/>
    <x v="0"/>
    <x v="433"/>
    <x v="308"/>
    <x v="22"/>
    <x v="22"/>
    <x v="0"/>
    <x v="0"/>
    <x v="0"/>
    <x v="22"/>
  </r>
  <r>
    <x v="0"/>
    <x v="169"/>
    <x v="7"/>
    <x v="3"/>
    <x v="0"/>
    <x v="434"/>
    <x v="309"/>
    <x v="22"/>
    <x v="22"/>
    <x v="0"/>
    <x v="0"/>
    <x v="0"/>
    <x v="22"/>
  </r>
  <r>
    <x v="0"/>
    <x v="170"/>
    <x v="6"/>
    <x v="4"/>
    <x v="0"/>
    <x v="9"/>
    <x v="2"/>
    <x v="22"/>
    <x v="22"/>
    <x v="26"/>
    <x v="0"/>
    <x v="37"/>
    <x v="442"/>
  </r>
  <r>
    <x v="0"/>
    <x v="171"/>
    <x v="1"/>
    <x v="3"/>
    <x v="0"/>
    <x v="435"/>
    <x v="310"/>
    <x v="22"/>
    <x v="22"/>
    <x v="0"/>
    <x v="0"/>
    <x v="0"/>
    <x v="22"/>
  </r>
  <r>
    <x v="0"/>
    <x v="172"/>
    <x v="0"/>
    <x v="0"/>
    <x v="0"/>
    <x v="436"/>
    <x v="311"/>
    <x v="409"/>
    <x v="413"/>
    <x v="0"/>
    <x v="0"/>
    <x v="0"/>
    <x v="443"/>
  </r>
  <r>
    <x v="0"/>
    <x v="172"/>
    <x v="1"/>
    <x v="0"/>
    <x v="0"/>
    <x v="437"/>
    <x v="312"/>
    <x v="410"/>
    <x v="414"/>
    <x v="0"/>
    <x v="0"/>
    <x v="0"/>
    <x v="444"/>
  </r>
  <r>
    <x v="0"/>
    <x v="172"/>
    <x v="0"/>
    <x v="2"/>
    <x v="0"/>
    <x v="438"/>
    <x v="313"/>
    <x v="411"/>
    <x v="415"/>
    <x v="0"/>
    <x v="0"/>
    <x v="0"/>
    <x v="445"/>
  </r>
  <r>
    <x v="0"/>
    <x v="172"/>
    <x v="1"/>
    <x v="2"/>
    <x v="0"/>
    <x v="439"/>
    <x v="314"/>
    <x v="412"/>
    <x v="416"/>
    <x v="0"/>
    <x v="0"/>
    <x v="0"/>
    <x v="446"/>
  </r>
  <r>
    <x v="0"/>
    <x v="173"/>
    <x v="11"/>
    <x v="0"/>
    <x v="0"/>
    <x v="440"/>
    <x v="315"/>
    <x v="413"/>
    <x v="417"/>
    <x v="0"/>
    <x v="0"/>
    <x v="0"/>
    <x v="447"/>
  </r>
  <r>
    <x v="0"/>
    <x v="173"/>
    <x v="15"/>
    <x v="0"/>
    <x v="0"/>
    <x v="441"/>
    <x v="316"/>
    <x v="414"/>
    <x v="418"/>
    <x v="0"/>
    <x v="0"/>
    <x v="0"/>
    <x v="448"/>
  </r>
  <r>
    <x v="0"/>
    <x v="173"/>
    <x v="0"/>
    <x v="0"/>
    <x v="0"/>
    <x v="442"/>
    <x v="317"/>
    <x v="415"/>
    <x v="419"/>
    <x v="0"/>
    <x v="0"/>
    <x v="0"/>
    <x v="449"/>
  </r>
  <r>
    <x v="0"/>
    <x v="173"/>
    <x v="9"/>
    <x v="0"/>
    <x v="0"/>
    <x v="443"/>
    <x v="318"/>
    <x v="416"/>
    <x v="420"/>
    <x v="0"/>
    <x v="0"/>
    <x v="0"/>
    <x v="450"/>
  </r>
  <r>
    <x v="0"/>
    <x v="173"/>
    <x v="23"/>
    <x v="0"/>
    <x v="0"/>
    <x v="444"/>
    <x v="319"/>
    <x v="417"/>
    <x v="421"/>
    <x v="0"/>
    <x v="0"/>
    <x v="0"/>
    <x v="451"/>
  </r>
  <r>
    <x v="0"/>
    <x v="173"/>
    <x v="21"/>
    <x v="0"/>
    <x v="0"/>
    <x v="445"/>
    <x v="320"/>
    <x v="22"/>
    <x v="22"/>
    <x v="0"/>
    <x v="0"/>
    <x v="0"/>
    <x v="22"/>
  </r>
  <r>
    <x v="0"/>
    <x v="173"/>
    <x v="1"/>
    <x v="0"/>
    <x v="0"/>
    <x v="446"/>
    <x v="321"/>
    <x v="418"/>
    <x v="422"/>
    <x v="0"/>
    <x v="0"/>
    <x v="0"/>
    <x v="452"/>
  </r>
  <r>
    <x v="0"/>
    <x v="173"/>
    <x v="10"/>
    <x v="0"/>
    <x v="0"/>
    <x v="447"/>
    <x v="322"/>
    <x v="419"/>
    <x v="423"/>
    <x v="0"/>
    <x v="0"/>
    <x v="0"/>
    <x v="453"/>
  </r>
  <r>
    <x v="0"/>
    <x v="173"/>
    <x v="0"/>
    <x v="2"/>
    <x v="0"/>
    <x v="448"/>
    <x v="323"/>
    <x v="420"/>
    <x v="424"/>
    <x v="0"/>
    <x v="0"/>
    <x v="0"/>
    <x v="454"/>
  </r>
  <r>
    <x v="0"/>
    <x v="173"/>
    <x v="9"/>
    <x v="2"/>
    <x v="0"/>
    <x v="449"/>
    <x v="324"/>
    <x v="421"/>
    <x v="425"/>
    <x v="0"/>
    <x v="0"/>
    <x v="0"/>
    <x v="455"/>
  </r>
  <r>
    <x v="0"/>
    <x v="173"/>
    <x v="1"/>
    <x v="2"/>
    <x v="0"/>
    <x v="450"/>
    <x v="325"/>
    <x v="422"/>
    <x v="426"/>
    <x v="0"/>
    <x v="0"/>
    <x v="0"/>
    <x v="456"/>
  </r>
  <r>
    <x v="0"/>
    <x v="173"/>
    <x v="0"/>
    <x v="3"/>
    <x v="0"/>
    <x v="451"/>
    <x v="326"/>
    <x v="423"/>
    <x v="427"/>
    <x v="0"/>
    <x v="0"/>
    <x v="0"/>
    <x v="457"/>
  </r>
  <r>
    <x v="0"/>
    <x v="173"/>
    <x v="1"/>
    <x v="3"/>
    <x v="0"/>
    <x v="452"/>
    <x v="327"/>
    <x v="424"/>
    <x v="428"/>
    <x v="0"/>
    <x v="0"/>
    <x v="0"/>
    <x v="458"/>
  </r>
  <r>
    <x v="0"/>
    <x v="174"/>
    <x v="0"/>
    <x v="1"/>
    <x v="0"/>
    <x v="453"/>
    <x v="328"/>
    <x v="425"/>
    <x v="429"/>
    <x v="0"/>
    <x v="0"/>
    <x v="0"/>
    <x v="459"/>
  </r>
  <r>
    <x v="0"/>
    <x v="174"/>
    <x v="7"/>
    <x v="2"/>
    <x v="0"/>
    <x v="454"/>
    <x v="329"/>
    <x v="22"/>
    <x v="22"/>
    <x v="0"/>
    <x v="0"/>
    <x v="0"/>
    <x v="22"/>
  </r>
  <r>
    <x v="0"/>
    <x v="175"/>
    <x v="6"/>
    <x v="4"/>
    <x v="0"/>
    <x v="9"/>
    <x v="2"/>
    <x v="22"/>
    <x v="22"/>
    <x v="27"/>
    <x v="0"/>
    <x v="38"/>
    <x v="460"/>
  </r>
  <r>
    <x v="0"/>
    <x v="176"/>
    <x v="23"/>
    <x v="1"/>
    <x v="0"/>
    <x v="9"/>
    <x v="330"/>
    <x v="426"/>
    <x v="430"/>
    <x v="0"/>
    <x v="0"/>
    <x v="0"/>
    <x v="461"/>
  </r>
  <r>
    <x v="0"/>
    <x v="177"/>
    <x v="0"/>
    <x v="2"/>
    <x v="0"/>
    <x v="455"/>
    <x v="331"/>
    <x v="427"/>
    <x v="431"/>
    <x v="0"/>
    <x v="0"/>
    <x v="0"/>
    <x v="462"/>
  </r>
  <r>
    <x v="0"/>
    <x v="178"/>
    <x v="10"/>
    <x v="2"/>
    <x v="0"/>
    <x v="9"/>
    <x v="332"/>
    <x v="428"/>
    <x v="432"/>
    <x v="0"/>
    <x v="0"/>
    <x v="0"/>
    <x v="463"/>
  </r>
  <r>
    <x v="0"/>
    <x v="179"/>
    <x v="2"/>
    <x v="1"/>
    <x v="0"/>
    <x v="456"/>
    <x v="2"/>
    <x v="429"/>
    <x v="433"/>
    <x v="0"/>
    <x v="0"/>
    <x v="0"/>
    <x v="464"/>
  </r>
  <r>
    <x v="0"/>
    <x v="179"/>
    <x v="22"/>
    <x v="1"/>
    <x v="0"/>
    <x v="457"/>
    <x v="333"/>
    <x v="430"/>
    <x v="434"/>
    <x v="0"/>
    <x v="0"/>
    <x v="0"/>
    <x v="465"/>
  </r>
  <r>
    <x v="0"/>
    <x v="180"/>
    <x v="0"/>
    <x v="0"/>
    <x v="0"/>
    <x v="458"/>
    <x v="102"/>
    <x v="431"/>
    <x v="435"/>
    <x v="0"/>
    <x v="0"/>
    <x v="0"/>
    <x v="466"/>
  </r>
  <r>
    <x v="0"/>
    <x v="180"/>
    <x v="12"/>
    <x v="2"/>
    <x v="0"/>
    <x v="459"/>
    <x v="334"/>
    <x v="22"/>
    <x v="22"/>
    <x v="0"/>
    <x v="0"/>
    <x v="0"/>
    <x v="22"/>
  </r>
  <r>
    <x v="0"/>
    <x v="180"/>
    <x v="1"/>
    <x v="2"/>
    <x v="0"/>
    <x v="460"/>
    <x v="335"/>
    <x v="432"/>
    <x v="436"/>
    <x v="0"/>
    <x v="0"/>
    <x v="0"/>
    <x v="467"/>
  </r>
  <r>
    <x v="0"/>
    <x v="180"/>
    <x v="10"/>
    <x v="2"/>
    <x v="0"/>
    <x v="461"/>
    <x v="336"/>
    <x v="433"/>
    <x v="437"/>
    <x v="0"/>
    <x v="0"/>
    <x v="0"/>
    <x v="468"/>
  </r>
  <r>
    <x v="0"/>
    <x v="181"/>
    <x v="7"/>
    <x v="2"/>
    <x v="0"/>
    <x v="462"/>
    <x v="337"/>
    <x v="434"/>
    <x v="438"/>
    <x v="0"/>
    <x v="0"/>
    <x v="0"/>
    <x v="469"/>
  </r>
  <r>
    <x v="0"/>
    <x v="181"/>
    <x v="7"/>
    <x v="3"/>
    <x v="0"/>
    <x v="463"/>
    <x v="338"/>
    <x v="22"/>
    <x v="22"/>
    <x v="0"/>
    <x v="0"/>
    <x v="0"/>
    <x v="22"/>
  </r>
  <r>
    <x v="0"/>
    <x v="182"/>
    <x v="20"/>
    <x v="4"/>
    <x v="0"/>
    <x v="165"/>
    <x v="95"/>
    <x v="158"/>
    <x v="160"/>
    <x v="0"/>
    <x v="0"/>
    <x v="0"/>
    <x v="168"/>
  </r>
  <r>
    <x v="0"/>
    <x v="183"/>
    <x v="6"/>
    <x v="4"/>
    <x v="0"/>
    <x v="9"/>
    <x v="2"/>
    <x v="22"/>
    <x v="22"/>
    <x v="28"/>
    <x v="0"/>
    <x v="39"/>
    <x v="470"/>
  </r>
  <r>
    <x v="0"/>
    <x v="184"/>
    <x v="0"/>
    <x v="0"/>
    <x v="0"/>
    <x v="464"/>
    <x v="2"/>
    <x v="435"/>
    <x v="439"/>
    <x v="0"/>
    <x v="0"/>
    <x v="0"/>
    <x v="471"/>
  </r>
  <r>
    <x v="0"/>
    <x v="184"/>
    <x v="1"/>
    <x v="0"/>
    <x v="0"/>
    <x v="465"/>
    <x v="2"/>
    <x v="436"/>
    <x v="440"/>
    <x v="0"/>
    <x v="0"/>
    <x v="0"/>
    <x v="472"/>
  </r>
  <r>
    <x v="0"/>
    <x v="184"/>
    <x v="10"/>
    <x v="0"/>
    <x v="0"/>
    <x v="466"/>
    <x v="339"/>
    <x v="437"/>
    <x v="441"/>
    <x v="0"/>
    <x v="0"/>
    <x v="0"/>
    <x v="473"/>
  </r>
  <r>
    <x v="0"/>
    <x v="185"/>
    <x v="6"/>
    <x v="4"/>
    <x v="0"/>
    <x v="9"/>
    <x v="2"/>
    <x v="22"/>
    <x v="22"/>
    <x v="0"/>
    <x v="15"/>
    <x v="40"/>
    <x v="474"/>
  </r>
  <r>
    <x v="0"/>
    <x v="186"/>
    <x v="18"/>
    <x v="2"/>
    <x v="0"/>
    <x v="467"/>
    <x v="340"/>
    <x v="22"/>
    <x v="22"/>
    <x v="0"/>
    <x v="0"/>
    <x v="0"/>
    <x v="22"/>
  </r>
  <r>
    <x v="0"/>
    <x v="186"/>
    <x v="12"/>
    <x v="2"/>
    <x v="0"/>
    <x v="468"/>
    <x v="2"/>
    <x v="438"/>
    <x v="442"/>
    <x v="0"/>
    <x v="0"/>
    <x v="0"/>
    <x v="475"/>
  </r>
  <r>
    <x v="0"/>
    <x v="186"/>
    <x v="0"/>
    <x v="2"/>
    <x v="0"/>
    <x v="469"/>
    <x v="2"/>
    <x v="439"/>
    <x v="443"/>
    <x v="0"/>
    <x v="0"/>
    <x v="0"/>
    <x v="476"/>
  </r>
  <r>
    <x v="0"/>
    <x v="186"/>
    <x v="9"/>
    <x v="2"/>
    <x v="0"/>
    <x v="470"/>
    <x v="2"/>
    <x v="440"/>
    <x v="444"/>
    <x v="0"/>
    <x v="0"/>
    <x v="0"/>
    <x v="477"/>
  </r>
  <r>
    <x v="0"/>
    <x v="186"/>
    <x v="1"/>
    <x v="2"/>
    <x v="0"/>
    <x v="471"/>
    <x v="2"/>
    <x v="441"/>
    <x v="445"/>
    <x v="0"/>
    <x v="0"/>
    <x v="0"/>
    <x v="478"/>
  </r>
  <r>
    <x v="0"/>
    <x v="187"/>
    <x v="9"/>
    <x v="2"/>
    <x v="0"/>
    <x v="472"/>
    <x v="341"/>
    <x v="442"/>
    <x v="446"/>
    <x v="0"/>
    <x v="0"/>
    <x v="0"/>
    <x v="479"/>
  </r>
  <r>
    <x v="0"/>
    <x v="188"/>
    <x v="6"/>
    <x v="0"/>
    <x v="0"/>
    <x v="473"/>
    <x v="342"/>
    <x v="443"/>
    <x v="447"/>
    <x v="0"/>
    <x v="0"/>
    <x v="0"/>
    <x v="480"/>
  </r>
  <r>
    <x v="0"/>
    <x v="188"/>
    <x v="9"/>
    <x v="0"/>
    <x v="0"/>
    <x v="474"/>
    <x v="2"/>
    <x v="444"/>
    <x v="448"/>
    <x v="0"/>
    <x v="0"/>
    <x v="0"/>
    <x v="481"/>
  </r>
  <r>
    <x v="0"/>
    <x v="188"/>
    <x v="1"/>
    <x v="0"/>
    <x v="0"/>
    <x v="475"/>
    <x v="343"/>
    <x v="22"/>
    <x v="22"/>
    <x v="0"/>
    <x v="0"/>
    <x v="0"/>
    <x v="22"/>
  </r>
  <r>
    <x v="0"/>
    <x v="188"/>
    <x v="6"/>
    <x v="2"/>
    <x v="0"/>
    <x v="476"/>
    <x v="344"/>
    <x v="445"/>
    <x v="449"/>
    <x v="0"/>
    <x v="0"/>
    <x v="0"/>
    <x v="482"/>
  </r>
  <r>
    <x v="0"/>
    <x v="188"/>
    <x v="16"/>
    <x v="2"/>
    <x v="0"/>
    <x v="477"/>
    <x v="345"/>
    <x v="22"/>
    <x v="22"/>
    <x v="0"/>
    <x v="0"/>
    <x v="0"/>
    <x v="22"/>
  </r>
  <r>
    <x v="0"/>
    <x v="188"/>
    <x v="19"/>
    <x v="2"/>
    <x v="0"/>
    <x v="9"/>
    <x v="2"/>
    <x v="22"/>
    <x v="22"/>
    <x v="0"/>
    <x v="16"/>
    <x v="41"/>
    <x v="483"/>
  </r>
  <r>
    <x v="0"/>
    <x v="188"/>
    <x v="1"/>
    <x v="2"/>
    <x v="0"/>
    <x v="478"/>
    <x v="346"/>
    <x v="446"/>
    <x v="450"/>
    <x v="0"/>
    <x v="0"/>
    <x v="0"/>
    <x v="484"/>
  </r>
  <r>
    <x v="0"/>
    <x v="188"/>
    <x v="10"/>
    <x v="2"/>
    <x v="0"/>
    <x v="479"/>
    <x v="347"/>
    <x v="447"/>
    <x v="451"/>
    <x v="0"/>
    <x v="0"/>
    <x v="0"/>
    <x v="485"/>
  </r>
  <r>
    <x v="0"/>
    <x v="189"/>
    <x v="2"/>
    <x v="1"/>
    <x v="0"/>
    <x v="480"/>
    <x v="348"/>
    <x v="448"/>
    <x v="452"/>
    <x v="0"/>
    <x v="0"/>
    <x v="0"/>
    <x v="486"/>
  </r>
  <r>
    <x v="0"/>
    <x v="189"/>
    <x v="3"/>
    <x v="1"/>
    <x v="0"/>
    <x v="481"/>
    <x v="349"/>
    <x v="449"/>
    <x v="453"/>
    <x v="0"/>
    <x v="0"/>
    <x v="0"/>
    <x v="487"/>
  </r>
  <r>
    <x v="0"/>
    <x v="189"/>
    <x v="1"/>
    <x v="1"/>
    <x v="0"/>
    <x v="482"/>
    <x v="350"/>
    <x v="450"/>
    <x v="454"/>
    <x v="0"/>
    <x v="0"/>
    <x v="0"/>
    <x v="488"/>
  </r>
  <r>
    <x v="0"/>
    <x v="190"/>
    <x v="0"/>
    <x v="4"/>
    <x v="0"/>
    <x v="9"/>
    <x v="2"/>
    <x v="22"/>
    <x v="22"/>
    <x v="29"/>
    <x v="0"/>
    <x v="42"/>
    <x v="489"/>
  </r>
  <r>
    <x v="0"/>
    <x v="190"/>
    <x v="0"/>
    <x v="2"/>
    <x v="0"/>
    <x v="9"/>
    <x v="2"/>
    <x v="22"/>
    <x v="22"/>
    <x v="0"/>
    <x v="17"/>
    <x v="43"/>
    <x v="490"/>
  </r>
  <r>
    <x v="0"/>
    <x v="190"/>
    <x v="9"/>
    <x v="2"/>
    <x v="0"/>
    <x v="9"/>
    <x v="2"/>
    <x v="22"/>
    <x v="22"/>
    <x v="30"/>
    <x v="0"/>
    <x v="44"/>
    <x v="491"/>
  </r>
  <r>
    <x v="0"/>
    <x v="191"/>
    <x v="13"/>
    <x v="1"/>
    <x v="0"/>
    <x v="483"/>
    <x v="351"/>
    <x v="451"/>
    <x v="455"/>
    <x v="0"/>
    <x v="0"/>
    <x v="0"/>
    <x v="492"/>
  </r>
  <r>
    <x v="0"/>
    <x v="191"/>
    <x v="22"/>
    <x v="1"/>
    <x v="0"/>
    <x v="484"/>
    <x v="352"/>
    <x v="22"/>
    <x v="22"/>
    <x v="0"/>
    <x v="0"/>
    <x v="0"/>
    <x v="22"/>
  </r>
  <r>
    <x v="0"/>
    <x v="191"/>
    <x v="6"/>
    <x v="4"/>
    <x v="0"/>
    <x v="9"/>
    <x v="2"/>
    <x v="22"/>
    <x v="22"/>
    <x v="0"/>
    <x v="18"/>
    <x v="45"/>
    <x v="493"/>
  </r>
  <r>
    <x v="0"/>
    <x v="191"/>
    <x v="6"/>
    <x v="2"/>
    <x v="0"/>
    <x v="9"/>
    <x v="2"/>
    <x v="22"/>
    <x v="22"/>
    <x v="31"/>
    <x v="0"/>
    <x v="46"/>
    <x v="494"/>
  </r>
  <r>
    <x v="0"/>
    <x v="192"/>
    <x v="18"/>
    <x v="3"/>
    <x v="0"/>
    <x v="485"/>
    <x v="353"/>
    <x v="452"/>
    <x v="456"/>
    <x v="0"/>
    <x v="0"/>
    <x v="0"/>
    <x v="495"/>
  </r>
  <r>
    <x v="0"/>
    <x v="192"/>
    <x v="0"/>
    <x v="3"/>
    <x v="0"/>
    <x v="486"/>
    <x v="354"/>
    <x v="453"/>
    <x v="457"/>
    <x v="0"/>
    <x v="0"/>
    <x v="0"/>
    <x v="496"/>
  </r>
  <r>
    <x v="0"/>
    <x v="193"/>
    <x v="0"/>
    <x v="0"/>
    <x v="0"/>
    <x v="487"/>
    <x v="355"/>
    <x v="454"/>
    <x v="458"/>
    <x v="0"/>
    <x v="0"/>
    <x v="0"/>
    <x v="497"/>
  </r>
  <r>
    <x v="0"/>
    <x v="193"/>
    <x v="1"/>
    <x v="0"/>
    <x v="0"/>
    <x v="488"/>
    <x v="356"/>
    <x v="455"/>
    <x v="459"/>
    <x v="0"/>
    <x v="0"/>
    <x v="0"/>
    <x v="498"/>
  </r>
  <r>
    <x v="0"/>
    <x v="194"/>
    <x v="6"/>
    <x v="4"/>
    <x v="0"/>
    <x v="9"/>
    <x v="2"/>
    <x v="22"/>
    <x v="22"/>
    <x v="0"/>
    <x v="19"/>
    <x v="47"/>
    <x v="499"/>
  </r>
  <r>
    <x v="0"/>
    <x v="195"/>
    <x v="16"/>
    <x v="0"/>
    <x v="0"/>
    <x v="489"/>
    <x v="357"/>
    <x v="456"/>
    <x v="460"/>
    <x v="0"/>
    <x v="0"/>
    <x v="0"/>
    <x v="500"/>
  </r>
  <r>
    <x v="0"/>
    <x v="195"/>
    <x v="0"/>
    <x v="0"/>
    <x v="0"/>
    <x v="490"/>
    <x v="358"/>
    <x v="457"/>
    <x v="461"/>
    <x v="0"/>
    <x v="0"/>
    <x v="0"/>
    <x v="501"/>
  </r>
  <r>
    <x v="0"/>
    <x v="195"/>
    <x v="1"/>
    <x v="0"/>
    <x v="0"/>
    <x v="491"/>
    <x v="359"/>
    <x v="458"/>
    <x v="462"/>
    <x v="0"/>
    <x v="0"/>
    <x v="0"/>
    <x v="502"/>
  </r>
  <r>
    <x v="0"/>
    <x v="195"/>
    <x v="10"/>
    <x v="0"/>
    <x v="0"/>
    <x v="492"/>
    <x v="360"/>
    <x v="459"/>
    <x v="463"/>
    <x v="0"/>
    <x v="0"/>
    <x v="0"/>
    <x v="503"/>
  </r>
  <r>
    <x v="0"/>
    <x v="196"/>
    <x v="21"/>
    <x v="4"/>
    <x v="33"/>
    <x v="9"/>
    <x v="2"/>
    <x v="22"/>
    <x v="464"/>
    <x v="0"/>
    <x v="0"/>
    <x v="0"/>
    <x v="504"/>
  </r>
  <r>
    <x v="0"/>
    <x v="197"/>
    <x v="19"/>
    <x v="2"/>
    <x v="0"/>
    <x v="9"/>
    <x v="2"/>
    <x v="22"/>
    <x v="22"/>
    <x v="0"/>
    <x v="20"/>
    <x v="48"/>
    <x v="505"/>
  </r>
  <r>
    <x v="0"/>
    <x v="198"/>
    <x v="1"/>
    <x v="5"/>
    <x v="0"/>
    <x v="493"/>
    <x v="361"/>
    <x v="460"/>
    <x v="465"/>
    <x v="0"/>
    <x v="0"/>
    <x v="0"/>
    <x v="506"/>
  </r>
  <r>
    <x v="0"/>
    <x v="199"/>
    <x v="0"/>
    <x v="0"/>
    <x v="0"/>
    <x v="494"/>
    <x v="2"/>
    <x v="461"/>
    <x v="466"/>
    <x v="0"/>
    <x v="0"/>
    <x v="0"/>
    <x v="507"/>
  </r>
  <r>
    <x v="0"/>
    <x v="199"/>
    <x v="1"/>
    <x v="0"/>
    <x v="34"/>
    <x v="495"/>
    <x v="362"/>
    <x v="462"/>
    <x v="467"/>
    <x v="0"/>
    <x v="0"/>
    <x v="0"/>
    <x v="508"/>
  </r>
  <r>
    <x v="0"/>
    <x v="200"/>
    <x v="1"/>
    <x v="0"/>
    <x v="0"/>
    <x v="496"/>
    <x v="363"/>
    <x v="463"/>
    <x v="468"/>
    <x v="0"/>
    <x v="0"/>
    <x v="0"/>
    <x v="509"/>
  </r>
  <r>
    <x v="0"/>
    <x v="201"/>
    <x v="1"/>
    <x v="0"/>
    <x v="0"/>
    <x v="6"/>
    <x v="2"/>
    <x v="6"/>
    <x v="6"/>
    <x v="0"/>
    <x v="0"/>
    <x v="0"/>
    <x v="6"/>
  </r>
  <r>
    <x v="0"/>
    <x v="201"/>
    <x v="10"/>
    <x v="0"/>
    <x v="0"/>
    <x v="497"/>
    <x v="364"/>
    <x v="22"/>
    <x v="22"/>
    <x v="0"/>
    <x v="0"/>
    <x v="0"/>
    <x v="22"/>
  </r>
  <r>
    <x v="0"/>
    <x v="202"/>
    <x v="1"/>
    <x v="2"/>
    <x v="0"/>
    <x v="9"/>
    <x v="365"/>
    <x v="464"/>
    <x v="469"/>
    <x v="0"/>
    <x v="0"/>
    <x v="0"/>
    <x v="510"/>
  </r>
  <r>
    <x v="0"/>
    <x v="203"/>
    <x v="9"/>
    <x v="0"/>
    <x v="0"/>
    <x v="498"/>
    <x v="366"/>
    <x v="465"/>
    <x v="470"/>
    <x v="0"/>
    <x v="0"/>
    <x v="0"/>
    <x v="511"/>
  </r>
  <r>
    <x v="0"/>
    <x v="203"/>
    <x v="1"/>
    <x v="0"/>
    <x v="0"/>
    <x v="499"/>
    <x v="367"/>
    <x v="466"/>
    <x v="471"/>
    <x v="0"/>
    <x v="0"/>
    <x v="0"/>
    <x v="512"/>
  </r>
  <r>
    <x v="0"/>
    <x v="204"/>
    <x v="10"/>
    <x v="2"/>
    <x v="0"/>
    <x v="500"/>
    <x v="368"/>
    <x v="22"/>
    <x v="22"/>
    <x v="0"/>
    <x v="0"/>
    <x v="0"/>
    <x v="22"/>
  </r>
  <r>
    <x v="0"/>
    <x v="205"/>
    <x v="22"/>
    <x v="1"/>
    <x v="0"/>
    <x v="501"/>
    <x v="369"/>
    <x v="467"/>
    <x v="472"/>
    <x v="0"/>
    <x v="0"/>
    <x v="0"/>
    <x v="513"/>
  </r>
  <r>
    <x v="0"/>
    <x v="206"/>
    <x v="0"/>
    <x v="0"/>
    <x v="0"/>
    <x v="502"/>
    <x v="370"/>
    <x v="468"/>
    <x v="473"/>
    <x v="0"/>
    <x v="0"/>
    <x v="0"/>
    <x v="514"/>
  </r>
  <r>
    <x v="0"/>
    <x v="206"/>
    <x v="7"/>
    <x v="0"/>
    <x v="0"/>
    <x v="503"/>
    <x v="371"/>
    <x v="469"/>
    <x v="474"/>
    <x v="0"/>
    <x v="0"/>
    <x v="0"/>
    <x v="515"/>
  </r>
  <r>
    <x v="0"/>
    <x v="206"/>
    <x v="9"/>
    <x v="0"/>
    <x v="0"/>
    <x v="504"/>
    <x v="372"/>
    <x v="470"/>
    <x v="475"/>
    <x v="0"/>
    <x v="0"/>
    <x v="0"/>
    <x v="516"/>
  </r>
  <r>
    <x v="0"/>
    <x v="206"/>
    <x v="1"/>
    <x v="0"/>
    <x v="0"/>
    <x v="505"/>
    <x v="373"/>
    <x v="471"/>
    <x v="476"/>
    <x v="0"/>
    <x v="0"/>
    <x v="0"/>
    <x v="517"/>
  </r>
  <r>
    <x v="0"/>
    <x v="206"/>
    <x v="0"/>
    <x v="3"/>
    <x v="0"/>
    <x v="506"/>
    <x v="374"/>
    <x v="472"/>
    <x v="477"/>
    <x v="0"/>
    <x v="0"/>
    <x v="0"/>
    <x v="518"/>
  </r>
  <r>
    <x v="0"/>
    <x v="206"/>
    <x v="7"/>
    <x v="3"/>
    <x v="0"/>
    <x v="507"/>
    <x v="375"/>
    <x v="473"/>
    <x v="478"/>
    <x v="0"/>
    <x v="0"/>
    <x v="0"/>
    <x v="519"/>
  </r>
  <r>
    <x v="0"/>
    <x v="206"/>
    <x v="1"/>
    <x v="3"/>
    <x v="0"/>
    <x v="508"/>
    <x v="376"/>
    <x v="474"/>
    <x v="479"/>
    <x v="0"/>
    <x v="0"/>
    <x v="0"/>
    <x v="520"/>
  </r>
  <r>
    <x v="0"/>
    <x v="206"/>
    <x v="1"/>
    <x v="5"/>
    <x v="0"/>
    <x v="509"/>
    <x v="377"/>
    <x v="475"/>
    <x v="480"/>
    <x v="0"/>
    <x v="0"/>
    <x v="0"/>
    <x v="521"/>
  </r>
  <r>
    <x v="0"/>
    <x v="207"/>
    <x v="0"/>
    <x v="0"/>
    <x v="0"/>
    <x v="510"/>
    <x v="378"/>
    <x v="476"/>
    <x v="481"/>
    <x v="0"/>
    <x v="0"/>
    <x v="0"/>
    <x v="522"/>
  </r>
  <r>
    <x v="0"/>
    <x v="207"/>
    <x v="1"/>
    <x v="0"/>
    <x v="0"/>
    <x v="511"/>
    <x v="379"/>
    <x v="477"/>
    <x v="482"/>
    <x v="0"/>
    <x v="0"/>
    <x v="0"/>
    <x v="523"/>
  </r>
  <r>
    <x v="0"/>
    <x v="208"/>
    <x v="0"/>
    <x v="0"/>
    <x v="0"/>
    <x v="512"/>
    <x v="380"/>
    <x v="22"/>
    <x v="22"/>
    <x v="0"/>
    <x v="0"/>
    <x v="0"/>
    <x v="22"/>
  </r>
  <r>
    <x v="0"/>
    <x v="208"/>
    <x v="1"/>
    <x v="0"/>
    <x v="0"/>
    <x v="513"/>
    <x v="381"/>
    <x v="478"/>
    <x v="483"/>
    <x v="0"/>
    <x v="0"/>
    <x v="0"/>
    <x v="524"/>
  </r>
  <r>
    <x v="0"/>
    <x v="209"/>
    <x v="0"/>
    <x v="5"/>
    <x v="0"/>
    <x v="514"/>
    <x v="382"/>
    <x v="479"/>
    <x v="484"/>
    <x v="0"/>
    <x v="0"/>
    <x v="0"/>
    <x v="525"/>
  </r>
  <r>
    <x v="0"/>
    <x v="209"/>
    <x v="1"/>
    <x v="5"/>
    <x v="0"/>
    <x v="515"/>
    <x v="383"/>
    <x v="480"/>
    <x v="485"/>
    <x v="0"/>
    <x v="0"/>
    <x v="0"/>
    <x v="526"/>
  </r>
  <r>
    <x v="0"/>
    <x v="210"/>
    <x v="20"/>
    <x v="4"/>
    <x v="0"/>
    <x v="166"/>
    <x v="96"/>
    <x v="159"/>
    <x v="161"/>
    <x v="0"/>
    <x v="0"/>
    <x v="0"/>
    <x v="169"/>
  </r>
  <r>
    <x v="0"/>
    <x v="211"/>
    <x v="20"/>
    <x v="4"/>
    <x v="0"/>
    <x v="166"/>
    <x v="96"/>
    <x v="159"/>
    <x v="161"/>
    <x v="0"/>
    <x v="0"/>
    <x v="0"/>
    <x v="169"/>
  </r>
  <r>
    <x v="0"/>
    <x v="212"/>
    <x v="20"/>
    <x v="4"/>
    <x v="0"/>
    <x v="516"/>
    <x v="384"/>
    <x v="481"/>
    <x v="486"/>
    <x v="0"/>
    <x v="0"/>
    <x v="0"/>
    <x v="527"/>
  </r>
  <r>
    <x v="0"/>
    <x v="213"/>
    <x v="1"/>
    <x v="0"/>
    <x v="35"/>
    <x v="517"/>
    <x v="385"/>
    <x v="482"/>
    <x v="487"/>
    <x v="0"/>
    <x v="0"/>
    <x v="0"/>
    <x v="528"/>
  </r>
  <r>
    <x v="0"/>
    <x v="214"/>
    <x v="11"/>
    <x v="0"/>
    <x v="0"/>
    <x v="6"/>
    <x v="2"/>
    <x v="6"/>
    <x v="6"/>
    <x v="0"/>
    <x v="0"/>
    <x v="0"/>
    <x v="6"/>
  </r>
  <r>
    <x v="0"/>
    <x v="214"/>
    <x v="0"/>
    <x v="0"/>
    <x v="0"/>
    <x v="518"/>
    <x v="2"/>
    <x v="483"/>
    <x v="488"/>
    <x v="0"/>
    <x v="0"/>
    <x v="0"/>
    <x v="529"/>
  </r>
  <r>
    <x v="0"/>
    <x v="214"/>
    <x v="9"/>
    <x v="0"/>
    <x v="0"/>
    <x v="519"/>
    <x v="2"/>
    <x v="484"/>
    <x v="489"/>
    <x v="0"/>
    <x v="0"/>
    <x v="0"/>
    <x v="530"/>
  </r>
  <r>
    <x v="0"/>
    <x v="214"/>
    <x v="1"/>
    <x v="0"/>
    <x v="36"/>
    <x v="520"/>
    <x v="2"/>
    <x v="485"/>
    <x v="490"/>
    <x v="0"/>
    <x v="0"/>
    <x v="0"/>
    <x v="531"/>
  </r>
  <r>
    <x v="0"/>
    <x v="214"/>
    <x v="10"/>
    <x v="0"/>
    <x v="0"/>
    <x v="521"/>
    <x v="386"/>
    <x v="486"/>
    <x v="491"/>
    <x v="0"/>
    <x v="0"/>
    <x v="0"/>
    <x v="532"/>
  </r>
  <r>
    <x v="0"/>
    <x v="215"/>
    <x v="1"/>
    <x v="0"/>
    <x v="0"/>
    <x v="522"/>
    <x v="387"/>
    <x v="487"/>
    <x v="492"/>
    <x v="0"/>
    <x v="0"/>
    <x v="0"/>
    <x v="533"/>
  </r>
  <r>
    <x v="0"/>
    <x v="216"/>
    <x v="1"/>
    <x v="0"/>
    <x v="0"/>
    <x v="523"/>
    <x v="388"/>
    <x v="488"/>
    <x v="493"/>
    <x v="0"/>
    <x v="0"/>
    <x v="0"/>
    <x v="534"/>
  </r>
  <r>
    <x v="0"/>
    <x v="217"/>
    <x v="10"/>
    <x v="0"/>
    <x v="0"/>
    <x v="524"/>
    <x v="389"/>
    <x v="489"/>
    <x v="494"/>
    <x v="0"/>
    <x v="0"/>
    <x v="0"/>
    <x v="535"/>
  </r>
  <r>
    <x v="0"/>
    <x v="217"/>
    <x v="10"/>
    <x v="2"/>
    <x v="0"/>
    <x v="525"/>
    <x v="390"/>
    <x v="490"/>
    <x v="495"/>
    <x v="0"/>
    <x v="0"/>
    <x v="0"/>
    <x v="536"/>
  </r>
  <r>
    <x v="0"/>
    <x v="218"/>
    <x v="1"/>
    <x v="2"/>
    <x v="0"/>
    <x v="526"/>
    <x v="391"/>
    <x v="491"/>
    <x v="496"/>
    <x v="0"/>
    <x v="0"/>
    <x v="0"/>
    <x v="537"/>
  </r>
  <r>
    <x v="0"/>
    <x v="219"/>
    <x v="20"/>
    <x v="4"/>
    <x v="0"/>
    <x v="166"/>
    <x v="96"/>
    <x v="159"/>
    <x v="161"/>
    <x v="0"/>
    <x v="0"/>
    <x v="0"/>
    <x v="169"/>
  </r>
  <r>
    <x v="0"/>
    <x v="220"/>
    <x v="0"/>
    <x v="0"/>
    <x v="0"/>
    <x v="527"/>
    <x v="2"/>
    <x v="492"/>
    <x v="497"/>
    <x v="0"/>
    <x v="0"/>
    <x v="0"/>
    <x v="538"/>
  </r>
  <r>
    <x v="0"/>
    <x v="221"/>
    <x v="2"/>
    <x v="1"/>
    <x v="0"/>
    <x v="6"/>
    <x v="2"/>
    <x v="6"/>
    <x v="6"/>
    <x v="0"/>
    <x v="0"/>
    <x v="0"/>
    <x v="6"/>
  </r>
  <r>
    <x v="0"/>
    <x v="222"/>
    <x v="13"/>
    <x v="1"/>
    <x v="0"/>
    <x v="528"/>
    <x v="392"/>
    <x v="493"/>
    <x v="498"/>
    <x v="0"/>
    <x v="0"/>
    <x v="0"/>
    <x v="539"/>
  </r>
  <r>
    <x v="0"/>
    <x v="222"/>
    <x v="2"/>
    <x v="1"/>
    <x v="0"/>
    <x v="529"/>
    <x v="393"/>
    <x v="494"/>
    <x v="499"/>
    <x v="0"/>
    <x v="0"/>
    <x v="0"/>
    <x v="540"/>
  </r>
  <r>
    <x v="0"/>
    <x v="222"/>
    <x v="21"/>
    <x v="1"/>
    <x v="0"/>
    <x v="530"/>
    <x v="394"/>
    <x v="495"/>
    <x v="500"/>
    <x v="0"/>
    <x v="0"/>
    <x v="0"/>
    <x v="541"/>
  </r>
  <r>
    <x v="0"/>
    <x v="222"/>
    <x v="21"/>
    <x v="2"/>
    <x v="0"/>
    <x v="531"/>
    <x v="395"/>
    <x v="496"/>
    <x v="501"/>
    <x v="0"/>
    <x v="0"/>
    <x v="0"/>
    <x v="542"/>
  </r>
  <r>
    <x v="0"/>
    <x v="222"/>
    <x v="1"/>
    <x v="2"/>
    <x v="0"/>
    <x v="532"/>
    <x v="396"/>
    <x v="22"/>
    <x v="22"/>
    <x v="0"/>
    <x v="0"/>
    <x v="0"/>
    <x v="22"/>
  </r>
  <r>
    <x v="0"/>
    <x v="223"/>
    <x v="11"/>
    <x v="0"/>
    <x v="0"/>
    <x v="533"/>
    <x v="2"/>
    <x v="497"/>
    <x v="502"/>
    <x v="0"/>
    <x v="0"/>
    <x v="0"/>
    <x v="543"/>
  </r>
  <r>
    <x v="0"/>
    <x v="223"/>
    <x v="6"/>
    <x v="0"/>
    <x v="0"/>
    <x v="534"/>
    <x v="2"/>
    <x v="498"/>
    <x v="503"/>
    <x v="0"/>
    <x v="0"/>
    <x v="0"/>
    <x v="544"/>
  </r>
  <r>
    <x v="0"/>
    <x v="223"/>
    <x v="0"/>
    <x v="0"/>
    <x v="0"/>
    <x v="535"/>
    <x v="2"/>
    <x v="499"/>
    <x v="504"/>
    <x v="0"/>
    <x v="0"/>
    <x v="0"/>
    <x v="545"/>
  </r>
  <r>
    <x v="0"/>
    <x v="223"/>
    <x v="9"/>
    <x v="0"/>
    <x v="0"/>
    <x v="536"/>
    <x v="2"/>
    <x v="500"/>
    <x v="505"/>
    <x v="0"/>
    <x v="0"/>
    <x v="0"/>
    <x v="546"/>
  </r>
  <r>
    <x v="0"/>
    <x v="223"/>
    <x v="14"/>
    <x v="0"/>
    <x v="0"/>
    <x v="537"/>
    <x v="397"/>
    <x v="501"/>
    <x v="506"/>
    <x v="0"/>
    <x v="0"/>
    <x v="0"/>
    <x v="547"/>
  </r>
  <r>
    <x v="0"/>
    <x v="223"/>
    <x v="23"/>
    <x v="0"/>
    <x v="0"/>
    <x v="538"/>
    <x v="2"/>
    <x v="502"/>
    <x v="507"/>
    <x v="0"/>
    <x v="0"/>
    <x v="0"/>
    <x v="548"/>
  </r>
  <r>
    <x v="0"/>
    <x v="223"/>
    <x v="4"/>
    <x v="0"/>
    <x v="0"/>
    <x v="539"/>
    <x v="398"/>
    <x v="503"/>
    <x v="508"/>
    <x v="0"/>
    <x v="0"/>
    <x v="0"/>
    <x v="549"/>
  </r>
  <r>
    <x v="0"/>
    <x v="223"/>
    <x v="1"/>
    <x v="0"/>
    <x v="0"/>
    <x v="540"/>
    <x v="399"/>
    <x v="504"/>
    <x v="509"/>
    <x v="0"/>
    <x v="0"/>
    <x v="0"/>
    <x v="550"/>
  </r>
  <r>
    <x v="0"/>
    <x v="223"/>
    <x v="10"/>
    <x v="0"/>
    <x v="0"/>
    <x v="541"/>
    <x v="400"/>
    <x v="505"/>
    <x v="510"/>
    <x v="0"/>
    <x v="0"/>
    <x v="0"/>
    <x v="551"/>
  </r>
  <r>
    <x v="0"/>
    <x v="224"/>
    <x v="1"/>
    <x v="0"/>
    <x v="0"/>
    <x v="542"/>
    <x v="401"/>
    <x v="506"/>
    <x v="511"/>
    <x v="0"/>
    <x v="0"/>
    <x v="0"/>
    <x v="552"/>
  </r>
  <r>
    <x v="0"/>
    <x v="225"/>
    <x v="0"/>
    <x v="2"/>
    <x v="0"/>
    <x v="543"/>
    <x v="402"/>
    <x v="507"/>
    <x v="512"/>
    <x v="0"/>
    <x v="0"/>
    <x v="0"/>
    <x v="553"/>
  </r>
  <r>
    <x v="0"/>
    <x v="225"/>
    <x v="9"/>
    <x v="2"/>
    <x v="0"/>
    <x v="544"/>
    <x v="403"/>
    <x v="508"/>
    <x v="513"/>
    <x v="0"/>
    <x v="0"/>
    <x v="0"/>
    <x v="554"/>
  </r>
  <r>
    <x v="0"/>
    <x v="225"/>
    <x v="1"/>
    <x v="2"/>
    <x v="0"/>
    <x v="545"/>
    <x v="404"/>
    <x v="509"/>
    <x v="514"/>
    <x v="0"/>
    <x v="0"/>
    <x v="0"/>
    <x v="555"/>
  </r>
  <r>
    <x v="0"/>
    <x v="226"/>
    <x v="1"/>
    <x v="3"/>
    <x v="0"/>
    <x v="546"/>
    <x v="405"/>
    <x v="22"/>
    <x v="22"/>
    <x v="0"/>
    <x v="0"/>
    <x v="0"/>
    <x v="22"/>
  </r>
  <r>
    <x v="0"/>
    <x v="227"/>
    <x v="0"/>
    <x v="0"/>
    <x v="0"/>
    <x v="547"/>
    <x v="2"/>
    <x v="510"/>
    <x v="515"/>
    <x v="0"/>
    <x v="0"/>
    <x v="0"/>
    <x v="556"/>
  </r>
  <r>
    <x v="0"/>
    <x v="227"/>
    <x v="1"/>
    <x v="0"/>
    <x v="0"/>
    <x v="548"/>
    <x v="406"/>
    <x v="511"/>
    <x v="516"/>
    <x v="0"/>
    <x v="0"/>
    <x v="0"/>
    <x v="557"/>
  </r>
  <r>
    <x v="0"/>
    <x v="228"/>
    <x v="22"/>
    <x v="1"/>
    <x v="0"/>
    <x v="549"/>
    <x v="407"/>
    <x v="512"/>
    <x v="517"/>
    <x v="0"/>
    <x v="0"/>
    <x v="0"/>
    <x v="558"/>
  </r>
  <r>
    <x v="0"/>
    <x v="228"/>
    <x v="21"/>
    <x v="1"/>
    <x v="0"/>
    <x v="9"/>
    <x v="2"/>
    <x v="22"/>
    <x v="22"/>
    <x v="32"/>
    <x v="0"/>
    <x v="49"/>
    <x v="559"/>
  </r>
  <r>
    <x v="0"/>
    <x v="229"/>
    <x v="18"/>
    <x v="2"/>
    <x v="0"/>
    <x v="550"/>
    <x v="2"/>
    <x v="513"/>
    <x v="518"/>
    <x v="0"/>
    <x v="0"/>
    <x v="0"/>
    <x v="560"/>
  </r>
  <r>
    <x v="0"/>
    <x v="229"/>
    <x v="0"/>
    <x v="2"/>
    <x v="37"/>
    <x v="551"/>
    <x v="408"/>
    <x v="514"/>
    <x v="519"/>
    <x v="0"/>
    <x v="0"/>
    <x v="0"/>
    <x v="561"/>
  </r>
  <r>
    <x v="0"/>
    <x v="229"/>
    <x v="9"/>
    <x v="2"/>
    <x v="0"/>
    <x v="552"/>
    <x v="2"/>
    <x v="515"/>
    <x v="520"/>
    <x v="0"/>
    <x v="0"/>
    <x v="0"/>
    <x v="562"/>
  </r>
  <r>
    <x v="0"/>
    <x v="229"/>
    <x v="23"/>
    <x v="2"/>
    <x v="0"/>
    <x v="553"/>
    <x v="2"/>
    <x v="516"/>
    <x v="521"/>
    <x v="0"/>
    <x v="0"/>
    <x v="0"/>
    <x v="563"/>
  </r>
  <r>
    <x v="0"/>
    <x v="229"/>
    <x v="1"/>
    <x v="2"/>
    <x v="0"/>
    <x v="554"/>
    <x v="2"/>
    <x v="517"/>
    <x v="522"/>
    <x v="0"/>
    <x v="0"/>
    <x v="0"/>
    <x v="564"/>
  </r>
  <r>
    <x v="0"/>
    <x v="229"/>
    <x v="10"/>
    <x v="2"/>
    <x v="38"/>
    <x v="555"/>
    <x v="409"/>
    <x v="518"/>
    <x v="523"/>
    <x v="33"/>
    <x v="21"/>
    <x v="50"/>
    <x v="565"/>
  </r>
  <r>
    <x v="0"/>
    <x v="230"/>
    <x v="0"/>
    <x v="1"/>
    <x v="0"/>
    <x v="9"/>
    <x v="410"/>
    <x v="519"/>
    <x v="524"/>
    <x v="0"/>
    <x v="0"/>
    <x v="0"/>
    <x v="566"/>
  </r>
  <r>
    <x v="0"/>
    <x v="230"/>
    <x v="5"/>
    <x v="1"/>
    <x v="39"/>
    <x v="556"/>
    <x v="411"/>
    <x v="520"/>
    <x v="525"/>
    <x v="0"/>
    <x v="0"/>
    <x v="0"/>
    <x v="567"/>
  </r>
  <r>
    <x v="0"/>
    <x v="230"/>
    <x v="21"/>
    <x v="1"/>
    <x v="40"/>
    <x v="557"/>
    <x v="412"/>
    <x v="22"/>
    <x v="526"/>
    <x v="0"/>
    <x v="0"/>
    <x v="0"/>
    <x v="568"/>
  </r>
  <r>
    <x v="0"/>
    <x v="230"/>
    <x v="1"/>
    <x v="1"/>
    <x v="41"/>
    <x v="558"/>
    <x v="413"/>
    <x v="22"/>
    <x v="527"/>
    <x v="0"/>
    <x v="0"/>
    <x v="0"/>
    <x v="569"/>
  </r>
  <r>
    <x v="0"/>
    <x v="230"/>
    <x v="0"/>
    <x v="3"/>
    <x v="0"/>
    <x v="559"/>
    <x v="414"/>
    <x v="22"/>
    <x v="22"/>
    <x v="0"/>
    <x v="0"/>
    <x v="0"/>
    <x v="22"/>
  </r>
  <r>
    <x v="0"/>
    <x v="231"/>
    <x v="0"/>
    <x v="1"/>
    <x v="0"/>
    <x v="560"/>
    <x v="2"/>
    <x v="521"/>
    <x v="528"/>
    <x v="0"/>
    <x v="0"/>
    <x v="0"/>
    <x v="570"/>
  </r>
  <r>
    <x v="0"/>
    <x v="231"/>
    <x v="5"/>
    <x v="1"/>
    <x v="42"/>
    <x v="561"/>
    <x v="415"/>
    <x v="522"/>
    <x v="529"/>
    <x v="0"/>
    <x v="0"/>
    <x v="0"/>
    <x v="571"/>
  </r>
  <r>
    <x v="0"/>
    <x v="231"/>
    <x v="21"/>
    <x v="1"/>
    <x v="43"/>
    <x v="562"/>
    <x v="416"/>
    <x v="523"/>
    <x v="530"/>
    <x v="0"/>
    <x v="0"/>
    <x v="0"/>
    <x v="572"/>
  </r>
  <r>
    <x v="0"/>
    <x v="231"/>
    <x v="1"/>
    <x v="1"/>
    <x v="44"/>
    <x v="563"/>
    <x v="417"/>
    <x v="524"/>
    <x v="531"/>
    <x v="0"/>
    <x v="0"/>
    <x v="0"/>
    <x v="573"/>
  </r>
  <r>
    <x v="0"/>
    <x v="231"/>
    <x v="5"/>
    <x v="4"/>
    <x v="0"/>
    <x v="564"/>
    <x v="418"/>
    <x v="22"/>
    <x v="22"/>
    <x v="0"/>
    <x v="0"/>
    <x v="0"/>
    <x v="22"/>
  </r>
  <r>
    <x v="0"/>
    <x v="231"/>
    <x v="1"/>
    <x v="4"/>
    <x v="0"/>
    <x v="565"/>
    <x v="2"/>
    <x v="525"/>
    <x v="532"/>
    <x v="0"/>
    <x v="0"/>
    <x v="0"/>
    <x v="574"/>
  </r>
  <r>
    <x v="0"/>
    <x v="231"/>
    <x v="8"/>
    <x v="2"/>
    <x v="0"/>
    <x v="566"/>
    <x v="2"/>
    <x v="526"/>
    <x v="533"/>
    <x v="0"/>
    <x v="0"/>
    <x v="0"/>
    <x v="575"/>
  </r>
  <r>
    <x v="0"/>
    <x v="231"/>
    <x v="11"/>
    <x v="2"/>
    <x v="45"/>
    <x v="567"/>
    <x v="419"/>
    <x v="527"/>
    <x v="534"/>
    <x v="0"/>
    <x v="0"/>
    <x v="0"/>
    <x v="576"/>
  </r>
  <r>
    <x v="0"/>
    <x v="231"/>
    <x v="6"/>
    <x v="2"/>
    <x v="0"/>
    <x v="568"/>
    <x v="420"/>
    <x v="528"/>
    <x v="535"/>
    <x v="0"/>
    <x v="0"/>
    <x v="0"/>
    <x v="577"/>
  </r>
  <r>
    <x v="0"/>
    <x v="231"/>
    <x v="16"/>
    <x v="2"/>
    <x v="0"/>
    <x v="569"/>
    <x v="421"/>
    <x v="22"/>
    <x v="22"/>
    <x v="0"/>
    <x v="0"/>
    <x v="0"/>
    <x v="22"/>
  </r>
  <r>
    <x v="0"/>
    <x v="231"/>
    <x v="0"/>
    <x v="2"/>
    <x v="0"/>
    <x v="570"/>
    <x v="422"/>
    <x v="529"/>
    <x v="536"/>
    <x v="34"/>
    <x v="22"/>
    <x v="51"/>
    <x v="578"/>
  </r>
  <r>
    <x v="0"/>
    <x v="231"/>
    <x v="9"/>
    <x v="2"/>
    <x v="0"/>
    <x v="571"/>
    <x v="2"/>
    <x v="530"/>
    <x v="537"/>
    <x v="0"/>
    <x v="0"/>
    <x v="0"/>
    <x v="579"/>
  </r>
  <r>
    <x v="0"/>
    <x v="231"/>
    <x v="1"/>
    <x v="2"/>
    <x v="46"/>
    <x v="572"/>
    <x v="423"/>
    <x v="531"/>
    <x v="538"/>
    <x v="0"/>
    <x v="0"/>
    <x v="0"/>
    <x v="580"/>
  </r>
  <r>
    <x v="0"/>
    <x v="231"/>
    <x v="10"/>
    <x v="2"/>
    <x v="0"/>
    <x v="573"/>
    <x v="2"/>
    <x v="532"/>
    <x v="539"/>
    <x v="0"/>
    <x v="0"/>
    <x v="0"/>
    <x v="581"/>
  </r>
  <r>
    <x v="0"/>
    <x v="231"/>
    <x v="8"/>
    <x v="3"/>
    <x v="0"/>
    <x v="574"/>
    <x v="2"/>
    <x v="533"/>
    <x v="540"/>
    <x v="0"/>
    <x v="0"/>
    <x v="0"/>
    <x v="582"/>
  </r>
  <r>
    <x v="0"/>
    <x v="231"/>
    <x v="15"/>
    <x v="3"/>
    <x v="0"/>
    <x v="575"/>
    <x v="2"/>
    <x v="534"/>
    <x v="541"/>
    <x v="0"/>
    <x v="0"/>
    <x v="0"/>
    <x v="583"/>
  </r>
  <r>
    <x v="0"/>
    <x v="231"/>
    <x v="25"/>
    <x v="3"/>
    <x v="0"/>
    <x v="576"/>
    <x v="2"/>
    <x v="535"/>
    <x v="542"/>
    <x v="0"/>
    <x v="0"/>
    <x v="0"/>
    <x v="584"/>
  </r>
  <r>
    <x v="0"/>
    <x v="231"/>
    <x v="0"/>
    <x v="3"/>
    <x v="0"/>
    <x v="577"/>
    <x v="2"/>
    <x v="536"/>
    <x v="543"/>
    <x v="0"/>
    <x v="0"/>
    <x v="0"/>
    <x v="585"/>
  </r>
  <r>
    <x v="0"/>
    <x v="231"/>
    <x v="9"/>
    <x v="3"/>
    <x v="0"/>
    <x v="578"/>
    <x v="2"/>
    <x v="537"/>
    <x v="544"/>
    <x v="0"/>
    <x v="0"/>
    <x v="0"/>
    <x v="586"/>
  </r>
  <r>
    <x v="0"/>
    <x v="231"/>
    <x v="1"/>
    <x v="3"/>
    <x v="0"/>
    <x v="579"/>
    <x v="424"/>
    <x v="538"/>
    <x v="545"/>
    <x v="0"/>
    <x v="0"/>
    <x v="0"/>
    <x v="587"/>
  </r>
  <r>
    <x v="0"/>
    <x v="231"/>
    <x v="10"/>
    <x v="3"/>
    <x v="0"/>
    <x v="580"/>
    <x v="2"/>
    <x v="539"/>
    <x v="546"/>
    <x v="0"/>
    <x v="0"/>
    <x v="0"/>
    <x v="588"/>
  </r>
  <r>
    <x v="0"/>
    <x v="232"/>
    <x v="18"/>
    <x v="2"/>
    <x v="0"/>
    <x v="581"/>
    <x v="2"/>
    <x v="540"/>
    <x v="547"/>
    <x v="0"/>
    <x v="0"/>
    <x v="0"/>
    <x v="589"/>
  </r>
  <r>
    <x v="0"/>
    <x v="232"/>
    <x v="0"/>
    <x v="2"/>
    <x v="0"/>
    <x v="582"/>
    <x v="2"/>
    <x v="541"/>
    <x v="548"/>
    <x v="0"/>
    <x v="0"/>
    <x v="0"/>
    <x v="590"/>
  </r>
  <r>
    <x v="0"/>
    <x v="232"/>
    <x v="1"/>
    <x v="2"/>
    <x v="0"/>
    <x v="583"/>
    <x v="425"/>
    <x v="542"/>
    <x v="549"/>
    <x v="35"/>
    <x v="23"/>
    <x v="52"/>
    <x v="591"/>
  </r>
  <r>
    <x v="0"/>
    <x v="232"/>
    <x v="10"/>
    <x v="2"/>
    <x v="47"/>
    <x v="584"/>
    <x v="426"/>
    <x v="543"/>
    <x v="550"/>
    <x v="36"/>
    <x v="24"/>
    <x v="53"/>
    <x v="592"/>
  </r>
  <r>
    <x v="0"/>
    <x v="233"/>
    <x v="1"/>
    <x v="2"/>
    <x v="0"/>
    <x v="585"/>
    <x v="427"/>
    <x v="544"/>
    <x v="551"/>
    <x v="0"/>
    <x v="0"/>
    <x v="0"/>
    <x v="593"/>
  </r>
  <r>
    <x v="0"/>
    <x v="234"/>
    <x v="0"/>
    <x v="0"/>
    <x v="0"/>
    <x v="586"/>
    <x v="2"/>
    <x v="545"/>
    <x v="552"/>
    <x v="0"/>
    <x v="0"/>
    <x v="0"/>
    <x v="594"/>
  </r>
  <r>
    <x v="0"/>
    <x v="234"/>
    <x v="9"/>
    <x v="0"/>
    <x v="0"/>
    <x v="587"/>
    <x v="2"/>
    <x v="546"/>
    <x v="553"/>
    <x v="0"/>
    <x v="0"/>
    <x v="0"/>
    <x v="595"/>
  </r>
  <r>
    <x v="0"/>
    <x v="234"/>
    <x v="14"/>
    <x v="0"/>
    <x v="0"/>
    <x v="588"/>
    <x v="428"/>
    <x v="547"/>
    <x v="554"/>
    <x v="0"/>
    <x v="0"/>
    <x v="0"/>
    <x v="596"/>
  </r>
  <r>
    <x v="0"/>
    <x v="234"/>
    <x v="4"/>
    <x v="0"/>
    <x v="0"/>
    <x v="9"/>
    <x v="429"/>
    <x v="548"/>
    <x v="555"/>
    <x v="0"/>
    <x v="0"/>
    <x v="0"/>
    <x v="597"/>
  </r>
  <r>
    <x v="0"/>
    <x v="234"/>
    <x v="1"/>
    <x v="0"/>
    <x v="0"/>
    <x v="589"/>
    <x v="430"/>
    <x v="549"/>
    <x v="556"/>
    <x v="0"/>
    <x v="0"/>
    <x v="0"/>
    <x v="598"/>
  </r>
  <r>
    <x v="0"/>
    <x v="235"/>
    <x v="0"/>
    <x v="2"/>
    <x v="0"/>
    <x v="590"/>
    <x v="2"/>
    <x v="550"/>
    <x v="557"/>
    <x v="0"/>
    <x v="0"/>
    <x v="0"/>
    <x v="599"/>
  </r>
  <r>
    <x v="0"/>
    <x v="235"/>
    <x v="10"/>
    <x v="2"/>
    <x v="0"/>
    <x v="591"/>
    <x v="431"/>
    <x v="22"/>
    <x v="22"/>
    <x v="0"/>
    <x v="0"/>
    <x v="0"/>
    <x v="22"/>
  </r>
  <r>
    <x v="0"/>
    <x v="236"/>
    <x v="22"/>
    <x v="1"/>
    <x v="0"/>
    <x v="592"/>
    <x v="432"/>
    <x v="551"/>
    <x v="558"/>
    <x v="0"/>
    <x v="0"/>
    <x v="0"/>
    <x v="600"/>
  </r>
  <r>
    <x v="0"/>
    <x v="237"/>
    <x v="21"/>
    <x v="1"/>
    <x v="0"/>
    <x v="9"/>
    <x v="2"/>
    <x v="22"/>
    <x v="22"/>
    <x v="37"/>
    <x v="25"/>
    <x v="54"/>
    <x v="601"/>
  </r>
  <r>
    <x v="0"/>
    <x v="238"/>
    <x v="0"/>
    <x v="3"/>
    <x v="0"/>
    <x v="593"/>
    <x v="433"/>
    <x v="552"/>
    <x v="559"/>
    <x v="0"/>
    <x v="0"/>
    <x v="0"/>
    <x v="602"/>
  </r>
  <r>
    <x v="0"/>
    <x v="238"/>
    <x v="9"/>
    <x v="3"/>
    <x v="0"/>
    <x v="594"/>
    <x v="434"/>
    <x v="553"/>
    <x v="560"/>
    <x v="0"/>
    <x v="0"/>
    <x v="0"/>
    <x v="603"/>
  </r>
  <r>
    <x v="0"/>
    <x v="238"/>
    <x v="1"/>
    <x v="3"/>
    <x v="0"/>
    <x v="595"/>
    <x v="435"/>
    <x v="554"/>
    <x v="561"/>
    <x v="0"/>
    <x v="0"/>
    <x v="0"/>
    <x v="604"/>
  </r>
  <r>
    <x v="0"/>
    <x v="239"/>
    <x v="0"/>
    <x v="2"/>
    <x v="0"/>
    <x v="596"/>
    <x v="436"/>
    <x v="555"/>
    <x v="562"/>
    <x v="0"/>
    <x v="0"/>
    <x v="0"/>
    <x v="605"/>
  </r>
  <r>
    <x v="0"/>
    <x v="239"/>
    <x v="9"/>
    <x v="2"/>
    <x v="0"/>
    <x v="597"/>
    <x v="437"/>
    <x v="556"/>
    <x v="563"/>
    <x v="0"/>
    <x v="0"/>
    <x v="0"/>
    <x v="606"/>
  </r>
  <r>
    <x v="0"/>
    <x v="239"/>
    <x v="1"/>
    <x v="2"/>
    <x v="0"/>
    <x v="598"/>
    <x v="438"/>
    <x v="356"/>
    <x v="360"/>
    <x v="0"/>
    <x v="0"/>
    <x v="0"/>
    <x v="386"/>
  </r>
  <r>
    <x v="0"/>
    <x v="240"/>
    <x v="0"/>
    <x v="4"/>
    <x v="0"/>
    <x v="9"/>
    <x v="2"/>
    <x v="22"/>
    <x v="22"/>
    <x v="0"/>
    <x v="18"/>
    <x v="45"/>
    <x v="493"/>
  </r>
  <r>
    <x v="0"/>
    <x v="241"/>
    <x v="0"/>
    <x v="0"/>
    <x v="0"/>
    <x v="599"/>
    <x v="2"/>
    <x v="557"/>
    <x v="564"/>
    <x v="38"/>
    <x v="0"/>
    <x v="55"/>
    <x v="607"/>
  </r>
  <r>
    <x v="0"/>
    <x v="241"/>
    <x v="9"/>
    <x v="0"/>
    <x v="0"/>
    <x v="600"/>
    <x v="2"/>
    <x v="558"/>
    <x v="565"/>
    <x v="0"/>
    <x v="0"/>
    <x v="0"/>
    <x v="608"/>
  </r>
  <r>
    <x v="0"/>
    <x v="241"/>
    <x v="1"/>
    <x v="0"/>
    <x v="0"/>
    <x v="601"/>
    <x v="2"/>
    <x v="559"/>
    <x v="566"/>
    <x v="0"/>
    <x v="0"/>
    <x v="0"/>
    <x v="609"/>
  </r>
  <r>
    <x v="0"/>
    <x v="241"/>
    <x v="10"/>
    <x v="0"/>
    <x v="0"/>
    <x v="602"/>
    <x v="439"/>
    <x v="22"/>
    <x v="22"/>
    <x v="0"/>
    <x v="0"/>
    <x v="0"/>
    <x v="22"/>
  </r>
  <r>
    <x v="0"/>
    <x v="242"/>
    <x v="6"/>
    <x v="4"/>
    <x v="0"/>
    <x v="9"/>
    <x v="2"/>
    <x v="22"/>
    <x v="22"/>
    <x v="39"/>
    <x v="0"/>
    <x v="56"/>
    <x v="610"/>
  </r>
  <r>
    <x v="0"/>
    <x v="243"/>
    <x v="1"/>
    <x v="0"/>
    <x v="0"/>
    <x v="603"/>
    <x v="440"/>
    <x v="560"/>
    <x v="567"/>
    <x v="0"/>
    <x v="0"/>
    <x v="0"/>
    <x v="611"/>
  </r>
  <r>
    <x v="0"/>
    <x v="243"/>
    <x v="6"/>
    <x v="2"/>
    <x v="0"/>
    <x v="9"/>
    <x v="2"/>
    <x v="22"/>
    <x v="22"/>
    <x v="40"/>
    <x v="0"/>
    <x v="57"/>
    <x v="612"/>
  </r>
  <r>
    <x v="0"/>
    <x v="244"/>
    <x v="15"/>
    <x v="0"/>
    <x v="0"/>
    <x v="604"/>
    <x v="2"/>
    <x v="561"/>
    <x v="568"/>
    <x v="0"/>
    <x v="0"/>
    <x v="0"/>
    <x v="613"/>
  </r>
  <r>
    <x v="0"/>
    <x v="244"/>
    <x v="0"/>
    <x v="0"/>
    <x v="0"/>
    <x v="605"/>
    <x v="2"/>
    <x v="562"/>
    <x v="569"/>
    <x v="0"/>
    <x v="0"/>
    <x v="0"/>
    <x v="614"/>
  </r>
  <r>
    <x v="0"/>
    <x v="244"/>
    <x v="9"/>
    <x v="0"/>
    <x v="0"/>
    <x v="519"/>
    <x v="2"/>
    <x v="484"/>
    <x v="489"/>
    <x v="0"/>
    <x v="0"/>
    <x v="0"/>
    <x v="530"/>
  </r>
  <r>
    <x v="0"/>
    <x v="244"/>
    <x v="1"/>
    <x v="0"/>
    <x v="0"/>
    <x v="606"/>
    <x v="441"/>
    <x v="563"/>
    <x v="570"/>
    <x v="0"/>
    <x v="0"/>
    <x v="0"/>
    <x v="615"/>
  </r>
  <r>
    <x v="0"/>
    <x v="245"/>
    <x v="0"/>
    <x v="2"/>
    <x v="0"/>
    <x v="218"/>
    <x v="2"/>
    <x v="564"/>
    <x v="571"/>
    <x v="0"/>
    <x v="0"/>
    <x v="0"/>
    <x v="616"/>
  </r>
  <r>
    <x v="0"/>
    <x v="245"/>
    <x v="10"/>
    <x v="2"/>
    <x v="0"/>
    <x v="607"/>
    <x v="442"/>
    <x v="565"/>
    <x v="572"/>
    <x v="0"/>
    <x v="0"/>
    <x v="0"/>
    <x v="617"/>
  </r>
  <r>
    <x v="0"/>
    <x v="246"/>
    <x v="0"/>
    <x v="0"/>
    <x v="0"/>
    <x v="608"/>
    <x v="2"/>
    <x v="566"/>
    <x v="573"/>
    <x v="0"/>
    <x v="0"/>
    <x v="0"/>
    <x v="618"/>
  </r>
  <r>
    <x v="0"/>
    <x v="246"/>
    <x v="9"/>
    <x v="0"/>
    <x v="0"/>
    <x v="609"/>
    <x v="2"/>
    <x v="567"/>
    <x v="574"/>
    <x v="0"/>
    <x v="0"/>
    <x v="0"/>
    <x v="619"/>
  </r>
  <r>
    <x v="0"/>
    <x v="246"/>
    <x v="14"/>
    <x v="0"/>
    <x v="0"/>
    <x v="610"/>
    <x v="443"/>
    <x v="568"/>
    <x v="575"/>
    <x v="0"/>
    <x v="0"/>
    <x v="0"/>
    <x v="620"/>
  </r>
  <r>
    <x v="0"/>
    <x v="246"/>
    <x v="23"/>
    <x v="0"/>
    <x v="0"/>
    <x v="611"/>
    <x v="2"/>
    <x v="569"/>
    <x v="576"/>
    <x v="0"/>
    <x v="0"/>
    <x v="0"/>
    <x v="621"/>
  </r>
  <r>
    <x v="0"/>
    <x v="246"/>
    <x v="1"/>
    <x v="0"/>
    <x v="0"/>
    <x v="612"/>
    <x v="444"/>
    <x v="570"/>
    <x v="577"/>
    <x v="0"/>
    <x v="0"/>
    <x v="0"/>
    <x v="622"/>
  </r>
  <r>
    <x v="0"/>
    <x v="247"/>
    <x v="6"/>
    <x v="4"/>
    <x v="0"/>
    <x v="9"/>
    <x v="2"/>
    <x v="22"/>
    <x v="22"/>
    <x v="0"/>
    <x v="26"/>
    <x v="58"/>
    <x v="623"/>
  </r>
  <r>
    <x v="0"/>
    <x v="248"/>
    <x v="16"/>
    <x v="0"/>
    <x v="0"/>
    <x v="9"/>
    <x v="2"/>
    <x v="22"/>
    <x v="22"/>
    <x v="41"/>
    <x v="0"/>
    <x v="59"/>
    <x v="624"/>
  </r>
  <r>
    <x v="0"/>
    <x v="248"/>
    <x v="0"/>
    <x v="0"/>
    <x v="0"/>
    <x v="613"/>
    <x v="2"/>
    <x v="571"/>
    <x v="578"/>
    <x v="0"/>
    <x v="0"/>
    <x v="0"/>
    <x v="625"/>
  </r>
  <r>
    <x v="0"/>
    <x v="248"/>
    <x v="9"/>
    <x v="0"/>
    <x v="0"/>
    <x v="614"/>
    <x v="445"/>
    <x v="22"/>
    <x v="22"/>
    <x v="0"/>
    <x v="0"/>
    <x v="0"/>
    <x v="22"/>
  </r>
  <r>
    <x v="0"/>
    <x v="248"/>
    <x v="1"/>
    <x v="0"/>
    <x v="48"/>
    <x v="615"/>
    <x v="446"/>
    <x v="572"/>
    <x v="579"/>
    <x v="0"/>
    <x v="0"/>
    <x v="0"/>
    <x v="626"/>
  </r>
  <r>
    <x v="0"/>
    <x v="248"/>
    <x v="10"/>
    <x v="0"/>
    <x v="0"/>
    <x v="616"/>
    <x v="447"/>
    <x v="573"/>
    <x v="580"/>
    <x v="0"/>
    <x v="0"/>
    <x v="0"/>
    <x v="627"/>
  </r>
  <r>
    <x v="0"/>
    <x v="248"/>
    <x v="6"/>
    <x v="4"/>
    <x v="0"/>
    <x v="9"/>
    <x v="2"/>
    <x v="22"/>
    <x v="22"/>
    <x v="42"/>
    <x v="0"/>
    <x v="60"/>
    <x v="628"/>
  </r>
  <r>
    <x v="0"/>
    <x v="249"/>
    <x v="0"/>
    <x v="0"/>
    <x v="0"/>
    <x v="617"/>
    <x v="448"/>
    <x v="574"/>
    <x v="581"/>
    <x v="0"/>
    <x v="0"/>
    <x v="0"/>
    <x v="629"/>
  </r>
  <r>
    <x v="0"/>
    <x v="249"/>
    <x v="9"/>
    <x v="0"/>
    <x v="0"/>
    <x v="618"/>
    <x v="449"/>
    <x v="575"/>
    <x v="582"/>
    <x v="0"/>
    <x v="0"/>
    <x v="0"/>
    <x v="630"/>
  </r>
  <r>
    <x v="0"/>
    <x v="249"/>
    <x v="4"/>
    <x v="0"/>
    <x v="0"/>
    <x v="9"/>
    <x v="450"/>
    <x v="576"/>
    <x v="583"/>
    <x v="0"/>
    <x v="0"/>
    <x v="0"/>
    <x v="631"/>
  </r>
  <r>
    <x v="0"/>
    <x v="249"/>
    <x v="1"/>
    <x v="0"/>
    <x v="0"/>
    <x v="619"/>
    <x v="451"/>
    <x v="577"/>
    <x v="584"/>
    <x v="0"/>
    <x v="0"/>
    <x v="0"/>
    <x v="632"/>
  </r>
  <r>
    <x v="0"/>
    <x v="250"/>
    <x v="0"/>
    <x v="0"/>
    <x v="0"/>
    <x v="620"/>
    <x v="2"/>
    <x v="578"/>
    <x v="585"/>
    <x v="0"/>
    <x v="0"/>
    <x v="0"/>
    <x v="633"/>
  </r>
  <r>
    <x v="0"/>
    <x v="250"/>
    <x v="10"/>
    <x v="0"/>
    <x v="0"/>
    <x v="621"/>
    <x v="452"/>
    <x v="579"/>
    <x v="586"/>
    <x v="0"/>
    <x v="0"/>
    <x v="0"/>
    <x v="634"/>
  </r>
  <r>
    <x v="0"/>
    <x v="251"/>
    <x v="1"/>
    <x v="0"/>
    <x v="0"/>
    <x v="622"/>
    <x v="453"/>
    <x v="580"/>
    <x v="587"/>
    <x v="0"/>
    <x v="0"/>
    <x v="0"/>
    <x v="635"/>
  </r>
  <r>
    <x v="0"/>
    <x v="252"/>
    <x v="15"/>
    <x v="3"/>
    <x v="49"/>
    <x v="623"/>
    <x v="454"/>
    <x v="581"/>
    <x v="588"/>
    <x v="0"/>
    <x v="0"/>
    <x v="0"/>
    <x v="636"/>
  </r>
  <r>
    <x v="0"/>
    <x v="252"/>
    <x v="0"/>
    <x v="3"/>
    <x v="0"/>
    <x v="624"/>
    <x v="2"/>
    <x v="582"/>
    <x v="589"/>
    <x v="0"/>
    <x v="0"/>
    <x v="0"/>
    <x v="637"/>
  </r>
  <r>
    <x v="0"/>
    <x v="252"/>
    <x v="1"/>
    <x v="3"/>
    <x v="0"/>
    <x v="625"/>
    <x v="2"/>
    <x v="583"/>
    <x v="590"/>
    <x v="0"/>
    <x v="0"/>
    <x v="0"/>
    <x v="638"/>
  </r>
  <r>
    <x v="0"/>
    <x v="253"/>
    <x v="0"/>
    <x v="0"/>
    <x v="0"/>
    <x v="626"/>
    <x v="455"/>
    <x v="584"/>
    <x v="591"/>
    <x v="0"/>
    <x v="0"/>
    <x v="0"/>
    <x v="639"/>
  </r>
  <r>
    <x v="0"/>
    <x v="253"/>
    <x v="1"/>
    <x v="0"/>
    <x v="0"/>
    <x v="627"/>
    <x v="2"/>
    <x v="585"/>
    <x v="592"/>
    <x v="0"/>
    <x v="0"/>
    <x v="0"/>
    <x v="640"/>
  </r>
  <r>
    <x v="0"/>
    <x v="254"/>
    <x v="6"/>
    <x v="4"/>
    <x v="0"/>
    <x v="9"/>
    <x v="2"/>
    <x v="22"/>
    <x v="22"/>
    <x v="43"/>
    <x v="0"/>
    <x v="61"/>
    <x v="641"/>
  </r>
  <r>
    <x v="0"/>
    <x v="255"/>
    <x v="26"/>
    <x v="4"/>
    <x v="0"/>
    <x v="9"/>
    <x v="2"/>
    <x v="22"/>
    <x v="22"/>
    <x v="0"/>
    <x v="27"/>
    <x v="62"/>
    <x v="642"/>
  </r>
  <r>
    <x v="0"/>
    <x v="256"/>
    <x v="0"/>
    <x v="2"/>
    <x v="0"/>
    <x v="628"/>
    <x v="456"/>
    <x v="22"/>
    <x v="22"/>
    <x v="0"/>
    <x v="0"/>
    <x v="0"/>
    <x v="22"/>
  </r>
  <r>
    <x v="0"/>
    <x v="257"/>
    <x v="20"/>
    <x v="4"/>
    <x v="0"/>
    <x v="629"/>
    <x v="457"/>
    <x v="586"/>
    <x v="593"/>
    <x v="0"/>
    <x v="0"/>
    <x v="0"/>
    <x v="643"/>
  </r>
  <r>
    <x v="0"/>
    <x v="258"/>
    <x v="20"/>
    <x v="4"/>
    <x v="0"/>
    <x v="630"/>
    <x v="458"/>
    <x v="587"/>
    <x v="594"/>
    <x v="0"/>
    <x v="0"/>
    <x v="0"/>
    <x v="644"/>
  </r>
  <r>
    <x v="0"/>
    <x v="259"/>
    <x v="0"/>
    <x v="0"/>
    <x v="0"/>
    <x v="631"/>
    <x v="2"/>
    <x v="588"/>
    <x v="595"/>
    <x v="0"/>
    <x v="0"/>
    <x v="0"/>
    <x v="645"/>
  </r>
  <r>
    <x v="0"/>
    <x v="259"/>
    <x v="1"/>
    <x v="0"/>
    <x v="0"/>
    <x v="632"/>
    <x v="459"/>
    <x v="589"/>
    <x v="596"/>
    <x v="0"/>
    <x v="0"/>
    <x v="0"/>
    <x v="646"/>
  </r>
  <r>
    <x v="0"/>
    <x v="260"/>
    <x v="1"/>
    <x v="0"/>
    <x v="0"/>
    <x v="633"/>
    <x v="213"/>
    <x v="590"/>
    <x v="597"/>
    <x v="0"/>
    <x v="0"/>
    <x v="0"/>
    <x v="647"/>
  </r>
  <r>
    <x v="0"/>
    <x v="261"/>
    <x v="1"/>
    <x v="5"/>
    <x v="0"/>
    <x v="634"/>
    <x v="460"/>
    <x v="591"/>
    <x v="598"/>
    <x v="0"/>
    <x v="0"/>
    <x v="0"/>
    <x v="648"/>
  </r>
  <r>
    <x v="0"/>
    <x v="262"/>
    <x v="0"/>
    <x v="0"/>
    <x v="0"/>
    <x v="635"/>
    <x v="461"/>
    <x v="592"/>
    <x v="599"/>
    <x v="0"/>
    <x v="0"/>
    <x v="0"/>
    <x v="649"/>
  </r>
  <r>
    <x v="0"/>
    <x v="262"/>
    <x v="0"/>
    <x v="2"/>
    <x v="0"/>
    <x v="636"/>
    <x v="462"/>
    <x v="593"/>
    <x v="600"/>
    <x v="0"/>
    <x v="0"/>
    <x v="0"/>
    <x v="650"/>
  </r>
  <r>
    <x v="0"/>
    <x v="262"/>
    <x v="0"/>
    <x v="3"/>
    <x v="0"/>
    <x v="546"/>
    <x v="405"/>
    <x v="22"/>
    <x v="22"/>
    <x v="0"/>
    <x v="0"/>
    <x v="0"/>
    <x v="22"/>
  </r>
  <r>
    <x v="0"/>
    <x v="263"/>
    <x v="1"/>
    <x v="0"/>
    <x v="0"/>
    <x v="637"/>
    <x v="463"/>
    <x v="594"/>
    <x v="601"/>
    <x v="0"/>
    <x v="0"/>
    <x v="0"/>
    <x v="651"/>
  </r>
  <r>
    <x v="0"/>
    <x v="264"/>
    <x v="0"/>
    <x v="0"/>
    <x v="0"/>
    <x v="638"/>
    <x v="2"/>
    <x v="595"/>
    <x v="602"/>
    <x v="0"/>
    <x v="0"/>
    <x v="0"/>
    <x v="652"/>
  </r>
  <r>
    <x v="0"/>
    <x v="264"/>
    <x v="17"/>
    <x v="0"/>
    <x v="0"/>
    <x v="639"/>
    <x v="464"/>
    <x v="596"/>
    <x v="603"/>
    <x v="0"/>
    <x v="0"/>
    <x v="0"/>
    <x v="653"/>
  </r>
  <r>
    <x v="0"/>
    <x v="264"/>
    <x v="24"/>
    <x v="0"/>
    <x v="0"/>
    <x v="640"/>
    <x v="465"/>
    <x v="597"/>
    <x v="604"/>
    <x v="0"/>
    <x v="0"/>
    <x v="0"/>
    <x v="654"/>
  </r>
  <r>
    <x v="0"/>
    <x v="264"/>
    <x v="4"/>
    <x v="0"/>
    <x v="0"/>
    <x v="641"/>
    <x v="466"/>
    <x v="598"/>
    <x v="605"/>
    <x v="0"/>
    <x v="0"/>
    <x v="0"/>
    <x v="655"/>
  </r>
  <r>
    <x v="0"/>
    <x v="264"/>
    <x v="1"/>
    <x v="0"/>
    <x v="0"/>
    <x v="642"/>
    <x v="2"/>
    <x v="599"/>
    <x v="606"/>
    <x v="0"/>
    <x v="0"/>
    <x v="0"/>
    <x v="656"/>
  </r>
  <r>
    <x v="0"/>
    <x v="265"/>
    <x v="0"/>
    <x v="1"/>
    <x v="50"/>
    <x v="643"/>
    <x v="467"/>
    <x v="600"/>
    <x v="607"/>
    <x v="0"/>
    <x v="0"/>
    <x v="0"/>
    <x v="657"/>
  </r>
  <r>
    <x v="0"/>
    <x v="265"/>
    <x v="1"/>
    <x v="1"/>
    <x v="0"/>
    <x v="644"/>
    <x v="2"/>
    <x v="601"/>
    <x v="608"/>
    <x v="0"/>
    <x v="0"/>
    <x v="0"/>
    <x v="658"/>
  </r>
  <r>
    <x v="0"/>
    <x v="266"/>
    <x v="0"/>
    <x v="3"/>
    <x v="0"/>
    <x v="645"/>
    <x v="2"/>
    <x v="602"/>
    <x v="609"/>
    <x v="0"/>
    <x v="0"/>
    <x v="0"/>
    <x v="659"/>
  </r>
  <r>
    <x v="0"/>
    <x v="266"/>
    <x v="1"/>
    <x v="3"/>
    <x v="0"/>
    <x v="646"/>
    <x v="468"/>
    <x v="603"/>
    <x v="610"/>
    <x v="0"/>
    <x v="0"/>
    <x v="0"/>
    <x v="660"/>
  </r>
  <r>
    <x v="0"/>
    <x v="267"/>
    <x v="0"/>
    <x v="0"/>
    <x v="0"/>
    <x v="647"/>
    <x v="469"/>
    <x v="376"/>
    <x v="380"/>
    <x v="0"/>
    <x v="0"/>
    <x v="0"/>
    <x v="408"/>
  </r>
  <r>
    <x v="0"/>
    <x v="267"/>
    <x v="9"/>
    <x v="0"/>
    <x v="0"/>
    <x v="648"/>
    <x v="470"/>
    <x v="604"/>
    <x v="611"/>
    <x v="0"/>
    <x v="0"/>
    <x v="0"/>
    <x v="661"/>
  </r>
  <r>
    <x v="0"/>
    <x v="267"/>
    <x v="1"/>
    <x v="0"/>
    <x v="0"/>
    <x v="649"/>
    <x v="471"/>
    <x v="605"/>
    <x v="612"/>
    <x v="0"/>
    <x v="0"/>
    <x v="0"/>
    <x v="662"/>
  </r>
  <r>
    <x v="0"/>
    <x v="267"/>
    <x v="0"/>
    <x v="2"/>
    <x v="0"/>
    <x v="650"/>
    <x v="472"/>
    <x v="606"/>
    <x v="613"/>
    <x v="0"/>
    <x v="0"/>
    <x v="0"/>
    <x v="663"/>
  </r>
  <r>
    <x v="0"/>
    <x v="267"/>
    <x v="9"/>
    <x v="2"/>
    <x v="0"/>
    <x v="651"/>
    <x v="473"/>
    <x v="607"/>
    <x v="614"/>
    <x v="0"/>
    <x v="0"/>
    <x v="0"/>
    <x v="664"/>
  </r>
  <r>
    <x v="0"/>
    <x v="267"/>
    <x v="1"/>
    <x v="2"/>
    <x v="0"/>
    <x v="652"/>
    <x v="474"/>
    <x v="608"/>
    <x v="615"/>
    <x v="0"/>
    <x v="0"/>
    <x v="0"/>
    <x v="665"/>
  </r>
  <r>
    <x v="0"/>
    <x v="268"/>
    <x v="2"/>
    <x v="1"/>
    <x v="0"/>
    <x v="9"/>
    <x v="475"/>
    <x v="609"/>
    <x v="616"/>
    <x v="0"/>
    <x v="0"/>
    <x v="0"/>
    <x v="666"/>
  </r>
  <r>
    <x v="0"/>
    <x v="269"/>
    <x v="2"/>
    <x v="1"/>
    <x v="0"/>
    <x v="653"/>
    <x v="476"/>
    <x v="610"/>
    <x v="617"/>
    <x v="0"/>
    <x v="0"/>
    <x v="0"/>
    <x v="667"/>
  </r>
  <r>
    <x v="0"/>
    <x v="269"/>
    <x v="3"/>
    <x v="1"/>
    <x v="0"/>
    <x v="654"/>
    <x v="477"/>
    <x v="611"/>
    <x v="618"/>
    <x v="0"/>
    <x v="0"/>
    <x v="0"/>
    <x v="668"/>
  </r>
  <r>
    <x v="0"/>
    <x v="269"/>
    <x v="1"/>
    <x v="1"/>
    <x v="0"/>
    <x v="655"/>
    <x v="478"/>
    <x v="612"/>
    <x v="619"/>
    <x v="0"/>
    <x v="0"/>
    <x v="0"/>
    <x v="669"/>
  </r>
  <r>
    <x v="0"/>
    <x v="269"/>
    <x v="2"/>
    <x v="2"/>
    <x v="0"/>
    <x v="656"/>
    <x v="479"/>
    <x v="613"/>
    <x v="620"/>
    <x v="0"/>
    <x v="0"/>
    <x v="0"/>
    <x v="670"/>
  </r>
  <r>
    <x v="0"/>
    <x v="270"/>
    <x v="20"/>
    <x v="4"/>
    <x v="0"/>
    <x v="403"/>
    <x v="282"/>
    <x v="383"/>
    <x v="387"/>
    <x v="0"/>
    <x v="0"/>
    <x v="0"/>
    <x v="415"/>
  </r>
  <r>
    <x v="0"/>
    <x v="271"/>
    <x v="20"/>
    <x v="4"/>
    <x v="0"/>
    <x v="403"/>
    <x v="282"/>
    <x v="383"/>
    <x v="387"/>
    <x v="0"/>
    <x v="0"/>
    <x v="0"/>
    <x v="415"/>
  </r>
  <r>
    <x v="0"/>
    <x v="272"/>
    <x v="0"/>
    <x v="0"/>
    <x v="0"/>
    <x v="657"/>
    <x v="480"/>
    <x v="614"/>
    <x v="621"/>
    <x v="0"/>
    <x v="0"/>
    <x v="0"/>
    <x v="671"/>
  </r>
  <r>
    <x v="0"/>
    <x v="272"/>
    <x v="9"/>
    <x v="0"/>
    <x v="0"/>
    <x v="658"/>
    <x v="481"/>
    <x v="615"/>
    <x v="622"/>
    <x v="0"/>
    <x v="0"/>
    <x v="0"/>
    <x v="672"/>
  </r>
  <r>
    <x v="0"/>
    <x v="272"/>
    <x v="1"/>
    <x v="0"/>
    <x v="0"/>
    <x v="659"/>
    <x v="482"/>
    <x v="616"/>
    <x v="623"/>
    <x v="0"/>
    <x v="0"/>
    <x v="0"/>
    <x v="673"/>
  </r>
  <r>
    <x v="0"/>
    <x v="272"/>
    <x v="9"/>
    <x v="2"/>
    <x v="0"/>
    <x v="660"/>
    <x v="483"/>
    <x v="617"/>
    <x v="624"/>
    <x v="0"/>
    <x v="0"/>
    <x v="0"/>
    <x v="674"/>
  </r>
  <r>
    <x v="0"/>
    <x v="272"/>
    <x v="1"/>
    <x v="2"/>
    <x v="0"/>
    <x v="661"/>
    <x v="484"/>
    <x v="618"/>
    <x v="625"/>
    <x v="0"/>
    <x v="0"/>
    <x v="0"/>
    <x v="675"/>
  </r>
  <r>
    <x v="0"/>
    <x v="273"/>
    <x v="1"/>
    <x v="2"/>
    <x v="0"/>
    <x v="662"/>
    <x v="485"/>
    <x v="619"/>
    <x v="626"/>
    <x v="0"/>
    <x v="0"/>
    <x v="0"/>
    <x v="676"/>
  </r>
  <r>
    <x v="0"/>
    <x v="274"/>
    <x v="0"/>
    <x v="0"/>
    <x v="0"/>
    <x v="663"/>
    <x v="486"/>
    <x v="620"/>
    <x v="627"/>
    <x v="0"/>
    <x v="0"/>
    <x v="0"/>
    <x v="677"/>
  </r>
  <r>
    <x v="0"/>
    <x v="274"/>
    <x v="9"/>
    <x v="2"/>
    <x v="0"/>
    <x v="664"/>
    <x v="487"/>
    <x v="621"/>
    <x v="628"/>
    <x v="0"/>
    <x v="0"/>
    <x v="0"/>
    <x v="678"/>
  </r>
  <r>
    <x v="0"/>
    <x v="274"/>
    <x v="1"/>
    <x v="2"/>
    <x v="0"/>
    <x v="665"/>
    <x v="488"/>
    <x v="622"/>
    <x v="629"/>
    <x v="0"/>
    <x v="0"/>
    <x v="0"/>
    <x v="679"/>
  </r>
  <r>
    <x v="0"/>
    <x v="275"/>
    <x v="14"/>
    <x v="0"/>
    <x v="0"/>
    <x v="666"/>
    <x v="489"/>
    <x v="623"/>
    <x v="630"/>
    <x v="0"/>
    <x v="0"/>
    <x v="0"/>
    <x v="680"/>
  </r>
  <r>
    <x v="0"/>
    <x v="275"/>
    <x v="1"/>
    <x v="0"/>
    <x v="0"/>
    <x v="667"/>
    <x v="2"/>
    <x v="624"/>
    <x v="631"/>
    <x v="0"/>
    <x v="0"/>
    <x v="0"/>
    <x v="681"/>
  </r>
  <r>
    <x v="0"/>
    <x v="276"/>
    <x v="0"/>
    <x v="5"/>
    <x v="0"/>
    <x v="668"/>
    <x v="490"/>
    <x v="625"/>
    <x v="632"/>
    <x v="0"/>
    <x v="0"/>
    <x v="0"/>
    <x v="682"/>
  </r>
  <r>
    <x v="0"/>
    <x v="276"/>
    <x v="1"/>
    <x v="5"/>
    <x v="0"/>
    <x v="669"/>
    <x v="491"/>
    <x v="626"/>
    <x v="633"/>
    <x v="0"/>
    <x v="0"/>
    <x v="0"/>
    <x v="683"/>
  </r>
  <r>
    <x v="0"/>
    <x v="277"/>
    <x v="17"/>
    <x v="0"/>
    <x v="0"/>
    <x v="670"/>
    <x v="492"/>
    <x v="627"/>
    <x v="634"/>
    <x v="0"/>
    <x v="0"/>
    <x v="0"/>
    <x v="684"/>
  </r>
  <r>
    <x v="0"/>
    <x v="277"/>
    <x v="1"/>
    <x v="0"/>
    <x v="0"/>
    <x v="671"/>
    <x v="2"/>
    <x v="628"/>
    <x v="635"/>
    <x v="0"/>
    <x v="0"/>
    <x v="0"/>
    <x v="685"/>
  </r>
  <r>
    <x v="0"/>
    <x v="278"/>
    <x v="0"/>
    <x v="0"/>
    <x v="0"/>
    <x v="672"/>
    <x v="493"/>
    <x v="629"/>
    <x v="636"/>
    <x v="0"/>
    <x v="0"/>
    <x v="0"/>
    <x v="686"/>
  </r>
  <r>
    <x v="0"/>
    <x v="278"/>
    <x v="9"/>
    <x v="0"/>
    <x v="0"/>
    <x v="673"/>
    <x v="208"/>
    <x v="630"/>
    <x v="637"/>
    <x v="0"/>
    <x v="0"/>
    <x v="0"/>
    <x v="687"/>
  </r>
  <r>
    <x v="0"/>
    <x v="278"/>
    <x v="1"/>
    <x v="0"/>
    <x v="0"/>
    <x v="674"/>
    <x v="494"/>
    <x v="631"/>
    <x v="638"/>
    <x v="0"/>
    <x v="0"/>
    <x v="0"/>
    <x v="688"/>
  </r>
  <r>
    <x v="0"/>
    <x v="278"/>
    <x v="8"/>
    <x v="2"/>
    <x v="0"/>
    <x v="675"/>
    <x v="495"/>
    <x v="632"/>
    <x v="639"/>
    <x v="0"/>
    <x v="0"/>
    <x v="0"/>
    <x v="689"/>
  </r>
  <r>
    <x v="0"/>
    <x v="278"/>
    <x v="16"/>
    <x v="2"/>
    <x v="0"/>
    <x v="676"/>
    <x v="496"/>
    <x v="22"/>
    <x v="22"/>
    <x v="0"/>
    <x v="0"/>
    <x v="0"/>
    <x v="22"/>
  </r>
  <r>
    <x v="0"/>
    <x v="278"/>
    <x v="0"/>
    <x v="2"/>
    <x v="0"/>
    <x v="677"/>
    <x v="497"/>
    <x v="633"/>
    <x v="640"/>
    <x v="0"/>
    <x v="0"/>
    <x v="0"/>
    <x v="690"/>
  </r>
  <r>
    <x v="0"/>
    <x v="278"/>
    <x v="9"/>
    <x v="2"/>
    <x v="0"/>
    <x v="678"/>
    <x v="498"/>
    <x v="634"/>
    <x v="641"/>
    <x v="0"/>
    <x v="0"/>
    <x v="0"/>
    <x v="691"/>
  </r>
  <r>
    <x v="0"/>
    <x v="278"/>
    <x v="1"/>
    <x v="2"/>
    <x v="0"/>
    <x v="679"/>
    <x v="499"/>
    <x v="635"/>
    <x v="642"/>
    <x v="0"/>
    <x v="0"/>
    <x v="0"/>
    <x v="692"/>
  </r>
  <r>
    <x v="0"/>
    <x v="278"/>
    <x v="10"/>
    <x v="2"/>
    <x v="0"/>
    <x v="680"/>
    <x v="500"/>
    <x v="636"/>
    <x v="643"/>
    <x v="0"/>
    <x v="0"/>
    <x v="0"/>
    <x v="693"/>
  </r>
  <r>
    <x v="0"/>
    <x v="278"/>
    <x v="8"/>
    <x v="3"/>
    <x v="0"/>
    <x v="681"/>
    <x v="501"/>
    <x v="637"/>
    <x v="644"/>
    <x v="0"/>
    <x v="0"/>
    <x v="0"/>
    <x v="694"/>
  </r>
  <r>
    <x v="0"/>
    <x v="278"/>
    <x v="1"/>
    <x v="3"/>
    <x v="0"/>
    <x v="682"/>
    <x v="502"/>
    <x v="638"/>
    <x v="645"/>
    <x v="0"/>
    <x v="0"/>
    <x v="0"/>
    <x v="695"/>
  </r>
  <r>
    <x v="0"/>
    <x v="278"/>
    <x v="10"/>
    <x v="3"/>
    <x v="0"/>
    <x v="683"/>
    <x v="503"/>
    <x v="309"/>
    <x v="313"/>
    <x v="0"/>
    <x v="0"/>
    <x v="0"/>
    <x v="336"/>
  </r>
  <r>
    <x v="0"/>
    <x v="279"/>
    <x v="6"/>
    <x v="4"/>
    <x v="0"/>
    <x v="9"/>
    <x v="2"/>
    <x v="22"/>
    <x v="22"/>
    <x v="0"/>
    <x v="28"/>
    <x v="63"/>
    <x v="696"/>
  </r>
  <r>
    <x v="0"/>
    <x v="280"/>
    <x v="16"/>
    <x v="2"/>
    <x v="0"/>
    <x v="684"/>
    <x v="504"/>
    <x v="639"/>
    <x v="646"/>
    <x v="0"/>
    <x v="0"/>
    <x v="0"/>
    <x v="697"/>
  </r>
  <r>
    <x v="0"/>
    <x v="280"/>
    <x v="1"/>
    <x v="2"/>
    <x v="0"/>
    <x v="685"/>
    <x v="505"/>
    <x v="640"/>
    <x v="647"/>
    <x v="0"/>
    <x v="0"/>
    <x v="0"/>
    <x v="698"/>
  </r>
  <r>
    <x v="0"/>
    <x v="280"/>
    <x v="1"/>
    <x v="3"/>
    <x v="0"/>
    <x v="686"/>
    <x v="506"/>
    <x v="641"/>
    <x v="648"/>
    <x v="0"/>
    <x v="0"/>
    <x v="0"/>
    <x v="699"/>
  </r>
  <r>
    <x v="0"/>
    <x v="281"/>
    <x v="20"/>
    <x v="4"/>
    <x v="0"/>
    <x v="102"/>
    <x v="507"/>
    <x v="642"/>
    <x v="649"/>
    <x v="0"/>
    <x v="0"/>
    <x v="0"/>
    <x v="700"/>
  </r>
  <r>
    <x v="0"/>
    <x v="282"/>
    <x v="0"/>
    <x v="0"/>
    <x v="0"/>
    <x v="687"/>
    <x v="508"/>
    <x v="643"/>
    <x v="650"/>
    <x v="0"/>
    <x v="0"/>
    <x v="0"/>
    <x v="701"/>
  </r>
  <r>
    <x v="0"/>
    <x v="282"/>
    <x v="9"/>
    <x v="0"/>
    <x v="0"/>
    <x v="688"/>
    <x v="509"/>
    <x v="644"/>
    <x v="651"/>
    <x v="0"/>
    <x v="0"/>
    <x v="0"/>
    <x v="702"/>
  </r>
  <r>
    <x v="0"/>
    <x v="282"/>
    <x v="1"/>
    <x v="0"/>
    <x v="0"/>
    <x v="689"/>
    <x v="510"/>
    <x v="645"/>
    <x v="652"/>
    <x v="0"/>
    <x v="0"/>
    <x v="0"/>
    <x v="703"/>
  </r>
  <r>
    <x v="0"/>
    <x v="282"/>
    <x v="8"/>
    <x v="2"/>
    <x v="0"/>
    <x v="690"/>
    <x v="511"/>
    <x v="646"/>
    <x v="653"/>
    <x v="0"/>
    <x v="0"/>
    <x v="0"/>
    <x v="704"/>
  </r>
  <r>
    <x v="0"/>
    <x v="282"/>
    <x v="0"/>
    <x v="2"/>
    <x v="0"/>
    <x v="691"/>
    <x v="512"/>
    <x v="647"/>
    <x v="654"/>
    <x v="0"/>
    <x v="0"/>
    <x v="0"/>
    <x v="705"/>
  </r>
  <r>
    <x v="0"/>
    <x v="282"/>
    <x v="1"/>
    <x v="2"/>
    <x v="0"/>
    <x v="692"/>
    <x v="513"/>
    <x v="648"/>
    <x v="655"/>
    <x v="0"/>
    <x v="0"/>
    <x v="0"/>
    <x v="706"/>
  </r>
  <r>
    <x v="0"/>
    <x v="283"/>
    <x v="1"/>
    <x v="0"/>
    <x v="0"/>
    <x v="693"/>
    <x v="514"/>
    <x v="649"/>
    <x v="656"/>
    <x v="0"/>
    <x v="0"/>
    <x v="0"/>
    <x v="707"/>
  </r>
  <r>
    <x v="0"/>
    <x v="284"/>
    <x v="9"/>
    <x v="0"/>
    <x v="0"/>
    <x v="694"/>
    <x v="2"/>
    <x v="650"/>
    <x v="657"/>
    <x v="0"/>
    <x v="0"/>
    <x v="0"/>
    <x v="708"/>
  </r>
  <r>
    <x v="0"/>
    <x v="284"/>
    <x v="1"/>
    <x v="0"/>
    <x v="0"/>
    <x v="695"/>
    <x v="515"/>
    <x v="651"/>
    <x v="658"/>
    <x v="0"/>
    <x v="0"/>
    <x v="0"/>
    <x v="709"/>
  </r>
  <r>
    <x v="0"/>
    <x v="285"/>
    <x v="0"/>
    <x v="2"/>
    <x v="0"/>
    <x v="696"/>
    <x v="516"/>
    <x v="652"/>
    <x v="659"/>
    <x v="0"/>
    <x v="0"/>
    <x v="0"/>
    <x v="710"/>
  </r>
  <r>
    <x v="0"/>
    <x v="285"/>
    <x v="1"/>
    <x v="2"/>
    <x v="0"/>
    <x v="697"/>
    <x v="517"/>
    <x v="653"/>
    <x v="660"/>
    <x v="0"/>
    <x v="0"/>
    <x v="0"/>
    <x v="711"/>
  </r>
  <r>
    <x v="0"/>
    <x v="285"/>
    <x v="10"/>
    <x v="2"/>
    <x v="0"/>
    <x v="698"/>
    <x v="518"/>
    <x v="654"/>
    <x v="661"/>
    <x v="0"/>
    <x v="0"/>
    <x v="0"/>
    <x v="712"/>
  </r>
  <r>
    <x v="0"/>
    <x v="285"/>
    <x v="0"/>
    <x v="3"/>
    <x v="0"/>
    <x v="699"/>
    <x v="2"/>
    <x v="655"/>
    <x v="662"/>
    <x v="0"/>
    <x v="0"/>
    <x v="0"/>
    <x v="713"/>
  </r>
  <r>
    <x v="0"/>
    <x v="285"/>
    <x v="10"/>
    <x v="3"/>
    <x v="0"/>
    <x v="700"/>
    <x v="519"/>
    <x v="656"/>
    <x v="663"/>
    <x v="0"/>
    <x v="0"/>
    <x v="0"/>
    <x v="714"/>
  </r>
  <r>
    <x v="0"/>
    <x v="286"/>
    <x v="1"/>
    <x v="0"/>
    <x v="0"/>
    <x v="701"/>
    <x v="520"/>
    <x v="657"/>
    <x v="664"/>
    <x v="0"/>
    <x v="0"/>
    <x v="0"/>
    <x v="715"/>
  </r>
  <r>
    <x v="0"/>
    <x v="286"/>
    <x v="0"/>
    <x v="3"/>
    <x v="0"/>
    <x v="702"/>
    <x v="521"/>
    <x v="658"/>
    <x v="665"/>
    <x v="0"/>
    <x v="0"/>
    <x v="0"/>
    <x v="716"/>
  </r>
  <r>
    <x v="0"/>
    <x v="286"/>
    <x v="9"/>
    <x v="3"/>
    <x v="0"/>
    <x v="703"/>
    <x v="522"/>
    <x v="659"/>
    <x v="666"/>
    <x v="0"/>
    <x v="0"/>
    <x v="0"/>
    <x v="717"/>
  </r>
  <r>
    <x v="0"/>
    <x v="286"/>
    <x v="1"/>
    <x v="3"/>
    <x v="0"/>
    <x v="704"/>
    <x v="523"/>
    <x v="660"/>
    <x v="667"/>
    <x v="0"/>
    <x v="0"/>
    <x v="0"/>
    <x v="718"/>
  </r>
  <r>
    <x v="0"/>
    <x v="286"/>
    <x v="1"/>
    <x v="5"/>
    <x v="0"/>
    <x v="705"/>
    <x v="524"/>
    <x v="661"/>
    <x v="668"/>
    <x v="0"/>
    <x v="0"/>
    <x v="0"/>
    <x v="719"/>
  </r>
  <r>
    <x v="0"/>
    <x v="287"/>
    <x v="5"/>
    <x v="1"/>
    <x v="0"/>
    <x v="706"/>
    <x v="525"/>
    <x v="662"/>
    <x v="669"/>
    <x v="0"/>
    <x v="0"/>
    <x v="0"/>
    <x v="720"/>
  </r>
  <r>
    <x v="0"/>
    <x v="288"/>
    <x v="20"/>
    <x v="4"/>
    <x v="0"/>
    <x v="707"/>
    <x v="526"/>
    <x v="663"/>
    <x v="670"/>
    <x v="0"/>
    <x v="0"/>
    <x v="0"/>
    <x v="721"/>
  </r>
  <r>
    <x v="0"/>
    <x v="289"/>
    <x v="10"/>
    <x v="0"/>
    <x v="0"/>
    <x v="708"/>
    <x v="527"/>
    <x v="664"/>
    <x v="671"/>
    <x v="0"/>
    <x v="0"/>
    <x v="0"/>
    <x v="722"/>
  </r>
  <r>
    <x v="0"/>
    <x v="290"/>
    <x v="0"/>
    <x v="2"/>
    <x v="0"/>
    <x v="709"/>
    <x v="2"/>
    <x v="665"/>
    <x v="672"/>
    <x v="0"/>
    <x v="0"/>
    <x v="0"/>
    <x v="723"/>
  </r>
  <r>
    <x v="0"/>
    <x v="290"/>
    <x v="1"/>
    <x v="2"/>
    <x v="0"/>
    <x v="710"/>
    <x v="528"/>
    <x v="666"/>
    <x v="673"/>
    <x v="0"/>
    <x v="0"/>
    <x v="0"/>
    <x v="724"/>
  </r>
  <r>
    <x v="0"/>
    <x v="291"/>
    <x v="0"/>
    <x v="3"/>
    <x v="0"/>
    <x v="711"/>
    <x v="529"/>
    <x v="667"/>
    <x v="674"/>
    <x v="0"/>
    <x v="0"/>
    <x v="0"/>
    <x v="725"/>
  </r>
  <r>
    <x v="0"/>
    <x v="291"/>
    <x v="9"/>
    <x v="3"/>
    <x v="0"/>
    <x v="712"/>
    <x v="530"/>
    <x v="668"/>
    <x v="675"/>
    <x v="0"/>
    <x v="0"/>
    <x v="0"/>
    <x v="726"/>
  </r>
  <r>
    <x v="0"/>
    <x v="291"/>
    <x v="1"/>
    <x v="3"/>
    <x v="0"/>
    <x v="713"/>
    <x v="531"/>
    <x v="669"/>
    <x v="676"/>
    <x v="0"/>
    <x v="0"/>
    <x v="0"/>
    <x v="727"/>
  </r>
  <r>
    <x v="0"/>
    <x v="292"/>
    <x v="0"/>
    <x v="5"/>
    <x v="0"/>
    <x v="714"/>
    <x v="2"/>
    <x v="670"/>
    <x v="677"/>
    <x v="0"/>
    <x v="0"/>
    <x v="0"/>
    <x v="728"/>
  </r>
  <r>
    <x v="0"/>
    <x v="293"/>
    <x v="4"/>
    <x v="0"/>
    <x v="0"/>
    <x v="715"/>
    <x v="532"/>
    <x v="671"/>
    <x v="678"/>
    <x v="0"/>
    <x v="0"/>
    <x v="0"/>
    <x v="729"/>
  </r>
  <r>
    <x v="0"/>
    <x v="294"/>
    <x v="5"/>
    <x v="1"/>
    <x v="0"/>
    <x v="716"/>
    <x v="533"/>
    <x v="672"/>
    <x v="679"/>
    <x v="0"/>
    <x v="0"/>
    <x v="0"/>
    <x v="730"/>
  </r>
  <r>
    <x v="0"/>
    <x v="295"/>
    <x v="6"/>
    <x v="0"/>
    <x v="0"/>
    <x v="717"/>
    <x v="534"/>
    <x v="673"/>
    <x v="680"/>
    <x v="0"/>
    <x v="0"/>
    <x v="0"/>
    <x v="731"/>
  </r>
  <r>
    <x v="0"/>
    <x v="20"/>
    <x v="6"/>
    <x v="0"/>
    <x v="0"/>
    <x v="718"/>
    <x v="535"/>
    <x v="674"/>
    <x v="681"/>
    <x v="0"/>
    <x v="0"/>
    <x v="0"/>
    <x v="732"/>
  </r>
  <r>
    <x v="0"/>
    <x v="195"/>
    <x v="6"/>
    <x v="4"/>
    <x v="0"/>
    <x v="719"/>
    <x v="536"/>
    <x v="675"/>
    <x v="682"/>
    <x v="0"/>
    <x v="0"/>
    <x v="0"/>
    <x v="733"/>
  </r>
  <r>
    <x v="0"/>
    <x v="229"/>
    <x v="3"/>
    <x v="2"/>
    <x v="0"/>
    <x v="720"/>
    <x v="2"/>
    <x v="676"/>
    <x v="683"/>
    <x v="0"/>
    <x v="0"/>
    <x v="0"/>
    <x v="734"/>
  </r>
  <r>
    <x v="0"/>
    <x v="296"/>
    <x v="15"/>
    <x v="5"/>
    <x v="0"/>
    <x v="721"/>
    <x v="537"/>
    <x v="677"/>
    <x v="684"/>
    <x v="0"/>
    <x v="0"/>
    <x v="0"/>
    <x v="735"/>
  </r>
  <r>
    <x v="0"/>
    <x v="297"/>
    <x v="15"/>
    <x v="5"/>
    <x v="0"/>
    <x v="722"/>
    <x v="538"/>
    <x v="678"/>
    <x v="685"/>
    <x v="0"/>
    <x v="0"/>
    <x v="0"/>
    <x v="736"/>
  </r>
  <r>
    <x v="0"/>
    <x v="298"/>
    <x v="15"/>
    <x v="5"/>
    <x v="0"/>
    <x v="723"/>
    <x v="539"/>
    <x v="679"/>
    <x v="686"/>
    <x v="0"/>
    <x v="0"/>
    <x v="0"/>
    <x v="737"/>
  </r>
  <r>
    <x v="0"/>
    <x v="299"/>
    <x v="15"/>
    <x v="5"/>
    <x v="0"/>
    <x v="724"/>
    <x v="540"/>
    <x v="680"/>
    <x v="687"/>
    <x v="0"/>
    <x v="0"/>
    <x v="0"/>
    <x v="738"/>
  </r>
  <r>
    <x v="0"/>
    <x v="300"/>
    <x v="1"/>
    <x v="2"/>
    <x v="0"/>
    <x v="9"/>
    <x v="541"/>
    <x v="681"/>
    <x v="688"/>
    <x v="0"/>
    <x v="0"/>
    <x v="0"/>
    <x v="739"/>
  </r>
  <r>
    <x v="0"/>
    <x v="89"/>
    <x v="6"/>
    <x v="0"/>
    <x v="0"/>
    <x v="9"/>
    <x v="542"/>
    <x v="682"/>
    <x v="689"/>
    <x v="0"/>
    <x v="0"/>
    <x v="0"/>
    <x v="740"/>
  </r>
  <r>
    <x v="0"/>
    <x v="301"/>
    <x v="10"/>
    <x v="2"/>
    <x v="0"/>
    <x v="9"/>
    <x v="543"/>
    <x v="683"/>
    <x v="690"/>
    <x v="0"/>
    <x v="0"/>
    <x v="0"/>
    <x v="741"/>
  </r>
  <r>
    <x v="0"/>
    <x v="162"/>
    <x v="0"/>
    <x v="2"/>
    <x v="0"/>
    <x v="725"/>
    <x v="544"/>
    <x v="684"/>
    <x v="691"/>
    <x v="0"/>
    <x v="0"/>
    <x v="0"/>
    <x v="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1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826:I829" firstHeaderRow="1" firstDataRow="2" firstDataCol="1"/>
  <pivotFields count="13">
    <pivotField compact="0" numFmtId="14" showAll="0">
      <items count="2">
        <item x="0"/>
        <item t="default"/>
      </items>
    </pivotField>
    <pivotField compact="0" showAll="0">
      <items count="303">
        <item x="108"/>
        <item x="111"/>
        <item x="109"/>
        <item x="110"/>
        <item x="58"/>
        <item x="63"/>
        <item x="52"/>
        <item x="45"/>
        <item x="49"/>
        <item x="48"/>
        <item x="60"/>
        <item x="294"/>
        <item x="40"/>
        <item x="39"/>
        <item x="66"/>
        <item x="44"/>
        <item x="62"/>
        <item x="64"/>
        <item x="43"/>
        <item x="42"/>
        <item x="38"/>
        <item x="37"/>
        <item x="59"/>
        <item x="57"/>
        <item x="55"/>
        <item x="56"/>
        <item x="54"/>
        <item x="65"/>
        <item x="47"/>
        <item x="61"/>
        <item x="36"/>
        <item x="296"/>
        <item x="51"/>
        <item x="41"/>
        <item x="50"/>
        <item x="53"/>
        <item x="46"/>
        <item x="76"/>
        <item x="264"/>
        <item x="116"/>
        <item x="117"/>
        <item x="135"/>
        <item x="138"/>
        <item x="136"/>
        <item x="134"/>
        <item x="139"/>
        <item x="137"/>
        <item x="141"/>
        <item x="140"/>
        <item x="268"/>
        <item x="244"/>
        <item x="26"/>
        <item x="25"/>
        <item x="290"/>
        <item x="31"/>
        <item x="256"/>
        <item x="297"/>
        <item x="252"/>
        <item x="251"/>
        <item x="249"/>
        <item x="250"/>
        <item x="79"/>
        <item x="129"/>
        <item x="126"/>
        <item x="118"/>
        <item x="119"/>
        <item x="124"/>
        <item x="125"/>
        <item x="121"/>
        <item x="295"/>
        <item x="127"/>
        <item x="123"/>
        <item x="120"/>
        <item x="128"/>
        <item x="122"/>
        <item x="218"/>
        <item x="201"/>
        <item x="200"/>
        <item x="150"/>
        <item x="157"/>
        <item x="151"/>
        <item x="149"/>
        <item x="148"/>
        <item x="155"/>
        <item x="164"/>
        <item x="165"/>
        <item x="160"/>
        <item x="162"/>
        <item x="159"/>
        <item x="154"/>
        <item x="156"/>
        <item x="163"/>
        <item x="158"/>
        <item x="152"/>
        <item x="153"/>
        <item x="161"/>
        <item x="80"/>
        <item x="82"/>
        <item x="81"/>
        <item x="209"/>
        <item x="210"/>
        <item x="240"/>
        <item x="241"/>
        <item x="242"/>
        <item x="239"/>
        <item x="243"/>
        <item x="67"/>
        <item x="246"/>
        <item x="245"/>
        <item x="284"/>
        <item x="212"/>
        <item x="85"/>
        <item x="203"/>
        <item x="202"/>
        <item x="204"/>
        <item x="205"/>
        <item x="275"/>
        <item x="131"/>
        <item x="130"/>
        <item x="142"/>
        <item x="32"/>
        <item x="287"/>
        <item x="267"/>
        <item x="292"/>
        <item x="211"/>
        <item x="84"/>
        <item x="253"/>
        <item x="75"/>
        <item x="73"/>
        <item x="74"/>
        <item x="69"/>
        <item x="68"/>
        <item x="71"/>
        <item x="70"/>
        <item x="72"/>
        <item x="35"/>
        <item x="107"/>
        <item x="283"/>
        <item x="289"/>
        <item x="288"/>
        <item x="33"/>
        <item x="248"/>
        <item x="266"/>
        <item x="78"/>
        <item x="77"/>
        <item x="114"/>
        <item x="113"/>
        <item x="285"/>
        <item x="286"/>
        <item x="24"/>
        <item x="15"/>
        <item x="17"/>
        <item x="13"/>
        <item x="14"/>
        <item x="18"/>
        <item x="8"/>
        <item x="21"/>
        <item x="9"/>
        <item x="5"/>
        <item x="10"/>
        <item x="12"/>
        <item x="19"/>
        <item x="4"/>
        <item x="22"/>
        <item x="6"/>
        <item x="16"/>
        <item x="11"/>
        <item x="7"/>
        <item x="301"/>
        <item x="20"/>
        <item x="298"/>
        <item x="23"/>
        <item x="221"/>
        <item x="235"/>
        <item x="236"/>
        <item x="234"/>
        <item x="222"/>
        <item x="227"/>
        <item x="229"/>
        <item x="223"/>
        <item x="224"/>
        <item x="231"/>
        <item x="230"/>
        <item x="228"/>
        <item x="232"/>
        <item x="226"/>
        <item x="225"/>
        <item x="233"/>
        <item x="220"/>
        <item x="255"/>
        <item x="208"/>
        <item x="207"/>
        <item x="92"/>
        <item x="87"/>
        <item x="94"/>
        <item x="93"/>
        <item x="96"/>
        <item x="90"/>
        <item x="88"/>
        <item x="89"/>
        <item x="95"/>
        <item x="86"/>
        <item x="91"/>
        <item x="144"/>
        <item x="300"/>
        <item x="99"/>
        <item x="103"/>
        <item x="101"/>
        <item x="98"/>
        <item x="104"/>
        <item x="102"/>
        <item x="100"/>
        <item x="105"/>
        <item x="3"/>
        <item x="133"/>
        <item x="237"/>
        <item x="238"/>
        <item x="206"/>
        <item x="193"/>
        <item x="194"/>
        <item x="180"/>
        <item x="187"/>
        <item x="171"/>
        <item x="178"/>
        <item x="183"/>
        <item x="190"/>
        <item x="191"/>
        <item x="189"/>
        <item x="170"/>
        <item x="168"/>
        <item x="174"/>
        <item x="196"/>
        <item x="173"/>
        <item x="169"/>
        <item x="188"/>
        <item x="195"/>
        <item x="186"/>
        <item x="197"/>
        <item x="185"/>
        <item x="175"/>
        <item x="177"/>
        <item x="176"/>
        <item x="179"/>
        <item x="192"/>
        <item x="182"/>
        <item x="167"/>
        <item x="172"/>
        <item x="166"/>
        <item x="184"/>
        <item x="181"/>
        <item x="198"/>
        <item x="260"/>
        <item x="261"/>
        <item x="258"/>
        <item x="257"/>
        <item x="259"/>
        <item x="262"/>
        <item x="263"/>
        <item x="115"/>
        <item x="97"/>
        <item x="112"/>
        <item x="291"/>
        <item x="132"/>
        <item x="2"/>
        <item x="1"/>
        <item x="147"/>
        <item x="106"/>
        <item x="277"/>
        <item x="276"/>
        <item x="254"/>
        <item x="199"/>
        <item x="34"/>
        <item x="278"/>
        <item x="282"/>
        <item x="281"/>
        <item x="280"/>
        <item x="279"/>
        <item x="143"/>
        <item x="217"/>
        <item x="299"/>
        <item x="213"/>
        <item x="214"/>
        <item x="216"/>
        <item x="215"/>
        <item x="269"/>
        <item x="146"/>
        <item x="145"/>
        <item x="27"/>
        <item x="28"/>
        <item x="293"/>
        <item x="29"/>
        <item x="30"/>
        <item x="274"/>
        <item x="273"/>
        <item x="270"/>
        <item x="271"/>
        <item x="272"/>
        <item x="83"/>
        <item x="247"/>
        <item x="265"/>
        <item x="219"/>
        <item x="0"/>
        <item t="default"/>
      </items>
    </pivotField>
    <pivotField compact="0" showAll="0">
      <items count="28">
        <item x="4"/>
        <item x="19"/>
        <item x="21"/>
        <item x="24"/>
        <item x="11"/>
        <item x="23"/>
        <item x="5"/>
        <item x="8"/>
        <item x="20"/>
        <item x="14"/>
        <item x="17"/>
        <item x="6"/>
        <item x="26"/>
        <item x="25"/>
        <item x="12"/>
        <item x="0"/>
        <item x="16"/>
        <item x="22"/>
        <item x="7"/>
        <item x="9"/>
        <item x="3"/>
        <item x="15"/>
        <item x="2"/>
        <item x="18"/>
        <item x="1"/>
        <item x="10"/>
        <item x="13"/>
        <item t="default"/>
      </items>
    </pivotField>
    <pivotField axis="axisCol" compact="0" showAll="0">
      <items count="7">
        <item x="0"/>
        <item x="4"/>
        <item x="1"/>
        <item x="5"/>
        <item x="3"/>
        <item x="2"/>
        <item t="default"/>
      </items>
    </pivotField>
    <pivotField compact="0" showAll="0">
      <items count="52">
        <item x="48"/>
        <item x="26"/>
        <item x="20"/>
        <item x="37"/>
        <item x="7"/>
        <item x="44"/>
        <item x="24"/>
        <item x="38"/>
        <item x="2"/>
        <item x="41"/>
        <item x="9"/>
        <item x="33"/>
        <item x="18"/>
        <item x="22"/>
        <item x="16"/>
        <item x="34"/>
        <item x="13"/>
        <item x="27"/>
        <item x="17"/>
        <item x="47"/>
        <item x="6"/>
        <item x="5"/>
        <item x="28"/>
        <item x="43"/>
        <item x="36"/>
        <item x="10"/>
        <item x="8"/>
        <item x="35"/>
        <item x="3"/>
        <item x="39"/>
        <item x="40"/>
        <item x="12"/>
        <item x="31"/>
        <item x="21"/>
        <item x="23"/>
        <item x="30"/>
        <item x="1"/>
        <item x="42"/>
        <item x="15"/>
        <item x="49"/>
        <item x="32"/>
        <item x="29"/>
        <item x="11"/>
        <item x="14"/>
        <item x="46"/>
        <item x="19"/>
        <item x="4"/>
        <item x="25"/>
        <item x="50"/>
        <item x="45"/>
        <item x="0"/>
        <item t="default"/>
      </items>
    </pivotField>
    <pivotField dataField="1" compact="0" showAll="0">
      <items count="727">
        <item x="466"/>
        <item x="29"/>
        <item x="341"/>
        <item x="706"/>
        <item x="121"/>
        <item x="511"/>
        <item x="248"/>
        <item x="120"/>
        <item x="601"/>
        <item x="223"/>
        <item x="554"/>
        <item x="75"/>
        <item x="578"/>
        <item x="531"/>
        <item x="644"/>
        <item x="25"/>
        <item x="510"/>
        <item x="454"/>
        <item x="189"/>
        <item x="344"/>
        <item x="568"/>
        <item x="603"/>
        <item x="142"/>
        <item x="546"/>
        <item x="295"/>
        <item x="709"/>
        <item x="291"/>
        <item x="465"/>
        <item x="92"/>
        <item x="85"/>
        <item x="497"/>
        <item x="587"/>
        <item x="474"/>
        <item x="11"/>
        <item x="375"/>
        <item x="637"/>
        <item x="343"/>
        <item x="6"/>
        <item x="237"/>
        <item x="136"/>
        <item x="274"/>
        <item x="512"/>
        <item x="631"/>
        <item x="270"/>
        <item x="424"/>
        <item x="385"/>
        <item x="600"/>
        <item x="139"/>
        <item x="519"/>
        <item x="373"/>
        <item x="27"/>
        <item x="336"/>
        <item x="694"/>
        <item x="263"/>
        <item x="640"/>
        <item x="16"/>
        <item x="160"/>
        <item x="565"/>
        <item x="378"/>
        <item x="7"/>
        <item x="148"/>
        <item x="658"/>
        <item x="164"/>
        <item x="604"/>
        <item x="352"/>
        <item x="449"/>
        <item x="254"/>
        <item x="538"/>
        <item x="560"/>
        <item x="550"/>
        <item x="314"/>
        <item x="33"/>
        <item x="76"/>
        <item x="574"/>
        <item x="368"/>
        <item x="65"/>
        <item x="87"/>
        <item x="676"/>
        <item x="91"/>
        <item x="73"/>
        <item x="242"/>
        <item x="681"/>
        <item x="553"/>
        <item x="496"/>
        <item x="5"/>
        <item x="177"/>
        <item x="145"/>
        <item x="116"/>
        <item x="321"/>
        <item x="18"/>
        <item x="566"/>
        <item x="246"/>
        <item x="17"/>
        <item x="94"/>
        <item x="199"/>
        <item x="3"/>
        <item x="26"/>
        <item x="357"/>
        <item x="671"/>
        <item x="409"/>
        <item x="103"/>
        <item x="502"/>
        <item x="132"/>
        <item x="226"/>
        <item x="187"/>
        <item x="432"/>
        <item x="369"/>
        <item x="410"/>
        <item x="82"/>
        <item x="84"/>
        <item x="265"/>
        <item x="249"/>
        <item x="620"/>
        <item x="390"/>
        <item x="12"/>
        <item x="530"/>
        <item x="376"/>
        <item x="285"/>
        <item x="477"/>
        <item x="400"/>
        <item x="708"/>
        <item x="14"/>
        <item x="463"/>
        <item x="174"/>
        <item x="111"/>
        <item x="209"/>
        <item x="657"/>
        <item x="534"/>
        <item x="675"/>
        <item x="86"/>
        <item x="698"/>
        <item x="211"/>
        <item x="299"/>
        <item x="15"/>
        <item x="300"/>
        <item x="552"/>
        <item x="271"/>
        <item x="175"/>
        <item x="458"/>
        <item x="686"/>
        <item x="34"/>
        <item x="559"/>
        <item x="13"/>
        <item x="117"/>
        <item x="279"/>
        <item x="10"/>
        <item x="161"/>
        <item x="545"/>
        <item x="63"/>
        <item x="325"/>
        <item x="425"/>
        <item x="481"/>
        <item x="257"/>
        <item x="673"/>
        <item x="308"/>
        <item x="494"/>
        <item x="133"/>
        <item x="137"/>
        <item x="41"/>
        <item x="335"/>
        <item x="543"/>
        <item x="533"/>
        <item x="284"/>
        <item x="256"/>
        <item x="399"/>
        <item x="683"/>
        <item x="218"/>
        <item x="622"/>
        <item x="356"/>
        <item x="214"/>
        <item x="58"/>
        <item x="398"/>
        <item x="522"/>
        <item x="394"/>
        <item x="687"/>
        <item x="699"/>
        <item x="725"/>
        <item x="224"/>
        <item x="297"/>
        <item x="156"/>
        <item x="247"/>
        <item x="329"/>
        <item x="322"/>
        <item x="590"/>
        <item x="304"/>
        <item x="204"/>
        <item x="331"/>
        <item x="660"/>
        <item x="464"/>
        <item x="267"/>
        <item x="101"/>
        <item x="665"/>
        <item x="259"/>
        <item x="633"/>
        <item x="35"/>
        <item x="54"/>
        <item x="605"/>
        <item x="313"/>
        <item x="596"/>
        <item x="445"/>
        <item x="448"/>
        <item x="2"/>
        <item x="318"/>
        <item x="647"/>
        <item x="272"/>
        <item x="115"/>
        <item x="439"/>
        <item x="544"/>
        <item x="392"/>
        <item x="412"/>
        <item x="661"/>
        <item x="106"/>
        <item x="396"/>
        <item x="599"/>
        <item x="305"/>
        <item x="441"/>
        <item x="366"/>
        <item x="8"/>
        <item x="635"/>
        <item x="624"/>
        <item x="504"/>
        <item x="138"/>
        <item x="611"/>
        <item x="245"/>
        <item x="31"/>
        <item x="415"/>
        <item x="689"/>
        <item x="74"/>
        <item x="239"/>
        <item x="547"/>
        <item x="346"/>
        <item x="61"/>
        <item x="258"/>
        <item x="293"/>
        <item x="388"/>
        <item x="650"/>
        <item x="141"/>
        <item x="427"/>
        <item x="278"/>
        <item x="200"/>
        <item x="354"/>
        <item x="262"/>
        <item x="340"/>
        <item x="435"/>
        <item x="527"/>
        <item x="418"/>
        <item x="685"/>
        <item x="359"/>
        <item x="268"/>
        <item x="43"/>
        <item x="48"/>
        <item x="170"/>
        <item x="312"/>
        <item x="319"/>
        <item x="585"/>
        <item x="411"/>
        <item x="397"/>
        <item x="310"/>
        <item x="500"/>
        <item x="372"/>
        <item x="212"/>
        <item x="438"/>
        <item x="484"/>
        <item x="316"/>
        <item x="236"/>
        <item x="260"/>
        <item x="436"/>
        <item x="518"/>
        <item x="440"/>
        <item x="532"/>
        <item x="701"/>
        <item x="4"/>
        <item x="367"/>
        <item x="615"/>
        <item x="508"/>
        <item x="210"/>
        <item x="162"/>
        <item x="302"/>
        <item x="30"/>
        <item x="72"/>
        <item x="364"/>
        <item x="539"/>
        <item x="501"/>
        <item x="151"/>
        <item x="23"/>
        <item x="651"/>
        <item x="178"/>
        <item x="386"/>
        <item x="621"/>
        <item x="413"/>
        <item x="45"/>
        <item x="67"/>
        <item x="183"/>
        <item x="575"/>
        <item x="50"/>
        <item x="447"/>
        <item x="71"/>
        <item x="155"/>
        <item x="315"/>
        <item x="102"/>
        <item x="670"/>
        <item x="88"/>
        <item x="669"/>
        <item x="62"/>
        <item x="722"/>
        <item x="59"/>
        <item x="296"/>
        <item x="695"/>
        <item x="90"/>
        <item x="667"/>
        <item x="583"/>
        <item x="648"/>
        <item x="79"/>
        <item x="0"/>
        <item x="416"/>
        <item x="159"/>
        <item x="401"/>
        <item x="645"/>
        <item x="185"/>
        <item x="104"/>
        <item x="634"/>
        <item x="232"/>
        <item x="720"/>
        <item x="311"/>
        <item x="526"/>
        <item x="334"/>
        <item x="632"/>
        <item x="143"/>
        <item x="417"/>
        <item x="486"/>
        <item x="664"/>
        <item x="216"/>
        <item x="581"/>
        <item x="264"/>
        <item x="19"/>
        <item x="592"/>
        <item x="37"/>
        <item x="353"/>
        <item x="194"/>
        <item x="328"/>
        <item x="252"/>
        <item x="332"/>
        <item x="535"/>
        <item x="693"/>
        <item x="225"/>
        <item x="107"/>
        <item x="470"/>
        <item x="682"/>
        <item x="327"/>
        <item x="253"/>
        <item x="476"/>
        <item x="32"/>
        <item x="380"/>
        <item x="576"/>
        <item x="337"/>
        <item x="125"/>
        <item x="213"/>
        <item x="551"/>
        <item x="97"/>
        <item x="361"/>
        <item x="113"/>
        <item x="377"/>
        <item x="636"/>
        <item x="78"/>
        <item x="294"/>
        <item x="710"/>
        <item x="289"/>
        <item x="524"/>
        <item x="193"/>
        <item x="571"/>
        <item x="536"/>
        <item x="56"/>
        <item x="298"/>
        <item x="479"/>
        <item x="609"/>
        <item x="348"/>
        <item x="468"/>
        <item x="108"/>
        <item x="307"/>
        <item x="275"/>
        <item x="42"/>
        <item x="251"/>
        <item x="347"/>
        <item x="678"/>
        <item x="55"/>
        <item x="719"/>
        <item x="393"/>
        <item x="582"/>
        <item x="81"/>
        <item x="127"/>
        <item x="243"/>
        <item x="306"/>
        <item x="489"/>
        <item x="613"/>
        <item x="238"/>
        <item x="282"/>
        <item x="134"/>
        <item x="721"/>
        <item x="365"/>
        <item x="421"/>
        <item x="520"/>
        <item x="691"/>
        <item x="323"/>
        <item x="66"/>
        <item x="517"/>
        <item x="109"/>
        <item x="40"/>
        <item x="351"/>
        <item x="326"/>
        <item x="672"/>
        <item x="625"/>
        <item x="718"/>
        <item x="426"/>
        <item x="205"/>
        <item x="358"/>
        <item x="192"/>
        <item x="444"/>
        <item x="21"/>
        <item x="49"/>
        <item x="110"/>
        <item x="580"/>
        <item x="696"/>
        <item x="493"/>
        <item x="668"/>
        <item x="286"/>
        <item x="459"/>
        <item x="407"/>
        <item x="707"/>
        <item x="700"/>
        <item x="649"/>
        <item x="475"/>
        <item x="129"/>
        <item x="176"/>
        <item x="317"/>
        <item x="301"/>
        <item x="168"/>
        <item x="180"/>
        <item x="608"/>
        <item x="281"/>
        <item x="182"/>
        <item x="507"/>
        <item x="288"/>
        <item x="144"/>
        <item x="612"/>
        <item x="345"/>
        <item x="190"/>
        <item x="666"/>
        <item x="406"/>
        <item x="697"/>
        <item x="158"/>
        <item x="462"/>
        <item x="287"/>
        <item x="166"/>
        <item x="222"/>
        <item x="309"/>
        <item x="152"/>
        <item x="280"/>
        <item x="443"/>
        <item x="44"/>
        <item x="374"/>
        <item x="437"/>
        <item x="688"/>
        <item x="131"/>
        <item x="241"/>
        <item x="674"/>
        <item x="96"/>
        <item x="414"/>
        <item x="523"/>
        <item x="149"/>
        <item x="403"/>
        <item x="167"/>
        <item x="652"/>
        <item x="586"/>
        <item x="112"/>
        <item x="659"/>
        <item x="471"/>
        <item x="542"/>
        <item x="105"/>
        <item x="119"/>
        <item x="20"/>
        <item x="724"/>
        <item x="506"/>
        <item x="469"/>
        <item x="628"/>
        <item x="202"/>
        <item x="638"/>
        <item x="514"/>
        <item x="324"/>
        <item x="655"/>
        <item x="677"/>
        <item x="499"/>
        <item x="266"/>
        <item x="150"/>
        <item x="379"/>
        <item x="505"/>
        <item x="198"/>
        <item x="705"/>
        <item x="128"/>
        <item x="503"/>
        <item x="70"/>
        <item x="564"/>
        <item x="629"/>
        <item x="171"/>
        <item x="231"/>
        <item x="186"/>
        <item x="563"/>
        <item x="51"/>
        <item x="181"/>
        <item x="480"/>
        <item x="716"/>
        <item x="95"/>
        <item x="516"/>
        <item x="630"/>
        <item x="157"/>
        <item x="219"/>
        <item x="723"/>
        <item x="548"/>
        <item x="495"/>
        <item x="303"/>
        <item x="24"/>
        <item x="165"/>
        <item x="423"/>
        <item x="83"/>
        <item x="355"/>
        <item x="607"/>
        <item x="591"/>
        <item x="627"/>
        <item x="684"/>
        <item x="498"/>
        <item x="93"/>
        <item x="618"/>
        <item x="330"/>
        <item x="616"/>
        <item x="391"/>
        <item x="422"/>
        <item x="573"/>
        <item x="597"/>
        <item x="420"/>
        <item x="362"/>
        <item x="569"/>
        <item x="515"/>
        <item x="450"/>
        <item x="680"/>
        <item x="135"/>
        <item x="140"/>
        <item x="217"/>
        <item x="173"/>
        <item x="338"/>
        <item x="153"/>
        <item x="235"/>
        <item x="473"/>
        <item x="233"/>
        <item x="715"/>
        <item x="339"/>
        <item x="584"/>
        <item x="244"/>
        <item x="602"/>
        <item x="408"/>
        <item x="227"/>
        <item x="549"/>
        <item x="656"/>
        <item x="197"/>
        <item x="206"/>
        <item x="404"/>
        <item x="490"/>
        <item x="360"/>
        <item x="472"/>
        <item x="456"/>
        <item x="509"/>
        <item x="1"/>
        <item x="453"/>
        <item x="663"/>
        <item x="577"/>
        <item x="283"/>
        <item x="434"/>
        <item x="405"/>
        <item x="261"/>
        <item x="53"/>
        <item x="598"/>
        <item x="114"/>
        <item x="320"/>
        <item x="126"/>
        <item x="690"/>
        <item x="382"/>
        <item x="89"/>
        <item x="255"/>
        <item x="433"/>
        <item x="22"/>
        <item x="662"/>
        <item x="614"/>
        <item x="52"/>
        <item x="451"/>
        <item x="419"/>
        <item x="460"/>
        <item x="290"/>
        <item x="191"/>
        <item x="229"/>
        <item x="250"/>
        <item x="273"/>
        <item x="196"/>
        <item x="163"/>
        <item x="606"/>
        <item x="646"/>
        <item x="188"/>
        <item x="98"/>
        <item x="57"/>
        <item x="525"/>
        <item x="529"/>
        <item x="383"/>
        <item x="276"/>
        <item x="342"/>
        <item x="207"/>
        <item x="64"/>
        <item x="537"/>
        <item x="642"/>
        <item x="588"/>
        <item x="118"/>
        <item x="492"/>
        <item x="431"/>
        <item x="589"/>
        <item x="363"/>
        <item x="491"/>
        <item x="461"/>
        <item x="389"/>
        <item x="36"/>
        <item x="38"/>
        <item x="228"/>
        <item x="455"/>
        <item x="488"/>
        <item x="146"/>
        <item x="220"/>
        <item x="712"/>
        <item x="487"/>
        <item x="711"/>
        <item x="381"/>
        <item x="201"/>
        <item x="654"/>
        <item x="541"/>
        <item x="562"/>
        <item x="370"/>
        <item x="99"/>
        <item x="350"/>
        <item x="452"/>
        <item x="371"/>
        <item x="478"/>
        <item x="215"/>
        <item x="100"/>
        <item x="570"/>
        <item x="203"/>
        <item x="240"/>
        <item x="122"/>
        <item x="349"/>
        <item x="169"/>
        <item x="184"/>
        <item x="277"/>
        <item x="521"/>
        <item x="395"/>
        <item x="713"/>
        <item x="482"/>
        <item x="579"/>
        <item x="679"/>
        <item x="124"/>
        <item x="653"/>
        <item x="60"/>
        <item x="292"/>
        <item x="147"/>
        <item x="692"/>
        <item x="557"/>
        <item x="558"/>
        <item x="230"/>
        <item x="179"/>
        <item x="80"/>
        <item x="47"/>
        <item x="610"/>
        <item x="28"/>
        <item x="234"/>
        <item x="556"/>
        <item x="714"/>
        <item x="69"/>
        <item x="457"/>
        <item x="402"/>
        <item x="513"/>
        <item x="195"/>
        <item x="442"/>
        <item x="446"/>
        <item x="540"/>
        <item x="123"/>
        <item x="39"/>
        <item x="68"/>
        <item x="717"/>
        <item x="269"/>
        <item x="172"/>
        <item x="623"/>
        <item x="77"/>
        <item x="702"/>
        <item x="485"/>
        <item x="703"/>
        <item x="208"/>
        <item x="528"/>
        <item x="593"/>
        <item x="567"/>
        <item x="594"/>
        <item x="617"/>
        <item x="46"/>
        <item x="555"/>
        <item x="154"/>
        <item x="639"/>
        <item x="704"/>
        <item x="429"/>
        <item x="561"/>
        <item x="595"/>
        <item x="428"/>
        <item x="333"/>
        <item x="572"/>
        <item x="467"/>
        <item x="430"/>
        <item x="130"/>
        <item x="626"/>
        <item x="641"/>
        <item x="619"/>
        <item x="221"/>
        <item x="384"/>
        <item x="387"/>
        <item x="9"/>
        <item x="483"/>
        <item x="643"/>
        <item t="default"/>
      </items>
    </pivotField>
    <pivotField compact="0" showAll="0">
      <items count="546">
        <item x="379"/>
        <item x="339"/>
        <item x="541"/>
        <item x="300"/>
        <item x="475"/>
        <item x="238"/>
        <item x="269"/>
        <item x="378"/>
        <item x="525"/>
        <item x="230"/>
        <item x="140"/>
        <item x="395"/>
        <item x="149"/>
        <item x="3"/>
        <item x="329"/>
        <item x="463"/>
        <item x="219"/>
        <item x="332"/>
        <item x="440"/>
        <item x="405"/>
        <item x="191"/>
        <item x="195"/>
        <item x="6"/>
        <item x="364"/>
        <item x="275"/>
        <item x="365"/>
        <item x="233"/>
        <item x="4"/>
        <item x="5"/>
        <item x="131"/>
        <item x="533"/>
        <item x="259"/>
        <item x="0"/>
        <item x="174"/>
        <item x="260"/>
        <item x="394"/>
        <item x="429"/>
        <item x="152"/>
        <item x="237"/>
        <item x="380"/>
        <item x="268"/>
        <item x="465"/>
        <item x="481"/>
        <item x="324"/>
        <item x="243"/>
        <item x="214"/>
        <item x="496"/>
        <item x="330"/>
        <item x="232"/>
        <item x="46"/>
        <item x="501"/>
        <item x="363"/>
        <item x="104"/>
        <item x="160"/>
        <item x="248"/>
        <item x="122"/>
        <item x="370"/>
        <item x="55"/>
        <item x="15"/>
        <item x="288"/>
        <item x="8"/>
        <item x="111"/>
        <item x="289"/>
        <item x="52"/>
        <item x="171"/>
        <item x="70"/>
        <item x="185"/>
        <item x="264"/>
        <item x="279"/>
        <item x="345"/>
        <item x="527"/>
        <item x="480"/>
        <item x="518"/>
        <item x="338"/>
        <item x="410"/>
        <item x="495"/>
        <item x="199"/>
        <item x="102"/>
        <item x="200"/>
        <item x="506"/>
        <item x="179"/>
        <item x="414"/>
        <item x="404"/>
        <item x="222"/>
        <item x="349"/>
        <item x="164"/>
        <item x="247"/>
        <item x="208"/>
        <item x="24"/>
        <item x="83"/>
        <item x="197"/>
        <item x="402"/>
        <item x="165"/>
        <item x="184"/>
        <item x="278"/>
        <item x="503"/>
        <item x="135"/>
        <item x="204"/>
        <item x="544"/>
        <item x="510"/>
        <item x="387"/>
        <item x="277"/>
        <item x="508"/>
        <item x="167"/>
        <item x="453"/>
        <item x="488"/>
        <item x="369"/>
        <item x="483"/>
        <item x="33"/>
        <item x="62"/>
        <item x="314"/>
        <item x="159"/>
        <item x="213"/>
        <item x="436"/>
        <item x="320"/>
        <item x="469"/>
        <item x="484"/>
        <item x="446"/>
        <item x="291"/>
        <item x="403"/>
        <item x="257"/>
        <item x="205"/>
        <item x="274"/>
        <item x="316"/>
        <item x="18"/>
        <item x="372"/>
        <item x="450"/>
        <item x="461"/>
        <item x="47"/>
        <item x="294"/>
        <item x="154"/>
        <item x="472"/>
        <item x="166"/>
        <item x="239"/>
        <item x="193"/>
        <item x="38"/>
        <item x="178"/>
        <item x="304"/>
        <item x="245"/>
        <item x="313"/>
        <item x="123"/>
        <item x="84"/>
        <item x="290"/>
        <item x="297"/>
        <item x="250"/>
        <item x="310"/>
        <item x="505"/>
        <item x="27"/>
        <item x="212"/>
        <item x="427"/>
        <item x="276"/>
        <item x="210"/>
        <item x="368"/>
        <item x="168"/>
        <item x="216"/>
        <item x="311"/>
        <item x="352"/>
        <item x="151"/>
        <item x="315"/>
        <item x="520"/>
        <item x="258"/>
        <item x="396"/>
        <item x="202"/>
        <item x="17"/>
        <item x="376"/>
        <item x="130"/>
        <item x="473"/>
        <item x="292"/>
        <item x="538"/>
        <item x="255"/>
        <item x="13"/>
        <item x="196"/>
        <item x="322"/>
        <item x="105"/>
        <item x="215"/>
        <item x="29"/>
        <item x="236"/>
        <item x="452"/>
        <item x="44"/>
        <item x="398"/>
        <item x="507"/>
        <item x="491"/>
        <item x="63"/>
        <item x="492"/>
        <item x="542"/>
        <item x="470"/>
        <item x="432"/>
        <item x="7"/>
        <item x="93"/>
        <item x="295"/>
        <item x="408"/>
        <item x="280"/>
        <item x="64"/>
        <item x="460"/>
        <item x="146"/>
        <item x="211"/>
        <item x="459"/>
        <item x="244"/>
        <item x="296"/>
        <item x="391"/>
        <item x="226"/>
        <item x="354"/>
        <item x="85"/>
        <item x="487"/>
        <item x="170"/>
        <item x="515"/>
        <item x="9"/>
        <item x="19"/>
        <item x="514"/>
        <item x="117"/>
        <item x="133"/>
        <item x="502"/>
        <item x="66"/>
        <item x="462"/>
        <item x="420"/>
        <item x="344"/>
        <item x="20"/>
        <item x="422"/>
        <item x="198"/>
        <item x="58"/>
        <item x="35"/>
        <item x="194"/>
        <item x="189"/>
        <item x="116"/>
        <item x="389"/>
        <item x="347"/>
        <item x="536"/>
        <item x="444"/>
        <item x="175"/>
        <item x="207"/>
        <item x="425"/>
        <item x="67"/>
        <item x="157"/>
        <item x="34"/>
        <item x="252"/>
        <item x="537"/>
        <item x="498"/>
        <item x="493"/>
        <item x="182"/>
        <item x="206"/>
        <item x="162"/>
        <item x="50"/>
        <item x="512"/>
        <item x="516"/>
        <item x="357"/>
        <item x="249"/>
        <item x="153"/>
        <item x="256"/>
        <item x="220"/>
        <item x="23"/>
        <item x="242"/>
        <item x="68"/>
        <item x="223"/>
        <item x="385"/>
        <item x="234"/>
        <item x="323"/>
        <item x="535"/>
        <item x="303"/>
        <item x="319"/>
        <item x="217"/>
        <item x="11"/>
        <item x="28"/>
        <item x="186"/>
        <item x="361"/>
        <item x="526"/>
        <item x="286"/>
        <item x="69"/>
        <item x="490"/>
        <item x="528"/>
        <item x="103"/>
        <item x="187"/>
        <item x="334"/>
        <item x="201"/>
        <item x="181"/>
        <item x="519"/>
        <item x="471"/>
        <item x="188"/>
        <item x="343"/>
        <item x="79"/>
        <item x="108"/>
        <item x="375"/>
        <item x="101"/>
        <item x="98"/>
        <item x="92"/>
        <item x="235"/>
        <item x="113"/>
        <item x="285"/>
        <item x="96"/>
        <item x="517"/>
        <item x="489"/>
        <item x="139"/>
        <item x="337"/>
        <item x="209"/>
        <item x="312"/>
        <item x="180"/>
        <item x="42"/>
        <item x="509"/>
        <item x="494"/>
        <item x="318"/>
        <item x="86"/>
        <item x="81"/>
        <item x="156"/>
        <item x="474"/>
        <item x="282"/>
        <item x="97"/>
        <item x="540"/>
        <item x="388"/>
        <item x="293"/>
        <item x="482"/>
        <item x="45"/>
        <item x="71"/>
        <item x="89"/>
        <item x="401"/>
        <item x="65"/>
        <item x="10"/>
        <item x="74"/>
        <item x="374"/>
        <item x="125"/>
        <item x="57"/>
        <item x="456"/>
        <item x="497"/>
        <item x="221"/>
        <item x="382"/>
        <item x="478"/>
        <item x="367"/>
        <item x="265"/>
        <item x="348"/>
        <item x="373"/>
        <item x="121"/>
        <item x="43"/>
        <item x="457"/>
        <item x="524"/>
        <item x="539"/>
        <item x="371"/>
        <item x="418"/>
        <item x="145"/>
        <item x="458"/>
        <item x="384"/>
        <item x="30"/>
        <item x="110"/>
        <item x="302"/>
        <item x="107"/>
        <item x="417"/>
        <item x="95"/>
        <item x="203"/>
        <item x="362"/>
        <item x="406"/>
        <item x="91"/>
        <item x="54"/>
        <item x="136"/>
        <item x="246"/>
        <item x="227"/>
        <item x="51"/>
        <item x="14"/>
        <item x="56"/>
        <item x="442"/>
        <item x="431"/>
        <item x="504"/>
        <item x="366"/>
        <item x="447"/>
        <item x="449"/>
        <item x="272"/>
        <item x="301"/>
        <item x="263"/>
        <item x="437"/>
        <item x="500"/>
        <item x="299"/>
        <item x="325"/>
        <item x="421"/>
        <item x="383"/>
        <item x="115"/>
        <item x="224"/>
        <item x="82"/>
        <item x="134"/>
        <item x="228"/>
        <item x="253"/>
        <item x="141"/>
        <item x="150"/>
        <item x="147"/>
        <item x="158"/>
        <item x="342"/>
        <item x="532"/>
        <item x="229"/>
        <item x="439"/>
        <item x="287"/>
        <item x="426"/>
        <item x="407"/>
        <item x="479"/>
        <item x="251"/>
        <item x="120"/>
        <item x="127"/>
        <item x="283"/>
        <item x="358"/>
        <item x="169"/>
        <item x="390"/>
        <item x="183"/>
        <item x="341"/>
        <item x="377"/>
        <item x="1"/>
        <item x="328"/>
        <item x="486"/>
        <item x="309"/>
        <item x="284"/>
        <item x="511"/>
        <item x="32"/>
        <item x="438"/>
        <item x="218"/>
        <item x="78"/>
        <item x="163"/>
        <item x="53"/>
        <item x="308"/>
        <item x="12"/>
        <item x="485"/>
        <item x="72"/>
        <item x="445"/>
        <item x="31"/>
        <item x="262"/>
        <item x="543"/>
        <item x="173"/>
        <item x="326"/>
        <item x="298"/>
        <item x="335"/>
        <item x="190"/>
        <item x="143"/>
        <item x="161"/>
        <item x="142"/>
        <item x="119"/>
        <item x="94"/>
        <item x="441"/>
        <item x="36"/>
        <item x="114"/>
        <item x="112"/>
        <item x="468"/>
        <item x="59"/>
        <item x="39"/>
        <item x="176"/>
        <item x="393"/>
        <item x="128"/>
        <item x="231"/>
        <item x="331"/>
        <item x="428"/>
        <item x="397"/>
        <item x="73"/>
        <item x="360"/>
        <item x="430"/>
        <item x="336"/>
        <item x="359"/>
        <item x="271"/>
        <item x="356"/>
        <item x="254"/>
        <item x="529"/>
        <item x="137"/>
        <item x="87"/>
        <item x="530"/>
        <item x="355"/>
        <item x="266"/>
        <item x="477"/>
        <item x="124"/>
        <item x="400"/>
        <item x="241"/>
        <item x="21"/>
        <item x="416"/>
        <item x="261"/>
        <item x="132"/>
        <item x="327"/>
        <item x="346"/>
        <item x="350"/>
        <item x="126"/>
        <item x="155"/>
        <item x="240"/>
        <item x="99"/>
        <item x="177"/>
        <item x="61"/>
        <item x="109"/>
        <item x="531"/>
        <item x="499"/>
        <item x="386"/>
        <item x="60"/>
        <item x="424"/>
        <item x="77"/>
        <item x="273"/>
        <item x="75"/>
        <item x="476"/>
        <item x="192"/>
        <item x="37"/>
        <item x="88"/>
        <item x="513"/>
        <item x="412"/>
        <item x="413"/>
        <item x="144"/>
        <item x="443"/>
        <item x="106"/>
        <item x="49"/>
        <item x="26"/>
        <item x="333"/>
        <item x="16"/>
        <item x="148"/>
        <item x="411"/>
        <item x="76"/>
        <item x="41"/>
        <item x="281"/>
        <item x="381"/>
        <item x="321"/>
        <item x="317"/>
        <item x="118"/>
        <item x="399"/>
        <item x="40"/>
        <item x="534"/>
        <item x="172"/>
        <item x="22"/>
        <item x="100"/>
        <item x="454"/>
        <item x="521"/>
        <item x="48"/>
        <item x="522"/>
        <item x="353"/>
        <item x="129"/>
        <item x="433"/>
        <item x="392"/>
        <item x="434"/>
        <item x="419"/>
        <item x="448"/>
        <item x="25"/>
        <item x="409"/>
        <item x="90"/>
        <item x="523"/>
        <item x="464"/>
        <item x="306"/>
        <item x="415"/>
        <item x="435"/>
        <item x="305"/>
        <item x="225"/>
        <item x="423"/>
        <item x="340"/>
        <item x="307"/>
        <item x="80"/>
        <item x="455"/>
        <item x="466"/>
        <item x="467"/>
        <item x="451"/>
        <item x="138"/>
        <item x="267"/>
        <item x="270"/>
        <item x="2"/>
        <item x="351"/>
        <item t="default"/>
      </items>
    </pivotField>
    <pivotField dataField="1" compact="0" numFmtId="43" showAll="0">
      <items count="686">
        <item x="531"/>
        <item x="164"/>
        <item x="41"/>
        <item x="406"/>
        <item x="683"/>
        <item x="364"/>
        <item x="257"/>
        <item x="596"/>
        <item x="117"/>
        <item x="317"/>
        <item x="31"/>
        <item x="581"/>
        <item x="96"/>
        <item x="125"/>
        <item x="40"/>
        <item x="437"/>
        <item x="598"/>
        <item x="67"/>
        <item x="375"/>
        <item x="404"/>
        <item x="183"/>
        <item x="30"/>
        <item x="68"/>
        <item x="97"/>
        <item x="357"/>
        <item x="527"/>
        <item x="321"/>
        <item x="182"/>
        <item x="347"/>
        <item x="110"/>
        <item x="80"/>
        <item x="324"/>
        <item x="72"/>
        <item x="116"/>
        <item x="147"/>
        <item x="346"/>
        <item x="673"/>
        <item x="69"/>
        <item x="238"/>
        <item x="115"/>
        <item x="314"/>
        <item x="486"/>
        <item x="49"/>
        <item x="522"/>
        <item x="559"/>
        <item x="505"/>
        <item x="93"/>
        <item x="517"/>
        <item x="520"/>
        <item x="327"/>
        <item x="420"/>
        <item x="543"/>
        <item x="494"/>
        <item x="94"/>
        <item x="75"/>
        <item x="537"/>
        <item x="666"/>
        <item x="501"/>
        <item x="137"/>
        <item x="121"/>
        <item x="240"/>
        <item x="528"/>
        <item x="601"/>
        <item x="27"/>
        <item x="542"/>
        <item x="28"/>
        <item x="209"/>
        <item x="13"/>
        <item x="682"/>
        <item x="161"/>
        <item x="329"/>
        <item x="345"/>
        <item x="150"/>
        <item x="651"/>
        <item x="142"/>
        <item x="39"/>
        <item x="443"/>
        <item x="180"/>
        <item x="206"/>
        <item x="576"/>
        <item x="503"/>
        <item x="124"/>
        <item x="384"/>
        <item x="106"/>
        <item x="623"/>
        <item x="482"/>
        <item x="181"/>
        <item x="207"/>
        <item x="674"/>
        <item x="136"/>
        <item x="627"/>
        <item x="99"/>
        <item x="665"/>
        <item x="241"/>
        <item x="436"/>
        <item x="519"/>
        <item x="523"/>
        <item x="91"/>
        <item x="579"/>
        <item x="84"/>
        <item x="16"/>
        <item x="479"/>
        <item x="580"/>
        <item x="625"/>
        <item x="213"/>
        <item x="546"/>
        <item x="325"/>
        <item x="640"/>
        <item x="426"/>
        <item x="444"/>
        <item x="247"/>
        <item x="281"/>
        <item x="11"/>
        <item x="592"/>
        <item x="560"/>
        <item x="508"/>
        <item x="524"/>
        <item x="358"/>
        <item x="330"/>
        <item x="548"/>
        <item x="470"/>
        <item x="642"/>
        <item x="656"/>
        <item x="22"/>
        <item x="231"/>
        <item x="400"/>
        <item x="322"/>
        <item x="389"/>
        <item x="565"/>
        <item x="365"/>
        <item x="228"/>
        <item x="463"/>
        <item x="71"/>
        <item x="53"/>
        <item x="597"/>
        <item x="381"/>
        <item x="641"/>
        <item x="190"/>
        <item x="496"/>
        <item x="379"/>
        <item x="421"/>
        <item x="6"/>
        <item x="169"/>
        <item x="637"/>
        <item x="262"/>
        <item x="326"/>
        <item x="131"/>
        <item x="88"/>
        <item x="615"/>
        <item x="73"/>
        <item x="233"/>
        <item x="588"/>
        <item x="258"/>
        <item x="267"/>
        <item x="393"/>
        <item x="402"/>
        <item x="272"/>
        <item x="456"/>
        <item x="558"/>
        <item x="133"/>
        <item x="380"/>
        <item x="484"/>
        <item x="309"/>
        <item x="356"/>
        <item x="29"/>
        <item x="208"/>
        <item x="320"/>
        <item x="43"/>
        <item x="617"/>
        <item x="664"/>
        <item x="590"/>
        <item x="98"/>
        <item x="464"/>
        <item x="341"/>
        <item x="507"/>
        <item x="650"/>
        <item x="468"/>
        <item x="544"/>
        <item x="171"/>
        <item x="376"/>
        <item x="253"/>
        <item x="632"/>
        <item x="630"/>
        <item x="295"/>
        <item x="279"/>
        <item x="449"/>
        <item x="230"/>
        <item x="19"/>
        <item x="153"/>
        <item x="525"/>
        <item x="643"/>
        <item x="360"/>
        <item x="414"/>
        <item x="621"/>
        <item x="293"/>
        <item x="7"/>
        <item x="141"/>
        <item x="297"/>
        <item x="487"/>
        <item x="626"/>
        <item x="509"/>
        <item x="167"/>
        <item x="605"/>
        <item x="157"/>
        <item x="561"/>
        <item x="285"/>
        <item x="653"/>
        <item x="431"/>
        <item x="244"/>
        <item x="502"/>
        <item x="614"/>
        <item x="521"/>
        <item x="513"/>
        <item x="555"/>
        <item x="35"/>
        <item x="76"/>
        <item x="533"/>
        <item x="351"/>
        <item x="107"/>
        <item x="64"/>
        <item x="86"/>
        <item x="654"/>
        <item x="378"/>
        <item x="290"/>
        <item x="90"/>
        <item x="200"/>
        <item x="60"/>
        <item x="298"/>
        <item x="33"/>
        <item x="445"/>
        <item x="248"/>
        <item x="516"/>
        <item x="489"/>
        <item x="74"/>
        <item x="24"/>
        <item x="280"/>
        <item x="5"/>
        <item x="170"/>
        <item x="382"/>
        <item x="54"/>
        <item x="138"/>
        <item x="112"/>
        <item x="101"/>
        <item x="305"/>
        <item x="21"/>
        <item x="377"/>
        <item x="526"/>
        <item x="349"/>
        <item x="622"/>
        <item x="474"/>
        <item x="229"/>
        <item x="246"/>
        <item x="20"/>
        <item x="684"/>
        <item x="591"/>
        <item x="3"/>
        <item x="185"/>
        <item x="628"/>
        <item x="266"/>
        <item x="100"/>
        <item x="395"/>
        <item x="127"/>
        <item x="216"/>
        <item x="352"/>
        <item x="408"/>
        <item x="82"/>
        <item x="604"/>
        <item x="348"/>
        <item x="340"/>
        <item x="386"/>
        <item x="227"/>
        <item x="239"/>
        <item x="578"/>
        <item x="512"/>
        <item x="370"/>
        <item x="495"/>
        <item x="14"/>
        <item x="398"/>
        <item x="338"/>
        <item x="453"/>
        <item x="618"/>
        <item x="276"/>
        <item x="318"/>
        <item x="17"/>
        <item x="105"/>
        <item x="166"/>
        <item x="199"/>
        <item x="283"/>
        <item x="152"/>
        <item x="343"/>
        <item x="498"/>
        <item x="412"/>
        <item x="85"/>
        <item x="12"/>
        <item x="289"/>
        <item x="612"/>
        <item x="638"/>
        <item x="201"/>
        <item x="50"/>
        <item x="249"/>
        <item x="434"/>
        <item x="300"/>
        <item x="18"/>
        <item x="515"/>
        <item x="259"/>
        <item x="606"/>
        <item x="222"/>
        <item x="184"/>
        <item x="36"/>
        <item x="15"/>
        <item x="113"/>
        <item x="26"/>
        <item x="10"/>
        <item x="154"/>
        <item x="32"/>
        <item x="62"/>
        <item x="178"/>
        <item x="634"/>
        <item x="328"/>
        <item x="350"/>
        <item x="657"/>
        <item x="296"/>
        <item x="114"/>
        <item x="403"/>
        <item x="473"/>
        <item x="287"/>
        <item x="392"/>
        <item x="461"/>
        <item x="409"/>
        <item x="130"/>
        <item x="128"/>
        <item x="413"/>
        <item x="447"/>
        <item x="491"/>
        <item x="649"/>
        <item x="319"/>
        <item x="497"/>
        <item x="236"/>
        <item x="250"/>
        <item x="589"/>
        <item x="564"/>
        <item x="460"/>
        <item x="204"/>
        <item x="58"/>
        <item x="466"/>
        <item x="419"/>
        <item x="371"/>
        <item x="374"/>
        <item x="655"/>
        <item x="390"/>
        <item x="214"/>
        <item x="149"/>
        <item x="428"/>
        <item x="237"/>
        <item x="313"/>
        <item x="607"/>
        <item x="188"/>
        <item x="550"/>
        <item x="310"/>
        <item x="23"/>
        <item x="194"/>
        <item x="81"/>
        <item x="315"/>
        <item x="391"/>
        <item x="511"/>
        <item x="394"/>
        <item x="435"/>
        <item x="488"/>
        <item x="255"/>
        <item x="645"/>
        <item x="37"/>
        <item x="562"/>
        <item x="83"/>
        <item x="104"/>
        <item x="594"/>
        <item x="2"/>
        <item x="302"/>
        <item x="260"/>
        <item x="411"/>
        <item x="111"/>
        <item x="307"/>
        <item x="671"/>
        <item x="417"/>
        <item x="372"/>
        <item x="299"/>
        <item x="174"/>
        <item x="232"/>
        <item x="103"/>
        <item x="557"/>
        <item x="8"/>
        <item x="193"/>
        <item x="582"/>
        <item x="132"/>
        <item x="569"/>
        <item x="55"/>
        <item x="442"/>
        <item x="306"/>
        <item x="472"/>
        <item x="510"/>
        <item x="459"/>
        <item x="603"/>
        <item x="506"/>
        <item x="102"/>
        <item x="368"/>
        <item x="416"/>
        <item x="292"/>
        <item x="135"/>
        <item x="337"/>
        <item x="9"/>
        <item x="465"/>
        <item x="291"/>
        <item x="336"/>
        <item x="34"/>
        <item x="56"/>
        <item x="424"/>
        <item x="282"/>
        <item x="661"/>
        <item x="263"/>
        <item x="221"/>
        <item x="425"/>
        <item x="108"/>
        <item x="126"/>
        <item x="196"/>
        <item x="252"/>
        <item x="42"/>
        <item x="492"/>
        <item x="678"/>
        <item x="471"/>
        <item x="256"/>
        <item x="469"/>
        <item x="45"/>
        <item x="168"/>
        <item x="284"/>
        <item x="192"/>
        <item x="162"/>
        <item x="556"/>
        <item x="387"/>
        <item x="286"/>
        <item x="480"/>
        <item x="303"/>
        <item x="270"/>
        <item x="572"/>
        <item x="551"/>
        <item x="355"/>
        <item x="639"/>
        <item x="593"/>
        <item x="388"/>
        <item x="202"/>
        <item x="575"/>
        <item x="226"/>
        <item x="173"/>
        <item x="675"/>
        <item x="647"/>
        <item x="308"/>
        <item x="234"/>
        <item x="483"/>
        <item x="619"/>
        <item x="4"/>
        <item x="648"/>
        <item x="467"/>
        <item x="613"/>
        <item x="155"/>
        <item x="273"/>
        <item x="663"/>
        <item x="51"/>
        <item x="225"/>
        <item x="677"/>
        <item x="189"/>
        <item x="151"/>
        <item x="268"/>
        <item x="620"/>
        <item x="144"/>
        <item x="294"/>
        <item x="47"/>
        <item x="223"/>
        <item x="66"/>
        <item x="175"/>
        <item x="534"/>
        <item x="269"/>
        <item x="1"/>
        <item x="462"/>
        <item x="148"/>
        <item x="212"/>
        <item x="514"/>
        <item x="369"/>
        <item x="87"/>
        <item x="275"/>
        <item x="61"/>
        <item x="342"/>
        <item x="159"/>
        <item x="397"/>
        <item x="59"/>
        <item x="644"/>
        <item x="197"/>
        <item x="89"/>
        <item x="457"/>
        <item x="624"/>
        <item x="79"/>
        <item x="629"/>
        <item x="176"/>
        <item x="0"/>
        <item x="475"/>
        <item x="301"/>
        <item x="602"/>
        <item x="177"/>
        <item x="385"/>
        <item x="631"/>
        <item x="383"/>
        <item x="160"/>
        <item x="458"/>
        <item x="676"/>
        <item x="616"/>
        <item x="633"/>
        <item x="608"/>
        <item x="219"/>
        <item x="422"/>
        <item x="304"/>
        <item x="540"/>
        <item x="410"/>
        <item x="139"/>
        <item x="156"/>
        <item x="573"/>
        <item x="312"/>
        <item x="242"/>
        <item x="316"/>
        <item x="499"/>
        <item x="215"/>
        <item x="652"/>
        <item x="440"/>
        <item x="549"/>
        <item x="277"/>
        <item x="311"/>
        <item x="243"/>
        <item x="288"/>
        <item x="361"/>
        <item x="70"/>
        <item x="535"/>
        <item x="339"/>
        <item x="120"/>
        <item x="203"/>
        <item x="396"/>
        <item x="186"/>
        <item x="109"/>
        <item x="359"/>
        <item x="78"/>
        <item x="586"/>
        <item x="530"/>
        <item x="245"/>
        <item x="25"/>
        <item x="500"/>
        <item x="680"/>
        <item x="567"/>
        <item x="333"/>
        <item x="481"/>
        <item x="587"/>
        <item x="423"/>
        <item x="438"/>
        <item x="44"/>
        <item x="662"/>
        <item x="332"/>
        <item x="373"/>
        <item x="158"/>
        <item x="541"/>
        <item x="274"/>
        <item x="122"/>
        <item x="446"/>
        <item x="571"/>
        <item x="129"/>
        <item x="187"/>
        <item x="454"/>
        <item x="485"/>
        <item x="353"/>
        <item x="65"/>
        <item x="583"/>
        <item x="191"/>
        <item x="235"/>
        <item x="195"/>
        <item x="432"/>
        <item x="264"/>
        <item x="224"/>
        <item x="179"/>
        <item x="563"/>
        <item x="679"/>
        <item x="636"/>
        <item x="570"/>
        <item x="547"/>
        <item x="539"/>
        <item x="401"/>
        <item x="611"/>
        <item x="334"/>
        <item x="455"/>
        <item x="172"/>
        <item x="140"/>
        <item x="52"/>
        <item x="566"/>
        <item x="220"/>
        <item x="92"/>
        <item x="323"/>
        <item x="95"/>
        <item x="610"/>
        <item x="278"/>
        <item x="344"/>
        <item x="265"/>
        <item x="210"/>
        <item x="433"/>
        <item x="668"/>
        <item x="271"/>
        <item x="145"/>
        <item x="46"/>
        <item x="538"/>
        <item x="405"/>
        <item x="77"/>
        <item x="217"/>
        <item x="646"/>
        <item x="545"/>
        <item x="441"/>
        <item x="63"/>
        <item x="57"/>
        <item x="439"/>
        <item x="198"/>
        <item x="595"/>
        <item x="493"/>
        <item x="251"/>
        <item x="254"/>
        <item x="143"/>
        <item x="476"/>
        <item x="667"/>
        <item x="123"/>
        <item x="478"/>
        <item x="163"/>
        <item x="672"/>
        <item x="205"/>
        <item x="366"/>
        <item x="415"/>
        <item x="331"/>
        <item x="669"/>
        <item x="261"/>
        <item x="609"/>
        <item x="48"/>
        <item x="585"/>
        <item x="504"/>
        <item x="452"/>
        <item x="532"/>
        <item x="399"/>
        <item x="418"/>
        <item x="335"/>
        <item x="165"/>
        <item x="574"/>
        <item x="518"/>
        <item x="427"/>
        <item x="134"/>
        <item x="146"/>
        <item x="659"/>
        <item x="553"/>
        <item x="635"/>
        <item x="429"/>
        <item x="568"/>
        <item x="218"/>
        <item x="681"/>
        <item x="450"/>
        <item x="119"/>
        <item x="536"/>
        <item x="552"/>
        <item x="362"/>
        <item x="490"/>
        <item x="658"/>
        <item x="660"/>
        <item x="577"/>
        <item x="554"/>
        <item x="584"/>
        <item x="363"/>
        <item x="599"/>
        <item x="354"/>
        <item x="407"/>
        <item x="118"/>
        <item x="38"/>
        <item x="430"/>
        <item x="529"/>
        <item x="211"/>
        <item x="367"/>
        <item x="477"/>
        <item x="670"/>
        <item x="448"/>
        <item x="451"/>
        <item x="600"/>
        <item t="default"/>
      </items>
    </pivotField>
    <pivotField compact="0" numFmtId="43" showAll="0">
      <items count="693">
        <item x="261"/>
        <item x="579"/>
        <item x="538"/>
        <item x="690"/>
        <item x="368"/>
        <item x="603"/>
        <item x="31"/>
        <item x="97"/>
        <item x="166"/>
        <item x="410"/>
        <item x="441"/>
        <item x="605"/>
        <item x="68"/>
        <item x="185"/>
        <item x="40"/>
        <item x="98"/>
        <item x="361"/>
        <item x="325"/>
        <item x="184"/>
        <item x="351"/>
        <item x="81"/>
        <item x="69"/>
        <item x="328"/>
        <item x="73"/>
        <item x="118"/>
        <item x="149"/>
        <item x="350"/>
        <item x="680"/>
        <item x="70"/>
        <item x="240"/>
        <item x="117"/>
        <item x="491"/>
        <item x="566"/>
        <item x="510"/>
        <item x="94"/>
        <item x="522"/>
        <item x="331"/>
        <item x="112"/>
        <item x="424"/>
        <item x="499"/>
        <item x="95"/>
        <item x="76"/>
        <item x="544"/>
        <item x="673"/>
        <item x="506"/>
        <item x="535"/>
        <item x="608"/>
        <item x="27"/>
        <item x="549"/>
        <item x="28"/>
        <item x="211"/>
        <item x="13"/>
        <item x="689"/>
        <item x="163"/>
        <item x="333"/>
        <item x="123"/>
        <item x="349"/>
        <item x="658"/>
        <item x="144"/>
        <item x="588"/>
        <item x="119"/>
        <item x="447"/>
        <item x="182"/>
        <item x="208"/>
        <item x="583"/>
        <item x="508"/>
        <item x="39"/>
        <item x="126"/>
        <item x="388"/>
        <item x="108"/>
        <item x="630"/>
        <item x="209"/>
        <item x="318"/>
        <item x="681"/>
        <item x="138"/>
        <item x="634"/>
        <item x="101"/>
        <item x="672"/>
        <item x="243"/>
        <item x="440"/>
        <item x="524"/>
        <item x="92"/>
        <item x="586"/>
        <item x="85"/>
        <item x="16"/>
        <item x="484"/>
        <item x="587"/>
        <item x="632"/>
        <item x="215"/>
        <item x="553"/>
        <item x="329"/>
        <item x="647"/>
        <item x="430"/>
        <item x="448"/>
        <item x="249"/>
        <item x="285"/>
        <item x="11"/>
        <item x="599"/>
        <item x="567"/>
        <item x="513"/>
        <item x="362"/>
        <item x="334"/>
        <item x="555"/>
        <item x="475"/>
        <item x="649"/>
        <item x="663"/>
        <item x="152"/>
        <item x="22"/>
        <item x="233"/>
        <item x="404"/>
        <item x="326"/>
        <item x="393"/>
        <item x="572"/>
        <item x="369"/>
        <item x="230"/>
        <item x="468"/>
        <item x="72"/>
        <item x="54"/>
        <item x="604"/>
        <item x="385"/>
        <item x="648"/>
        <item x="192"/>
        <item x="501"/>
        <item x="383"/>
        <item x="425"/>
        <item x="6"/>
        <item x="171"/>
        <item x="644"/>
        <item x="266"/>
        <item x="330"/>
        <item x="133"/>
        <item x="89"/>
        <item x="622"/>
        <item x="74"/>
        <item x="235"/>
        <item x="595"/>
        <item x="262"/>
        <item x="271"/>
        <item x="397"/>
        <item x="406"/>
        <item x="276"/>
        <item x="460"/>
        <item x="565"/>
        <item x="135"/>
        <item x="384"/>
        <item x="489"/>
        <item x="313"/>
        <item x="360"/>
        <item x="29"/>
        <item x="210"/>
        <item x="324"/>
        <item x="43"/>
        <item x="624"/>
        <item x="671"/>
        <item x="597"/>
        <item x="99"/>
        <item x="469"/>
        <item x="345"/>
        <item x="512"/>
        <item x="657"/>
        <item x="473"/>
        <item x="551"/>
        <item x="173"/>
        <item x="380"/>
        <item x="255"/>
        <item x="639"/>
        <item x="637"/>
        <item x="299"/>
        <item x="283"/>
        <item x="453"/>
        <item x="232"/>
        <item x="19"/>
        <item x="155"/>
        <item x="532"/>
        <item x="650"/>
        <item x="364"/>
        <item x="418"/>
        <item x="628"/>
        <item x="297"/>
        <item x="7"/>
        <item x="143"/>
        <item x="301"/>
        <item x="492"/>
        <item x="633"/>
        <item x="514"/>
        <item x="169"/>
        <item x="612"/>
        <item x="159"/>
        <item x="568"/>
        <item x="289"/>
        <item x="660"/>
        <item x="435"/>
        <item x="246"/>
        <item x="507"/>
        <item x="621"/>
        <item x="528"/>
        <item x="518"/>
        <item x="562"/>
        <item x="35"/>
        <item x="77"/>
        <item x="540"/>
        <item x="355"/>
        <item x="109"/>
        <item x="65"/>
        <item x="87"/>
        <item x="661"/>
        <item x="382"/>
        <item x="294"/>
        <item x="91"/>
        <item x="202"/>
        <item x="61"/>
        <item x="302"/>
        <item x="33"/>
        <item x="449"/>
        <item x="250"/>
        <item x="521"/>
        <item x="494"/>
        <item x="75"/>
        <item x="24"/>
        <item x="284"/>
        <item x="5"/>
        <item x="172"/>
        <item x="386"/>
        <item x="55"/>
        <item x="140"/>
        <item x="114"/>
        <item x="103"/>
        <item x="309"/>
        <item x="21"/>
        <item x="381"/>
        <item x="533"/>
        <item x="353"/>
        <item x="629"/>
        <item x="479"/>
        <item x="231"/>
        <item x="248"/>
        <item x="20"/>
        <item x="691"/>
        <item x="598"/>
        <item x="3"/>
        <item x="187"/>
        <item x="635"/>
        <item x="270"/>
        <item x="102"/>
        <item x="399"/>
        <item x="129"/>
        <item x="50"/>
        <item x="218"/>
        <item x="356"/>
        <item x="412"/>
        <item x="83"/>
        <item x="611"/>
        <item x="352"/>
        <item x="344"/>
        <item x="390"/>
        <item x="229"/>
        <item x="241"/>
        <item x="585"/>
        <item x="517"/>
        <item x="374"/>
        <item x="500"/>
        <item x="14"/>
        <item x="402"/>
        <item x="342"/>
        <item x="457"/>
        <item x="625"/>
        <item x="280"/>
        <item x="322"/>
        <item x="17"/>
        <item x="107"/>
        <item x="168"/>
        <item x="531"/>
        <item x="201"/>
        <item x="287"/>
        <item x="154"/>
        <item x="347"/>
        <item x="503"/>
        <item x="416"/>
        <item x="256"/>
        <item x="86"/>
        <item x="12"/>
        <item x="293"/>
        <item x="619"/>
        <item x="645"/>
        <item x="203"/>
        <item x="51"/>
        <item x="251"/>
        <item x="438"/>
        <item x="304"/>
        <item x="18"/>
        <item x="520"/>
        <item x="263"/>
        <item x="613"/>
        <item x="224"/>
        <item x="186"/>
        <item x="36"/>
        <item x="15"/>
        <item x="115"/>
        <item x="26"/>
        <item x="10"/>
        <item x="156"/>
        <item x="32"/>
        <item x="63"/>
        <item x="180"/>
        <item x="641"/>
        <item x="332"/>
        <item x="354"/>
        <item x="664"/>
        <item x="300"/>
        <item x="116"/>
        <item x="407"/>
        <item x="478"/>
        <item x="291"/>
        <item x="396"/>
        <item x="466"/>
        <item x="413"/>
        <item x="130"/>
        <item x="417"/>
        <item x="451"/>
        <item x="496"/>
        <item x="656"/>
        <item x="323"/>
        <item x="502"/>
        <item x="238"/>
        <item x="252"/>
        <item x="596"/>
        <item x="571"/>
        <item x="465"/>
        <item x="206"/>
        <item x="59"/>
        <item x="471"/>
        <item x="423"/>
        <item x="375"/>
        <item x="378"/>
        <item x="662"/>
        <item x="394"/>
        <item x="216"/>
        <item x="151"/>
        <item x="432"/>
        <item x="239"/>
        <item x="317"/>
        <item x="49"/>
        <item x="614"/>
        <item x="190"/>
        <item x="557"/>
        <item x="314"/>
        <item x="23"/>
        <item x="196"/>
        <item x="82"/>
        <item x="319"/>
        <item x="395"/>
        <item x="516"/>
        <item x="398"/>
        <item x="439"/>
        <item x="493"/>
        <item x="259"/>
        <item x="652"/>
        <item x="37"/>
        <item x="569"/>
        <item x="84"/>
        <item x="106"/>
        <item x="601"/>
        <item x="2"/>
        <item x="306"/>
        <item x="264"/>
        <item x="415"/>
        <item x="113"/>
        <item x="311"/>
        <item x="678"/>
        <item x="421"/>
        <item x="376"/>
        <item x="303"/>
        <item x="408"/>
        <item x="176"/>
        <item x="234"/>
        <item x="105"/>
        <item x="564"/>
        <item x="8"/>
        <item x="195"/>
        <item x="589"/>
        <item x="134"/>
        <item x="576"/>
        <item x="56"/>
        <item x="446"/>
        <item x="310"/>
        <item x="477"/>
        <item x="515"/>
        <item x="463"/>
        <item x="610"/>
        <item x="511"/>
        <item x="104"/>
        <item x="372"/>
        <item x="420"/>
        <item x="296"/>
        <item x="137"/>
        <item x="341"/>
        <item x="9"/>
        <item x="470"/>
        <item x="295"/>
        <item x="340"/>
        <item x="34"/>
        <item x="57"/>
        <item x="527"/>
        <item x="428"/>
        <item x="286"/>
        <item x="668"/>
        <item x="267"/>
        <item x="223"/>
        <item x="429"/>
        <item x="110"/>
        <item x="128"/>
        <item x="198"/>
        <item x="254"/>
        <item x="42"/>
        <item x="497"/>
        <item x="685"/>
        <item x="476"/>
        <item x="260"/>
        <item x="474"/>
        <item x="45"/>
        <item x="170"/>
        <item x="100"/>
        <item x="288"/>
        <item x="194"/>
        <item x="164"/>
        <item x="563"/>
        <item x="391"/>
        <item x="290"/>
        <item x="485"/>
        <item x="307"/>
        <item x="274"/>
        <item x="558"/>
        <item x="359"/>
        <item x="646"/>
        <item x="600"/>
        <item x="392"/>
        <item x="204"/>
        <item x="582"/>
        <item x="228"/>
        <item x="175"/>
        <item x="682"/>
        <item x="464"/>
        <item x="654"/>
        <item x="312"/>
        <item x="236"/>
        <item x="488"/>
        <item x="626"/>
        <item x="4"/>
        <item x="655"/>
        <item x="472"/>
        <item x="620"/>
        <item x="157"/>
        <item x="277"/>
        <item x="670"/>
        <item x="52"/>
        <item x="684"/>
        <item x="191"/>
        <item x="153"/>
        <item x="272"/>
        <item x="627"/>
        <item x="146"/>
        <item x="298"/>
        <item x="47"/>
        <item x="225"/>
        <item x="67"/>
        <item x="177"/>
        <item x="541"/>
        <item x="273"/>
        <item x="1"/>
        <item x="150"/>
        <item x="214"/>
        <item x="519"/>
        <item x="373"/>
        <item x="139"/>
        <item x="88"/>
        <item x="279"/>
        <item x="62"/>
        <item x="346"/>
        <item x="161"/>
        <item x="401"/>
        <item x="60"/>
        <item x="651"/>
        <item x="199"/>
        <item x="90"/>
        <item x="461"/>
        <item x="631"/>
        <item x="80"/>
        <item x="636"/>
        <item x="178"/>
        <item x="0"/>
        <item x="480"/>
        <item x="305"/>
        <item x="609"/>
        <item x="550"/>
        <item x="179"/>
        <item x="389"/>
        <item x="638"/>
        <item x="227"/>
        <item x="387"/>
        <item x="162"/>
        <item x="462"/>
        <item x="683"/>
        <item x="623"/>
        <item x="640"/>
        <item x="615"/>
        <item x="221"/>
        <item x="426"/>
        <item x="547"/>
        <item x="414"/>
        <item x="141"/>
        <item x="158"/>
        <item x="580"/>
        <item x="316"/>
        <item x="244"/>
        <item x="320"/>
        <item x="504"/>
        <item x="217"/>
        <item x="659"/>
        <item x="444"/>
        <item x="556"/>
        <item x="281"/>
        <item x="315"/>
        <item x="245"/>
        <item x="292"/>
        <item x="365"/>
        <item x="71"/>
        <item x="542"/>
        <item x="343"/>
        <item x="122"/>
        <item x="467"/>
        <item x="205"/>
        <item x="400"/>
        <item x="188"/>
        <item x="111"/>
        <item x="363"/>
        <item x="79"/>
        <item x="593"/>
        <item x="537"/>
        <item x="247"/>
        <item x="25"/>
        <item x="505"/>
        <item x="687"/>
        <item x="574"/>
        <item x="337"/>
        <item x="486"/>
        <item x="594"/>
        <item x="427"/>
        <item x="442"/>
        <item x="321"/>
        <item x="44"/>
        <item x="669"/>
        <item x="336"/>
        <item x="377"/>
        <item x="160"/>
        <item x="548"/>
        <item x="278"/>
        <item x="124"/>
        <item x="450"/>
        <item x="578"/>
        <item x="131"/>
        <item x="41"/>
        <item x="189"/>
        <item x="458"/>
        <item x="357"/>
        <item x="308"/>
        <item x="66"/>
        <item x="590"/>
        <item x="193"/>
        <item x="237"/>
        <item x="197"/>
        <item x="436"/>
        <item x="268"/>
        <item x="226"/>
        <item x="181"/>
        <item x="570"/>
        <item x="686"/>
        <item x="643"/>
        <item x="577"/>
        <item x="554"/>
        <item x="546"/>
        <item x="405"/>
        <item x="618"/>
        <item x="338"/>
        <item x="459"/>
        <item x="174"/>
        <item x="142"/>
        <item x="53"/>
        <item x="573"/>
        <item x="222"/>
        <item x="93"/>
        <item x="327"/>
        <item x="96"/>
        <item x="617"/>
        <item x="282"/>
        <item x="348"/>
        <item x="269"/>
        <item x="212"/>
        <item x="437"/>
        <item x="675"/>
        <item x="275"/>
        <item x="530"/>
        <item x="147"/>
        <item x="46"/>
        <item x="545"/>
        <item x="409"/>
        <item x="78"/>
        <item x="219"/>
        <item x="653"/>
        <item x="552"/>
        <item x="445"/>
        <item x="64"/>
        <item x="379"/>
        <item x="58"/>
        <item x="443"/>
        <item x="525"/>
        <item x="490"/>
        <item x="200"/>
        <item x="602"/>
        <item x="498"/>
        <item x="253"/>
        <item x="258"/>
        <item x="145"/>
        <item x="487"/>
        <item x="481"/>
        <item x="674"/>
        <item x="125"/>
        <item x="483"/>
        <item x="165"/>
        <item x="30"/>
        <item x="679"/>
        <item x="207"/>
        <item x="526"/>
        <item x="370"/>
        <item x="419"/>
        <item x="335"/>
        <item x="676"/>
        <item x="265"/>
        <item x="616"/>
        <item x="167"/>
        <item x="592"/>
        <item x="509"/>
        <item x="48"/>
        <item x="456"/>
        <item x="539"/>
        <item x="403"/>
        <item x="422"/>
        <item x="339"/>
        <item x="581"/>
        <item x="523"/>
        <item x="431"/>
        <item x="136"/>
        <item x="183"/>
        <item x="148"/>
        <item x="529"/>
        <item x="242"/>
        <item x="666"/>
        <item x="560"/>
        <item x="132"/>
        <item x="642"/>
        <item x="433"/>
        <item x="575"/>
        <item x="220"/>
        <item x="688"/>
        <item x="454"/>
        <item x="121"/>
        <item x="543"/>
        <item x="559"/>
        <item x="366"/>
        <item x="495"/>
        <item x="127"/>
        <item x="665"/>
        <item x="667"/>
        <item x="584"/>
        <item x="561"/>
        <item x="591"/>
        <item x="367"/>
        <item x="606"/>
        <item x="358"/>
        <item x="411"/>
        <item x="38"/>
        <item x="434"/>
        <item x="120"/>
        <item x="257"/>
        <item x="536"/>
        <item x="213"/>
        <item x="534"/>
        <item x="371"/>
        <item x="482"/>
        <item x="677"/>
        <item x="452"/>
        <item x="455"/>
        <item x="607"/>
        <item t="default"/>
      </items>
    </pivotField>
    <pivotField compact="0" showAll="0">
      <items count="45">
        <item x="8"/>
        <item x="11"/>
        <item x="28"/>
        <item x="27"/>
        <item x="39"/>
        <item x="26"/>
        <item x="43"/>
        <item x="7"/>
        <item x="15"/>
        <item x="22"/>
        <item x="31"/>
        <item x="29"/>
        <item x="30"/>
        <item x="18"/>
        <item x="12"/>
        <item x="25"/>
        <item x="23"/>
        <item x="20"/>
        <item x="6"/>
        <item x="16"/>
        <item x="38"/>
        <item x="1"/>
        <item x="21"/>
        <item x="2"/>
        <item x="10"/>
        <item x="13"/>
        <item x="5"/>
        <item x="3"/>
        <item x="32"/>
        <item x="17"/>
        <item x="14"/>
        <item x="24"/>
        <item x="40"/>
        <item x="36"/>
        <item x="41"/>
        <item x="19"/>
        <item x="34"/>
        <item x="4"/>
        <item x="37"/>
        <item x="33"/>
        <item x="35"/>
        <item x="9"/>
        <item x="42"/>
        <item x="0"/>
        <item t="default"/>
      </items>
    </pivotField>
    <pivotField compact="0" showAll="0">
      <items count="30">
        <item x="8"/>
        <item x="12"/>
        <item x="19"/>
        <item x="27"/>
        <item x="9"/>
        <item x="5"/>
        <item x="15"/>
        <item x="17"/>
        <item x="4"/>
        <item x="18"/>
        <item x="20"/>
        <item x="1"/>
        <item x="21"/>
        <item x="22"/>
        <item x="2"/>
        <item x="24"/>
        <item x="3"/>
        <item x="13"/>
        <item x="26"/>
        <item x="10"/>
        <item x="6"/>
        <item x="7"/>
        <item x="25"/>
        <item x="14"/>
        <item x="16"/>
        <item x="11"/>
        <item x="28"/>
        <item x="23"/>
        <item x="0"/>
        <item t="default"/>
      </items>
    </pivotField>
    <pivotField compact="0" numFmtId="43" showAll="0">
      <items count="65">
        <item x="63"/>
        <item x="31"/>
        <item x="41"/>
        <item x="23"/>
        <item x="22"/>
        <item x="9"/>
        <item x="26"/>
        <item x="58"/>
        <item x="34"/>
        <item x="3"/>
        <item x="12"/>
        <item x="48"/>
        <item x="45"/>
        <item x="17"/>
        <item x="43"/>
        <item x="40"/>
        <item x="21"/>
        <item x="25"/>
        <item x="62"/>
        <item x="47"/>
        <item x="0"/>
        <item x="39"/>
        <item x="38"/>
        <item x="56"/>
        <item x="37"/>
        <item x="61"/>
        <item x="32"/>
        <item x="24"/>
        <item x="8"/>
        <item x="16"/>
        <item x="30"/>
        <item x="35"/>
        <item x="46"/>
        <item x="42"/>
        <item x="44"/>
        <item x="20"/>
        <item x="13"/>
        <item x="36"/>
        <item x="33"/>
        <item x="28"/>
        <item x="7"/>
        <item x="18"/>
        <item x="1"/>
        <item x="55"/>
        <item x="29"/>
        <item x="2"/>
        <item x="4"/>
        <item x="11"/>
        <item x="14"/>
        <item x="6"/>
        <item x="49"/>
        <item x="19"/>
        <item x="53"/>
        <item x="15"/>
        <item x="57"/>
        <item x="59"/>
        <item x="27"/>
        <item x="51"/>
        <item x="5"/>
        <item x="54"/>
        <item x="52"/>
        <item x="50"/>
        <item x="10"/>
        <item x="60"/>
        <item t="default"/>
      </items>
    </pivotField>
    <pivotField compact="0" numFmtId="43" showAll="0">
      <items count="744">
        <item x="280"/>
        <item x="626"/>
        <item x="580"/>
        <item x="741"/>
        <item x="394"/>
        <item x="653"/>
        <item x="696"/>
        <item x="351"/>
        <item x="483"/>
        <item x="31"/>
        <item x="98"/>
        <item x="176"/>
        <item x="439"/>
        <item x="273"/>
        <item x="473"/>
        <item x="272"/>
        <item x="655"/>
        <item x="146"/>
        <item x="69"/>
        <item x="302"/>
        <item x="198"/>
        <item x="40"/>
        <item x="99"/>
        <item x="623"/>
        <item x="387"/>
        <item x="349"/>
        <item x="197"/>
        <item x="377"/>
        <item x="82"/>
        <item x="406"/>
        <item x="70"/>
        <item x="353"/>
        <item x="51"/>
        <item x="74"/>
        <item x="120"/>
        <item x="154"/>
        <item x="166"/>
        <item x="505"/>
        <item x="376"/>
        <item x="731"/>
        <item x="71"/>
        <item x="255"/>
        <item x="119"/>
        <item x="532"/>
        <item x="493"/>
        <item x="609"/>
        <item x="551"/>
        <item x="95"/>
        <item x="184"/>
        <item x="564"/>
        <item x="356"/>
        <item x="454"/>
        <item x="490"/>
        <item x="540"/>
        <item x="96"/>
        <item x="77"/>
        <item x="586"/>
        <item x="724"/>
        <item x="547"/>
        <item x="577"/>
        <item x="658"/>
        <item x="27"/>
        <item x="28"/>
        <item x="224"/>
        <item x="474"/>
        <item x="13"/>
        <item x="740"/>
        <item x="271"/>
        <item x="172"/>
        <item x="358"/>
        <item x="125"/>
        <item x="375"/>
        <item x="709"/>
        <item x="148"/>
        <item x="636"/>
        <item x="121"/>
        <item x="480"/>
        <item x="195"/>
        <item x="285"/>
        <item x="221"/>
        <item x="631"/>
        <item x="549"/>
        <item x="39"/>
        <item x="128"/>
        <item x="417"/>
        <item x="110"/>
        <item x="642"/>
        <item x="680"/>
        <item x="222"/>
        <item x="732"/>
        <item x="140"/>
        <item x="684"/>
        <item x="102"/>
        <item x="723"/>
        <item x="258"/>
        <item x="472"/>
        <item x="566"/>
        <item x="93"/>
        <item x="634"/>
        <item x="86"/>
        <item x="16"/>
        <item x="525"/>
        <item x="635"/>
        <item x="682"/>
        <item x="229"/>
        <item x="595"/>
        <item x="354"/>
        <item x="698"/>
        <item x="461"/>
        <item x="481"/>
        <item x="264"/>
        <item x="308"/>
        <item x="11"/>
        <item x="649"/>
        <item x="611"/>
        <item x="554"/>
        <item x="499"/>
        <item x="388"/>
        <item x="359"/>
        <item x="597"/>
        <item x="516"/>
        <item x="700"/>
        <item x="714"/>
        <item x="157"/>
        <item x="22"/>
        <item x="248"/>
        <item x="433"/>
        <item x="350"/>
        <item x="422"/>
        <item x="617"/>
        <item x="395"/>
        <item x="244"/>
        <item x="509"/>
        <item x="73"/>
        <item x="55"/>
        <item x="654"/>
        <item x="413"/>
        <item x="699"/>
        <item x="205"/>
        <item x="542"/>
        <item x="411"/>
        <item x="455"/>
        <item x="6"/>
        <item x="182"/>
        <item x="694"/>
        <item x="286"/>
        <item x="355"/>
        <item x="135"/>
        <item x="90"/>
        <item x="672"/>
        <item x="75"/>
        <item x="250"/>
        <item x="645"/>
        <item x="281"/>
        <item x="291"/>
        <item x="426"/>
        <item x="435"/>
        <item x="296"/>
        <item x="500"/>
        <item x="608"/>
        <item x="137"/>
        <item x="412"/>
        <item x="530"/>
        <item x="336"/>
        <item x="386"/>
        <item x="29"/>
        <item x="223"/>
        <item x="348"/>
        <item x="43"/>
        <item x="674"/>
        <item x="722"/>
        <item x="647"/>
        <item x="100"/>
        <item x="510"/>
        <item x="371"/>
        <item x="553"/>
        <item x="708"/>
        <item x="514"/>
        <item x="593"/>
        <item x="186"/>
        <item x="408"/>
        <item x="270"/>
        <item x="689"/>
        <item x="687"/>
        <item x="322"/>
        <item x="306"/>
        <item x="487"/>
        <item x="246"/>
        <item x="19"/>
        <item x="160"/>
        <item x="574"/>
        <item x="701"/>
        <item x="390"/>
        <item x="448"/>
        <item x="678"/>
        <item x="320"/>
        <item x="7"/>
        <item x="147"/>
        <item x="324"/>
        <item x="533"/>
        <item x="683"/>
        <item x="555"/>
        <item x="180"/>
        <item x="662"/>
        <item x="164"/>
        <item x="613"/>
        <item x="312"/>
        <item x="470"/>
        <item x="711"/>
        <item x="466"/>
        <item x="261"/>
        <item x="460"/>
        <item x="548"/>
        <item x="671"/>
        <item x="570"/>
        <item x="560"/>
        <item x="605"/>
        <item x="35"/>
        <item x="78"/>
        <item x="582"/>
        <item x="381"/>
        <item x="111"/>
        <item x="66"/>
        <item x="88"/>
        <item x="610"/>
        <item x="712"/>
        <item x="410"/>
        <item x="317"/>
        <item x="92"/>
        <item x="215"/>
        <item x="62"/>
        <item x="325"/>
        <item x="33"/>
        <item x="482"/>
        <item x="265"/>
        <item x="563"/>
        <item x="535"/>
        <item x="76"/>
        <item x="24"/>
        <item x="307"/>
        <item x="5"/>
        <item x="183"/>
        <item x="414"/>
        <item x="56"/>
        <item x="143"/>
        <item x="116"/>
        <item x="105"/>
        <item x="332"/>
        <item x="21"/>
        <item x="409"/>
        <item x="575"/>
        <item x="379"/>
        <item x="679"/>
        <item x="520"/>
        <item x="245"/>
        <item x="263"/>
        <item x="20"/>
        <item x="742"/>
        <item x="442"/>
        <item x="648"/>
        <item x="3"/>
        <item x="200"/>
        <item x="685"/>
        <item x="290"/>
        <item x="103"/>
        <item x="428"/>
        <item x="131"/>
        <item x="50"/>
        <item x="232"/>
        <item x="382"/>
        <item x="441"/>
        <item x="84"/>
        <item x="661"/>
        <item x="378"/>
        <item x="370"/>
        <item x="419"/>
        <item x="243"/>
        <item x="256"/>
        <item x="633"/>
        <item x="558"/>
        <item x="400"/>
        <item x="541"/>
        <item x="14"/>
        <item x="431"/>
        <item x="368"/>
        <item x="496"/>
        <item x="675"/>
        <item x="300"/>
        <item x="346"/>
        <item x="17"/>
        <item x="109"/>
        <item x="179"/>
        <item x="573"/>
        <item x="214"/>
        <item x="310"/>
        <item x="159"/>
        <item x="373"/>
        <item x="544"/>
        <item x="641"/>
        <item x="446"/>
        <item x="275"/>
        <item x="87"/>
        <item x="12"/>
        <item x="316"/>
        <item x="669"/>
        <item x="695"/>
        <item x="216"/>
        <item x="52"/>
        <item x="266"/>
        <item x="469"/>
        <item x="327"/>
        <item x="18"/>
        <item x="562"/>
        <item x="282"/>
        <item x="663"/>
        <item x="238"/>
        <item x="199"/>
        <item x="36"/>
        <item x="15"/>
        <item x="117"/>
        <item x="26"/>
        <item x="10"/>
        <item x="366"/>
        <item x="161"/>
        <item x="32"/>
        <item x="64"/>
        <item x="193"/>
        <item x="691"/>
        <item x="357"/>
        <item x="380"/>
        <item x="715"/>
        <item x="323"/>
        <item x="118"/>
        <item x="436"/>
        <item x="519"/>
        <item x="314"/>
        <item x="425"/>
        <item x="507"/>
        <item x="443"/>
        <item x="132"/>
        <item x="447"/>
        <item x="485"/>
        <item x="537"/>
        <item x="707"/>
        <item x="347"/>
        <item x="543"/>
        <item x="253"/>
        <item x="267"/>
        <item x="646"/>
        <item x="616"/>
        <item x="506"/>
        <item x="219"/>
        <item x="60"/>
        <item x="512"/>
        <item x="453"/>
        <item x="401"/>
        <item x="404"/>
        <item x="713"/>
        <item x="423"/>
        <item x="230"/>
        <item x="156"/>
        <item x="463"/>
        <item x="254"/>
        <item x="341"/>
        <item x="49"/>
        <item x="664"/>
        <item x="203"/>
        <item x="599"/>
        <item x="337"/>
        <item x="23"/>
        <item x="209"/>
        <item x="83"/>
        <item x="343"/>
        <item x="424"/>
        <item x="557"/>
        <item x="427"/>
        <item x="471"/>
        <item x="534"/>
        <item x="278"/>
        <item x="703"/>
        <item x="37"/>
        <item x="614"/>
        <item x="85"/>
        <item x="108"/>
        <item x="651"/>
        <item x="2"/>
        <item x="329"/>
        <item x="283"/>
        <item x="445"/>
        <item x="115"/>
        <item x="334"/>
        <item x="729"/>
        <item x="451"/>
        <item x="402"/>
        <item x="326"/>
        <item x="437"/>
        <item x="189"/>
        <item x="249"/>
        <item x="107"/>
        <item x="8"/>
        <item x="208"/>
        <item x="637"/>
        <item x="136"/>
        <item x="621"/>
        <item x="57"/>
        <item x="479"/>
        <item x="333"/>
        <item x="518"/>
        <item x="556"/>
        <item x="503"/>
        <item x="660"/>
        <item x="552"/>
        <item x="106"/>
        <item x="398"/>
        <item x="450"/>
        <item x="319"/>
        <item x="139"/>
        <item x="367"/>
        <item x="9"/>
        <item x="511"/>
        <item x="318"/>
        <item x="365"/>
        <item x="34"/>
        <item x="58"/>
        <item x="569"/>
        <item x="458"/>
        <item x="309"/>
        <item x="719"/>
        <item x="287"/>
        <item x="237"/>
        <item x="459"/>
        <item x="112"/>
        <item x="130"/>
        <item x="211"/>
        <item x="269"/>
        <item x="42"/>
        <item x="538"/>
        <item x="736"/>
        <item x="517"/>
        <item x="279"/>
        <item x="515"/>
        <item x="45"/>
        <item x="181"/>
        <item x="101"/>
        <item x="311"/>
        <item x="207"/>
        <item x="173"/>
        <item x="606"/>
        <item x="420"/>
        <item x="313"/>
        <item x="526"/>
        <item x="330"/>
        <item x="294"/>
        <item x="600"/>
        <item x="385"/>
        <item x="697"/>
        <item x="650"/>
        <item x="421"/>
        <item x="217"/>
        <item x="630"/>
        <item x="242"/>
        <item x="274"/>
        <item x="188"/>
        <item x="733"/>
        <item x="504"/>
        <item x="705"/>
        <item x="335"/>
        <item x="251"/>
        <item x="529"/>
        <item x="676"/>
        <item x="4"/>
        <item x="706"/>
        <item x="513"/>
        <item x="670"/>
        <item x="162"/>
        <item x="297"/>
        <item x="721"/>
        <item x="53"/>
        <item x="735"/>
        <item x="204"/>
        <item x="158"/>
        <item x="292"/>
        <item x="677"/>
        <item x="150"/>
        <item x="321"/>
        <item x="47"/>
        <item x="239"/>
        <item x="68"/>
        <item x="190"/>
        <item x="583"/>
        <item x="293"/>
        <item x="1"/>
        <item x="155"/>
        <item x="228"/>
        <item x="561"/>
        <item x="399"/>
        <item x="141"/>
        <item x="89"/>
        <item x="299"/>
        <item x="63"/>
        <item x="372"/>
        <item x="169"/>
        <item x="430"/>
        <item x="61"/>
        <item x="702"/>
        <item x="212"/>
        <item x="91"/>
        <item x="501"/>
        <item x="681"/>
        <item x="81"/>
        <item x="686"/>
        <item x="191"/>
        <item x="0"/>
        <item x="521"/>
        <item x="328"/>
        <item x="659"/>
        <item x="192"/>
        <item x="418"/>
        <item x="688"/>
        <item x="241"/>
        <item x="415"/>
        <item x="170"/>
        <item x="502"/>
        <item x="734"/>
        <item x="673"/>
        <item x="690"/>
        <item x="665"/>
        <item x="235"/>
        <item x="456"/>
        <item x="589"/>
        <item x="444"/>
        <item x="142"/>
        <item x="144"/>
        <item x="163"/>
        <item x="627"/>
        <item x="340"/>
        <item x="259"/>
        <item x="344"/>
        <item x="545"/>
        <item x="231"/>
        <item x="710"/>
        <item x="477"/>
        <item x="598"/>
        <item x="301"/>
        <item x="339"/>
        <item x="260"/>
        <item x="315"/>
        <item x="391"/>
        <item x="72"/>
        <item x="584"/>
        <item x="369"/>
        <item x="124"/>
        <item x="508"/>
        <item x="218"/>
        <item x="429"/>
        <item x="201"/>
        <item x="389"/>
        <item x="80"/>
        <item x="643"/>
        <item x="579"/>
        <item x="262"/>
        <item x="25"/>
        <item x="546"/>
        <item x="177"/>
        <item x="738"/>
        <item x="342"/>
        <item x="619"/>
        <item x="362"/>
        <item x="527"/>
        <item x="644"/>
        <item x="457"/>
        <item x="475"/>
        <item x="345"/>
        <item x="44"/>
        <item x="720"/>
        <item x="361"/>
        <item x="403"/>
        <item x="168"/>
        <item x="590"/>
        <item x="298"/>
        <item x="126"/>
        <item x="484"/>
        <item x="625"/>
        <item x="133"/>
        <item x="407"/>
        <item x="202"/>
        <item x="497"/>
        <item x="383"/>
        <item x="331"/>
        <item x="67"/>
        <item x="494"/>
        <item x="638"/>
        <item x="206"/>
        <item x="252"/>
        <item x="210"/>
        <item x="467"/>
        <item x="288"/>
        <item x="240"/>
        <item x="194"/>
        <item x="615"/>
        <item x="737"/>
        <item x="693"/>
        <item x="622"/>
        <item x="596"/>
        <item x="588"/>
        <item x="434"/>
        <item x="668"/>
        <item x="363"/>
        <item x="498"/>
        <item x="187"/>
        <item x="145"/>
        <item x="54"/>
        <item x="618"/>
        <item x="236"/>
        <item x="94"/>
        <item x="352"/>
        <item x="489"/>
        <item x="97"/>
        <item x="667"/>
        <item x="303"/>
        <item x="374"/>
        <item x="491"/>
        <item x="289"/>
        <item x="225"/>
        <item x="468"/>
        <item x="726"/>
        <item x="295"/>
        <item x="572"/>
        <item x="247"/>
        <item x="151"/>
        <item x="46"/>
        <item x="587"/>
        <item x="167"/>
        <item x="438"/>
        <item x="79"/>
        <item x="233"/>
        <item x="704"/>
        <item x="594"/>
        <item x="478"/>
        <item x="65"/>
        <item x="416"/>
        <item x="405"/>
        <item x="59"/>
        <item x="476"/>
        <item x="567"/>
        <item x="531"/>
        <item x="213"/>
        <item x="652"/>
        <item x="539"/>
        <item x="268"/>
        <item x="305"/>
        <item x="277"/>
        <item x="149"/>
        <item x="528"/>
        <item x="522"/>
        <item x="725"/>
        <item x="127"/>
        <item x="524"/>
        <item x="175"/>
        <item x="30"/>
        <item x="730"/>
        <item x="185"/>
        <item x="220"/>
        <item x="568"/>
        <item x="396"/>
        <item x="449"/>
        <item x="360"/>
        <item x="727"/>
        <item x="284"/>
        <item x="666"/>
        <item x="178"/>
        <item x="607"/>
        <item x="41"/>
        <item x="640"/>
        <item x="550"/>
        <item x="495"/>
        <item x="581"/>
        <item x="338"/>
        <item x="432"/>
        <item x="452"/>
        <item x="364"/>
        <item x="629"/>
        <item x="462"/>
        <item x="104"/>
        <item x="138"/>
        <item x="196"/>
        <item x="165"/>
        <item x="153"/>
        <item x="571"/>
        <item x="257"/>
        <item x="171"/>
        <item x="114"/>
        <item x="717"/>
        <item x="603"/>
        <item x="134"/>
        <item x="692"/>
        <item x="48"/>
        <item x="464"/>
        <item x="559"/>
        <item x="620"/>
        <item x="226"/>
        <item x="234"/>
        <item x="739"/>
        <item x="488"/>
        <item x="123"/>
        <item x="585"/>
        <item x="592"/>
        <item x="174"/>
        <item x="612"/>
        <item x="602"/>
        <item x="392"/>
        <item x="624"/>
        <item x="304"/>
        <item x="536"/>
        <item x="129"/>
        <item x="716"/>
        <item x="113"/>
        <item x="718"/>
        <item x="601"/>
        <item x="632"/>
        <item x="604"/>
        <item x="639"/>
        <item x="393"/>
        <item x="656"/>
        <item x="440"/>
        <item x="384"/>
        <item x="38"/>
        <item x="591"/>
        <item x="465"/>
        <item x="122"/>
        <item x="276"/>
        <item x="565"/>
        <item x="227"/>
        <item x="578"/>
        <item x="152"/>
        <item x="576"/>
        <item x="628"/>
        <item x="397"/>
        <item x="523"/>
        <item x="728"/>
        <item x="486"/>
        <item x="492"/>
        <item x="657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求和项:调整后gmv" fld="5" baseField="0" baseItem="0"/>
    <dataField name="求和项:调整后毛利" fld="7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S1:W25" firstHeaderRow="0" firstDataRow="1" firstDataCol="3"/>
  <pivotFields count="17">
    <pivotField compact="0" numFmtId="176" showAll="0">
      <items count="22">
        <item x="17"/>
        <item x="3"/>
        <item x="14"/>
        <item x="9"/>
        <item x="18"/>
        <item x="13"/>
        <item x="19"/>
        <item x="15"/>
        <item x="2"/>
        <item x="12"/>
        <item x="7"/>
        <item x="8"/>
        <item x="20"/>
        <item x="0"/>
        <item x="1"/>
        <item x="5"/>
        <item x="6"/>
        <item x="16"/>
        <item x="4"/>
        <item x="11"/>
        <item x="10"/>
        <item t="default"/>
      </items>
    </pivotField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axis="axisRow" compact="0" showAll="0">
      <items count="12">
        <item x="2"/>
        <item x="4"/>
        <item x="9"/>
        <item x="8"/>
        <item x="1"/>
        <item x="5"/>
        <item x="10"/>
        <item x="0"/>
        <item x="3"/>
        <item x="7"/>
        <item x="6"/>
        <item t="default"/>
      </items>
    </pivotField>
    <pivotField compact="0" showAll="0"/>
    <pivotField compact="0" showAll="0"/>
    <pivotField compact="0" showAll="0"/>
    <pivotField compact="0" showAll="0"/>
    <pivotField dataField="1" compact="0" numFmtId="43" showAll="0">
      <items count="41">
        <item x="1"/>
        <item x="18"/>
        <item x="9"/>
        <item x="34"/>
        <item x="26"/>
        <item x="33"/>
        <item x="37"/>
        <item x="24"/>
        <item x="23"/>
        <item x="15"/>
        <item x="7"/>
        <item x="19"/>
        <item x="16"/>
        <item x="32"/>
        <item x="38"/>
        <item x="39"/>
        <item x="10"/>
        <item x="17"/>
        <item x="21"/>
        <item x="30"/>
        <item x="25"/>
        <item x="36"/>
        <item x="12"/>
        <item x="4"/>
        <item x="22"/>
        <item x="35"/>
        <item x="13"/>
        <item x="20"/>
        <item x="6"/>
        <item x="0"/>
        <item x="27"/>
        <item x="29"/>
        <item x="11"/>
        <item x="8"/>
        <item x="31"/>
        <item x="3"/>
        <item x="14"/>
        <item x="28"/>
        <item x="2"/>
        <item x="5"/>
        <item t="default"/>
      </items>
    </pivotField>
    <pivotField dataField="1" compact="0" numFmtId="43" showAll="0">
      <items count="70">
        <item x="35"/>
        <item x="24"/>
        <item x="22"/>
        <item x="36"/>
        <item x="65"/>
        <item x="34"/>
        <item x="52"/>
        <item x="13"/>
        <item x="48"/>
        <item x="64"/>
        <item x="37"/>
        <item x="60"/>
        <item x="33"/>
        <item x="47"/>
        <item x="56"/>
        <item x="23"/>
        <item x="25"/>
        <item x="31"/>
        <item x="30"/>
        <item x="67"/>
        <item x="61"/>
        <item x="62"/>
        <item x="3"/>
        <item x="11"/>
        <item x="5"/>
        <item x="19"/>
        <item x="26"/>
        <item x="55"/>
        <item x="58"/>
        <item x="46"/>
        <item x="63"/>
        <item x="20"/>
        <item x="14"/>
        <item x="4"/>
        <item x="57"/>
        <item x="28"/>
        <item x="1"/>
        <item x="43"/>
        <item x="66"/>
        <item x="32"/>
        <item x="44"/>
        <item x="21"/>
        <item x="2"/>
        <item x="40"/>
        <item x="59"/>
        <item x="16"/>
        <item x="54"/>
        <item x="68"/>
        <item x="8"/>
        <item x="17"/>
        <item x="53"/>
        <item x="27"/>
        <item x="29"/>
        <item x="51"/>
        <item x="38"/>
        <item x="10"/>
        <item x="0"/>
        <item x="42"/>
        <item x="15"/>
        <item x="12"/>
        <item x="45"/>
        <item x="7"/>
        <item x="18"/>
        <item x="39"/>
        <item x="6"/>
        <item x="50"/>
        <item x="49"/>
        <item x="41"/>
        <item x="9"/>
        <item t="default"/>
      </items>
    </pivotField>
    <pivotField compact="0" numFmtId="43" showAll="0"/>
  </pivotFields>
  <rowFields count="3">
    <field x="3"/>
    <field x="8"/>
    <field x="9"/>
  </rowFields>
  <rowItems count="24">
    <i>
      <x/>
    </i>
    <i r="1">
      <x/>
    </i>
    <i r="2">
      <x v="9"/>
    </i>
    <i r="2">
      <x v="10"/>
    </i>
    <i r="1">
      <x v="1"/>
    </i>
    <i r="2">
      <x/>
    </i>
    <i r="2">
      <x v="1"/>
    </i>
    <i r="2">
      <x v="9"/>
    </i>
    <i r="2">
      <x v="10"/>
    </i>
    <i>
      <x v="1"/>
    </i>
    <i r="1">
      <x/>
    </i>
    <i r="2">
      <x v="3"/>
    </i>
    <i r="2">
      <x v="7"/>
    </i>
    <i r="1">
      <x v="1"/>
    </i>
    <i r="2">
      <x/>
    </i>
    <i r="2">
      <x v="2"/>
    </i>
    <i r="2">
      <x v="4"/>
    </i>
    <i r="2">
      <x v="6"/>
    </i>
    <i r="2">
      <x v="8"/>
    </i>
    <i>
      <x v="2"/>
    </i>
    <i r="1">
      <x v="1"/>
    </i>
    <i r="2">
      <x v="1"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含税销售额" fld="14" baseField="0" baseItem="0"/>
    <dataField name="求和项:含税采购成本" fld="15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J7" sqref="J7:M17"/>
    </sheetView>
  </sheetViews>
  <sheetFormatPr defaultColWidth="9" defaultRowHeight="13.5"/>
  <cols>
    <col min="1" max="1" width="20.75" customWidth="1"/>
    <col min="2" max="2" width="16.25" style="13" customWidth="1"/>
    <col min="3" max="3" width="17.25" style="13" customWidth="1"/>
    <col min="4" max="4" width="18.25" style="13"/>
    <col min="5" max="5" width="7.125" style="13" customWidth="1"/>
    <col min="6" max="7" width="17.625" customWidth="1"/>
    <col min="8" max="8" width="12.5" customWidth="1"/>
    <col min="10" max="10" width="26.25" customWidth="1"/>
    <col min="11" max="13" width="18.25" style="13"/>
    <col min="14" max="16" width="9" style="13"/>
  </cols>
  <sheetData>
    <row r="1" spans="1:13">
      <c r="A1" t="s">
        <v>0</v>
      </c>
      <c r="B1" s="13" t="s">
        <v>1</v>
      </c>
      <c r="C1" s="13" t="s">
        <v>2</v>
      </c>
      <c r="D1" s="13" t="s">
        <v>3</v>
      </c>
      <c r="F1" s="32" t="s">
        <v>4</v>
      </c>
      <c r="G1" s="32" t="s">
        <v>5</v>
      </c>
      <c r="H1" s="32" t="s">
        <v>6</v>
      </c>
      <c r="J1" t="s">
        <v>0</v>
      </c>
      <c r="K1" s="13" t="s">
        <v>7</v>
      </c>
      <c r="L1" s="13" t="s">
        <v>8</v>
      </c>
      <c r="M1" s="13" t="s">
        <v>9</v>
      </c>
    </row>
    <row r="2" spans="1:13">
      <c r="A2" t="s">
        <v>10</v>
      </c>
      <c r="F2" s="13">
        <f>B2-K2</f>
        <v>2.36468622460961e-11</v>
      </c>
      <c r="G2" s="13">
        <f>C2-L2</f>
        <v>0</v>
      </c>
      <c r="H2" s="13">
        <f>D2-M2</f>
        <v>2.36468622460961e-11</v>
      </c>
      <c r="J2" t="s">
        <v>10</v>
      </c>
      <c r="K2" s="13">
        <v>-2.36468622460961e-11</v>
      </c>
      <c r="L2" s="13">
        <v>0</v>
      </c>
      <c r="M2" s="13">
        <v>-2.36468622460961e-11</v>
      </c>
    </row>
    <row r="3" spans="1:13">
      <c r="A3" t="s">
        <v>11</v>
      </c>
      <c r="B3" s="13">
        <v>1264428.87</v>
      </c>
      <c r="C3" s="13">
        <v>-404784.17</v>
      </c>
      <c r="D3" s="13">
        <v>1669213.04</v>
      </c>
      <c r="F3" s="13">
        <f>B3-K3</f>
        <v>615242.559999999</v>
      </c>
      <c r="G3" s="13">
        <f>C3-L3</f>
        <v>0</v>
      </c>
      <c r="H3" s="13">
        <f>D3-M3</f>
        <v>615242.56</v>
      </c>
      <c r="J3" t="s">
        <v>11</v>
      </c>
      <c r="K3" s="13">
        <v>649186.310000001</v>
      </c>
      <c r="L3" s="13">
        <v>-404784.17</v>
      </c>
      <c r="M3" s="13">
        <v>1053970.48</v>
      </c>
    </row>
    <row r="4" spans="1:13">
      <c r="A4" t="s">
        <v>12</v>
      </c>
      <c r="C4" s="13">
        <v>10061.27</v>
      </c>
      <c r="D4" s="13">
        <v>-10061.27</v>
      </c>
      <c r="F4" s="13">
        <f>B4-K4</f>
        <v>0</v>
      </c>
      <c r="G4" s="13">
        <f>C4-L4</f>
        <v>0</v>
      </c>
      <c r="H4" s="13">
        <f>D4-M4</f>
        <v>0</v>
      </c>
      <c r="J4" t="s">
        <v>12</v>
      </c>
      <c r="K4" s="13">
        <v>0</v>
      </c>
      <c r="L4" s="13">
        <v>10061.27</v>
      </c>
      <c r="M4" s="13">
        <v>-10061.27</v>
      </c>
    </row>
    <row r="5" spans="1:13">
      <c r="A5" t="s">
        <v>13</v>
      </c>
      <c r="B5" s="13">
        <v>571134035.471552</v>
      </c>
      <c r="C5" s="13">
        <v>567020967.018516</v>
      </c>
      <c r="D5" s="13">
        <v>4113068.45303559</v>
      </c>
      <c r="F5" s="13">
        <f>B5-K5</f>
        <v>-342727809.732208</v>
      </c>
      <c r="G5" s="13">
        <f>C5-L5</f>
        <v>-342725618.152377</v>
      </c>
      <c r="H5" s="13">
        <f>D5-M5</f>
        <v>-2191.57986405026</v>
      </c>
      <c r="J5" t="s">
        <v>13</v>
      </c>
      <c r="K5" s="13">
        <v>913861845.20376</v>
      </c>
      <c r="L5" s="13">
        <v>909746585.170893</v>
      </c>
      <c r="M5" s="13">
        <v>4115260.03289964</v>
      </c>
    </row>
    <row r="6" spans="1:13">
      <c r="A6" t="s">
        <v>14</v>
      </c>
      <c r="B6" s="13">
        <v>96108744.8799998</v>
      </c>
      <c r="C6" s="13">
        <v>72303053.0599999</v>
      </c>
      <c r="D6" s="13">
        <v>23805691.8199998</v>
      </c>
      <c r="F6" s="13">
        <f>B6-K6</f>
        <v>0</v>
      </c>
      <c r="G6" s="13">
        <f>C6-L6</f>
        <v>0</v>
      </c>
      <c r="H6" s="13">
        <f>D6-M6</f>
        <v>0.0199998989701271</v>
      </c>
      <c r="J6" t="s">
        <v>15</v>
      </c>
      <c r="K6" s="13">
        <v>96108744.8799999</v>
      </c>
      <c r="L6" s="13">
        <v>72303053.06</v>
      </c>
      <c r="M6" s="13">
        <v>23805691.7999999</v>
      </c>
    </row>
    <row r="7" spans="1:13">
      <c r="A7" t="s">
        <v>16</v>
      </c>
      <c r="B7" s="13">
        <v>668507209.221551</v>
      </c>
      <c r="C7" s="13">
        <v>638929297.178516</v>
      </c>
      <c r="D7" s="13">
        <v>29577912.0430354</v>
      </c>
      <c r="J7" s="33" t="s">
        <v>17</v>
      </c>
      <c r="K7" s="34">
        <v>3681528.65</v>
      </c>
      <c r="L7" s="34">
        <v>0</v>
      </c>
      <c r="M7" s="34">
        <v>3681528.65</v>
      </c>
    </row>
    <row r="8" spans="10:13">
      <c r="J8" s="33" t="s">
        <v>18</v>
      </c>
      <c r="K8" s="34">
        <v>2776371.82</v>
      </c>
      <c r="L8" s="34">
        <v>4138224.848744</v>
      </c>
      <c r="M8" s="34">
        <v>-1362048.438544</v>
      </c>
    </row>
    <row r="9" spans="10:13">
      <c r="J9" s="35" t="s">
        <v>19</v>
      </c>
      <c r="K9" s="36">
        <v>0</v>
      </c>
      <c r="L9" s="36">
        <v>10.15</v>
      </c>
      <c r="M9" s="36">
        <v>-10.15</v>
      </c>
    </row>
    <row r="10" spans="10:13">
      <c r="J10" s="35" t="s">
        <v>20</v>
      </c>
      <c r="K10" s="36">
        <v>0</v>
      </c>
      <c r="L10" s="36">
        <v>260.52</v>
      </c>
      <c r="M10" s="36">
        <v>-260.52</v>
      </c>
    </row>
    <row r="11" spans="10:13">
      <c r="J11" s="35" t="s">
        <v>21</v>
      </c>
      <c r="K11" s="36">
        <v>0</v>
      </c>
      <c r="L11" s="36">
        <v>100</v>
      </c>
      <c r="M11" s="36">
        <v>-100</v>
      </c>
    </row>
    <row r="12" spans="10:13">
      <c r="J12" s="35" t="s">
        <v>22</v>
      </c>
      <c r="K12" s="36">
        <v>91200</v>
      </c>
      <c r="L12" s="36">
        <v>91200</v>
      </c>
      <c r="M12" s="36">
        <v>0</v>
      </c>
    </row>
    <row r="13" spans="10:13">
      <c r="J13" s="33" t="s">
        <v>23</v>
      </c>
      <c r="K13" s="34">
        <v>-21545059.65</v>
      </c>
      <c r="L13" s="34">
        <v>0</v>
      </c>
      <c r="M13" s="34">
        <v>-21545059.65</v>
      </c>
    </row>
    <row r="14" spans="10:13">
      <c r="J14" s="33" t="s">
        <v>24</v>
      </c>
      <c r="K14" s="34">
        <v>0</v>
      </c>
      <c r="L14" s="34">
        <v>350877.26</v>
      </c>
      <c r="M14" s="34">
        <v>-350877.26</v>
      </c>
    </row>
    <row r="15" spans="10:13">
      <c r="J15" s="35" t="s">
        <v>25</v>
      </c>
      <c r="K15" s="36">
        <v>137489</v>
      </c>
      <c r="L15" s="36">
        <v>315841.56</v>
      </c>
      <c r="M15" s="36">
        <v>-178352.56</v>
      </c>
    </row>
    <row r="16" spans="10:13">
      <c r="J16" t="s">
        <v>26</v>
      </c>
      <c r="K16" s="13">
        <v>-6271.5</v>
      </c>
      <c r="L16" s="13">
        <v>0</v>
      </c>
      <c r="M16" s="13">
        <v>-6271.5</v>
      </c>
    </row>
    <row r="17" spans="10:13">
      <c r="J17" t="s">
        <v>27</v>
      </c>
      <c r="K17" s="13">
        <v>0</v>
      </c>
      <c r="L17" s="13">
        <v>45095.25</v>
      </c>
      <c r="M17" s="13">
        <v>-45095.25</v>
      </c>
    </row>
    <row r="18" spans="10:13">
      <c r="J18" t="s">
        <v>16</v>
      </c>
      <c r="K18" s="13">
        <v>995755034.71376</v>
      </c>
      <c r="L18" s="13">
        <v>986596524.919637</v>
      </c>
      <c r="M18" s="13">
        <v>9158314.3643555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857"/>
  <sheetViews>
    <sheetView tabSelected="1" workbookViewId="0">
      <pane ySplit="1" topLeftCell="A2" activePane="bottomLeft" state="frozen"/>
      <selection/>
      <selection pane="bottomLeft" activeCell="N828" sqref="N828"/>
    </sheetView>
  </sheetViews>
  <sheetFormatPr defaultColWidth="9" defaultRowHeight="12"/>
  <cols>
    <col min="1" max="1" width="9" style="29"/>
    <col min="2" max="2" width="18.375" style="1" customWidth="1"/>
    <col min="3" max="3" width="19.5" style="1" customWidth="1"/>
    <col min="4" max="4" width="13.375" style="1" customWidth="1"/>
    <col min="5" max="5" width="14.25" style="2" customWidth="1"/>
    <col min="6" max="6" width="14.75" style="2" customWidth="1"/>
    <col min="7" max="7" width="14.875" style="2" customWidth="1"/>
    <col min="8" max="8" width="14.5" style="2" customWidth="1"/>
    <col min="9" max="9" width="15.75" style="2" customWidth="1"/>
    <col min="10" max="12" width="14" style="2"/>
    <col min="13" max="13" width="15" style="2"/>
    <col min="14" max="16384" width="9" style="1"/>
  </cols>
  <sheetData>
    <row r="1" spans="1:13">
      <c r="A1" s="29" t="s">
        <v>28</v>
      </c>
      <c r="B1" s="1" t="s">
        <v>29</v>
      </c>
      <c r="C1" s="1" t="s">
        <v>30</v>
      </c>
      <c r="D1" s="1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</row>
    <row r="2" hidden="1" spans="1:13">
      <c r="A2" s="30">
        <v>45839</v>
      </c>
      <c r="C2" s="1" t="s">
        <v>41</v>
      </c>
      <c r="D2" s="1" t="s">
        <v>42</v>
      </c>
      <c r="F2" s="2">
        <f>-5241.8224-(-7567.09)</f>
        <v>2325.2676</v>
      </c>
      <c r="G2" s="2">
        <v>0.004</v>
      </c>
      <c r="H2" s="2">
        <f>F2-G2</f>
        <v>2325.2636</v>
      </c>
      <c r="I2" s="2">
        <f>H2+E2</f>
        <v>2325.2636</v>
      </c>
      <c r="L2" s="2">
        <f t="shared" ref="L2:L10" si="0">J2-K2</f>
        <v>0</v>
      </c>
      <c r="M2" s="2">
        <f t="shared" ref="M2:M10" si="1">I2+L2</f>
        <v>2325.2636</v>
      </c>
    </row>
    <row r="3" hidden="1" spans="1:13">
      <c r="A3" s="30">
        <v>45839</v>
      </c>
      <c r="C3" s="1" t="s">
        <v>43</v>
      </c>
      <c r="D3" s="1" t="s">
        <v>42</v>
      </c>
      <c r="F3" s="2">
        <f>556157.765634619-404403.52</f>
        <v>151754.245634619</v>
      </c>
      <c r="G3" s="2">
        <v>150061.5</v>
      </c>
      <c r="H3" s="2">
        <f>F3-G3</f>
        <v>1692.74563461903</v>
      </c>
      <c r="I3" s="2">
        <f>H3+E3</f>
        <v>1692.74563461903</v>
      </c>
      <c r="L3" s="2">
        <f t="shared" si="0"/>
        <v>0</v>
      </c>
      <c r="M3" s="2">
        <f t="shared" si="1"/>
        <v>1692.74563461903</v>
      </c>
    </row>
    <row r="4" hidden="1" spans="1:13">
      <c r="A4" s="30">
        <v>45839</v>
      </c>
      <c r="C4" s="1" t="s">
        <v>44</v>
      </c>
      <c r="D4" s="1" t="s">
        <v>45</v>
      </c>
      <c r="F4" s="2">
        <v>306.6018</v>
      </c>
      <c r="H4" s="2">
        <f>F4-G4</f>
        <v>306.6018</v>
      </c>
      <c r="I4" s="2">
        <f>H4+E4</f>
        <v>306.6018</v>
      </c>
      <c r="L4" s="2">
        <f t="shared" si="0"/>
        <v>0</v>
      </c>
      <c r="M4" s="2">
        <f t="shared" si="1"/>
        <v>306.6018</v>
      </c>
    </row>
    <row r="5" hidden="1" spans="1:13">
      <c r="A5" s="30">
        <v>45839</v>
      </c>
      <c r="C5" s="1" t="s">
        <v>46</v>
      </c>
      <c r="D5" s="1" t="s">
        <v>45</v>
      </c>
      <c r="F5" s="2">
        <v>34.06</v>
      </c>
      <c r="H5" s="2">
        <f>F5-G5</f>
        <v>34.06</v>
      </c>
      <c r="I5" s="2">
        <f>H5+E5</f>
        <v>34.06</v>
      </c>
      <c r="L5" s="2">
        <f t="shared" si="0"/>
        <v>0</v>
      </c>
      <c r="M5" s="2">
        <f t="shared" si="1"/>
        <v>34.06</v>
      </c>
    </row>
    <row r="6" hidden="1" spans="1:13">
      <c r="A6" s="30">
        <v>45839</v>
      </c>
      <c r="C6" s="1" t="s">
        <v>41</v>
      </c>
      <c r="D6" s="1" t="s">
        <v>45</v>
      </c>
      <c r="F6" s="2">
        <v>1192.41</v>
      </c>
      <c r="H6" s="2">
        <f>F6-G6</f>
        <v>1192.41</v>
      </c>
      <c r="I6" s="2">
        <f>H6+E6</f>
        <v>1192.41</v>
      </c>
      <c r="L6" s="2">
        <f t="shared" si="0"/>
        <v>0</v>
      </c>
      <c r="M6" s="2">
        <f t="shared" si="1"/>
        <v>1192.41</v>
      </c>
    </row>
    <row r="7" hidden="1" spans="1:13">
      <c r="A7" s="30">
        <v>45839</v>
      </c>
      <c r="C7" s="1" t="s">
        <v>41</v>
      </c>
      <c r="D7" s="1" t="s">
        <v>47</v>
      </c>
      <c r="F7" s="2">
        <v>26</v>
      </c>
      <c r="H7" s="2">
        <f t="shared" ref="H7:H18" si="2">F7-G7</f>
        <v>26</v>
      </c>
      <c r="I7" s="2">
        <f t="shared" ref="I7:I18" si="3">H7+E7</f>
        <v>26</v>
      </c>
      <c r="L7" s="2">
        <f t="shared" si="0"/>
        <v>0</v>
      </c>
      <c r="M7" s="2">
        <f t="shared" si="1"/>
        <v>26</v>
      </c>
    </row>
    <row r="8" hidden="1" spans="1:13">
      <c r="A8" s="30">
        <v>45839</v>
      </c>
      <c r="C8" s="1" t="s">
        <v>43</v>
      </c>
      <c r="D8" s="1" t="s">
        <v>47</v>
      </c>
      <c r="F8" s="2">
        <f>66346.1-66345.1</f>
        <v>1</v>
      </c>
      <c r="H8" s="2">
        <f t="shared" si="2"/>
        <v>1</v>
      </c>
      <c r="I8" s="2">
        <f t="shared" si="3"/>
        <v>1</v>
      </c>
      <c r="L8" s="2">
        <f t="shared" si="0"/>
        <v>0</v>
      </c>
      <c r="M8" s="2">
        <f t="shared" si="1"/>
        <v>1</v>
      </c>
    </row>
    <row r="9" hidden="1" spans="1:13">
      <c r="A9" s="30">
        <v>45839</v>
      </c>
      <c r="C9" s="1" t="s">
        <v>41</v>
      </c>
      <c r="D9" s="1" t="s">
        <v>48</v>
      </c>
      <c r="F9" s="2">
        <v>9.3</v>
      </c>
      <c r="H9" s="2">
        <f t="shared" si="2"/>
        <v>9.3</v>
      </c>
      <c r="I9" s="2">
        <f t="shared" si="3"/>
        <v>9.3</v>
      </c>
      <c r="L9" s="2">
        <f t="shared" si="0"/>
        <v>0</v>
      </c>
      <c r="M9" s="2">
        <f t="shared" si="1"/>
        <v>9.3</v>
      </c>
    </row>
    <row r="10" hidden="1" spans="1:13">
      <c r="A10" s="30">
        <v>45839</v>
      </c>
      <c r="C10" s="1" t="s">
        <v>43</v>
      </c>
      <c r="D10" s="1" t="s">
        <v>48</v>
      </c>
      <c r="F10" s="2">
        <v>407.2</v>
      </c>
      <c r="H10" s="2">
        <f t="shared" si="2"/>
        <v>407.2</v>
      </c>
      <c r="I10" s="2">
        <f t="shared" si="3"/>
        <v>407.2</v>
      </c>
      <c r="L10" s="2">
        <f t="shared" si="0"/>
        <v>0</v>
      </c>
      <c r="M10" s="2">
        <f t="shared" si="1"/>
        <v>407.2</v>
      </c>
    </row>
    <row r="11" hidden="1" spans="1:13">
      <c r="A11" s="30">
        <v>45839</v>
      </c>
      <c r="C11" s="1" t="s">
        <v>49</v>
      </c>
      <c r="D11" s="1" t="s">
        <v>42</v>
      </c>
      <c r="G11" s="2">
        <v>-567.58</v>
      </c>
      <c r="H11" s="2">
        <f t="shared" si="2"/>
        <v>567.58</v>
      </c>
      <c r="I11" s="2">
        <f t="shared" si="3"/>
        <v>567.58</v>
      </c>
      <c r="L11" s="2">
        <f t="shared" ref="L11:L37" si="4">J11-K11</f>
        <v>0</v>
      </c>
      <c r="M11" s="2">
        <f t="shared" ref="M11:M37" si="5">I11+L11</f>
        <v>567.58</v>
      </c>
    </row>
    <row r="12" hidden="1" spans="1:13">
      <c r="A12" s="30">
        <v>45839</v>
      </c>
      <c r="C12" s="1" t="s">
        <v>43</v>
      </c>
      <c r="D12" s="1" t="s">
        <v>42</v>
      </c>
      <c r="F12" s="2">
        <v>105.489999999999</v>
      </c>
      <c r="G12" s="2">
        <v>-0.309999999999999</v>
      </c>
      <c r="H12" s="2">
        <f t="shared" si="2"/>
        <v>105.799999999999</v>
      </c>
      <c r="I12" s="2">
        <f t="shared" si="3"/>
        <v>105.799999999999</v>
      </c>
      <c r="L12" s="2">
        <f t="shared" si="4"/>
        <v>0</v>
      </c>
      <c r="M12" s="2">
        <f t="shared" si="5"/>
        <v>105.799999999999</v>
      </c>
    </row>
    <row r="13" hidden="1" spans="1:13">
      <c r="A13" s="30">
        <v>45839</v>
      </c>
      <c r="C13" s="1" t="s">
        <v>50</v>
      </c>
      <c r="D13" s="1" t="s">
        <v>45</v>
      </c>
      <c r="F13" s="2">
        <f>-102+88.677</f>
        <v>-13.323</v>
      </c>
      <c r="G13" s="2">
        <v>-0.1</v>
      </c>
      <c r="H13" s="2">
        <f t="shared" si="2"/>
        <v>-13.223</v>
      </c>
      <c r="I13" s="2">
        <f t="shared" si="3"/>
        <v>-13.223</v>
      </c>
      <c r="L13" s="2">
        <f t="shared" si="4"/>
        <v>0</v>
      </c>
      <c r="M13" s="2">
        <f t="shared" si="5"/>
        <v>-13.223</v>
      </c>
    </row>
    <row r="14" hidden="1" spans="1:13">
      <c r="A14" s="30">
        <v>45839</v>
      </c>
      <c r="C14" s="1" t="s">
        <v>51</v>
      </c>
      <c r="D14" s="1" t="s">
        <v>52</v>
      </c>
      <c r="G14" s="2">
        <v>-79.6899999999999</v>
      </c>
      <c r="H14" s="2">
        <f t="shared" si="2"/>
        <v>79.6899999999999</v>
      </c>
      <c r="I14" s="2">
        <f t="shared" si="3"/>
        <v>79.6899999999999</v>
      </c>
      <c r="L14" s="2">
        <f t="shared" si="4"/>
        <v>0</v>
      </c>
      <c r="M14" s="2">
        <f t="shared" si="5"/>
        <v>79.6899999999999</v>
      </c>
    </row>
    <row r="15" hidden="1" spans="1:13">
      <c r="A15" s="30">
        <v>45839</v>
      </c>
      <c r="C15" s="1" t="s">
        <v>53</v>
      </c>
      <c r="D15" s="1" t="s">
        <v>52</v>
      </c>
      <c r="G15" s="2">
        <v>2246.80999999999</v>
      </c>
      <c r="H15" s="2">
        <f t="shared" si="2"/>
        <v>-2246.80999999999</v>
      </c>
      <c r="I15" s="2">
        <f t="shared" si="3"/>
        <v>-2246.80999999999</v>
      </c>
      <c r="L15" s="2">
        <f t="shared" si="4"/>
        <v>0</v>
      </c>
      <c r="M15" s="2">
        <f t="shared" si="5"/>
        <v>-2246.80999999999</v>
      </c>
    </row>
    <row r="16" hidden="1" spans="1:13">
      <c r="A16" s="30">
        <v>45839</v>
      </c>
      <c r="C16" s="1" t="s">
        <v>43</v>
      </c>
      <c r="D16" s="1" t="s">
        <v>52</v>
      </c>
      <c r="F16" s="2">
        <v>49.78</v>
      </c>
      <c r="H16" s="2">
        <f t="shared" si="2"/>
        <v>49.78</v>
      </c>
      <c r="I16" s="2">
        <f t="shared" si="3"/>
        <v>49.78</v>
      </c>
      <c r="L16" s="2">
        <f t="shared" si="4"/>
        <v>0</v>
      </c>
      <c r="M16" s="2">
        <f t="shared" si="5"/>
        <v>49.78</v>
      </c>
    </row>
    <row r="17" hidden="1" spans="1:13">
      <c r="A17" s="30">
        <v>45839</v>
      </c>
      <c r="C17" s="1" t="s">
        <v>54</v>
      </c>
      <c r="D17" s="1" t="s">
        <v>47</v>
      </c>
      <c r="F17" s="2">
        <v>98.74</v>
      </c>
      <c r="H17" s="2">
        <f t="shared" si="2"/>
        <v>98.74</v>
      </c>
      <c r="I17" s="2">
        <f t="shared" si="3"/>
        <v>98.74</v>
      </c>
      <c r="L17" s="2">
        <f t="shared" si="4"/>
        <v>0</v>
      </c>
      <c r="M17" s="2">
        <f t="shared" si="5"/>
        <v>98.74</v>
      </c>
    </row>
    <row r="18" hidden="1" spans="1:13">
      <c r="A18" s="30">
        <v>45839</v>
      </c>
      <c r="C18" s="1" t="s">
        <v>51</v>
      </c>
      <c r="D18" s="1" t="s">
        <v>47</v>
      </c>
      <c r="G18" s="2">
        <v>39.7599999999999</v>
      </c>
      <c r="H18" s="2">
        <f t="shared" si="2"/>
        <v>-39.7599999999999</v>
      </c>
      <c r="I18" s="2">
        <f t="shared" si="3"/>
        <v>-39.7599999999999</v>
      </c>
      <c r="L18" s="2">
        <f t="shared" si="4"/>
        <v>0</v>
      </c>
      <c r="M18" s="2">
        <f t="shared" si="5"/>
        <v>-39.7599999999999</v>
      </c>
    </row>
    <row r="19" hidden="1" spans="1:13">
      <c r="A19" s="30">
        <v>45839</v>
      </c>
      <c r="C19" s="1" t="s">
        <v>55</v>
      </c>
      <c r="D19" s="1" t="s">
        <v>47</v>
      </c>
      <c r="F19" s="2">
        <v>60.1599999999999</v>
      </c>
      <c r="H19" s="2">
        <f t="shared" ref="H19:H42" si="6">F19-G19</f>
        <v>60.1599999999999</v>
      </c>
      <c r="I19" s="2">
        <f t="shared" ref="I19:I42" si="7">H19+E19</f>
        <v>60.1599999999999</v>
      </c>
      <c r="L19" s="2">
        <f t="shared" si="4"/>
        <v>0</v>
      </c>
      <c r="M19" s="2">
        <f t="shared" si="5"/>
        <v>60.1599999999999</v>
      </c>
    </row>
    <row r="20" hidden="1" spans="1:13">
      <c r="A20" s="30">
        <v>45839</v>
      </c>
      <c r="C20" s="1" t="s">
        <v>43</v>
      </c>
      <c r="D20" s="1" t="s">
        <v>47</v>
      </c>
      <c r="F20" s="2">
        <v>89.3599999999999</v>
      </c>
      <c r="H20" s="2">
        <f t="shared" si="6"/>
        <v>89.3599999999999</v>
      </c>
      <c r="I20" s="2">
        <f t="shared" si="7"/>
        <v>89.3599999999999</v>
      </c>
      <c r="L20" s="2">
        <f t="shared" si="4"/>
        <v>0</v>
      </c>
      <c r="M20" s="2">
        <f t="shared" si="5"/>
        <v>89.3599999999999</v>
      </c>
    </row>
    <row r="21" hidden="1" spans="1:13">
      <c r="A21" s="30">
        <v>45839</v>
      </c>
      <c r="C21" s="1" t="s">
        <v>54</v>
      </c>
      <c r="D21" s="1" t="s">
        <v>48</v>
      </c>
      <c r="F21" s="2">
        <v>7.5</v>
      </c>
      <c r="H21" s="2">
        <f t="shared" si="6"/>
        <v>7.5</v>
      </c>
      <c r="I21" s="2">
        <f t="shared" si="7"/>
        <v>7.5</v>
      </c>
      <c r="L21" s="2">
        <f t="shared" si="4"/>
        <v>0</v>
      </c>
      <c r="M21" s="2">
        <f t="shared" si="5"/>
        <v>7.5</v>
      </c>
    </row>
    <row r="22" hidden="1" spans="1:13">
      <c r="A22" s="30">
        <v>45839</v>
      </c>
      <c r="B22" s="1" t="s">
        <v>56</v>
      </c>
      <c r="C22" s="1" t="s">
        <v>41</v>
      </c>
      <c r="D22" s="1" t="s">
        <v>47</v>
      </c>
      <c r="F22" s="2">
        <v>32.32</v>
      </c>
      <c r="H22" s="2">
        <f t="shared" si="6"/>
        <v>32.32</v>
      </c>
      <c r="I22" s="2">
        <f t="shared" si="7"/>
        <v>32.32</v>
      </c>
      <c r="L22" s="2">
        <f t="shared" si="4"/>
        <v>0</v>
      </c>
      <c r="M22" s="2">
        <f t="shared" si="5"/>
        <v>32.32</v>
      </c>
    </row>
    <row r="23" hidden="1" spans="1:13">
      <c r="A23" s="30">
        <v>45839</v>
      </c>
      <c r="B23" s="1" t="s">
        <v>56</v>
      </c>
      <c r="C23" s="1" t="s">
        <v>43</v>
      </c>
      <c r="D23" s="1" t="s">
        <v>47</v>
      </c>
      <c r="F23" s="2">
        <v>28.54</v>
      </c>
      <c r="H23" s="2">
        <f t="shared" si="6"/>
        <v>28.54</v>
      </c>
      <c r="I23" s="2">
        <f t="shared" si="7"/>
        <v>28.54</v>
      </c>
      <c r="L23" s="2">
        <f t="shared" si="4"/>
        <v>0</v>
      </c>
      <c r="M23" s="2">
        <f t="shared" si="5"/>
        <v>28.54</v>
      </c>
    </row>
    <row r="24" hidden="1" spans="1:13">
      <c r="A24" s="30">
        <v>45839</v>
      </c>
      <c r="B24" s="1" t="s">
        <v>56</v>
      </c>
      <c r="C24" s="1" t="s">
        <v>57</v>
      </c>
      <c r="D24" s="1" t="s">
        <v>47</v>
      </c>
      <c r="F24" s="2">
        <v>3098.94</v>
      </c>
      <c r="G24" s="2">
        <v>3098.94</v>
      </c>
      <c r="H24" s="2">
        <f t="shared" si="6"/>
        <v>0</v>
      </c>
      <c r="I24" s="2">
        <f t="shared" si="7"/>
        <v>0</v>
      </c>
      <c r="L24" s="2">
        <f t="shared" si="4"/>
        <v>0</v>
      </c>
      <c r="M24" s="2">
        <f t="shared" si="5"/>
        <v>0</v>
      </c>
    </row>
    <row r="25" hidden="1" spans="1:13">
      <c r="A25" s="30">
        <v>45839</v>
      </c>
      <c r="B25" s="1" t="s">
        <v>58</v>
      </c>
      <c r="C25" s="1" t="s">
        <v>41</v>
      </c>
      <c r="D25" s="1" t="s">
        <v>42</v>
      </c>
      <c r="F25" s="2">
        <v>25061.813</v>
      </c>
      <c r="G25" s="2">
        <v>24817.59</v>
      </c>
      <c r="H25" s="2">
        <f t="shared" si="6"/>
        <v>244.222999999998</v>
      </c>
      <c r="I25" s="2">
        <f t="shared" si="7"/>
        <v>244.222999999998</v>
      </c>
      <c r="L25" s="2">
        <f t="shared" si="4"/>
        <v>0</v>
      </c>
      <c r="M25" s="2">
        <f t="shared" si="5"/>
        <v>244.222999999998</v>
      </c>
    </row>
    <row r="26" hidden="1" spans="1:13">
      <c r="A26" s="30">
        <v>45839</v>
      </c>
      <c r="B26" s="1" t="s">
        <v>58</v>
      </c>
      <c r="C26" s="1" t="s">
        <v>55</v>
      </c>
      <c r="D26" s="1" t="s">
        <v>42</v>
      </c>
      <c r="F26" s="2">
        <v>9288.1</v>
      </c>
      <c r="G26" s="2">
        <v>9262.17</v>
      </c>
      <c r="H26" s="2">
        <f t="shared" si="6"/>
        <v>25.9300000000003</v>
      </c>
      <c r="I26" s="2">
        <f t="shared" si="7"/>
        <v>25.9300000000003</v>
      </c>
      <c r="L26" s="2">
        <f t="shared" si="4"/>
        <v>0</v>
      </c>
      <c r="M26" s="2">
        <f t="shared" si="5"/>
        <v>25.9300000000003</v>
      </c>
    </row>
    <row r="27" hidden="1" spans="1:13">
      <c r="A27" s="30">
        <v>45839</v>
      </c>
      <c r="B27" s="1" t="s">
        <v>58</v>
      </c>
      <c r="C27" s="1" t="s">
        <v>43</v>
      </c>
      <c r="D27" s="1" t="s">
        <v>42</v>
      </c>
      <c r="F27" s="2">
        <f>206957.5842+59.94467</f>
        <v>207017.52887</v>
      </c>
      <c r="G27" s="2">
        <v>202093.135</v>
      </c>
      <c r="H27" s="2">
        <f t="shared" si="6"/>
        <v>4924.39387</v>
      </c>
      <c r="I27" s="2">
        <f t="shared" si="7"/>
        <v>4924.39387</v>
      </c>
      <c r="L27" s="2">
        <f t="shared" si="4"/>
        <v>0</v>
      </c>
      <c r="M27" s="2">
        <f t="shared" si="5"/>
        <v>4924.39387</v>
      </c>
    </row>
    <row r="28" hidden="1" spans="1:13">
      <c r="A28" s="30">
        <v>45839</v>
      </c>
      <c r="B28" s="1" t="s">
        <v>58</v>
      </c>
      <c r="C28" s="1" t="s">
        <v>43</v>
      </c>
      <c r="D28" s="1" t="s">
        <v>47</v>
      </c>
      <c r="F28" s="2">
        <v>1494</v>
      </c>
      <c r="G28" s="2">
        <v>1388.8</v>
      </c>
      <c r="H28" s="2">
        <f t="shared" si="6"/>
        <v>105.2</v>
      </c>
      <c r="I28" s="2">
        <f t="shared" si="7"/>
        <v>105.2</v>
      </c>
      <c r="L28" s="2">
        <f t="shared" si="4"/>
        <v>0</v>
      </c>
      <c r="M28" s="2">
        <f t="shared" si="5"/>
        <v>105.2</v>
      </c>
    </row>
    <row r="29" hidden="1" spans="1:13">
      <c r="A29" s="30">
        <v>45839</v>
      </c>
      <c r="B29" s="1" t="s">
        <v>59</v>
      </c>
      <c r="C29" s="1" t="s">
        <v>51</v>
      </c>
      <c r="D29" s="1" t="s">
        <v>42</v>
      </c>
      <c r="F29" s="2">
        <v>50256.98</v>
      </c>
      <c r="G29" s="2">
        <v>53389</v>
      </c>
      <c r="H29" s="2">
        <f t="shared" si="6"/>
        <v>-3132.02</v>
      </c>
      <c r="I29" s="2">
        <f t="shared" si="7"/>
        <v>-3132.02</v>
      </c>
      <c r="L29" s="2">
        <f t="shared" si="4"/>
        <v>0</v>
      </c>
      <c r="M29" s="2">
        <f t="shared" si="5"/>
        <v>-3132.02</v>
      </c>
    </row>
    <row r="30" hidden="1" spans="1:13">
      <c r="A30" s="30">
        <v>45839</v>
      </c>
      <c r="B30" s="1" t="s">
        <v>59</v>
      </c>
      <c r="C30" s="1" t="s">
        <v>55</v>
      </c>
      <c r="D30" s="1" t="s">
        <v>42</v>
      </c>
      <c r="F30" s="2">
        <f>-174-2489.52</f>
        <v>-2663.52</v>
      </c>
      <c r="H30" s="2">
        <f t="shared" si="6"/>
        <v>-2663.52</v>
      </c>
      <c r="I30" s="2">
        <f t="shared" si="7"/>
        <v>-2663.52</v>
      </c>
      <c r="L30" s="2">
        <f t="shared" si="4"/>
        <v>0</v>
      </c>
      <c r="M30" s="2">
        <f t="shared" si="5"/>
        <v>-2663.52</v>
      </c>
    </row>
    <row r="31" hidden="1" spans="1:13">
      <c r="A31" s="30">
        <v>45839</v>
      </c>
      <c r="B31" s="1" t="s">
        <v>59</v>
      </c>
      <c r="C31" s="1" t="s">
        <v>43</v>
      </c>
      <c r="D31" s="1" t="s">
        <v>42</v>
      </c>
      <c r="F31" s="2">
        <v>35</v>
      </c>
      <c r="G31" s="2">
        <v>35</v>
      </c>
      <c r="H31" s="2">
        <f t="shared" si="6"/>
        <v>0</v>
      </c>
      <c r="I31" s="2">
        <f t="shared" si="7"/>
        <v>0</v>
      </c>
      <c r="L31" s="2">
        <f t="shared" si="4"/>
        <v>0</v>
      </c>
      <c r="M31" s="2">
        <f t="shared" si="5"/>
        <v>0</v>
      </c>
    </row>
    <row r="32" spans="1:13">
      <c r="A32" s="30">
        <v>45839</v>
      </c>
      <c r="B32" s="1" t="s">
        <v>60</v>
      </c>
      <c r="C32" s="1" t="s">
        <v>41</v>
      </c>
      <c r="D32" s="1" t="s">
        <v>42</v>
      </c>
      <c r="F32" s="2">
        <v>3.83146256</v>
      </c>
      <c r="H32" s="2">
        <f t="shared" si="6"/>
        <v>3.83146256</v>
      </c>
      <c r="I32" s="2">
        <f t="shared" si="7"/>
        <v>3.83146256</v>
      </c>
      <c r="L32" s="2">
        <f t="shared" si="4"/>
        <v>0</v>
      </c>
      <c r="M32" s="2">
        <f t="shared" si="5"/>
        <v>3.83146256</v>
      </c>
    </row>
    <row r="33" spans="1:13">
      <c r="A33" s="30">
        <v>45839</v>
      </c>
      <c r="B33" s="1" t="s">
        <v>60</v>
      </c>
      <c r="C33" s="1" t="s">
        <v>43</v>
      </c>
      <c r="D33" s="1" t="s">
        <v>42</v>
      </c>
      <c r="E33" s="2">
        <v>104009.01</v>
      </c>
      <c r="F33" s="2">
        <v>1471340.248</v>
      </c>
      <c r="G33" s="2">
        <v>1535241.86</v>
      </c>
      <c r="H33" s="2">
        <f t="shared" si="6"/>
        <v>-63901.6120000002</v>
      </c>
      <c r="I33" s="2">
        <f t="shared" si="7"/>
        <v>40107.3979999998</v>
      </c>
      <c r="L33" s="2">
        <f t="shared" si="4"/>
        <v>0</v>
      </c>
      <c r="M33" s="2">
        <f t="shared" si="5"/>
        <v>40107.3979999998</v>
      </c>
    </row>
    <row r="34" spans="1:13">
      <c r="A34" s="30">
        <v>45839</v>
      </c>
      <c r="B34" s="1" t="s">
        <v>60</v>
      </c>
      <c r="C34" s="1" t="s">
        <v>57</v>
      </c>
      <c r="D34" s="1" t="s">
        <v>42</v>
      </c>
      <c r="F34" s="2">
        <v>-150233.292</v>
      </c>
      <c r="H34" s="2">
        <f t="shared" si="6"/>
        <v>-150233.292</v>
      </c>
      <c r="I34" s="2">
        <f t="shared" si="7"/>
        <v>-150233.292</v>
      </c>
      <c r="L34" s="2">
        <f t="shared" si="4"/>
        <v>0</v>
      </c>
      <c r="M34" s="2">
        <f t="shared" si="5"/>
        <v>-150233.292</v>
      </c>
    </row>
    <row r="35" hidden="1" spans="1:13">
      <c r="A35" s="30">
        <v>45839</v>
      </c>
      <c r="B35" s="1" t="s">
        <v>61</v>
      </c>
      <c r="C35" s="1" t="s">
        <v>43</v>
      </c>
      <c r="D35" s="1" t="s">
        <v>47</v>
      </c>
      <c r="F35" s="2">
        <v>1311.936</v>
      </c>
      <c r="G35" s="2">
        <v>1202</v>
      </c>
      <c r="H35" s="2">
        <f t="shared" si="6"/>
        <v>109.936</v>
      </c>
      <c r="I35" s="2">
        <f t="shared" si="7"/>
        <v>109.936</v>
      </c>
      <c r="L35" s="2">
        <f t="shared" si="4"/>
        <v>0</v>
      </c>
      <c r="M35" s="2">
        <f t="shared" si="5"/>
        <v>109.936</v>
      </c>
    </row>
    <row r="36" hidden="1" spans="1:13">
      <c r="A36" s="30">
        <v>45839</v>
      </c>
      <c r="B36" s="1" t="s">
        <v>62</v>
      </c>
      <c r="C36" s="1" t="s">
        <v>41</v>
      </c>
      <c r="D36" s="1" t="s">
        <v>47</v>
      </c>
      <c r="F36" s="2">
        <v>432</v>
      </c>
      <c r="G36" s="2">
        <v>410.4</v>
      </c>
      <c r="H36" s="2">
        <f t="shared" si="6"/>
        <v>21.6</v>
      </c>
      <c r="I36" s="2">
        <f t="shared" si="7"/>
        <v>21.6</v>
      </c>
      <c r="L36" s="2">
        <f t="shared" si="4"/>
        <v>0</v>
      </c>
      <c r="M36" s="2">
        <f t="shared" si="5"/>
        <v>21.6</v>
      </c>
    </row>
    <row r="37" hidden="1" spans="1:13">
      <c r="A37" s="30">
        <v>45839</v>
      </c>
      <c r="B37" s="1" t="s">
        <v>62</v>
      </c>
      <c r="C37" s="1" t="s">
        <v>43</v>
      </c>
      <c r="D37" s="1" t="s">
        <v>47</v>
      </c>
      <c r="F37" s="2">
        <v>3781.72</v>
      </c>
      <c r="G37" s="2">
        <v>3181.12</v>
      </c>
      <c r="H37" s="2">
        <f t="shared" si="6"/>
        <v>600.6</v>
      </c>
      <c r="I37" s="2">
        <f t="shared" si="7"/>
        <v>600.6</v>
      </c>
      <c r="L37" s="2">
        <f t="shared" si="4"/>
        <v>0</v>
      </c>
      <c r="M37" s="2">
        <f t="shared" si="5"/>
        <v>600.6</v>
      </c>
    </row>
    <row r="38" hidden="1" spans="1:13">
      <c r="A38" s="30">
        <v>45839</v>
      </c>
      <c r="B38" s="1" t="s">
        <v>63</v>
      </c>
      <c r="C38" s="1" t="s">
        <v>54</v>
      </c>
      <c r="D38" s="1" t="s">
        <v>47</v>
      </c>
      <c r="F38" s="2">
        <v>14.548</v>
      </c>
      <c r="H38" s="2">
        <f t="shared" si="6"/>
        <v>14.548</v>
      </c>
      <c r="I38" s="2">
        <f t="shared" si="7"/>
        <v>14.548</v>
      </c>
      <c r="L38" s="2">
        <f t="shared" ref="L38:L51" si="8">J38-K38</f>
        <v>0</v>
      </c>
      <c r="M38" s="2">
        <f t="shared" ref="M38:M51" si="9">I38+L38</f>
        <v>14.548</v>
      </c>
    </row>
    <row r="39" hidden="1" spans="1:13">
      <c r="A39" s="30">
        <v>45839</v>
      </c>
      <c r="B39" s="1" t="s">
        <v>63</v>
      </c>
      <c r="C39" s="1" t="s">
        <v>64</v>
      </c>
      <c r="D39" s="1" t="s">
        <v>47</v>
      </c>
      <c r="F39" s="2">
        <v>97.716</v>
      </c>
      <c r="H39" s="2">
        <f t="shared" si="6"/>
        <v>97.716</v>
      </c>
      <c r="I39" s="2">
        <f t="shared" si="7"/>
        <v>97.716</v>
      </c>
      <c r="L39" s="2">
        <f t="shared" si="8"/>
        <v>0</v>
      </c>
      <c r="M39" s="2">
        <f t="shared" si="9"/>
        <v>97.716</v>
      </c>
    </row>
    <row r="40" hidden="1" spans="1:13">
      <c r="A40" s="30">
        <v>45839</v>
      </c>
      <c r="B40" s="1" t="s">
        <v>63</v>
      </c>
      <c r="C40" s="1" t="s">
        <v>65</v>
      </c>
      <c r="D40" s="1" t="s">
        <v>47</v>
      </c>
      <c r="F40" s="2">
        <v>281.484</v>
      </c>
      <c r="H40" s="2">
        <f t="shared" si="6"/>
        <v>281.484</v>
      </c>
      <c r="I40" s="2">
        <f t="shared" si="7"/>
        <v>281.484</v>
      </c>
      <c r="L40" s="2">
        <f t="shared" si="8"/>
        <v>0</v>
      </c>
      <c r="M40" s="2">
        <f t="shared" si="9"/>
        <v>281.484</v>
      </c>
    </row>
    <row r="41" hidden="1" spans="1:13">
      <c r="A41" s="30">
        <v>45839</v>
      </c>
      <c r="B41" s="1" t="s">
        <v>63</v>
      </c>
      <c r="C41" s="1" t="s">
        <v>41</v>
      </c>
      <c r="D41" s="1" t="s">
        <v>47</v>
      </c>
      <c r="F41" s="2">
        <f>438267.049359272+1134</f>
        <v>439401.049359272</v>
      </c>
      <c r="H41" s="2">
        <f t="shared" si="6"/>
        <v>439401.049359272</v>
      </c>
      <c r="I41" s="2">
        <f t="shared" si="7"/>
        <v>439401.049359272</v>
      </c>
      <c r="L41" s="2">
        <f t="shared" si="8"/>
        <v>0</v>
      </c>
      <c r="M41" s="2">
        <f t="shared" si="9"/>
        <v>439401.049359272</v>
      </c>
    </row>
    <row r="42" hidden="1" spans="1:13">
      <c r="A42" s="30">
        <v>45839</v>
      </c>
      <c r="B42" s="1" t="s">
        <v>63</v>
      </c>
      <c r="C42" s="1" t="s">
        <v>55</v>
      </c>
      <c r="D42" s="1" t="s">
        <v>47</v>
      </c>
      <c r="E42" s="2">
        <v>480</v>
      </c>
      <c r="F42" s="2">
        <v>3219.504</v>
      </c>
      <c r="G42" s="2">
        <f>3860.9+142.8+60.16</f>
        <v>4063.86</v>
      </c>
      <c r="H42" s="2">
        <f t="shared" ref="H42:H71" si="10">F42-G42</f>
        <v>-844.356</v>
      </c>
      <c r="I42" s="2">
        <f t="shared" ref="I42:I71" si="11">H42+E42</f>
        <v>-364.356</v>
      </c>
      <c r="L42" s="2">
        <f t="shared" si="8"/>
        <v>0</v>
      </c>
      <c r="M42" s="2">
        <f t="shared" si="9"/>
        <v>-364.356</v>
      </c>
    </row>
    <row r="43" hidden="1" spans="1:13">
      <c r="A43" s="30">
        <v>45839</v>
      </c>
      <c r="B43" s="1" t="s">
        <v>63</v>
      </c>
      <c r="C43" s="1" t="s">
        <v>43</v>
      </c>
      <c r="D43" s="1" t="s">
        <v>47</v>
      </c>
      <c r="E43" s="2">
        <v>35003.89</v>
      </c>
      <c r="F43" s="2">
        <v>445100.7733</v>
      </c>
      <c r="G43" s="2">
        <v>537393.66</v>
      </c>
      <c r="H43" s="2">
        <f t="shared" si="10"/>
        <v>-92292.8867</v>
      </c>
      <c r="I43" s="2">
        <f t="shared" si="11"/>
        <v>-57288.9967</v>
      </c>
      <c r="L43" s="2">
        <f t="shared" si="8"/>
        <v>0</v>
      </c>
      <c r="M43" s="2">
        <f t="shared" si="9"/>
        <v>-57288.9967</v>
      </c>
    </row>
    <row r="44" hidden="1" spans="1:13">
      <c r="A44" s="30">
        <v>45839</v>
      </c>
      <c r="B44" s="1" t="s">
        <v>63</v>
      </c>
      <c r="C44" s="1" t="s">
        <v>57</v>
      </c>
      <c r="D44" s="1" t="s">
        <v>47</v>
      </c>
      <c r="E44" s="2">
        <v>479303.06</v>
      </c>
      <c r="F44" s="2">
        <v>2237042.92949999</v>
      </c>
      <c r="G44" s="2">
        <f>2703408.0721884+5928</f>
        <v>2709336.0721884</v>
      </c>
      <c r="H44" s="2">
        <f t="shared" si="10"/>
        <v>-472293.14268841</v>
      </c>
      <c r="I44" s="2">
        <f t="shared" si="11"/>
        <v>7009.91731158964</v>
      </c>
      <c r="J44" s="2">
        <v>71257.14</v>
      </c>
      <c r="K44" s="2">
        <v>19392.88</v>
      </c>
      <c r="L44" s="2">
        <f t="shared" si="8"/>
        <v>51864.26</v>
      </c>
      <c r="M44" s="2">
        <f t="shared" si="9"/>
        <v>58874.1773115896</v>
      </c>
    </row>
    <row r="45" hidden="1" spans="1:13">
      <c r="A45" s="30">
        <v>45839</v>
      </c>
      <c r="B45" s="1" t="s">
        <v>66</v>
      </c>
      <c r="C45" s="1" t="s">
        <v>41</v>
      </c>
      <c r="D45" s="1" t="s">
        <v>42</v>
      </c>
      <c r="F45" s="2">
        <v>7817.69</v>
      </c>
      <c r="G45" s="2">
        <v>7110.5</v>
      </c>
      <c r="H45" s="2">
        <f t="shared" si="10"/>
        <v>707.19</v>
      </c>
      <c r="I45" s="2">
        <f t="shared" si="11"/>
        <v>707.19</v>
      </c>
      <c r="L45" s="2">
        <f t="shared" si="8"/>
        <v>0</v>
      </c>
      <c r="M45" s="2">
        <f t="shared" si="9"/>
        <v>707.19</v>
      </c>
    </row>
    <row r="46" hidden="1" spans="1:13">
      <c r="A46" s="30">
        <v>45839</v>
      </c>
      <c r="B46" s="1" t="s">
        <v>66</v>
      </c>
      <c r="C46" s="1" t="s">
        <v>43</v>
      </c>
      <c r="D46" s="1" t="s">
        <v>42</v>
      </c>
      <c r="F46" s="2">
        <v>141.92</v>
      </c>
      <c r="G46" s="2">
        <v>137.7</v>
      </c>
      <c r="H46" s="2">
        <f t="shared" si="10"/>
        <v>4.22</v>
      </c>
      <c r="I46" s="2">
        <f t="shared" si="11"/>
        <v>4.22</v>
      </c>
      <c r="L46" s="2">
        <f t="shared" si="8"/>
        <v>0</v>
      </c>
      <c r="M46" s="2">
        <f t="shared" si="9"/>
        <v>4.22</v>
      </c>
    </row>
    <row r="47" hidden="1" spans="1:13">
      <c r="A47" s="30">
        <v>45839</v>
      </c>
      <c r="B47" s="1" t="s">
        <v>67</v>
      </c>
      <c r="C47" s="1" t="s">
        <v>54</v>
      </c>
      <c r="D47" s="1" t="s">
        <v>47</v>
      </c>
      <c r="F47" s="2">
        <v>5715.26</v>
      </c>
      <c r="H47" s="2">
        <f t="shared" si="10"/>
        <v>5715.26</v>
      </c>
      <c r="I47" s="2">
        <f t="shared" si="11"/>
        <v>5715.26</v>
      </c>
      <c r="L47" s="2">
        <f t="shared" si="8"/>
        <v>0</v>
      </c>
      <c r="M47" s="2">
        <f t="shared" si="9"/>
        <v>5715.26</v>
      </c>
    </row>
    <row r="48" hidden="1" spans="1:13">
      <c r="A48" s="30">
        <v>45839</v>
      </c>
      <c r="B48" s="1" t="s">
        <v>67</v>
      </c>
      <c r="C48" s="1" t="s">
        <v>64</v>
      </c>
      <c r="D48" s="1" t="s">
        <v>47</v>
      </c>
      <c r="F48" s="2">
        <v>768</v>
      </c>
      <c r="H48" s="2">
        <f t="shared" si="10"/>
        <v>768</v>
      </c>
      <c r="I48" s="2">
        <f t="shared" si="11"/>
        <v>768</v>
      </c>
      <c r="L48" s="2">
        <f t="shared" si="8"/>
        <v>0</v>
      </c>
      <c r="M48" s="2">
        <f t="shared" si="9"/>
        <v>768</v>
      </c>
    </row>
    <row r="49" hidden="1" spans="1:13">
      <c r="A49" s="30">
        <v>45839</v>
      </c>
      <c r="B49" s="1" t="s">
        <v>67</v>
      </c>
      <c r="C49" s="1" t="s">
        <v>41</v>
      </c>
      <c r="D49" s="1" t="s">
        <v>47</v>
      </c>
      <c r="F49" s="2">
        <v>18711.68</v>
      </c>
      <c r="H49" s="2">
        <f t="shared" si="10"/>
        <v>18711.68</v>
      </c>
      <c r="I49" s="2">
        <f t="shared" si="11"/>
        <v>18711.68</v>
      </c>
      <c r="L49" s="2">
        <f t="shared" si="8"/>
        <v>0</v>
      </c>
      <c r="M49" s="2">
        <f t="shared" si="9"/>
        <v>18711.68</v>
      </c>
    </row>
    <row r="50" hidden="1" spans="1:13">
      <c r="A50" s="30">
        <v>45839</v>
      </c>
      <c r="B50" s="1" t="s">
        <v>67</v>
      </c>
      <c r="C50" s="1" t="s">
        <v>55</v>
      </c>
      <c r="D50" s="1" t="s">
        <v>47</v>
      </c>
      <c r="F50" s="2">
        <v>1541.92</v>
      </c>
      <c r="H50" s="2">
        <f t="shared" si="10"/>
        <v>1541.92</v>
      </c>
      <c r="I50" s="2">
        <f t="shared" si="11"/>
        <v>1541.92</v>
      </c>
      <c r="L50" s="2">
        <f t="shared" si="8"/>
        <v>0</v>
      </c>
      <c r="M50" s="2">
        <f t="shared" si="9"/>
        <v>1541.92</v>
      </c>
    </row>
    <row r="51" hidden="1" spans="1:13">
      <c r="A51" s="30">
        <v>45839</v>
      </c>
      <c r="B51" s="1" t="s">
        <v>67</v>
      </c>
      <c r="C51" s="1" t="s">
        <v>43</v>
      </c>
      <c r="D51" s="1" t="s">
        <v>47</v>
      </c>
      <c r="E51" s="2">
        <v>13970</v>
      </c>
      <c r="F51" s="2">
        <v>4319136.921</v>
      </c>
      <c r="G51" s="2">
        <f>4266657+589.5</f>
        <v>4267246.5</v>
      </c>
      <c r="H51" s="2">
        <f t="shared" si="10"/>
        <v>51890.4210000001</v>
      </c>
      <c r="I51" s="2">
        <f t="shared" si="11"/>
        <v>65860.4210000001</v>
      </c>
      <c r="J51" s="2">
        <v>80403</v>
      </c>
      <c r="L51" s="2">
        <f t="shared" si="8"/>
        <v>80403</v>
      </c>
      <c r="M51" s="2">
        <f t="shared" si="9"/>
        <v>146263.421</v>
      </c>
    </row>
    <row r="52" hidden="1" spans="1:13">
      <c r="A52" s="30">
        <v>45839</v>
      </c>
      <c r="B52" s="1" t="s">
        <v>67</v>
      </c>
      <c r="C52" s="1" t="s">
        <v>57</v>
      </c>
      <c r="D52" s="1" t="s">
        <v>47</v>
      </c>
      <c r="E52" s="2">
        <v>13320.18</v>
      </c>
      <c r="F52" s="2">
        <v>1318915.82</v>
      </c>
      <c r="G52" s="2">
        <v>1332018</v>
      </c>
      <c r="H52" s="2">
        <f t="shared" si="10"/>
        <v>-13102.1799999999</v>
      </c>
      <c r="I52" s="2">
        <f t="shared" si="11"/>
        <v>218.000000000065</v>
      </c>
      <c r="L52" s="2">
        <f t="shared" ref="L52:L86" si="12">J52-K52</f>
        <v>0</v>
      </c>
      <c r="M52" s="2">
        <f t="shared" ref="M52:M86" si="13">I52+L52</f>
        <v>218.000000000065</v>
      </c>
    </row>
    <row r="53" hidden="1" spans="1:13">
      <c r="A53" s="30">
        <v>45839</v>
      </c>
      <c r="B53" s="1" t="s">
        <v>68</v>
      </c>
      <c r="C53" s="1" t="s">
        <v>44</v>
      </c>
      <c r="D53" s="1" t="s">
        <v>45</v>
      </c>
      <c r="E53" s="2">
        <v>39.6</v>
      </c>
      <c r="F53" s="2">
        <v>792</v>
      </c>
      <c r="G53" s="2">
        <v>792</v>
      </c>
      <c r="H53" s="2">
        <f t="shared" si="10"/>
        <v>0</v>
      </c>
      <c r="I53" s="2">
        <f t="shared" si="11"/>
        <v>39.6</v>
      </c>
      <c r="L53" s="2">
        <f t="shared" si="12"/>
        <v>0</v>
      </c>
      <c r="M53" s="2">
        <f t="shared" si="13"/>
        <v>39.6</v>
      </c>
    </row>
    <row r="54" hidden="1" spans="1:13">
      <c r="A54" s="30">
        <v>45839</v>
      </c>
      <c r="B54" s="1" t="s">
        <v>69</v>
      </c>
      <c r="C54" s="1" t="s">
        <v>51</v>
      </c>
      <c r="D54" s="1" t="s">
        <v>52</v>
      </c>
      <c r="H54" s="2">
        <f t="shared" si="10"/>
        <v>0</v>
      </c>
      <c r="I54" s="2">
        <f t="shared" si="11"/>
        <v>0</v>
      </c>
      <c r="K54" s="2">
        <v>24491.46</v>
      </c>
      <c r="L54" s="2">
        <f t="shared" si="12"/>
        <v>-24491.46</v>
      </c>
      <c r="M54" s="2">
        <f t="shared" si="13"/>
        <v>-24491.46</v>
      </c>
    </row>
    <row r="55" hidden="1" spans="1:13">
      <c r="A55" s="30">
        <v>45839</v>
      </c>
      <c r="B55" s="1" t="s">
        <v>70</v>
      </c>
      <c r="C55" s="1" t="s">
        <v>71</v>
      </c>
      <c r="D55" s="1" t="s">
        <v>42</v>
      </c>
      <c r="F55" s="2">
        <v>9330.2</v>
      </c>
      <c r="G55" s="2">
        <v>9330.2</v>
      </c>
      <c r="H55" s="2">
        <f t="shared" si="10"/>
        <v>0</v>
      </c>
      <c r="I55" s="2">
        <f t="shared" si="11"/>
        <v>0</v>
      </c>
      <c r="L55" s="2">
        <f t="shared" si="12"/>
        <v>0</v>
      </c>
      <c r="M55" s="2">
        <f t="shared" si="13"/>
        <v>0</v>
      </c>
    </row>
    <row r="56" hidden="1" spans="1:13">
      <c r="A56" s="30">
        <v>45839</v>
      </c>
      <c r="B56" s="1" t="s">
        <v>70</v>
      </c>
      <c r="C56" s="1" t="s">
        <v>41</v>
      </c>
      <c r="D56" s="1" t="s">
        <v>42</v>
      </c>
      <c r="F56" s="2">
        <f>1536.25+90.02</f>
        <v>1626.27</v>
      </c>
      <c r="G56" s="2">
        <v>1540.8</v>
      </c>
      <c r="H56" s="2">
        <f t="shared" si="10"/>
        <v>85.47</v>
      </c>
      <c r="I56" s="2">
        <f t="shared" si="11"/>
        <v>85.47</v>
      </c>
      <c r="L56" s="2">
        <f t="shared" si="12"/>
        <v>0</v>
      </c>
      <c r="M56" s="2">
        <f t="shared" si="13"/>
        <v>85.47</v>
      </c>
    </row>
    <row r="57" hidden="1" spans="1:13">
      <c r="A57" s="30">
        <v>45839</v>
      </c>
      <c r="B57" s="1" t="s">
        <v>70</v>
      </c>
      <c r="C57" s="1" t="s">
        <v>55</v>
      </c>
      <c r="D57" s="1" t="s">
        <v>42</v>
      </c>
      <c r="F57" s="2">
        <v>41889.45</v>
      </c>
      <c r="G57" s="2">
        <v>40537.5</v>
      </c>
      <c r="H57" s="2">
        <f t="shared" si="10"/>
        <v>1351.95</v>
      </c>
      <c r="I57" s="2">
        <f t="shared" si="11"/>
        <v>1351.95</v>
      </c>
      <c r="L57" s="2">
        <f t="shared" si="12"/>
        <v>0</v>
      </c>
      <c r="M57" s="2">
        <f t="shared" si="13"/>
        <v>1351.95</v>
      </c>
    </row>
    <row r="58" hidden="1" spans="1:13">
      <c r="A58" s="30">
        <v>45839</v>
      </c>
      <c r="B58" s="1" t="s">
        <v>70</v>
      </c>
      <c r="C58" s="1" t="s">
        <v>43</v>
      </c>
      <c r="D58" s="1" t="s">
        <v>42</v>
      </c>
      <c r="F58" s="2">
        <v>241254.049999999</v>
      </c>
      <c r="G58" s="2">
        <v>228888.3</v>
      </c>
      <c r="H58" s="2">
        <f t="shared" si="10"/>
        <v>12365.749999999</v>
      </c>
      <c r="I58" s="2">
        <f t="shared" si="11"/>
        <v>12365.749999999</v>
      </c>
      <c r="L58" s="2">
        <f t="shared" si="12"/>
        <v>0</v>
      </c>
      <c r="M58" s="2">
        <f t="shared" si="13"/>
        <v>12365.749999999</v>
      </c>
    </row>
    <row r="59" hidden="1" spans="1:13">
      <c r="A59" s="30">
        <v>45839</v>
      </c>
      <c r="B59" s="1" t="s">
        <v>70</v>
      </c>
      <c r="C59" s="1" t="s">
        <v>71</v>
      </c>
      <c r="D59" s="1" t="s">
        <v>47</v>
      </c>
      <c r="F59" s="2">
        <v>170406.7952</v>
      </c>
      <c r="G59" s="2">
        <v>170406.53</v>
      </c>
      <c r="H59" s="2">
        <f t="shared" si="10"/>
        <v>0.265199999994365</v>
      </c>
      <c r="I59" s="2">
        <f t="shared" si="11"/>
        <v>0.265199999994365</v>
      </c>
      <c r="L59" s="2">
        <f t="shared" si="12"/>
        <v>0</v>
      </c>
      <c r="M59" s="2">
        <f t="shared" si="13"/>
        <v>0.265199999994365</v>
      </c>
    </row>
    <row r="60" hidden="1" spans="1:13">
      <c r="A60" s="30">
        <v>45839</v>
      </c>
      <c r="B60" s="1" t="s">
        <v>70</v>
      </c>
      <c r="C60" s="1" t="s">
        <v>64</v>
      </c>
      <c r="D60" s="1" t="s">
        <v>47</v>
      </c>
      <c r="F60" s="2">
        <v>281.7</v>
      </c>
      <c r="G60" s="2">
        <v>254.4</v>
      </c>
      <c r="H60" s="2">
        <f t="shared" si="10"/>
        <v>27.3</v>
      </c>
      <c r="I60" s="2">
        <f t="shared" si="11"/>
        <v>27.3</v>
      </c>
      <c r="L60" s="2">
        <f t="shared" si="12"/>
        <v>0</v>
      </c>
      <c r="M60" s="2">
        <f t="shared" si="13"/>
        <v>27.3</v>
      </c>
    </row>
    <row r="61" hidden="1" spans="1:13">
      <c r="A61" s="30">
        <v>45839</v>
      </c>
      <c r="B61" s="1" t="s">
        <v>70</v>
      </c>
      <c r="C61" s="1" t="s">
        <v>41</v>
      </c>
      <c r="D61" s="1" t="s">
        <v>47</v>
      </c>
      <c r="F61" s="2">
        <f>5173.81999998+621.96</f>
        <v>5795.77999998</v>
      </c>
      <c r="G61" s="2">
        <v>5370.3</v>
      </c>
      <c r="H61" s="2">
        <f t="shared" si="10"/>
        <v>425.47999998</v>
      </c>
      <c r="I61" s="2">
        <f t="shared" si="11"/>
        <v>425.47999998</v>
      </c>
      <c r="L61" s="2">
        <f t="shared" si="12"/>
        <v>0</v>
      </c>
      <c r="M61" s="2">
        <f t="shared" si="13"/>
        <v>425.47999998</v>
      </c>
    </row>
    <row r="62" hidden="1" spans="1:13">
      <c r="A62" s="30">
        <v>45839</v>
      </c>
      <c r="B62" s="1" t="s">
        <v>70</v>
      </c>
      <c r="C62" s="1" t="s">
        <v>55</v>
      </c>
      <c r="D62" s="1" t="s">
        <v>47</v>
      </c>
      <c r="F62" s="2">
        <v>5005.98</v>
      </c>
      <c r="G62" s="2">
        <v>4393.9</v>
      </c>
      <c r="H62" s="2">
        <f t="shared" si="10"/>
        <v>612.08</v>
      </c>
      <c r="I62" s="2">
        <f t="shared" si="11"/>
        <v>612.08</v>
      </c>
      <c r="L62" s="2">
        <f t="shared" si="12"/>
        <v>0</v>
      </c>
      <c r="M62" s="2">
        <f t="shared" si="13"/>
        <v>612.08</v>
      </c>
    </row>
    <row r="63" hidden="1" spans="1:13">
      <c r="A63" s="30">
        <v>45839</v>
      </c>
      <c r="B63" s="1" t="s">
        <v>70</v>
      </c>
      <c r="C63" s="1" t="s">
        <v>43</v>
      </c>
      <c r="D63" s="1" t="s">
        <v>47</v>
      </c>
      <c r="F63" s="2">
        <v>337074.726475239</v>
      </c>
      <c r="G63" s="2">
        <v>311944.34</v>
      </c>
      <c r="H63" s="2">
        <f t="shared" si="10"/>
        <v>25130.3864752389</v>
      </c>
      <c r="I63" s="2">
        <f t="shared" si="11"/>
        <v>25130.3864752389</v>
      </c>
      <c r="L63" s="2">
        <f t="shared" si="12"/>
        <v>0</v>
      </c>
      <c r="M63" s="2">
        <f t="shared" si="13"/>
        <v>25130.3864752389</v>
      </c>
    </row>
    <row r="64" hidden="1" spans="1:13">
      <c r="A64" s="30">
        <v>45839</v>
      </c>
      <c r="B64" s="1" t="s">
        <v>72</v>
      </c>
      <c r="C64" s="1" t="s">
        <v>41</v>
      </c>
      <c r="D64" s="1" t="s">
        <v>48</v>
      </c>
      <c r="F64" s="2">
        <v>178.45</v>
      </c>
      <c r="H64" s="2">
        <f t="shared" si="10"/>
        <v>178.45</v>
      </c>
      <c r="I64" s="2">
        <f t="shared" si="11"/>
        <v>178.45</v>
      </c>
      <c r="L64" s="2">
        <f t="shared" si="12"/>
        <v>0</v>
      </c>
      <c r="M64" s="2">
        <f t="shared" si="13"/>
        <v>178.45</v>
      </c>
    </row>
    <row r="65" hidden="1" spans="1:13">
      <c r="A65" s="30">
        <v>45839</v>
      </c>
      <c r="B65" s="1" t="s">
        <v>72</v>
      </c>
      <c r="C65" s="1" t="s">
        <v>43</v>
      </c>
      <c r="D65" s="1" t="s">
        <v>48</v>
      </c>
      <c r="F65" s="2">
        <v>2037.696</v>
      </c>
      <c r="H65" s="2">
        <f t="shared" si="10"/>
        <v>2037.696</v>
      </c>
      <c r="I65" s="2">
        <f t="shared" si="11"/>
        <v>2037.696</v>
      </c>
      <c r="L65" s="2">
        <f t="shared" si="12"/>
        <v>0</v>
      </c>
      <c r="M65" s="2">
        <f t="shared" si="13"/>
        <v>2037.696</v>
      </c>
    </row>
    <row r="66" hidden="1" spans="1:13">
      <c r="A66" s="30">
        <v>45839</v>
      </c>
      <c r="B66" s="1" t="s">
        <v>72</v>
      </c>
      <c r="C66" s="1" t="s">
        <v>57</v>
      </c>
      <c r="D66" s="1" t="s">
        <v>48</v>
      </c>
      <c r="F66" s="2">
        <v>984489.808</v>
      </c>
      <c r="G66" s="2">
        <v>984468.58</v>
      </c>
      <c r="H66" s="2">
        <f t="shared" si="10"/>
        <v>21.2280000000028</v>
      </c>
      <c r="I66" s="2">
        <f t="shared" si="11"/>
        <v>21.2280000000028</v>
      </c>
      <c r="L66" s="2">
        <f t="shared" si="12"/>
        <v>0</v>
      </c>
      <c r="M66" s="2">
        <f t="shared" si="13"/>
        <v>21.2280000000028</v>
      </c>
    </row>
    <row r="67" hidden="1" spans="1:13">
      <c r="A67" s="30">
        <v>45839</v>
      </c>
      <c r="B67" s="1" t="s">
        <v>73</v>
      </c>
      <c r="C67" s="1" t="s">
        <v>57</v>
      </c>
      <c r="D67" s="1" t="s">
        <v>42</v>
      </c>
      <c r="F67" s="2">
        <v>498.75</v>
      </c>
      <c r="G67" s="2">
        <v>498.75</v>
      </c>
      <c r="H67" s="2">
        <f t="shared" si="10"/>
        <v>0</v>
      </c>
      <c r="I67" s="2">
        <f t="shared" si="11"/>
        <v>0</v>
      </c>
      <c r="L67" s="2">
        <f t="shared" si="12"/>
        <v>0</v>
      </c>
      <c r="M67" s="2">
        <f t="shared" si="13"/>
        <v>0</v>
      </c>
    </row>
    <row r="68" hidden="1" spans="1:13">
      <c r="A68" s="30">
        <v>45839</v>
      </c>
      <c r="B68" s="1" t="s">
        <v>74</v>
      </c>
      <c r="C68" s="1" t="s">
        <v>41</v>
      </c>
      <c r="D68" s="1" t="s">
        <v>47</v>
      </c>
      <c r="F68" s="2">
        <v>1920.31166657</v>
      </c>
      <c r="H68" s="2">
        <f t="shared" si="10"/>
        <v>1920.31166657</v>
      </c>
      <c r="I68" s="2">
        <f t="shared" si="11"/>
        <v>1920.31166657</v>
      </c>
      <c r="L68" s="2">
        <f t="shared" si="12"/>
        <v>0</v>
      </c>
      <c r="M68" s="2">
        <f t="shared" si="13"/>
        <v>1920.31166657</v>
      </c>
    </row>
    <row r="69" hidden="1" spans="1:13">
      <c r="A69" s="30">
        <v>45839</v>
      </c>
      <c r="B69" s="1" t="s">
        <v>74</v>
      </c>
      <c r="C69" s="1" t="s">
        <v>55</v>
      </c>
      <c r="D69" s="1" t="s">
        <v>47</v>
      </c>
      <c r="F69" s="2">
        <v>111.24</v>
      </c>
      <c r="H69" s="2">
        <f t="shared" si="10"/>
        <v>111.24</v>
      </c>
      <c r="I69" s="2">
        <f t="shared" si="11"/>
        <v>111.24</v>
      </c>
      <c r="L69" s="2">
        <f t="shared" si="12"/>
        <v>0</v>
      </c>
      <c r="M69" s="2">
        <f t="shared" si="13"/>
        <v>111.24</v>
      </c>
    </row>
    <row r="70" hidden="1" spans="1:13">
      <c r="A70" s="30">
        <v>45839</v>
      </c>
      <c r="B70" s="1" t="s">
        <v>74</v>
      </c>
      <c r="C70" s="1" t="s">
        <v>43</v>
      </c>
      <c r="D70" s="1" t="s">
        <v>47</v>
      </c>
      <c r="F70" s="2">
        <v>366666.64</v>
      </c>
      <c r="G70" s="2">
        <f>340316.95+2227.42</f>
        <v>342544.37</v>
      </c>
      <c r="H70" s="2">
        <f t="shared" si="10"/>
        <v>24122.27</v>
      </c>
      <c r="I70" s="2">
        <f t="shared" si="11"/>
        <v>24122.27</v>
      </c>
      <c r="L70" s="2">
        <f t="shared" si="12"/>
        <v>0</v>
      </c>
      <c r="M70" s="2">
        <f t="shared" si="13"/>
        <v>24122.27</v>
      </c>
    </row>
    <row r="71" hidden="1" spans="1:13">
      <c r="A71" s="30">
        <v>45839</v>
      </c>
      <c r="B71" s="1" t="s">
        <v>75</v>
      </c>
      <c r="C71" s="1" t="s">
        <v>41</v>
      </c>
      <c r="D71" s="1" t="s">
        <v>42</v>
      </c>
      <c r="F71" s="2">
        <v>16.3836</v>
      </c>
      <c r="H71" s="2">
        <f t="shared" si="10"/>
        <v>16.3836</v>
      </c>
      <c r="I71" s="2">
        <f t="shared" si="11"/>
        <v>16.3836</v>
      </c>
      <c r="L71" s="2">
        <f t="shared" si="12"/>
        <v>0</v>
      </c>
      <c r="M71" s="2">
        <f t="shared" si="13"/>
        <v>16.3836</v>
      </c>
    </row>
    <row r="72" hidden="1" spans="1:13">
      <c r="A72" s="30">
        <v>45839</v>
      </c>
      <c r="B72" s="1" t="s">
        <v>76</v>
      </c>
      <c r="C72" s="1" t="s">
        <v>41</v>
      </c>
      <c r="D72" s="1" t="s">
        <v>42</v>
      </c>
      <c r="F72" s="2">
        <v>7565.684</v>
      </c>
      <c r="H72" s="2">
        <f t="shared" ref="H72:H112" si="14">F72-G72</f>
        <v>7565.684</v>
      </c>
      <c r="I72" s="2">
        <f t="shared" ref="I72:I112" si="15">H72+E72</f>
        <v>7565.684</v>
      </c>
      <c r="L72" s="2">
        <f t="shared" si="12"/>
        <v>0</v>
      </c>
      <c r="M72" s="2">
        <f t="shared" si="13"/>
        <v>7565.684</v>
      </c>
    </row>
    <row r="73" hidden="1" spans="1:13">
      <c r="A73" s="30">
        <v>45839</v>
      </c>
      <c r="B73" s="1" t="s">
        <v>76</v>
      </c>
      <c r="C73" s="1" t="s">
        <v>55</v>
      </c>
      <c r="D73" s="1" t="s">
        <v>42</v>
      </c>
      <c r="F73" s="2">
        <v>1586.31</v>
      </c>
      <c r="H73" s="2">
        <f t="shared" si="14"/>
        <v>1586.31</v>
      </c>
      <c r="I73" s="2">
        <f t="shared" si="15"/>
        <v>1586.31</v>
      </c>
      <c r="L73" s="2">
        <f t="shared" si="12"/>
        <v>0</v>
      </c>
      <c r="M73" s="2">
        <f t="shared" si="13"/>
        <v>1586.31</v>
      </c>
    </row>
    <row r="74" hidden="1" spans="1:13">
      <c r="A74" s="30">
        <v>45839</v>
      </c>
      <c r="B74" s="1" t="s">
        <v>76</v>
      </c>
      <c r="C74" s="1" t="s">
        <v>77</v>
      </c>
      <c r="D74" s="1" t="s">
        <v>42</v>
      </c>
      <c r="F74" s="2">
        <v>2318669.808</v>
      </c>
      <c r="G74" s="2">
        <f>2274990+128773.02</f>
        <v>2403763.02</v>
      </c>
      <c r="H74" s="2">
        <f t="shared" si="14"/>
        <v>-85093.2119999998</v>
      </c>
      <c r="I74" s="2">
        <f t="shared" si="15"/>
        <v>-85093.2119999998</v>
      </c>
      <c r="L74" s="2">
        <f t="shared" si="12"/>
        <v>0</v>
      </c>
      <c r="M74" s="2">
        <f t="shared" si="13"/>
        <v>-85093.2119999998</v>
      </c>
    </row>
    <row r="75" hidden="1" spans="1:13">
      <c r="A75" s="30">
        <v>45839</v>
      </c>
      <c r="B75" s="1" t="s">
        <v>76</v>
      </c>
      <c r="C75" s="1" t="s">
        <v>43</v>
      </c>
      <c r="D75" s="1" t="s">
        <v>42</v>
      </c>
      <c r="E75" s="2">
        <v>32680</v>
      </c>
      <c r="F75" s="2">
        <v>1731028.398</v>
      </c>
      <c r="G75" s="2">
        <v>1793500</v>
      </c>
      <c r="H75" s="2">
        <f t="shared" si="14"/>
        <v>-62471.602</v>
      </c>
      <c r="I75" s="2">
        <f t="shared" si="15"/>
        <v>-29791.602</v>
      </c>
      <c r="L75" s="2">
        <f t="shared" si="12"/>
        <v>0</v>
      </c>
      <c r="M75" s="2">
        <f t="shared" si="13"/>
        <v>-29791.602</v>
      </c>
    </row>
    <row r="76" hidden="1" spans="1:13">
      <c r="A76" s="30">
        <v>45839</v>
      </c>
      <c r="B76" s="1" t="s">
        <v>78</v>
      </c>
      <c r="C76" s="1" t="s">
        <v>41</v>
      </c>
      <c r="D76" s="1" t="s">
        <v>42</v>
      </c>
      <c r="G76" s="2">
        <v>17202.84</v>
      </c>
      <c r="H76" s="2">
        <f t="shared" si="14"/>
        <v>-17202.84</v>
      </c>
      <c r="I76" s="2">
        <f t="shared" si="15"/>
        <v>-17202.84</v>
      </c>
      <c r="L76" s="2">
        <f t="shared" si="12"/>
        <v>0</v>
      </c>
      <c r="M76" s="2">
        <f t="shared" si="13"/>
        <v>-17202.84</v>
      </c>
    </row>
    <row r="77" hidden="1" spans="1:13">
      <c r="A77" s="30">
        <v>45839</v>
      </c>
      <c r="B77" s="1" t="s">
        <v>78</v>
      </c>
      <c r="C77" s="1" t="s">
        <v>54</v>
      </c>
      <c r="D77" s="1" t="s">
        <v>47</v>
      </c>
      <c r="F77" s="2">
        <v>38728.26</v>
      </c>
      <c r="G77" s="2">
        <v>34905.6</v>
      </c>
      <c r="H77" s="2">
        <f t="shared" si="14"/>
        <v>3822.66</v>
      </c>
      <c r="I77" s="2">
        <f t="shared" si="15"/>
        <v>3822.66</v>
      </c>
      <c r="L77" s="2">
        <f t="shared" si="12"/>
        <v>0</v>
      </c>
      <c r="M77" s="2">
        <f t="shared" si="13"/>
        <v>3822.66</v>
      </c>
    </row>
    <row r="78" hidden="1" spans="1:13">
      <c r="A78" s="30">
        <v>45839</v>
      </c>
      <c r="B78" s="1" t="s">
        <v>78</v>
      </c>
      <c r="C78" s="1" t="s">
        <v>79</v>
      </c>
      <c r="D78" s="1" t="s">
        <v>47</v>
      </c>
      <c r="F78" s="2">
        <v>1757.5</v>
      </c>
      <c r="G78" s="2">
        <v>1757.24</v>
      </c>
      <c r="H78" s="2">
        <f t="shared" si="14"/>
        <v>0.259999999999991</v>
      </c>
      <c r="I78" s="2">
        <f t="shared" si="15"/>
        <v>0.259999999999991</v>
      </c>
      <c r="L78" s="2">
        <f t="shared" si="12"/>
        <v>0</v>
      </c>
      <c r="M78" s="2">
        <f t="shared" si="13"/>
        <v>0.259999999999991</v>
      </c>
    </row>
    <row r="79" hidden="1" spans="1:13">
      <c r="A79" s="30">
        <v>45839</v>
      </c>
      <c r="B79" s="1" t="s">
        <v>78</v>
      </c>
      <c r="C79" s="1" t="s">
        <v>41</v>
      </c>
      <c r="D79" s="1" t="s">
        <v>47</v>
      </c>
      <c r="F79" s="2">
        <v>1313.746</v>
      </c>
      <c r="G79" s="2">
        <v>21984.95</v>
      </c>
      <c r="H79" s="2">
        <f t="shared" si="14"/>
        <v>-20671.204</v>
      </c>
      <c r="I79" s="2">
        <f t="shared" si="15"/>
        <v>-20671.204</v>
      </c>
      <c r="L79" s="2">
        <f t="shared" si="12"/>
        <v>0</v>
      </c>
      <c r="M79" s="2">
        <f t="shared" si="13"/>
        <v>-20671.204</v>
      </c>
    </row>
    <row r="80" hidden="1" spans="1:13">
      <c r="A80" s="30">
        <v>45839</v>
      </c>
      <c r="B80" s="1" t="s">
        <v>78</v>
      </c>
      <c r="C80" s="1" t="s">
        <v>50</v>
      </c>
      <c r="D80" s="1" t="s">
        <v>47</v>
      </c>
      <c r="F80" s="2">
        <v>22.32</v>
      </c>
      <c r="G80" s="2">
        <v>20.2</v>
      </c>
      <c r="H80" s="2">
        <f t="shared" si="14"/>
        <v>2.12</v>
      </c>
      <c r="I80" s="2">
        <f t="shared" si="15"/>
        <v>2.12</v>
      </c>
      <c r="L80" s="2">
        <f t="shared" si="12"/>
        <v>0</v>
      </c>
      <c r="M80" s="2">
        <f t="shared" si="13"/>
        <v>2.12</v>
      </c>
    </row>
    <row r="81" hidden="1" spans="1:13">
      <c r="A81" s="30">
        <v>45839</v>
      </c>
      <c r="B81" s="1" t="s">
        <v>78</v>
      </c>
      <c r="C81" s="1" t="s">
        <v>43</v>
      </c>
      <c r="D81" s="1" t="s">
        <v>47</v>
      </c>
      <c r="F81" s="2">
        <v>449.3</v>
      </c>
      <c r="G81" s="2">
        <v>423.55</v>
      </c>
      <c r="H81" s="2">
        <f t="shared" si="14"/>
        <v>25.75</v>
      </c>
      <c r="I81" s="2">
        <f t="shared" si="15"/>
        <v>25.75</v>
      </c>
      <c r="L81" s="2">
        <f t="shared" si="12"/>
        <v>0</v>
      </c>
      <c r="M81" s="2">
        <f t="shared" si="13"/>
        <v>25.75</v>
      </c>
    </row>
    <row r="82" hidden="1" spans="1:13">
      <c r="A82" s="30">
        <v>45839</v>
      </c>
      <c r="B82" s="1" t="s">
        <v>80</v>
      </c>
      <c r="C82" s="1" t="s">
        <v>41</v>
      </c>
      <c r="D82" s="1" t="s">
        <v>42</v>
      </c>
      <c r="F82" s="2">
        <v>-6732.35</v>
      </c>
      <c r="H82" s="2">
        <f t="shared" si="14"/>
        <v>-6732.35</v>
      </c>
      <c r="I82" s="2">
        <f t="shared" si="15"/>
        <v>-6732.35</v>
      </c>
      <c r="L82" s="2">
        <f t="shared" si="12"/>
        <v>0</v>
      </c>
      <c r="M82" s="2">
        <f t="shared" si="13"/>
        <v>-6732.35</v>
      </c>
    </row>
    <row r="83" hidden="1" spans="1:13">
      <c r="A83" s="30">
        <v>45839</v>
      </c>
      <c r="B83" s="1" t="s">
        <v>80</v>
      </c>
      <c r="C83" s="1" t="s">
        <v>55</v>
      </c>
      <c r="D83" s="1" t="s">
        <v>42</v>
      </c>
      <c r="F83" s="2">
        <v>14.7</v>
      </c>
      <c r="H83" s="2">
        <f t="shared" si="14"/>
        <v>14.7</v>
      </c>
      <c r="I83" s="2">
        <f t="shared" si="15"/>
        <v>14.7</v>
      </c>
      <c r="L83" s="2">
        <f t="shared" si="12"/>
        <v>0</v>
      </c>
      <c r="M83" s="2">
        <f t="shared" si="13"/>
        <v>14.7</v>
      </c>
    </row>
    <row r="84" hidden="1" spans="1:13">
      <c r="A84" s="30">
        <v>45839</v>
      </c>
      <c r="B84" s="1" t="s">
        <v>80</v>
      </c>
      <c r="C84" s="1" t="s">
        <v>43</v>
      </c>
      <c r="D84" s="1" t="s">
        <v>42</v>
      </c>
      <c r="F84" s="2">
        <f>3400307.81+13926.359</f>
        <v>3414234.169</v>
      </c>
      <c r="G84" s="2">
        <v>3393282.75</v>
      </c>
      <c r="H84" s="2">
        <f t="shared" si="14"/>
        <v>20951.4190000002</v>
      </c>
      <c r="I84" s="2">
        <f t="shared" si="15"/>
        <v>20951.4190000002</v>
      </c>
      <c r="L84" s="2">
        <f t="shared" si="12"/>
        <v>0</v>
      </c>
      <c r="M84" s="2">
        <f t="shared" si="13"/>
        <v>20951.4190000002</v>
      </c>
    </row>
    <row r="85" hidden="1" spans="1:13">
      <c r="A85" s="30">
        <v>45839</v>
      </c>
      <c r="B85" s="1" t="s">
        <v>80</v>
      </c>
      <c r="C85" s="1" t="s">
        <v>41</v>
      </c>
      <c r="D85" s="1" t="s">
        <v>47</v>
      </c>
      <c r="F85" s="2">
        <f>3180.7+1459.9455</f>
        <v>4640.6455</v>
      </c>
      <c r="H85" s="2">
        <f t="shared" si="14"/>
        <v>4640.6455</v>
      </c>
      <c r="I85" s="2">
        <f t="shared" si="15"/>
        <v>4640.6455</v>
      </c>
      <c r="L85" s="2">
        <f t="shared" si="12"/>
        <v>0</v>
      </c>
      <c r="M85" s="2">
        <f t="shared" si="13"/>
        <v>4640.6455</v>
      </c>
    </row>
    <row r="86" hidden="1" spans="1:13">
      <c r="A86" s="30">
        <v>45839</v>
      </c>
      <c r="B86" s="1" t="s">
        <v>80</v>
      </c>
      <c r="C86" s="1" t="s">
        <v>55</v>
      </c>
      <c r="D86" s="1" t="s">
        <v>47</v>
      </c>
      <c r="F86" s="2">
        <v>2218.87</v>
      </c>
      <c r="H86" s="2">
        <f t="shared" si="14"/>
        <v>2218.87</v>
      </c>
      <c r="I86" s="2">
        <f t="shared" si="15"/>
        <v>2218.87</v>
      </c>
      <c r="L86" s="2">
        <f t="shared" si="12"/>
        <v>0</v>
      </c>
      <c r="M86" s="2">
        <f t="shared" si="13"/>
        <v>2218.87</v>
      </c>
    </row>
    <row r="87" hidden="1" spans="1:13">
      <c r="A87" s="30">
        <v>45839</v>
      </c>
      <c r="B87" s="1" t="s">
        <v>80</v>
      </c>
      <c r="C87" s="1" t="s">
        <v>43</v>
      </c>
      <c r="D87" s="1" t="s">
        <v>47</v>
      </c>
      <c r="F87" s="2">
        <v>1273250.86067579</v>
      </c>
      <c r="G87" s="2">
        <f>1206744.55+105214.6</f>
        <v>1311959.15</v>
      </c>
      <c r="H87" s="2">
        <f t="shared" si="14"/>
        <v>-38708.28932421</v>
      </c>
      <c r="I87" s="2">
        <f t="shared" si="15"/>
        <v>-38708.28932421</v>
      </c>
      <c r="L87" s="2">
        <f t="shared" ref="L87:L130" si="16">J87-K87</f>
        <v>0</v>
      </c>
      <c r="M87" s="2">
        <f t="shared" ref="M87:M130" si="17">I87+L87</f>
        <v>-38708.28932421</v>
      </c>
    </row>
    <row r="88" hidden="1" spans="1:13">
      <c r="A88" s="30">
        <v>45839</v>
      </c>
      <c r="B88" s="1" t="s">
        <v>81</v>
      </c>
      <c r="C88" s="1" t="s">
        <v>43</v>
      </c>
      <c r="D88" s="1" t="s">
        <v>42</v>
      </c>
      <c r="F88" s="2">
        <v>6190.1</v>
      </c>
      <c r="G88" s="2">
        <v>5942.496</v>
      </c>
      <c r="H88" s="2">
        <f t="shared" si="14"/>
        <v>247.604</v>
      </c>
      <c r="I88" s="2">
        <f t="shared" si="15"/>
        <v>247.604</v>
      </c>
      <c r="L88" s="2">
        <f t="shared" si="16"/>
        <v>0</v>
      </c>
      <c r="M88" s="2">
        <f t="shared" si="17"/>
        <v>247.604</v>
      </c>
    </row>
    <row r="89" hidden="1" spans="1:13">
      <c r="A89" s="30">
        <v>45839</v>
      </c>
      <c r="B89" s="1" t="s">
        <v>82</v>
      </c>
      <c r="C89" s="1" t="s">
        <v>41</v>
      </c>
      <c r="D89" s="1" t="s">
        <v>42</v>
      </c>
      <c r="F89" s="2">
        <v>42</v>
      </c>
      <c r="H89" s="2">
        <f t="shared" si="14"/>
        <v>42</v>
      </c>
      <c r="I89" s="2">
        <f t="shared" si="15"/>
        <v>42</v>
      </c>
      <c r="L89" s="2">
        <f t="shared" si="16"/>
        <v>0</v>
      </c>
      <c r="M89" s="2">
        <f t="shared" si="17"/>
        <v>42</v>
      </c>
    </row>
    <row r="90" hidden="1" spans="1:13">
      <c r="A90" s="30">
        <v>45839</v>
      </c>
      <c r="B90" s="1" t="s">
        <v>82</v>
      </c>
      <c r="C90" s="1" t="s">
        <v>43</v>
      </c>
      <c r="D90" s="1" t="s">
        <v>42</v>
      </c>
      <c r="F90" s="2">
        <v>51897.865</v>
      </c>
      <c r="G90" s="2">
        <v>51596</v>
      </c>
      <c r="H90" s="2">
        <f t="shared" si="14"/>
        <v>301.864999999998</v>
      </c>
      <c r="I90" s="2">
        <f t="shared" si="15"/>
        <v>301.864999999998</v>
      </c>
      <c r="L90" s="2">
        <f t="shared" si="16"/>
        <v>0</v>
      </c>
      <c r="M90" s="2">
        <f t="shared" si="17"/>
        <v>301.864999999998</v>
      </c>
    </row>
    <row r="91" hidden="1" spans="1:13">
      <c r="A91" s="30">
        <v>45839</v>
      </c>
      <c r="B91" s="1" t="s">
        <v>83</v>
      </c>
      <c r="C91" s="1" t="s">
        <v>79</v>
      </c>
      <c r="D91" s="1" t="s">
        <v>42</v>
      </c>
      <c r="F91" s="2">
        <v>42.5</v>
      </c>
      <c r="G91" s="2">
        <v>42.5</v>
      </c>
      <c r="H91" s="2">
        <f t="shared" si="14"/>
        <v>0</v>
      </c>
      <c r="I91" s="2">
        <f t="shared" si="15"/>
        <v>0</v>
      </c>
      <c r="L91" s="2">
        <f t="shared" si="16"/>
        <v>0</v>
      </c>
      <c r="M91" s="2">
        <f t="shared" si="17"/>
        <v>0</v>
      </c>
    </row>
    <row r="92" hidden="1" spans="1:13">
      <c r="A92" s="30">
        <v>45839</v>
      </c>
      <c r="B92" s="1" t="s">
        <v>83</v>
      </c>
      <c r="C92" s="1" t="s">
        <v>41</v>
      </c>
      <c r="D92" s="1" t="s">
        <v>42</v>
      </c>
      <c r="F92" s="2">
        <v>-42.5</v>
      </c>
      <c r="H92" s="2">
        <f t="shared" si="14"/>
        <v>-42.5</v>
      </c>
      <c r="I92" s="2">
        <f t="shared" si="15"/>
        <v>-42.5</v>
      </c>
      <c r="L92" s="2">
        <f t="shared" si="16"/>
        <v>0</v>
      </c>
      <c r="M92" s="2">
        <f t="shared" si="17"/>
        <v>-42.5</v>
      </c>
    </row>
    <row r="93" hidden="1" spans="1:13">
      <c r="A93" s="30">
        <v>45839</v>
      </c>
      <c r="B93" s="1" t="s">
        <v>84</v>
      </c>
      <c r="C93" s="1" t="s">
        <v>41</v>
      </c>
      <c r="D93" s="1" t="s">
        <v>47</v>
      </c>
      <c r="F93" s="2">
        <v>77.7</v>
      </c>
      <c r="H93" s="2">
        <f t="shared" si="14"/>
        <v>77.7</v>
      </c>
      <c r="I93" s="2">
        <f t="shared" si="15"/>
        <v>77.7</v>
      </c>
      <c r="L93" s="2">
        <f t="shared" si="16"/>
        <v>0</v>
      </c>
      <c r="M93" s="2">
        <f t="shared" si="17"/>
        <v>77.7</v>
      </c>
    </row>
    <row r="94" hidden="1" spans="1:13">
      <c r="A94" s="30">
        <v>45839</v>
      </c>
      <c r="B94" s="1" t="s">
        <v>84</v>
      </c>
      <c r="C94" s="1" t="s">
        <v>55</v>
      </c>
      <c r="D94" s="1" t="s">
        <v>47</v>
      </c>
      <c r="F94" s="2">
        <v>16.5</v>
      </c>
      <c r="H94" s="2">
        <f t="shared" si="14"/>
        <v>16.5</v>
      </c>
      <c r="I94" s="2">
        <f t="shared" si="15"/>
        <v>16.5</v>
      </c>
      <c r="L94" s="2">
        <f t="shared" si="16"/>
        <v>0</v>
      </c>
      <c r="M94" s="2">
        <f t="shared" si="17"/>
        <v>16.5</v>
      </c>
    </row>
    <row r="95" hidden="1" spans="1:13">
      <c r="A95" s="30">
        <v>45839</v>
      </c>
      <c r="B95" s="1" t="s">
        <v>84</v>
      </c>
      <c r="C95" s="1" t="s">
        <v>43</v>
      </c>
      <c r="D95" s="1" t="s">
        <v>47</v>
      </c>
      <c r="F95" s="2">
        <v>1915.96</v>
      </c>
      <c r="H95" s="2">
        <f t="shared" si="14"/>
        <v>1915.96</v>
      </c>
      <c r="I95" s="2">
        <f t="shared" si="15"/>
        <v>1915.96</v>
      </c>
      <c r="L95" s="2">
        <f t="shared" si="16"/>
        <v>0</v>
      </c>
      <c r="M95" s="2">
        <f t="shared" si="17"/>
        <v>1915.96</v>
      </c>
    </row>
    <row r="96" hidden="1" spans="1:13">
      <c r="A96" s="30">
        <v>45839</v>
      </c>
      <c r="B96" s="1" t="s">
        <v>84</v>
      </c>
      <c r="C96" s="1" t="s">
        <v>57</v>
      </c>
      <c r="D96" s="1" t="s">
        <v>47</v>
      </c>
      <c r="F96" s="2">
        <v>193712.6</v>
      </c>
      <c r="G96" s="2">
        <v>193710.65</v>
      </c>
      <c r="H96" s="2">
        <f t="shared" si="14"/>
        <v>1.95000000001164</v>
      </c>
      <c r="I96" s="2">
        <f t="shared" si="15"/>
        <v>1.95000000001164</v>
      </c>
      <c r="L96" s="2">
        <f t="shared" si="16"/>
        <v>0</v>
      </c>
      <c r="M96" s="2">
        <f t="shared" si="17"/>
        <v>1.95000000001164</v>
      </c>
    </row>
    <row r="97" hidden="1" spans="1:13">
      <c r="A97" s="30">
        <v>45839</v>
      </c>
      <c r="B97" s="1" t="s">
        <v>85</v>
      </c>
      <c r="C97" s="1" t="s">
        <v>41</v>
      </c>
      <c r="D97" s="1" t="s">
        <v>42</v>
      </c>
      <c r="F97" s="2">
        <f>-13491.7217+13618.08+1981.71</f>
        <v>2108.0683</v>
      </c>
      <c r="H97" s="2">
        <f t="shared" si="14"/>
        <v>2108.0683</v>
      </c>
      <c r="I97" s="2">
        <f t="shared" si="15"/>
        <v>2108.0683</v>
      </c>
      <c r="L97" s="2">
        <f t="shared" si="16"/>
        <v>0</v>
      </c>
      <c r="M97" s="2">
        <f t="shared" si="17"/>
        <v>2108.0683</v>
      </c>
    </row>
    <row r="98" hidden="1" spans="1:13">
      <c r="A98" s="30">
        <v>45839</v>
      </c>
      <c r="B98" s="1" t="s">
        <v>85</v>
      </c>
      <c r="C98" s="1" t="s">
        <v>55</v>
      </c>
      <c r="D98" s="1" t="s">
        <v>42</v>
      </c>
      <c r="F98" s="2">
        <v>20.4</v>
      </c>
      <c r="H98" s="2">
        <f t="shared" si="14"/>
        <v>20.4</v>
      </c>
      <c r="I98" s="2">
        <f t="shared" si="15"/>
        <v>20.4</v>
      </c>
      <c r="L98" s="2">
        <f t="shared" si="16"/>
        <v>0</v>
      </c>
      <c r="M98" s="2">
        <f t="shared" si="17"/>
        <v>20.4</v>
      </c>
    </row>
    <row r="99" hidden="1" spans="1:13">
      <c r="A99" s="30">
        <v>45839</v>
      </c>
      <c r="B99" s="1" t="s">
        <v>85</v>
      </c>
      <c r="C99" s="1" t="s">
        <v>43</v>
      </c>
      <c r="D99" s="1" t="s">
        <v>42</v>
      </c>
      <c r="F99" s="2">
        <v>-48.0086607600003</v>
      </c>
      <c r="H99" s="2">
        <f t="shared" si="14"/>
        <v>-48.0086607600003</v>
      </c>
      <c r="I99" s="2">
        <f t="shared" si="15"/>
        <v>-48.0086607600003</v>
      </c>
      <c r="L99" s="2">
        <f t="shared" si="16"/>
        <v>0</v>
      </c>
      <c r="M99" s="2">
        <f t="shared" si="17"/>
        <v>-48.0086607600003</v>
      </c>
    </row>
    <row r="100" hidden="1" spans="1:13">
      <c r="A100" s="30">
        <v>45839</v>
      </c>
      <c r="B100" s="1" t="s">
        <v>85</v>
      </c>
      <c r="C100" s="1" t="s">
        <v>57</v>
      </c>
      <c r="D100" s="1" t="s">
        <v>42</v>
      </c>
      <c r="F100" s="2">
        <v>61092.8704999999</v>
      </c>
      <c r="G100" s="2">
        <f>18040.7+29640.1</f>
        <v>47680.8</v>
      </c>
      <c r="H100" s="2">
        <f t="shared" si="14"/>
        <v>13412.0704999999</v>
      </c>
      <c r="I100" s="2">
        <f t="shared" si="15"/>
        <v>13412.0704999999</v>
      </c>
      <c r="L100" s="2">
        <f t="shared" si="16"/>
        <v>0</v>
      </c>
      <c r="M100" s="2">
        <f t="shared" si="17"/>
        <v>13412.0704999999</v>
      </c>
    </row>
    <row r="101" hidden="1" spans="1:13">
      <c r="A101" s="30">
        <v>45839</v>
      </c>
      <c r="B101" s="1" t="s">
        <v>86</v>
      </c>
      <c r="C101" s="1" t="s">
        <v>41</v>
      </c>
      <c r="D101" s="1" t="s">
        <v>42</v>
      </c>
      <c r="F101" s="2">
        <v>32.66</v>
      </c>
      <c r="G101" s="2">
        <v>32.66</v>
      </c>
      <c r="H101" s="2">
        <f t="shared" si="14"/>
        <v>0</v>
      </c>
      <c r="I101" s="2">
        <f t="shared" si="15"/>
        <v>0</v>
      </c>
      <c r="L101" s="2">
        <f t="shared" si="16"/>
        <v>0</v>
      </c>
      <c r="M101" s="2">
        <f t="shared" si="17"/>
        <v>0</v>
      </c>
    </row>
    <row r="102" hidden="1" spans="1:13">
      <c r="A102" s="30">
        <v>45839</v>
      </c>
      <c r="B102" s="1" t="s">
        <v>86</v>
      </c>
      <c r="C102" s="1" t="s">
        <v>43</v>
      </c>
      <c r="D102" s="1" t="s">
        <v>42</v>
      </c>
      <c r="F102" s="2">
        <v>44332.79</v>
      </c>
      <c r="G102" s="2">
        <v>53882.7</v>
      </c>
      <c r="H102" s="2">
        <f t="shared" si="14"/>
        <v>-9549.91</v>
      </c>
      <c r="I102" s="2">
        <f t="shared" si="15"/>
        <v>-9549.91</v>
      </c>
      <c r="L102" s="2">
        <f t="shared" si="16"/>
        <v>0</v>
      </c>
      <c r="M102" s="2">
        <f t="shared" si="17"/>
        <v>-9549.91</v>
      </c>
    </row>
    <row r="103" hidden="1" spans="1:13">
      <c r="A103" s="30">
        <v>45839</v>
      </c>
      <c r="B103" s="1" t="s">
        <v>86</v>
      </c>
      <c r="C103" s="1" t="s">
        <v>57</v>
      </c>
      <c r="D103" s="1" t="s">
        <v>42</v>
      </c>
      <c r="F103" s="2">
        <v>20585.2359999999</v>
      </c>
      <c r="G103" s="2">
        <v>27568.6999999999</v>
      </c>
      <c r="H103" s="2">
        <f t="shared" si="14"/>
        <v>-6983.464</v>
      </c>
      <c r="I103" s="2">
        <f t="shared" si="15"/>
        <v>-6983.464</v>
      </c>
      <c r="L103" s="2">
        <f t="shared" si="16"/>
        <v>0</v>
      </c>
      <c r="M103" s="2">
        <f t="shared" si="17"/>
        <v>-6983.464</v>
      </c>
    </row>
    <row r="104" hidden="1" spans="1:13">
      <c r="A104" s="30">
        <v>45839</v>
      </c>
      <c r="B104" s="1" t="s">
        <v>86</v>
      </c>
      <c r="C104" s="1" t="s">
        <v>87</v>
      </c>
      <c r="D104" s="1" t="s">
        <v>47</v>
      </c>
      <c r="F104" s="2">
        <v>4338.27</v>
      </c>
      <c r="G104" s="2">
        <v>4338.27</v>
      </c>
      <c r="H104" s="2">
        <f t="shared" si="14"/>
        <v>0</v>
      </c>
      <c r="I104" s="2">
        <f t="shared" si="15"/>
        <v>0</v>
      </c>
      <c r="L104" s="2">
        <f t="shared" si="16"/>
        <v>0</v>
      </c>
      <c r="M104" s="2">
        <f t="shared" si="17"/>
        <v>0</v>
      </c>
    </row>
    <row r="105" hidden="1" spans="1:13">
      <c r="A105" s="30">
        <v>45839</v>
      </c>
      <c r="B105" s="1" t="s">
        <v>86</v>
      </c>
      <c r="C105" s="1" t="s">
        <v>41</v>
      </c>
      <c r="D105" s="1" t="s">
        <v>47</v>
      </c>
      <c r="F105" s="2">
        <v>336792.62</v>
      </c>
      <c r="G105" s="2">
        <v>323087.07</v>
      </c>
      <c r="H105" s="2">
        <f t="shared" si="14"/>
        <v>13705.55</v>
      </c>
      <c r="I105" s="2">
        <f t="shared" si="15"/>
        <v>13705.55</v>
      </c>
      <c r="L105" s="2">
        <f t="shared" si="16"/>
        <v>0</v>
      </c>
      <c r="M105" s="2">
        <f t="shared" si="17"/>
        <v>13705.55</v>
      </c>
    </row>
    <row r="106" hidden="1" spans="1:13">
      <c r="A106" s="30">
        <v>45839</v>
      </c>
      <c r="B106" s="1" t="s">
        <v>86</v>
      </c>
      <c r="C106" s="1" t="s">
        <v>43</v>
      </c>
      <c r="D106" s="1" t="s">
        <v>47</v>
      </c>
      <c r="F106" s="2">
        <v>592657.64</v>
      </c>
      <c r="G106" s="2">
        <v>734161.73</v>
      </c>
      <c r="H106" s="2">
        <f t="shared" si="14"/>
        <v>-141504.09</v>
      </c>
      <c r="I106" s="2">
        <f t="shared" si="15"/>
        <v>-141504.09</v>
      </c>
      <c r="L106" s="2">
        <f t="shared" si="16"/>
        <v>0</v>
      </c>
      <c r="M106" s="2">
        <f t="shared" si="17"/>
        <v>-141504.09</v>
      </c>
    </row>
    <row r="107" hidden="1" spans="1:13">
      <c r="A107" s="30">
        <v>45839</v>
      </c>
      <c r="B107" s="1" t="s">
        <v>86</v>
      </c>
      <c r="C107" s="1" t="s">
        <v>57</v>
      </c>
      <c r="D107" s="1" t="s">
        <v>47</v>
      </c>
      <c r="F107" s="2">
        <v>638047.049999999</v>
      </c>
      <c r="G107" s="2">
        <v>693630.559999999</v>
      </c>
      <c r="H107" s="2">
        <f t="shared" si="14"/>
        <v>-55583.51</v>
      </c>
      <c r="I107" s="2">
        <f t="shared" si="15"/>
        <v>-55583.51</v>
      </c>
      <c r="L107" s="2">
        <f t="shared" si="16"/>
        <v>0</v>
      </c>
      <c r="M107" s="2">
        <f t="shared" si="17"/>
        <v>-55583.51</v>
      </c>
    </row>
    <row r="108" hidden="1" spans="1:13">
      <c r="A108" s="30">
        <v>45839</v>
      </c>
      <c r="B108" s="1" t="s">
        <v>88</v>
      </c>
      <c r="C108" s="1" t="s">
        <v>43</v>
      </c>
      <c r="D108" s="1" t="s">
        <v>47</v>
      </c>
      <c r="F108" s="2">
        <v>268.32</v>
      </c>
      <c r="G108" s="2">
        <v>263.16</v>
      </c>
      <c r="H108" s="2">
        <f t="shared" si="14"/>
        <v>5.15999999999997</v>
      </c>
      <c r="I108" s="2">
        <f t="shared" si="15"/>
        <v>5.15999999999997</v>
      </c>
      <c r="L108" s="2">
        <f t="shared" si="16"/>
        <v>0</v>
      </c>
      <c r="M108" s="2">
        <f t="shared" si="17"/>
        <v>5.15999999999997</v>
      </c>
    </row>
    <row r="109" hidden="1" spans="1:13">
      <c r="A109" s="30">
        <v>45839</v>
      </c>
      <c r="B109" s="1" t="s">
        <v>89</v>
      </c>
      <c r="C109" s="1" t="s">
        <v>79</v>
      </c>
      <c r="D109" s="1" t="s">
        <v>90</v>
      </c>
      <c r="E109" s="2">
        <v>775</v>
      </c>
      <c r="H109" s="2">
        <f t="shared" si="14"/>
        <v>0</v>
      </c>
      <c r="I109" s="2">
        <f t="shared" si="15"/>
        <v>775</v>
      </c>
      <c r="L109" s="2">
        <f t="shared" si="16"/>
        <v>0</v>
      </c>
      <c r="M109" s="2">
        <f t="shared" si="17"/>
        <v>775</v>
      </c>
    </row>
    <row r="110" hidden="1" spans="1:13">
      <c r="A110" s="30">
        <v>45839</v>
      </c>
      <c r="B110" s="1" t="s">
        <v>91</v>
      </c>
      <c r="C110" s="1" t="s">
        <v>92</v>
      </c>
      <c r="D110" s="1" t="s">
        <v>42</v>
      </c>
      <c r="F110" s="2">
        <v>1890</v>
      </c>
      <c r="G110" s="2">
        <f>1890+106.98</f>
        <v>1996.98</v>
      </c>
      <c r="H110" s="2">
        <f t="shared" si="14"/>
        <v>-106.98</v>
      </c>
      <c r="I110" s="2">
        <f t="shared" si="15"/>
        <v>-106.98</v>
      </c>
      <c r="L110" s="2">
        <f t="shared" si="16"/>
        <v>0</v>
      </c>
      <c r="M110" s="2">
        <f t="shared" si="17"/>
        <v>-106.98</v>
      </c>
    </row>
    <row r="111" hidden="1" spans="1:13">
      <c r="A111" s="30">
        <v>45839</v>
      </c>
      <c r="B111" s="1" t="s">
        <v>91</v>
      </c>
      <c r="C111" s="1" t="s">
        <v>43</v>
      </c>
      <c r="D111" s="1" t="s">
        <v>42</v>
      </c>
      <c r="F111" s="2">
        <v>37.08</v>
      </c>
      <c r="H111" s="2">
        <f t="shared" si="14"/>
        <v>37.08</v>
      </c>
      <c r="I111" s="2">
        <f t="shared" si="15"/>
        <v>37.08</v>
      </c>
      <c r="L111" s="2">
        <f t="shared" si="16"/>
        <v>0</v>
      </c>
      <c r="M111" s="2">
        <f t="shared" si="17"/>
        <v>37.08</v>
      </c>
    </row>
    <row r="112" hidden="1" spans="1:13">
      <c r="A112" s="30">
        <v>45839</v>
      </c>
      <c r="B112" s="1" t="s">
        <v>93</v>
      </c>
      <c r="C112" s="1" t="s">
        <v>51</v>
      </c>
      <c r="D112" s="1" t="s">
        <v>52</v>
      </c>
      <c r="H112" s="2">
        <f t="shared" si="14"/>
        <v>0</v>
      </c>
      <c r="I112" s="2">
        <f t="shared" si="15"/>
        <v>0</v>
      </c>
      <c r="J112" s="2">
        <v>114720.53</v>
      </c>
      <c r="K112" s="2">
        <v>30000</v>
      </c>
      <c r="L112" s="2">
        <f t="shared" si="16"/>
        <v>84720.53</v>
      </c>
      <c r="M112" s="2">
        <f t="shared" si="17"/>
        <v>84720.53</v>
      </c>
    </row>
    <row r="113" hidden="1" spans="1:13">
      <c r="A113" s="30">
        <v>45839</v>
      </c>
      <c r="B113" s="1" t="s">
        <v>94</v>
      </c>
      <c r="C113" s="1" t="s">
        <v>79</v>
      </c>
      <c r="D113" s="1" t="s">
        <v>47</v>
      </c>
      <c r="F113" s="2">
        <v>2530.98</v>
      </c>
      <c r="G113" s="2">
        <v>2502.7</v>
      </c>
      <c r="H113" s="2">
        <f t="shared" ref="H113:H144" si="18">F113-G113</f>
        <v>28.2800000000002</v>
      </c>
      <c r="I113" s="2">
        <f t="shared" ref="I113:I144" si="19">H113+E113</f>
        <v>28.2800000000002</v>
      </c>
      <c r="L113" s="2">
        <f t="shared" si="16"/>
        <v>0</v>
      </c>
      <c r="M113" s="2">
        <f t="shared" si="17"/>
        <v>28.2800000000002</v>
      </c>
    </row>
    <row r="114" hidden="1" spans="1:13">
      <c r="A114" s="30">
        <v>45839</v>
      </c>
      <c r="B114" s="1" t="s">
        <v>95</v>
      </c>
      <c r="C114" s="1" t="s">
        <v>43</v>
      </c>
      <c r="D114" s="1" t="s">
        <v>42</v>
      </c>
      <c r="F114" s="2">
        <v>24705.5</v>
      </c>
      <c r="G114" s="2">
        <v>24183.27</v>
      </c>
      <c r="H114" s="2">
        <f t="shared" si="18"/>
        <v>522.23</v>
      </c>
      <c r="I114" s="2">
        <f t="shared" si="19"/>
        <v>522.23</v>
      </c>
      <c r="L114" s="2">
        <f t="shared" si="16"/>
        <v>0</v>
      </c>
      <c r="M114" s="2">
        <f t="shared" si="17"/>
        <v>522.23</v>
      </c>
    </row>
    <row r="115" hidden="1" spans="1:13">
      <c r="A115" s="30">
        <v>45839</v>
      </c>
      <c r="B115" s="1" t="s">
        <v>96</v>
      </c>
      <c r="C115" s="1" t="s">
        <v>41</v>
      </c>
      <c r="D115" s="1" t="s">
        <v>47</v>
      </c>
      <c r="F115" s="2">
        <v>391.36</v>
      </c>
      <c r="H115" s="2">
        <f t="shared" si="18"/>
        <v>391.36</v>
      </c>
      <c r="I115" s="2">
        <f t="shared" si="19"/>
        <v>391.36</v>
      </c>
      <c r="L115" s="2">
        <f t="shared" si="16"/>
        <v>0</v>
      </c>
      <c r="M115" s="2">
        <f t="shared" si="17"/>
        <v>391.36</v>
      </c>
    </row>
    <row r="116" hidden="1" spans="1:13">
      <c r="A116" s="30">
        <v>45839</v>
      </c>
      <c r="B116" s="1" t="s">
        <v>96</v>
      </c>
      <c r="C116" s="1" t="s">
        <v>57</v>
      </c>
      <c r="D116" s="1" t="s">
        <v>47</v>
      </c>
      <c r="F116" s="2">
        <v>3611.52</v>
      </c>
      <c r="G116" s="2">
        <v>3611.52</v>
      </c>
      <c r="H116" s="2">
        <f t="shared" si="18"/>
        <v>0</v>
      </c>
      <c r="I116" s="2">
        <f t="shared" si="19"/>
        <v>0</v>
      </c>
      <c r="L116" s="2">
        <f t="shared" si="16"/>
        <v>0</v>
      </c>
      <c r="M116" s="2">
        <f t="shared" si="17"/>
        <v>0</v>
      </c>
    </row>
    <row r="117" hidden="1" spans="1:13">
      <c r="A117" s="30">
        <v>45839</v>
      </c>
      <c r="B117" s="1" t="s">
        <v>97</v>
      </c>
      <c r="C117" s="1" t="s">
        <v>41</v>
      </c>
      <c r="D117" s="1" t="s">
        <v>42</v>
      </c>
      <c r="F117" s="2">
        <v>5553.9</v>
      </c>
      <c r="G117" s="2">
        <v>5251</v>
      </c>
      <c r="H117" s="2">
        <f t="shared" si="18"/>
        <v>302.9</v>
      </c>
      <c r="I117" s="2">
        <f t="shared" si="19"/>
        <v>302.9</v>
      </c>
      <c r="L117" s="2">
        <f t="shared" si="16"/>
        <v>0</v>
      </c>
      <c r="M117" s="2">
        <f t="shared" si="17"/>
        <v>302.9</v>
      </c>
    </row>
    <row r="118" hidden="1" spans="1:13">
      <c r="A118" s="30">
        <v>45839</v>
      </c>
      <c r="B118" s="1" t="s">
        <v>97</v>
      </c>
      <c r="C118" s="1" t="s">
        <v>55</v>
      </c>
      <c r="D118" s="1" t="s">
        <v>42</v>
      </c>
      <c r="F118" s="2">
        <v>7608.9</v>
      </c>
      <c r="G118" s="2">
        <v>7548.2</v>
      </c>
      <c r="H118" s="2">
        <f t="shared" si="18"/>
        <v>60.6999999999998</v>
      </c>
      <c r="I118" s="2">
        <f t="shared" si="19"/>
        <v>60.6999999999998</v>
      </c>
      <c r="L118" s="2">
        <f t="shared" si="16"/>
        <v>0</v>
      </c>
      <c r="M118" s="2">
        <f t="shared" si="17"/>
        <v>60.6999999999998</v>
      </c>
    </row>
    <row r="119" hidden="1" spans="1:13">
      <c r="A119" s="30">
        <v>45839</v>
      </c>
      <c r="B119" s="1" t="s">
        <v>97</v>
      </c>
      <c r="C119" s="1" t="s">
        <v>43</v>
      </c>
      <c r="D119" s="1" t="s">
        <v>42</v>
      </c>
      <c r="F119" s="2">
        <v>9787.44</v>
      </c>
      <c r="G119" s="2">
        <v>10059.5</v>
      </c>
      <c r="H119" s="2">
        <f t="shared" si="18"/>
        <v>-272.059999999999</v>
      </c>
      <c r="I119" s="2">
        <f t="shared" si="19"/>
        <v>-272.059999999999</v>
      </c>
      <c r="L119" s="2">
        <f t="shared" si="16"/>
        <v>0</v>
      </c>
      <c r="M119" s="2">
        <f t="shared" si="17"/>
        <v>-272.059999999999</v>
      </c>
    </row>
    <row r="120" hidden="1" spans="1:13">
      <c r="A120" s="30">
        <v>45839</v>
      </c>
      <c r="B120" s="1" t="s">
        <v>97</v>
      </c>
      <c r="C120" s="1" t="s">
        <v>41</v>
      </c>
      <c r="D120" s="1" t="s">
        <v>47</v>
      </c>
      <c r="F120" s="2">
        <v>63</v>
      </c>
      <c r="G120" s="2">
        <v>46.8</v>
      </c>
      <c r="H120" s="2">
        <f t="shared" si="18"/>
        <v>16.2</v>
      </c>
      <c r="I120" s="2">
        <f t="shared" si="19"/>
        <v>16.2</v>
      </c>
      <c r="L120" s="2">
        <f t="shared" si="16"/>
        <v>0</v>
      </c>
      <c r="M120" s="2">
        <f t="shared" si="17"/>
        <v>16.2</v>
      </c>
    </row>
    <row r="121" hidden="1" spans="1:13">
      <c r="A121" s="30">
        <v>45839</v>
      </c>
      <c r="B121" s="1" t="s">
        <v>97</v>
      </c>
      <c r="C121" s="1" t="s">
        <v>43</v>
      </c>
      <c r="D121" s="1" t="s">
        <v>47</v>
      </c>
      <c r="F121" s="2">
        <v>23284.24</v>
      </c>
      <c r="G121" s="2">
        <v>22594.86</v>
      </c>
      <c r="H121" s="2">
        <f t="shared" si="18"/>
        <v>689.380000000001</v>
      </c>
      <c r="I121" s="2">
        <f t="shared" si="19"/>
        <v>689.380000000001</v>
      </c>
      <c r="L121" s="2">
        <f t="shared" si="16"/>
        <v>0</v>
      </c>
      <c r="M121" s="2">
        <f t="shared" si="17"/>
        <v>689.380000000001</v>
      </c>
    </row>
    <row r="122" hidden="1" spans="1:13">
      <c r="A122" s="30">
        <v>45839</v>
      </c>
      <c r="B122" s="1" t="s">
        <v>98</v>
      </c>
      <c r="C122" s="1" t="s">
        <v>41</v>
      </c>
      <c r="D122" s="1" t="s">
        <v>47</v>
      </c>
      <c r="F122" s="2">
        <v>4470.8</v>
      </c>
      <c r="H122" s="2">
        <f t="shared" si="18"/>
        <v>4470.8</v>
      </c>
      <c r="I122" s="2">
        <f t="shared" si="19"/>
        <v>4470.8</v>
      </c>
      <c r="J122" s="2">
        <v>236000</v>
      </c>
      <c r="L122" s="2">
        <f t="shared" si="16"/>
        <v>236000</v>
      </c>
      <c r="M122" s="2">
        <f t="shared" si="17"/>
        <v>240470.8</v>
      </c>
    </row>
    <row r="123" hidden="1" spans="1:13">
      <c r="A123" s="30">
        <v>45839</v>
      </c>
      <c r="B123" s="1" t="s">
        <v>98</v>
      </c>
      <c r="C123" s="1" t="s">
        <v>43</v>
      </c>
      <c r="D123" s="1" t="s">
        <v>47</v>
      </c>
      <c r="E123" s="2">
        <v>32079.52</v>
      </c>
      <c r="F123" s="2">
        <v>174948</v>
      </c>
      <c r="G123" s="2">
        <v>215164</v>
      </c>
      <c r="H123" s="2">
        <f t="shared" si="18"/>
        <v>-40216</v>
      </c>
      <c r="I123" s="2">
        <f t="shared" si="19"/>
        <v>-8136.48</v>
      </c>
      <c r="J123" s="2">
        <v>113839.66</v>
      </c>
      <c r="L123" s="2">
        <f t="shared" si="16"/>
        <v>113839.66</v>
      </c>
      <c r="M123" s="2">
        <f t="shared" si="17"/>
        <v>105703.18</v>
      </c>
    </row>
    <row r="124" hidden="1" spans="1:13">
      <c r="A124" s="30">
        <v>45839</v>
      </c>
      <c r="B124" s="1" t="s">
        <v>98</v>
      </c>
      <c r="C124" s="1" t="s">
        <v>57</v>
      </c>
      <c r="D124" s="1" t="s">
        <v>47</v>
      </c>
      <c r="F124" s="2">
        <v>315</v>
      </c>
      <c r="H124" s="2">
        <f t="shared" si="18"/>
        <v>315</v>
      </c>
      <c r="I124" s="2">
        <f t="shared" si="19"/>
        <v>315</v>
      </c>
      <c r="L124" s="2">
        <f t="shared" si="16"/>
        <v>0</v>
      </c>
      <c r="M124" s="2">
        <f t="shared" si="17"/>
        <v>315</v>
      </c>
    </row>
    <row r="125" hidden="1" spans="1:13">
      <c r="A125" s="30">
        <v>45839</v>
      </c>
      <c r="B125" s="1" t="s">
        <v>99</v>
      </c>
      <c r="C125" s="1" t="s">
        <v>43</v>
      </c>
      <c r="D125" s="1" t="s">
        <v>42</v>
      </c>
      <c r="F125" s="2">
        <v>27.7297</v>
      </c>
      <c r="H125" s="2">
        <f t="shared" si="18"/>
        <v>27.7297</v>
      </c>
      <c r="I125" s="2">
        <f t="shared" si="19"/>
        <v>27.7297</v>
      </c>
      <c r="L125" s="2">
        <f t="shared" si="16"/>
        <v>0</v>
      </c>
      <c r="M125" s="2">
        <f t="shared" si="17"/>
        <v>27.7297</v>
      </c>
    </row>
    <row r="126" hidden="1" spans="1:13">
      <c r="A126" s="30">
        <v>45839</v>
      </c>
      <c r="B126" s="1" t="s">
        <v>99</v>
      </c>
      <c r="C126" s="1" t="s">
        <v>41</v>
      </c>
      <c r="D126" s="1" t="s">
        <v>47</v>
      </c>
      <c r="F126" s="2">
        <v>99.9995</v>
      </c>
      <c r="H126" s="2">
        <f t="shared" si="18"/>
        <v>99.9995</v>
      </c>
      <c r="I126" s="2">
        <f t="shared" si="19"/>
        <v>99.9995</v>
      </c>
      <c r="L126" s="2">
        <f t="shared" si="16"/>
        <v>0</v>
      </c>
      <c r="M126" s="2">
        <f t="shared" si="17"/>
        <v>99.9995</v>
      </c>
    </row>
    <row r="127" hidden="1" spans="1:13">
      <c r="A127" s="30">
        <v>45839</v>
      </c>
      <c r="B127" s="1" t="s">
        <v>100</v>
      </c>
      <c r="C127" s="1" t="s">
        <v>41</v>
      </c>
      <c r="D127" s="1" t="s">
        <v>42</v>
      </c>
      <c r="F127" s="2">
        <v>388297.12</v>
      </c>
      <c r="G127" s="2">
        <v>388297.12</v>
      </c>
      <c r="H127" s="2">
        <f t="shared" si="18"/>
        <v>0</v>
      </c>
      <c r="I127" s="2">
        <f t="shared" si="19"/>
        <v>0</v>
      </c>
      <c r="L127" s="2">
        <f t="shared" si="16"/>
        <v>0</v>
      </c>
      <c r="M127" s="2">
        <f t="shared" si="17"/>
        <v>0</v>
      </c>
    </row>
    <row r="128" hidden="1" spans="1:13">
      <c r="A128" s="30">
        <v>45839</v>
      </c>
      <c r="B128" s="1" t="s">
        <v>101</v>
      </c>
      <c r="C128" s="1" t="s">
        <v>79</v>
      </c>
      <c r="D128" s="1" t="s">
        <v>42</v>
      </c>
      <c r="F128" s="2">
        <v>25010.0666</v>
      </c>
      <c r="G128" s="2">
        <v>24883.5</v>
      </c>
      <c r="H128" s="2">
        <f t="shared" si="18"/>
        <v>126.566599999998</v>
      </c>
      <c r="I128" s="2">
        <f t="shared" si="19"/>
        <v>126.566599999998</v>
      </c>
      <c r="L128" s="2">
        <f t="shared" si="16"/>
        <v>0</v>
      </c>
      <c r="M128" s="2">
        <f t="shared" si="17"/>
        <v>126.566599999998</v>
      </c>
    </row>
    <row r="129" hidden="1" spans="1:13">
      <c r="A129" s="30">
        <v>45839</v>
      </c>
      <c r="B129" s="1" t="s">
        <v>101</v>
      </c>
      <c r="C129" s="1" t="s">
        <v>87</v>
      </c>
      <c r="D129" s="1" t="s">
        <v>42</v>
      </c>
      <c r="F129" s="2">
        <v>-16223</v>
      </c>
      <c r="H129" s="2">
        <f t="shared" si="18"/>
        <v>-16223</v>
      </c>
      <c r="I129" s="2">
        <f t="shared" si="19"/>
        <v>-16223</v>
      </c>
      <c r="L129" s="2">
        <f t="shared" si="16"/>
        <v>0</v>
      </c>
      <c r="M129" s="2">
        <f t="shared" si="17"/>
        <v>-16223</v>
      </c>
    </row>
    <row r="130" hidden="1" spans="1:13">
      <c r="A130" s="30">
        <v>45839</v>
      </c>
      <c r="B130" s="1" t="s">
        <v>101</v>
      </c>
      <c r="C130" s="1" t="s">
        <v>41</v>
      </c>
      <c r="D130" s="1" t="s">
        <v>42</v>
      </c>
      <c r="F130" s="2">
        <f>-21093.2449+1508.54</f>
        <v>-19584.7049</v>
      </c>
      <c r="H130" s="2">
        <f t="shared" si="18"/>
        <v>-19584.7049</v>
      </c>
      <c r="I130" s="2">
        <f t="shared" si="19"/>
        <v>-19584.7049</v>
      </c>
      <c r="L130" s="2">
        <f t="shared" si="16"/>
        <v>0</v>
      </c>
      <c r="M130" s="2">
        <f t="shared" si="17"/>
        <v>-19584.7049</v>
      </c>
    </row>
    <row r="131" hidden="1" spans="1:13">
      <c r="A131" s="30">
        <v>45839</v>
      </c>
      <c r="B131" s="1" t="s">
        <v>101</v>
      </c>
      <c r="C131" s="1" t="s">
        <v>55</v>
      </c>
      <c r="D131" s="1" t="s">
        <v>42</v>
      </c>
      <c r="E131" s="2">
        <v>196900</v>
      </c>
      <c r="F131" s="2">
        <v>664107.2236</v>
      </c>
      <c r="G131" s="2">
        <f>861727.2858+40.52</f>
        <v>861767.8058</v>
      </c>
      <c r="H131" s="2">
        <f t="shared" si="18"/>
        <v>-197660.5822</v>
      </c>
      <c r="I131" s="2">
        <f t="shared" si="19"/>
        <v>-760.582199999946</v>
      </c>
      <c r="L131" s="2">
        <f t="shared" ref="L131:L165" si="20">J131-K131</f>
        <v>0</v>
      </c>
      <c r="M131" s="2">
        <f t="shared" ref="M131:M165" si="21">I131+L131</f>
        <v>-760.582199999946</v>
      </c>
    </row>
    <row r="132" hidden="1" spans="1:13">
      <c r="A132" s="30">
        <v>45839</v>
      </c>
      <c r="B132" s="1" t="s">
        <v>101</v>
      </c>
      <c r="C132" s="1" t="s">
        <v>43</v>
      </c>
      <c r="D132" s="1" t="s">
        <v>42</v>
      </c>
      <c r="E132" s="2">
        <v>59500.04</v>
      </c>
      <c r="F132" s="2">
        <v>2147788.31099881</v>
      </c>
      <c r="G132" s="2">
        <f>2093532.32999999-360736.84</f>
        <v>1732795.48999999</v>
      </c>
      <c r="H132" s="2">
        <f t="shared" si="18"/>
        <v>414992.82099882</v>
      </c>
      <c r="I132" s="2">
        <f t="shared" si="19"/>
        <v>474492.86099882</v>
      </c>
      <c r="J132" s="2">
        <v>41498.83</v>
      </c>
      <c r="L132" s="2">
        <f t="shared" si="20"/>
        <v>41498.83</v>
      </c>
      <c r="M132" s="2">
        <f t="shared" si="21"/>
        <v>515991.69099882</v>
      </c>
    </row>
    <row r="133" hidden="1" spans="1:13">
      <c r="A133" s="30">
        <v>45839</v>
      </c>
      <c r="B133" s="1" t="s">
        <v>101</v>
      </c>
      <c r="C133" s="1" t="s">
        <v>57</v>
      </c>
      <c r="D133" s="1" t="s">
        <v>42</v>
      </c>
      <c r="F133" s="2">
        <v>943665.5663</v>
      </c>
      <c r="G133" s="2">
        <f>929785.7-140564.7</f>
        <v>789221</v>
      </c>
      <c r="H133" s="2">
        <f t="shared" si="18"/>
        <v>154444.5663</v>
      </c>
      <c r="I133" s="2">
        <f t="shared" si="19"/>
        <v>154444.5663</v>
      </c>
      <c r="L133" s="2">
        <f t="shared" si="20"/>
        <v>0</v>
      </c>
      <c r="M133" s="2">
        <f t="shared" si="21"/>
        <v>154444.5663</v>
      </c>
    </row>
    <row r="134" hidden="1" spans="1:13">
      <c r="A134" s="30">
        <v>45839</v>
      </c>
      <c r="B134" s="1" t="s">
        <v>102</v>
      </c>
      <c r="C134" s="1" t="s">
        <v>41</v>
      </c>
      <c r="D134" s="1" t="s">
        <v>42</v>
      </c>
      <c r="F134" s="2">
        <v>4035.9999</v>
      </c>
      <c r="H134" s="2">
        <f t="shared" si="18"/>
        <v>4035.9999</v>
      </c>
      <c r="I134" s="2">
        <f t="shared" si="19"/>
        <v>4035.9999</v>
      </c>
      <c r="L134" s="2">
        <f t="shared" si="20"/>
        <v>0</v>
      </c>
      <c r="M134" s="2">
        <f t="shared" si="21"/>
        <v>4035.9999</v>
      </c>
    </row>
    <row r="135" hidden="1" spans="1:13">
      <c r="A135" s="30">
        <v>45839</v>
      </c>
      <c r="B135" s="1" t="s">
        <v>102</v>
      </c>
      <c r="C135" s="1" t="s">
        <v>43</v>
      </c>
      <c r="D135" s="1" t="s">
        <v>42</v>
      </c>
      <c r="E135" s="2">
        <v>3032</v>
      </c>
      <c r="F135" s="2">
        <v>185335.6001</v>
      </c>
      <c r="G135" s="2">
        <v>189680</v>
      </c>
      <c r="H135" s="2">
        <f t="shared" si="18"/>
        <v>-4344.39989999999</v>
      </c>
      <c r="I135" s="2">
        <f t="shared" si="19"/>
        <v>-1312.39989999999</v>
      </c>
      <c r="L135" s="2">
        <f t="shared" si="20"/>
        <v>0</v>
      </c>
      <c r="M135" s="2">
        <f t="shared" si="21"/>
        <v>-1312.39989999999</v>
      </c>
    </row>
    <row r="136" hidden="1" spans="1:13">
      <c r="A136" s="30">
        <v>45839</v>
      </c>
      <c r="B136" s="1" t="s">
        <v>103</v>
      </c>
      <c r="C136" s="1" t="s">
        <v>41</v>
      </c>
      <c r="D136" s="1" t="s">
        <v>42</v>
      </c>
      <c r="F136" s="2">
        <v>6279.9184</v>
      </c>
      <c r="H136" s="2">
        <f t="shared" si="18"/>
        <v>6279.9184</v>
      </c>
      <c r="I136" s="2">
        <f t="shared" si="19"/>
        <v>6279.9184</v>
      </c>
      <c r="L136" s="2">
        <f t="shared" si="20"/>
        <v>0</v>
      </c>
      <c r="M136" s="2">
        <f t="shared" si="21"/>
        <v>6279.9184</v>
      </c>
    </row>
    <row r="137" hidden="1" spans="1:13">
      <c r="A137" s="30">
        <v>45839</v>
      </c>
      <c r="B137" s="1" t="s">
        <v>103</v>
      </c>
      <c r="C137" s="1" t="s">
        <v>55</v>
      </c>
      <c r="D137" s="1" t="s">
        <v>42</v>
      </c>
      <c r="F137" s="2">
        <v>36937.67</v>
      </c>
      <c r="H137" s="2">
        <f t="shared" si="18"/>
        <v>36937.67</v>
      </c>
      <c r="I137" s="2">
        <f t="shared" si="19"/>
        <v>36937.67</v>
      </c>
      <c r="L137" s="2">
        <f t="shared" si="20"/>
        <v>0</v>
      </c>
      <c r="M137" s="2">
        <f t="shared" si="21"/>
        <v>36937.67</v>
      </c>
    </row>
    <row r="138" hidden="1" spans="1:13">
      <c r="A138" s="30">
        <v>45839</v>
      </c>
      <c r="B138" s="1" t="s">
        <v>103</v>
      </c>
      <c r="C138" s="1" t="s">
        <v>77</v>
      </c>
      <c r="D138" s="1" t="s">
        <v>42</v>
      </c>
      <c r="F138" s="2">
        <v>11505.78</v>
      </c>
      <c r="G138" s="2">
        <f>11175+632.55</f>
        <v>11807.55</v>
      </c>
      <c r="H138" s="2">
        <f t="shared" si="18"/>
        <v>-301.769999999999</v>
      </c>
      <c r="I138" s="2">
        <f t="shared" si="19"/>
        <v>-301.769999999999</v>
      </c>
      <c r="L138" s="2">
        <f t="shared" si="20"/>
        <v>0</v>
      </c>
      <c r="M138" s="2">
        <f t="shared" si="21"/>
        <v>-301.769999999999</v>
      </c>
    </row>
    <row r="139" hidden="1" spans="1:13">
      <c r="A139" s="30">
        <v>45839</v>
      </c>
      <c r="B139" s="1" t="s">
        <v>103</v>
      </c>
      <c r="C139" s="1" t="s">
        <v>43</v>
      </c>
      <c r="D139" s="1" t="s">
        <v>42</v>
      </c>
      <c r="E139" s="2">
        <v>312294.15</v>
      </c>
      <c r="F139" s="2">
        <v>12772345.1796</v>
      </c>
      <c r="G139" s="2">
        <f>12871447+11</f>
        <v>12871458</v>
      </c>
      <c r="H139" s="2">
        <f t="shared" si="18"/>
        <v>-99112.8203999996</v>
      </c>
      <c r="I139" s="2">
        <f t="shared" si="19"/>
        <v>213181.3296</v>
      </c>
      <c r="L139" s="2">
        <f t="shared" si="20"/>
        <v>0</v>
      </c>
      <c r="M139" s="2">
        <f t="shared" si="21"/>
        <v>213181.3296</v>
      </c>
    </row>
    <row r="140" hidden="1" spans="1:13">
      <c r="A140" s="30">
        <v>45839</v>
      </c>
      <c r="B140" s="1" t="s">
        <v>104</v>
      </c>
      <c r="C140" s="1" t="s">
        <v>43</v>
      </c>
      <c r="D140" s="1" t="s">
        <v>42</v>
      </c>
      <c r="F140" s="2">
        <v>19550</v>
      </c>
      <c r="G140" s="2">
        <v>18860</v>
      </c>
      <c r="H140" s="2">
        <f t="shared" si="18"/>
        <v>690</v>
      </c>
      <c r="I140" s="2">
        <f t="shared" si="19"/>
        <v>690</v>
      </c>
      <c r="L140" s="2">
        <f t="shared" si="20"/>
        <v>0</v>
      </c>
      <c r="M140" s="2">
        <f t="shared" si="21"/>
        <v>690</v>
      </c>
    </row>
    <row r="141" hidden="1" spans="1:13">
      <c r="A141" s="30">
        <v>45839</v>
      </c>
      <c r="B141" s="1" t="s">
        <v>105</v>
      </c>
      <c r="C141" s="1" t="s">
        <v>65</v>
      </c>
      <c r="D141" s="1" t="s">
        <v>47</v>
      </c>
      <c r="F141" s="2">
        <v>38.6</v>
      </c>
      <c r="H141" s="2">
        <f t="shared" si="18"/>
        <v>38.6</v>
      </c>
      <c r="I141" s="2">
        <f t="shared" si="19"/>
        <v>38.6</v>
      </c>
      <c r="L141" s="2">
        <f t="shared" si="20"/>
        <v>0</v>
      </c>
      <c r="M141" s="2">
        <f t="shared" si="21"/>
        <v>38.6</v>
      </c>
    </row>
    <row r="142" hidden="1" spans="1:13">
      <c r="A142" s="30">
        <v>45839</v>
      </c>
      <c r="B142" s="1" t="s">
        <v>105</v>
      </c>
      <c r="C142" s="1" t="s">
        <v>41</v>
      </c>
      <c r="D142" s="1" t="s">
        <v>47</v>
      </c>
      <c r="F142" s="2">
        <v>139.2</v>
      </c>
      <c r="H142" s="2">
        <f t="shared" si="18"/>
        <v>139.2</v>
      </c>
      <c r="I142" s="2">
        <f t="shared" si="19"/>
        <v>139.2</v>
      </c>
      <c r="L142" s="2">
        <f t="shared" si="20"/>
        <v>0</v>
      </c>
      <c r="M142" s="2">
        <f t="shared" si="21"/>
        <v>139.2</v>
      </c>
    </row>
    <row r="143" hidden="1" spans="1:13">
      <c r="A143" s="30">
        <v>45839</v>
      </c>
      <c r="B143" s="1" t="s">
        <v>105</v>
      </c>
      <c r="C143" s="1" t="s">
        <v>43</v>
      </c>
      <c r="D143" s="1" t="s">
        <v>47</v>
      </c>
      <c r="F143" s="2">
        <v>6716.4</v>
      </c>
      <c r="H143" s="2">
        <f t="shared" si="18"/>
        <v>6716.4</v>
      </c>
      <c r="I143" s="2">
        <f t="shared" si="19"/>
        <v>6716.4</v>
      </c>
      <c r="L143" s="2">
        <f t="shared" si="20"/>
        <v>0</v>
      </c>
      <c r="M143" s="2">
        <f t="shared" si="21"/>
        <v>6716.4</v>
      </c>
    </row>
    <row r="144" hidden="1" spans="1:13">
      <c r="A144" s="30">
        <v>45839</v>
      </c>
      <c r="B144" s="1" t="s">
        <v>105</v>
      </c>
      <c r="C144" s="1" t="s">
        <v>57</v>
      </c>
      <c r="D144" s="1" t="s">
        <v>47</v>
      </c>
      <c r="E144" s="2">
        <v>141827.96</v>
      </c>
      <c r="F144" s="2">
        <v>82893.5999999999</v>
      </c>
      <c r="G144" s="2">
        <v>82754.3999999999</v>
      </c>
      <c r="H144" s="2">
        <f t="shared" si="18"/>
        <v>139.199999999997</v>
      </c>
      <c r="I144" s="2">
        <f t="shared" si="19"/>
        <v>141967.16</v>
      </c>
      <c r="L144" s="2">
        <f t="shared" si="20"/>
        <v>0</v>
      </c>
      <c r="M144" s="2">
        <f t="shared" si="21"/>
        <v>141967.16</v>
      </c>
    </row>
    <row r="145" hidden="1" spans="1:13">
      <c r="A145" s="30">
        <v>45839</v>
      </c>
      <c r="B145" s="1" t="s">
        <v>106</v>
      </c>
      <c r="C145" s="1" t="s">
        <v>43</v>
      </c>
      <c r="D145" s="1" t="s">
        <v>47</v>
      </c>
      <c r="F145" s="2">
        <v>1.95</v>
      </c>
      <c r="H145" s="2">
        <f t="shared" ref="H145:H161" si="22">F145-G145</f>
        <v>1.95</v>
      </c>
      <c r="I145" s="2">
        <f t="shared" ref="I145:I161" si="23">H145+E145</f>
        <v>1.95</v>
      </c>
      <c r="L145" s="2">
        <f t="shared" si="20"/>
        <v>0</v>
      </c>
      <c r="M145" s="2">
        <f t="shared" si="21"/>
        <v>1.95</v>
      </c>
    </row>
    <row r="146" hidden="1" spans="1:13">
      <c r="A146" s="30">
        <v>45839</v>
      </c>
      <c r="B146" s="1" t="s">
        <v>106</v>
      </c>
      <c r="C146" s="1" t="s">
        <v>57</v>
      </c>
      <c r="D146" s="1" t="s">
        <v>47</v>
      </c>
      <c r="F146" s="2">
        <v>140</v>
      </c>
      <c r="G146" s="2">
        <v>140</v>
      </c>
      <c r="H146" s="2">
        <f t="shared" si="22"/>
        <v>0</v>
      </c>
      <c r="I146" s="2">
        <f t="shared" si="23"/>
        <v>0</v>
      </c>
      <c r="L146" s="2">
        <f t="shared" si="20"/>
        <v>0</v>
      </c>
      <c r="M146" s="2">
        <f t="shared" si="21"/>
        <v>0</v>
      </c>
    </row>
    <row r="147" hidden="1" spans="1:13">
      <c r="A147" s="30">
        <v>45839</v>
      </c>
      <c r="B147" s="1" t="s">
        <v>107</v>
      </c>
      <c r="C147" s="1" t="s">
        <v>41</v>
      </c>
      <c r="D147" s="1" t="s">
        <v>42</v>
      </c>
      <c r="F147" s="2">
        <f>-5050.8+5468.56</f>
        <v>417.76</v>
      </c>
      <c r="H147" s="2">
        <f t="shared" si="22"/>
        <v>417.76</v>
      </c>
      <c r="I147" s="2">
        <f t="shared" si="23"/>
        <v>417.76</v>
      </c>
      <c r="L147" s="2">
        <f t="shared" si="20"/>
        <v>0</v>
      </c>
      <c r="M147" s="2">
        <f t="shared" si="21"/>
        <v>417.76</v>
      </c>
    </row>
    <row r="148" hidden="1" spans="1:13">
      <c r="A148" s="30">
        <v>45839</v>
      </c>
      <c r="B148" s="1" t="s">
        <v>107</v>
      </c>
      <c r="C148" s="1" t="s">
        <v>55</v>
      </c>
      <c r="D148" s="1" t="s">
        <v>42</v>
      </c>
      <c r="F148" s="2">
        <v>3.3</v>
      </c>
      <c r="H148" s="2">
        <f t="shared" si="22"/>
        <v>3.3</v>
      </c>
      <c r="I148" s="2">
        <f t="shared" si="23"/>
        <v>3.3</v>
      </c>
      <c r="L148" s="2">
        <f t="shared" si="20"/>
        <v>0</v>
      </c>
      <c r="M148" s="2">
        <f t="shared" si="21"/>
        <v>3.3</v>
      </c>
    </row>
    <row r="149" hidden="1" spans="1:13">
      <c r="A149" s="30">
        <v>45839</v>
      </c>
      <c r="B149" s="1" t="s">
        <v>107</v>
      </c>
      <c r="C149" s="1" t="s">
        <v>43</v>
      </c>
      <c r="D149" s="1" t="s">
        <v>42</v>
      </c>
      <c r="F149" s="2">
        <v>86278.29</v>
      </c>
      <c r="G149" s="2">
        <v>655.680000000107</v>
      </c>
      <c r="H149" s="2">
        <f t="shared" si="22"/>
        <v>85622.6099999999</v>
      </c>
      <c r="I149" s="2">
        <f t="shared" si="23"/>
        <v>85622.6099999999</v>
      </c>
      <c r="L149" s="2">
        <f t="shared" si="20"/>
        <v>0</v>
      </c>
      <c r="M149" s="2">
        <f t="shared" si="21"/>
        <v>85622.6099999999</v>
      </c>
    </row>
    <row r="150" hidden="1" spans="1:13">
      <c r="A150" s="30">
        <v>45839</v>
      </c>
      <c r="B150" s="1" t="s">
        <v>108</v>
      </c>
      <c r="C150" s="1" t="s">
        <v>65</v>
      </c>
      <c r="D150" s="1" t="s">
        <v>42</v>
      </c>
      <c r="F150" s="2">
        <v>556.5</v>
      </c>
      <c r="H150" s="2">
        <f t="shared" si="22"/>
        <v>556.5</v>
      </c>
      <c r="I150" s="2">
        <f t="shared" si="23"/>
        <v>556.5</v>
      </c>
      <c r="L150" s="2">
        <f t="shared" si="20"/>
        <v>0</v>
      </c>
      <c r="M150" s="2">
        <f t="shared" si="21"/>
        <v>556.5</v>
      </c>
    </row>
    <row r="151" hidden="1" spans="1:13">
      <c r="A151" s="30">
        <v>45839</v>
      </c>
      <c r="B151" s="1" t="s">
        <v>108</v>
      </c>
      <c r="C151" s="1" t="s">
        <v>41</v>
      </c>
      <c r="D151" s="1" t="s">
        <v>42</v>
      </c>
      <c r="F151" s="2">
        <v>-118.39</v>
      </c>
      <c r="H151" s="2">
        <f t="shared" si="22"/>
        <v>-118.39</v>
      </c>
      <c r="I151" s="2">
        <f t="shared" si="23"/>
        <v>-118.39</v>
      </c>
      <c r="L151" s="2">
        <f t="shared" si="20"/>
        <v>0</v>
      </c>
      <c r="M151" s="2">
        <f t="shared" si="21"/>
        <v>-118.39</v>
      </c>
    </row>
    <row r="152" hidden="1" spans="1:13">
      <c r="A152" s="30">
        <v>45839</v>
      </c>
      <c r="B152" s="1" t="s">
        <v>108</v>
      </c>
      <c r="C152" s="1" t="s">
        <v>43</v>
      </c>
      <c r="D152" s="1" t="s">
        <v>42</v>
      </c>
      <c r="E152" s="2">
        <v>1911</v>
      </c>
      <c r="F152" s="2">
        <v>2940</v>
      </c>
      <c r="G152" s="2">
        <v>2940</v>
      </c>
      <c r="H152" s="2">
        <f t="shared" si="22"/>
        <v>0</v>
      </c>
      <c r="I152" s="2">
        <f t="shared" si="23"/>
        <v>1911</v>
      </c>
      <c r="L152" s="2">
        <f t="shared" si="20"/>
        <v>0</v>
      </c>
      <c r="M152" s="2">
        <f t="shared" si="21"/>
        <v>1911</v>
      </c>
    </row>
    <row r="153" hidden="1" spans="1:13">
      <c r="A153" s="30">
        <v>45839</v>
      </c>
      <c r="B153" s="1" t="s">
        <v>108</v>
      </c>
      <c r="C153" s="1" t="s">
        <v>57</v>
      </c>
      <c r="D153" s="1" t="s">
        <v>42</v>
      </c>
      <c r="E153" s="2">
        <v>4901.8</v>
      </c>
      <c r="F153" s="2">
        <v>13820.4</v>
      </c>
      <c r="G153" s="2">
        <v>18722.2</v>
      </c>
      <c r="H153" s="2">
        <f t="shared" si="22"/>
        <v>-4901.8</v>
      </c>
      <c r="I153" s="2">
        <f t="shared" si="23"/>
        <v>0</v>
      </c>
      <c r="L153" s="2">
        <f t="shared" si="20"/>
        <v>0</v>
      </c>
      <c r="M153" s="2">
        <f t="shared" si="21"/>
        <v>0</v>
      </c>
    </row>
    <row r="154" hidden="1" spans="1:13">
      <c r="A154" s="30">
        <v>45839</v>
      </c>
      <c r="B154" s="1" t="s">
        <v>109</v>
      </c>
      <c r="C154" s="1" t="s">
        <v>57</v>
      </c>
      <c r="D154" s="1" t="s">
        <v>42</v>
      </c>
      <c r="H154" s="2">
        <f t="shared" si="22"/>
        <v>0</v>
      </c>
      <c r="I154" s="2">
        <f t="shared" si="23"/>
        <v>0</v>
      </c>
      <c r="J154" s="2">
        <v>3300.07</v>
      </c>
      <c r="L154" s="2">
        <f t="shared" si="20"/>
        <v>3300.07</v>
      </c>
      <c r="M154" s="2">
        <f t="shared" si="21"/>
        <v>3300.07</v>
      </c>
    </row>
    <row r="155" hidden="1" spans="1:13">
      <c r="A155" s="30">
        <v>45839</v>
      </c>
      <c r="B155" s="1" t="s">
        <v>110</v>
      </c>
      <c r="C155" s="1" t="s">
        <v>41</v>
      </c>
      <c r="D155" s="1" t="s">
        <v>42</v>
      </c>
      <c r="F155" s="2">
        <v>27.32</v>
      </c>
      <c r="H155" s="2">
        <f t="shared" si="22"/>
        <v>27.32</v>
      </c>
      <c r="I155" s="2">
        <f t="shared" si="23"/>
        <v>27.32</v>
      </c>
      <c r="L155" s="2">
        <f t="shared" si="20"/>
        <v>0</v>
      </c>
      <c r="M155" s="2">
        <f t="shared" si="21"/>
        <v>27.32</v>
      </c>
    </row>
    <row r="156" hidden="1" spans="1:13">
      <c r="A156" s="30">
        <v>45839</v>
      </c>
      <c r="B156" s="1" t="s">
        <v>110</v>
      </c>
      <c r="C156" s="1" t="s">
        <v>43</v>
      </c>
      <c r="D156" s="1" t="s">
        <v>42</v>
      </c>
      <c r="F156" s="2">
        <v>464465.5384</v>
      </c>
      <c r="G156" s="2">
        <v>461158.172599999</v>
      </c>
      <c r="H156" s="2">
        <f t="shared" si="22"/>
        <v>3307.36580000102</v>
      </c>
      <c r="I156" s="2">
        <f t="shared" si="23"/>
        <v>3307.36580000102</v>
      </c>
      <c r="L156" s="2">
        <f t="shared" si="20"/>
        <v>0</v>
      </c>
      <c r="M156" s="2">
        <f t="shared" si="21"/>
        <v>3307.36580000102</v>
      </c>
    </row>
    <row r="157" hidden="1" spans="1:13">
      <c r="A157" s="30">
        <v>45839</v>
      </c>
      <c r="B157" s="1" t="s">
        <v>110</v>
      </c>
      <c r="C157" s="1" t="s">
        <v>43</v>
      </c>
      <c r="D157" s="1" t="s">
        <v>45</v>
      </c>
      <c r="F157" s="2">
        <v>1037139.12</v>
      </c>
      <c r="G157" s="2">
        <v>1024847.1008</v>
      </c>
      <c r="H157" s="2">
        <f t="shared" si="22"/>
        <v>12292.0192</v>
      </c>
      <c r="I157" s="2">
        <f t="shared" si="23"/>
        <v>12292.0192</v>
      </c>
      <c r="L157" s="2">
        <f t="shared" si="20"/>
        <v>0</v>
      </c>
      <c r="M157" s="2">
        <f t="shared" si="21"/>
        <v>12292.0192</v>
      </c>
    </row>
    <row r="158" hidden="1" spans="1:13">
      <c r="A158" s="30">
        <v>45839</v>
      </c>
      <c r="B158" s="1" t="s">
        <v>110</v>
      </c>
      <c r="C158" s="1" t="s">
        <v>51</v>
      </c>
      <c r="D158" s="1" t="s">
        <v>47</v>
      </c>
      <c r="H158" s="2">
        <f t="shared" si="22"/>
        <v>0</v>
      </c>
      <c r="I158" s="2">
        <f t="shared" si="23"/>
        <v>0</v>
      </c>
      <c r="J158" s="2">
        <v>-90000</v>
      </c>
      <c r="L158" s="2">
        <f t="shared" si="20"/>
        <v>-90000</v>
      </c>
      <c r="M158" s="2">
        <f t="shared" si="21"/>
        <v>-90000</v>
      </c>
    </row>
    <row r="159" hidden="1" spans="1:13">
      <c r="A159" s="30">
        <v>45839</v>
      </c>
      <c r="B159" s="1" t="s">
        <v>111</v>
      </c>
      <c r="C159" s="1" t="s">
        <v>41</v>
      </c>
      <c r="D159" s="1" t="s">
        <v>42</v>
      </c>
      <c r="F159" s="2">
        <v>9.49</v>
      </c>
      <c r="H159" s="2">
        <f t="shared" si="22"/>
        <v>9.49</v>
      </c>
      <c r="I159" s="2">
        <f t="shared" si="23"/>
        <v>9.49</v>
      </c>
      <c r="L159" s="2">
        <f t="shared" si="20"/>
        <v>0</v>
      </c>
      <c r="M159" s="2">
        <f t="shared" si="21"/>
        <v>9.49</v>
      </c>
    </row>
    <row r="160" hidden="1" spans="1:13">
      <c r="A160" s="30">
        <v>45839</v>
      </c>
      <c r="B160" s="1" t="s">
        <v>111</v>
      </c>
      <c r="C160" s="1" t="s">
        <v>43</v>
      </c>
      <c r="D160" s="1" t="s">
        <v>42</v>
      </c>
      <c r="F160" s="2">
        <v>22113</v>
      </c>
      <c r="G160" s="2">
        <v>23066</v>
      </c>
      <c r="H160" s="2">
        <f t="shared" si="22"/>
        <v>-953</v>
      </c>
      <c r="I160" s="2">
        <f t="shared" si="23"/>
        <v>-953</v>
      </c>
      <c r="L160" s="2">
        <f t="shared" si="20"/>
        <v>0</v>
      </c>
      <c r="M160" s="2">
        <f t="shared" si="21"/>
        <v>-953</v>
      </c>
    </row>
    <row r="161" hidden="1" spans="1:13">
      <c r="A161" s="30">
        <v>45839</v>
      </c>
      <c r="B161" s="1" t="s">
        <v>112</v>
      </c>
      <c r="C161" s="1" t="s">
        <v>54</v>
      </c>
      <c r="D161" s="1" t="s">
        <v>47</v>
      </c>
      <c r="F161" s="2">
        <v>33206.41</v>
      </c>
      <c r="H161" s="2">
        <f t="shared" si="22"/>
        <v>33206.41</v>
      </c>
      <c r="I161" s="2">
        <f t="shared" si="23"/>
        <v>33206.41</v>
      </c>
      <c r="L161" s="2">
        <f t="shared" si="20"/>
        <v>0</v>
      </c>
      <c r="M161" s="2">
        <f t="shared" si="21"/>
        <v>33206.41</v>
      </c>
    </row>
    <row r="162" hidden="1" spans="1:13">
      <c r="A162" s="30">
        <v>45839</v>
      </c>
      <c r="B162" s="1" t="s">
        <v>112</v>
      </c>
      <c r="C162" s="1" t="s">
        <v>113</v>
      </c>
      <c r="D162" s="1" t="s">
        <v>47</v>
      </c>
      <c r="F162" s="2">
        <v>1484.74</v>
      </c>
      <c r="H162" s="2">
        <f t="shared" ref="H162:H213" si="24">F162-G162</f>
        <v>1484.74</v>
      </c>
      <c r="I162" s="2">
        <f t="shared" ref="I162:I213" si="25">H162+E162</f>
        <v>1484.74</v>
      </c>
      <c r="L162" s="2">
        <f t="shared" si="20"/>
        <v>0</v>
      </c>
      <c r="M162" s="2">
        <f t="shared" si="21"/>
        <v>1484.74</v>
      </c>
    </row>
    <row r="163" hidden="1" spans="1:13">
      <c r="A163" s="30">
        <v>45839</v>
      </c>
      <c r="B163" s="1" t="s">
        <v>112</v>
      </c>
      <c r="C163" s="1" t="s">
        <v>41</v>
      </c>
      <c r="D163" s="1" t="s">
        <v>47</v>
      </c>
      <c r="F163" s="2">
        <v>17839.4988</v>
      </c>
      <c r="H163" s="2">
        <f t="shared" si="24"/>
        <v>17839.4988</v>
      </c>
      <c r="I163" s="2">
        <f t="shared" si="25"/>
        <v>17839.4988</v>
      </c>
      <c r="L163" s="2">
        <f t="shared" si="20"/>
        <v>0</v>
      </c>
      <c r="M163" s="2">
        <f t="shared" si="21"/>
        <v>17839.4988</v>
      </c>
    </row>
    <row r="164" hidden="1" spans="1:13">
      <c r="A164" s="30">
        <v>45839</v>
      </c>
      <c r="B164" s="1" t="s">
        <v>112</v>
      </c>
      <c r="C164" s="1" t="s">
        <v>114</v>
      </c>
      <c r="D164" s="1" t="s">
        <v>47</v>
      </c>
      <c r="H164" s="2">
        <f t="shared" si="24"/>
        <v>0</v>
      </c>
      <c r="I164" s="2">
        <f t="shared" si="25"/>
        <v>0</v>
      </c>
      <c r="J164" s="2">
        <v>878981.94</v>
      </c>
      <c r="L164" s="2">
        <f t="shared" si="20"/>
        <v>878981.94</v>
      </c>
      <c r="M164" s="2">
        <f t="shared" si="21"/>
        <v>878981.94</v>
      </c>
    </row>
    <row r="165" hidden="1" spans="1:13">
      <c r="A165" s="30">
        <v>45839</v>
      </c>
      <c r="B165" s="1" t="s">
        <v>112</v>
      </c>
      <c r="C165" s="1" t="s">
        <v>43</v>
      </c>
      <c r="D165" s="1" t="s">
        <v>47</v>
      </c>
      <c r="F165" s="2">
        <v>93818.8</v>
      </c>
      <c r="H165" s="2">
        <f t="shared" si="24"/>
        <v>93818.8</v>
      </c>
      <c r="I165" s="2">
        <f t="shared" si="25"/>
        <v>93818.8</v>
      </c>
      <c r="L165" s="2">
        <f t="shared" si="20"/>
        <v>0</v>
      </c>
      <c r="M165" s="2">
        <f t="shared" si="21"/>
        <v>93818.8</v>
      </c>
    </row>
    <row r="166" hidden="1" spans="1:13">
      <c r="A166" s="30">
        <v>45839</v>
      </c>
      <c r="B166" s="1" t="s">
        <v>112</v>
      </c>
      <c r="C166" s="1" t="s">
        <v>57</v>
      </c>
      <c r="D166" s="1" t="s">
        <v>47</v>
      </c>
      <c r="F166" s="2">
        <v>4740339.8212</v>
      </c>
      <c r="G166" s="2">
        <f>4759333.02+131.5</f>
        <v>4759464.52</v>
      </c>
      <c r="H166" s="2">
        <f t="shared" si="24"/>
        <v>-19124.6987999994</v>
      </c>
      <c r="I166" s="2">
        <f t="shared" si="25"/>
        <v>-19124.6987999994</v>
      </c>
      <c r="L166" s="2">
        <f t="shared" ref="L166:L213" si="26">J166-K166</f>
        <v>0</v>
      </c>
      <c r="M166" s="2">
        <f t="shared" ref="M166:M213" si="27">I166+L166</f>
        <v>-19124.6987999994</v>
      </c>
    </row>
    <row r="167" hidden="1" spans="1:13">
      <c r="A167" s="30">
        <v>45839</v>
      </c>
      <c r="B167" s="1" t="s">
        <v>115</v>
      </c>
      <c r="C167" s="1" t="s">
        <v>41</v>
      </c>
      <c r="D167" s="1" t="s">
        <v>47</v>
      </c>
      <c r="F167" s="2">
        <v>1782.68</v>
      </c>
      <c r="H167" s="2">
        <f t="shared" si="24"/>
        <v>1782.68</v>
      </c>
      <c r="I167" s="2">
        <f t="shared" si="25"/>
        <v>1782.68</v>
      </c>
      <c r="L167" s="2">
        <f t="shared" si="26"/>
        <v>0</v>
      </c>
      <c r="M167" s="2">
        <f t="shared" si="27"/>
        <v>1782.68</v>
      </c>
    </row>
    <row r="168" hidden="1" spans="1:13">
      <c r="A168" s="30">
        <v>45839</v>
      </c>
      <c r="B168" s="1" t="s">
        <v>115</v>
      </c>
      <c r="C168" s="1" t="s">
        <v>43</v>
      </c>
      <c r="D168" s="1" t="s">
        <v>47</v>
      </c>
      <c r="F168" s="2">
        <v>208.875</v>
      </c>
      <c r="H168" s="2">
        <f t="shared" si="24"/>
        <v>208.875</v>
      </c>
      <c r="I168" s="2">
        <f t="shared" si="25"/>
        <v>208.875</v>
      </c>
      <c r="L168" s="2">
        <f t="shared" si="26"/>
        <v>0</v>
      </c>
      <c r="M168" s="2">
        <f t="shared" si="27"/>
        <v>208.875</v>
      </c>
    </row>
    <row r="169" hidden="1" spans="1:13">
      <c r="A169" s="30">
        <v>45839</v>
      </c>
      <c r="B169" s="1" t="s">
        <v>115</v>
      </c>
      <c r="C169" s="1" t="s">
        <v>57</v>
      </c>
      <c r="D169" s="1" t="s">
        <v>47</v>
      </c>
      <c r="E169" s="2">
        <v>998.9</v>
      </c>
      <c r="F169" s="2">
        <v>46269.6</v>
      </c>
      <c r="G169" s="2">
        <v>47268.5</v>
      </c>
      <c r="H169" s="2">
        <f t="shared" si="24"/>
        <v>-998.900000000001</v>
      </c>
      <c r="I169" s="2">
        <f t="shared" si="25"/>
        <v>-1.47792889038101e-12</v>
      </c>
      <c r="L169" s="2">
        <f t="shared" si="26"/>
        <v>0</v>
      </c>
      <c r="M169" s="2">
        <f t="shared" si="27"/>
        <v>-1.47792889038101e-12</v>
      </c>
    </row>
    <row r="170" hidden="1" spans="1:13">
      <c r="A170" s="30">
        <v>45839</v>
      </c>
      <c r="B170" s="1" t="s">
        <v>116</v>
      </c>
      <c r="C170" s="1" t="s">
        <v>41</v>
      </c>
      <c r="D170" s="1" t="s">
        <v>42</v>
      </c>
      <c r="F170" s="2">
        <v>15525</v>
      </c>
      <c r="G170" s="2">
        <v>14076</v>
      </c>
      <c r="H170" s="2">
        <f t="shared" si="24"/>
        <v>1449</v>
      </c>
      <c r="I170" s="2">
        <f t="shared" si="25"/>
        <v>1449</v>
      </c>
      <c r="L170" s="2">
        <f t="shared" si="26"/>
        <v>0</v>
      </c>
      <c r="M170" s="2">
        <f t="shared" si="27"/>
        <v>1449</v>
      </c>
    </row>
    <row r="171" hidden="1" spans="1:13">
      <c r="A171" s="30">
        <v>45839</v>
      </c>
      <c r="B171" s="1" t="s">
        <v>116</v>
      </c>
      <c r="C171" s="1" t="s">
        <v>43</v>
      </c>
      <c r="D171" s="1" t="s">
        <v>42</v>
      </c>
      <c r="F171" s="2">
        <v>2392.79</v>
      </c>
      <c r="G171" s="2">
        <v>2324</v>
      </c>
      <c r="H171" s="2">
        <f t="shared" si="24"/>
        <v>68.79</v>
      </c>
      <c r="I171" s="2">
        <f t="shared" si="25"/>
        <v>68.79</v>
      </c>
      <c r="L171" s="2">
        <f t="shared" si="26"/>
        <v>0</v>
      </c>
      <c r="M171" s="2">
        <f t="shared" si="27"/>
        <v>68.79</v>
      </c>
    </row>
    <row r="172" hidden="1" spans="1:13">
      <c r="A172" s="30">
        <v>45839</v>
      </c>
      <c r="B172" s="1" t="s">
        <v>117</v>
      </c>
      <c r="C172" s="1" t="s">
        <v>79</v>
      </c>
      <c r="D172" s="1" t="s">
        <v>42</v>
      </c>
      <c r="F172" s="2">
        <v>7.8</v>
      </c>
      <c r="H172" s="2">
        <f t="shared" si="24"/>
        <v>7.8</v>
      </c>
      <c r="I172" s="2">
        <f t="shared" si="25"/>
        <v>7.8</v>
      </c>
      <c r="L172" s="2">
        <f t="shared" si="26"/>
        <v>0</v>
      </c>
      <c r="M172" s="2">
        <f t="shared" si="27"/>
        <v>7.8</v>
      </c>
    </row>
    <row r="173" hidden="1" spans="1:13">
      <c r="A173" s="30">
        <v>45839</v>
      </c>
      <c r="B173" s="1" t="s">
        <v>117</v>
      </c>
      <c r="C173" s="1" t="s">
        <v>41</v>
      </c>
      <c r="D173" s="1" t="s">
        <v>42</v>
      </c>
      <c r="F173" s="2">
        <v>109.7874</v>
      </c>
      <c r="H173" s="2">
        <f t="shared" si="24"/>
        <v>109.7874</v>
      </c>
      <c r="I173" s="2">
        <f t="shared" si="25"/>
        <v>109.7874</v>
      </c>
      <c r="L173" s="2">
        <f t="shared" si="26"/>
        <v>0</v>
      </c>
      <c r="M173" s="2">
        <f t="shared" si="27"/>
        <v>109.7874</v>
      </c>
    </row>
    <row r="174" hidden="1" spans="1:13">
      <c r="A174" s="30">
        <v>45839</v>
      </c>
      <c r="B174" s="1" t="s">
        <v>117</v>
      </c>
      <c r="C174" s="1" t="s">
        <v>55</v>
      </c>
      <c r="D174" s="1" t="s">
        <v>42</v>
      </c>
      <c r="F174" s="2">
        <v>1269.35</v>
      </c>
      <c r="H174" s="2">
        <f t="shared" si="24"/>
        <v>1269.35</v>
      </c>
      <c r="I174" s="2">
        <f t="shared" si="25"/>
        <v>1269.35</v>
      </c>
      <c r="L174" s="2">
        <f t="shared" si="26"/>
        <v>0</v>
      </c>
      <c r="M174" s="2">
        <f t="shared" si="27"/>
        <v>1269.35</v>
      </c>
    </row>
    <row r="175" hidden="1" spans="1:13">
      <c r="A175" s="30">
        <v>45839</v>
      </c>
      <c r="B175" s="1" t="s">
        <v>117</v>
      </c>
      <c r="C175" s="1" t="s">
        <v>43</v>
      </c>
      <c r="D175" s="1" t="s">
        <v>42</v>
      </c>
      <c r="F175" s="2">
        <v>305369.14646667</v>
      </c>
      <c r="G175" s="2">
        <v>302036.3</v>
      </c>
      <c r="H175" s="2">
        <f t="shared" si="24"/>
        <v>3332.84646666999</v>
      </c>
      <c r="I175" s="2">
        <f t="shared" si="25"/>
        <v>3332.84646666999</v>
      </c>
      <c r="L175" s="2">
        <f t="shared" si="26"/>
        <v>0</v>
      </c>
      <c r="M175" s="2">
        <f t="shared" si="27"/>
        <v>3332.84646666999</v>
      </c>
    </row>
    <row r="176" hidden="1" spans="1:13">
      <c r="A176" s="30">
        <v>45839</v>
      </c>
      <c r="B176" s="1" t="s">
        <v>117</v>
      </c>
      <c r="C176" s="1" t="s">
        <v>57</v>
      </c>
      <c r="D176" s="1" t="s">
        <v>42</v>
      </c>
      <c r="F176" s="2">
        <v>11.0099</v>
      </c>
      <c r="H176" s="2">
        <f t="shared" si="24"/>
        <v>11.0099</v>
      </c>
      <c r="I176" s="2">
        <f t="shared" si="25"/>
        <v>11.0099</v>
      </c>
      <c r="L176" s="2">
        <f t="shared" si="26"/>
        <v>0</v>
      </c>
      <c r="M176" s="2">
        <f t="shared" si="27"/>
        <v>11.0099</v>
      </c>
    </row>
    <row r="177" hidden="1" spans="1:13">
      <c r="A177" s="30">
        <v>45839</v>
      </c>
      <c r="B177" s="1" t="s">
        <v>118</v>
      </c>
      <c r="C177" s="1" t="s">
        <v>51</v>
      </c>
      <c r="D177" s="1" t="s">
        <v>47</v>
      </c>
      <c r="H177" s="2">
        <f t="shared" si="24"/>
        <v>0</v>
      </c>
      <c r="I177" s="2">
        <f t="shared" si="25"/>
        <v>0</v>
      </c>
      <c r="J177" s="2">
        <v>90000</v>
      </c>
      <c r="L177" s="2">
        <f t="shared" si="26"/>
        <v>90000</v>
      </c>
      <c r="M177" s="2">
        <f t="shared" si="27"/>
        <v>90000</v>
      </c>
    </row>
    <row r="178" hidden="1" spans="1:13">
      <c r="A178" s="30">
        <v>45839</v>
      </c>
      <c r="B178" s="1" t="s">
        <v>119</v>
      </c>
      <c r="C178" s="1" t="s">
        <v>53</v>
      </c>
      <c r="D178" s="1" t="s">
        <v>45</v>
      </c>
      <c r="H178" s="2">
        <f t="shared" si="24"/>
        <v>0</v>
      </c>
      <c r="I178" s="2">
        <f t="shared" si="25"/>
        <v>0</v>
      </c>
      <c r="J178" s="2">
        <v>-18950</v>
      </c>
      <c r="L178" s="2">
        <f t="shared" si="26"/>
        <v>-18950</v>
      </c>
      <c r="M178" s="2">
        <f t="shared" si="27"/>
        <v>-18950</v>
      </c>
    </row>
    <row r="179" hidden="1" spans="1:13">
      <c r="A179" s="30">
        <v>45839</v>
      </c>
      <c r="B179" s="1" t="s">
        <v>119</v>
      </c>
      <c r="C179" s="1" t="s">
        <v>50</v>
      </c>
      <c r="D179" s="1" t="s">
        <v>45</v>
      </c>
      <c r="H179" s="2">
        <f t="shared" si="24"/>
        <v>0</v>
      </c>
      <c r="I179" s="2">
        <f t="shared" si="25"/>
        <v>0</v>
      </c>
      <c r="J179" s="2">
        <v>18950</v>
      </c>
      <c r="L179" s="2">
        <f t="shared" si="26"/>
        <v>18950</v>
      </c>
      <c r="M179" s="2">
        <f t="shared" si="27"/>
        <v>18950</v>
      </c>
    </row>
    <row r="180" hidden="1" spans="1:13">
      <c r="A180" s="30">
        <v>45839</v>
      </c>
      <c r="B180" s="1" t="s">
        <v>120</v>
      </c>
      <c r="C180" s="1" t="s">
        <v>121</v>
      </c>
      <c r="D180" s="1" t="s">
        <v>52</v>
      </c>
      <c r="F180" s="2">
        <v>50985</v>
      </c>
      <c r="G180" s="2">
        <v>45000</v>
      </c>
      <c r="H180" s="2">
        <f t="shared" si="24"/>
        <v>5985</v>
      </c>
      <c r="I180" s="2">
        <f t="shared" si="25"/>
        <v>5985</v>
      </c>
      <c r="L180" s="2">
        <f t="shared" si="26"/>
        <v>0</v>
      </c>
      <c r="M180" s="2">
        <f t="shared" si="27"/>
        <v>5985</v>
      </c>
    </row>
    <row r="181" hidden="1" spans="1:13">
      <c r="A181" s="30">
        <v>45839</v>
      </c>
      <c r="B181" s="1" t="s">
        <v>122</v>
      </c>
      <c r="C181" s="1" t="s">
        <v>121</v>
      </c>
      <c r="D181" s="1" t="s">
        <v>52</v>
      </c>
      <c r="F181" s="2">
        <v>16995</v>
      </c>
      <c r="G181" s="2">
        <v>15000</v>
      </c>
      <c r="H181" s="2">
        <f t="shared" si="24"/>
        <v>1995</v>
      </c>
      <c r="I181" s="2">
        <f t="shared" si="25"/>
        <v>1995</v>
      </c>
      <c r="L181" s="2">
        <f t="shared" si="26"/>
        <v>0</v>
      </c>
      <c r="M181" s="2">
        <f t="shared" si="27"/>
        <v>1995</v>
      </c>
    </row>
    <row r="182" hidden="1" spans="1:13">
      <c r="A182" s="30">
        <v>45839</v>
      </c>
      <c r="B182" s="1" t="s">
        <v>123</v>
      </c>
      <c r="C182" s="1" t="s">
        <v>121</v>
      </c>
      <c r="D182" s="1" t="s">
        <v>52</v>
      </c>
      <c r="F182" s="2">
        <v>22671.33</v>
      </c>
      <c r="G182" s="2">
        <v>20010</v>
      </c>
      <c r="H182" s="2">
        <f t="shared" si="24"/>
        <v>2661.33</v>
      </c>
      <c r="I182" s="2">
        <f t="shared" si="25"/>
        <v>2661.33</v>
      </c>
      <c r="L182" s="2">
        <f t="shared" si="26"/>
        <v>0</v>
      </c>
      <c r="M182" s="2">
        <f t="shared" si="27"/>
        <v>2661.33</v>
      </c>
    </row>
    <row r="183" hidden="1" spans="1:13">
      <c r="A183" s="30">
        <v>45839</v>
      </c>
      <c r="B183" s="1" t="s">
        <v>124</v>
      </c>
      <c r="C183" s="1" t="s">
        <v>51</v>
      </c>
      <c r="D183" s="1" t="s">
        <v>52</v>
      </c>
      <c r="H183" s="2">
        <f t="shared" si="24"/>
        <v>0</v>
      </c>
      <c r="I183" s="2">
        <f t="shared" si="25"/>
        <v>0</v>
      </c>
      <c r="J183" s="2">
        <v>99807.68</v>
      </c>
      <c r="L183" s="2">
        <f t="shared" si="26"/>
        <v>99807.68</v>
      </c>
      <c r="M183" s="2">
        <f t="shared" si="27"/>
        <v>99807.68</v>
      </c>
    </row>
    <row r="184" hidden="1" spans="1:13">
      <c r="A184" s="30">
        <v>45839</v>
      </c>
      <c r="B184" s="1" t="s">
        <v>125</v>
      </c>
      <c r="C184" s="1" t="s">
        <v>121</v>
      </c>
      <c r="D184" s="1" t="s">
        <v>47</v>
      </c>
      <c r="F184" s="2">
        <v>11862.86</v>
      </c>
      <c r="G184" s="2">
        <v>13480.57</v>
      </c>
      <c r="H184" s="2">
        <f t="shared" si="24"/>
        <v>-1617.71</v>
      </c>
      <c r="I184" s="2">
        <f t="shared" si="25"/>
        <v>-1617.71</v>
      </c>
      <c r="L184" s="2">
        <f t="shared" si="26"/>
        <v>0</v>
      </c>
      <c r="M184" s="2">
        <f t="shared" si="27"/>
        <v>-1617.71</v>
      </c>
    </row>
    <row r="185" hidden="1" spans="1:13">
      <c r="A185" s="30">
        <v>45839</v>
      </c>
      <c r="B185" s="1" t="s">
        <v>125</v>
      </c>
      <c r="C185" s="1" t="s">
        <v>54</v>
      </c>
      <c r="D185" s="1" t="s">
        <v>47</v>
      </c>
      <c r="F185" s="2">
        <v>685163.239999999</v>
      </c>
      <c r="G185" s="2">
        <v>685163.239999999</v>
      </c>
      <c r="H185" s="2">
        <f t="shared" si="24"/>
        <v>0</v>
      </c>
      <c r="I185" s="2">
        <f t="shared" si="25"/>
        <v>0</v>
      </c>
      <c r="L185" s="2">
        <f t="shared" si="26"/>
        <v>0</v>
      </c>
      <c r="M185" s="2">
        <f t="shared" si="27"/>
        <v>0</v>
      </c>
    </row>
    <row r="186" hidden="1" spans="1:13">
      <c r="A186" s="30">
        <v>45839</v>
      </c>
      <c r="B186" s="1" t="s">
        <v>125</v>
      </c>
      <c r="C186" s="1" t="s">
        <v>64</v>
      </c>
      <c r="D186" s="1" t="s">
        <v>47</v>
      </c>
      <c r="F186" s="2">
        <v>819.81</v>
      </c>
      <c r="H186" s="2">
        <f t="shared" si="24"/>
        <v>819.81</v>
      </c>
      <c r="I186" s="2">
        <f t="shared" si="25"/>
        <v>819.81</v>
      </c>
      <c r="L186" s="2">
        <f t="shared" si="26"/>
        <v>0</v>
      </c>
      <c r="M186" s="2">
        <f t="shared" si="27"/>
        <v>819.81</v>
      </c>
    </row>
    <row r="187" hidden="1" spans="1:13">
      <c r="A187" s="30">
        <v>45839</v>
      </c>
      <c r="B187" s="1" t="s">
        <v>125</v>
      </c>
      <c r="C187" s="1" t="s">
        <v>87</v>
      </c>
      <c r="D187" s="1" t="s">
        <v>47</v>
      </c>
      <c r="H187" s="2">
        <f t="shared" si="24"/>
        <v>0</v>
      </c>
      <c r="I187" s="2">
        <f t="shared" si="25"/>
        <v>0</v>
      </c>
      <c r="J187" s="2">
        <v>163178.6</v>
      </c>
      <c r="L187" s="2">
        <f t="shared" si="26"/>
        <v>163178.6</v>
      </c>
      <c r="M187" s="2">
        <f t="shared" si="27"/>
        <v>163178.6</v>
      </c>
    </row>
    <row r="188" hidden="1" spans="1:13">
      <c r="A188" s="30">
        <v>45839</v>
      </c>
      <c r="B188" s="1" t="s">
        <v>125</v>
      </c>
      <c r="C188" s="1" t="s">
        <v>41</v>
      </c>
      <c r="D188" s="1" t="s">
        <v>47</v>
      </c>
      <c r="F188" s="2">
        <f>-651579.933899999+689891.34+1795.9795</f>
        <v>40107.385600001</v>
      </c>
      <c r="H188" s="2">
        <f t="shared" si="24"/>
        <v>40107.385600001</v>
      </c>
      <c r="I188" s="2">
        <f t="shared" si="25"/>
        <v>40107.385600001</v>
      </c>
      <c r="L188" s="2">
        <f t="shared" si="26"/>
        <v>0</v>
      </c>
      <c r="M188" s="2">
        <f t="shared" si="27"/>
        <v>40107.385600001</v>
      </c>
    </row>
    <row r="189" hidden="1" spans="1:13">
      <c r="A189" s="30">
        <v>45839</v>
      </c>
      <c r="B189" s="1" t="s">
        <v>125</v>
      </c>
      <c r="C189" s="1" t="s">
        <v>55</v>
      </c>
      <c r="D189" s="1" t="s">
        <v>47</v>
      </c>
      <c r="E189" s="2">
        <v>470059.41</v>
      </c>
      <c r="F189" s="2">
        <v>2449519.04999999</v>
      </c>
      <c r="G189" s="2">
        <v>3056376.196</v>
      </c>
      <c r="H189" s="2">
        <f t="shared" si="24"/>
        <v>-606857.14600001</v>
      </c>
      <c r="I189" s="2">
        <f t="shared" si="25"/>
        <v>-136797.73600001</v>
      </c>
      <c r="L189" s="2">
        <f t="shared" si="26"/>
        <v>0</v>
      </c>
      <c r="M189" s="2">
        <f t="shared" si="27"/>
        <v>-136797.73600001</v>
      </c>
    </row>
    <row r="190" hidden="1" spans="1:13">
      <c r="A190" s="30">
        <v>45839</v>
      </c>
      <c r="B190" s="1" t="s">
        <v>125</v>
      </c>
      <c r="C190" s="1" t="s">
        <v>114</v>
      </c>
      <c r="D190" s="1" t="s">
        <v>47</v>
      </c>
      <c r="H190" s="2">
        <f t="shared" si="24"/>
        <v>0</v>
      </c>
      <c r="I190" s="2">
        <f t="shared" si="25"/>
        <v>0</v>
      </c>
      <c r="J190" s="2">
        <v>5078.9</v>
      </c>
      <c r="L190" s="2">
        <f t="shared" si="26"/>
        <v>5078.9</v>
      </c>
      <c r="M190" s="2">
        <f t="shared" si="27"/>
        <v>5078.9</v>
      </c>
    </row>
    <row r="191" hidden="1" spans="1:13">
      <c r="A191" s="30">
        <v>45839</v>
      </c>
      <c r="B191" s="1" t="s">
        <v>125</v>
      </c>
      <c r="C191" s="1" t="s">
        <v>43</v>
      </c>
      <c r="D191" s="1" t="s">
        <v>47</v>
      </c>
      <c r="E191" s="2">
        <v>-20954.18</v>
      </c>
      <c r="F191" s="2">
        <f>89528.74599441+809.1</f>
        <v>90337.84599441</v>
      </c>
      <c r="G191" s="2">
        <v>13239.58</v>
      </c>
      <c r="H191" s="2">
        <f t="shared" si="24"/>
        <v>77098.26599441</v>
      </c>
      <c r="I191" s="2">
        <f t="shared" si="25"/>
        <v>56144.08599441</v>
      </c>
      <c r="L191" s="2">
        <f t="shared" si="26"/>
        <v>0</v>
      </c>
      <c r="M191" s="2">
        <f t="shared" si="27"/>
        <v>56144.08599441</v>
      </c>
    </row>
    <row r="192" hidden="1" spans="1:13">
      <c r="A192" s="30">
        <v>45839</v>
      </c>
      <c r="B192" s="1" t="s">
        <v>125</v>
      </c>
      <c r="C192" s="1" t="s">
        <v>57</v>
      </c>
      <c r="D192" s="1" t="s">
        <v>47</v>
      </c>
      <c r="F192" s="2">
        <v>61.1204</v>
      </c>
      <c r="H192" s="2">
        <f t="shared" si="24"/>
        <v>61.1204</v>
      </c>
      <c r="I192" s="2">
        <f t="shared" si="25"/>
        <v>61.1204</v>
      </c>
      <c r="L192" s="2">
        <f t="shared" si="26"/>
        <v>0</v>
      </c>
      <c r="M192" s="2">
        <f t="shared" si="27"/>
        <v>61.1204</v>
      </c>
    </row>
    <row r="193" hidden="1" spans="1:13">
      <c r="A193" s="30">
        <v>45839</v>
      </c>
      <c r="B193" s="1" t="s">
        <v>126</v>
      </c>
      <c r="C193" s="1" t="s">
        <v>41</v>
      </c>
      <c r="D193" s="1" t="s">
        <v>42</v>
      </c>
      <c r="F193" s="2">
        <v>93.06</v>
      </c>
      <c r="G193" s="2">
        <v>82.5</v>
      </c>
      <c r="H193" s="2">
        <f t="shared" si="24"/>
        <v>10.56</v>
      </c>
      <c r="I193" s="2">
        <f t="shared" si="25"/>
        <v>10.56</v>
      </c>
      <c r="L193" s="2">
        <f t="shared" si="26"/>
        <v>0</v>
      </c>
      <c r="M193" s="2">
        <f t="shared" si="27"/>
        <v>10.56</v>
      </c>
    </row>
    <row r="194" hidden="1" spans="1:13">
      <c r="A194" s="30">
        <v>45839</v>
      </c>
      <c r="B194" s="1" t="s">
        <v>126</v>
      </c>
      <c r="C194" s="1" t="s">
        <v>43</v>
      </c>
      <c r="D194" s="1" t="s">
        <v>42</v>
      </c>
      <c r="F194" s="2">
        <v>11519.7</v>
      </c>
      <c r="G194" s="2">
        <v>10750</v>
      </c>
      <c r="H194" s="2">
        <f t="shared" si="24"/>
        <v>769.700000000001</v>
      </c>
      <c r="I194" s="2">
        <f t="shared" si="25"/>
        <v>769.700000000001</v>
      </c>
      <c r="L194" s="2">
        <f t="shared" si="26"/>
        <v>0</v>
      </c>
      <c r="M194" s="2">
        <f t="shared" si="27"/>
        <v>769.700000000001</v>
      </c>
    </row>
    <row r="195" hidden="1" spans="1:13">
      <c r="A195" s="30">
        <v>45839</v>
      </c>
      <c r="B195" s="1" t="s">
        <v>126</v>
      </c>
      <c r="C195" s="1" t="s">
        <v>41</v>
      </c>
      <c r="D195" s="1" t="s">
        <v>47</v>
      </c>
      <c r="F195" s="2">
        <v>27.3</v>
      </c>
      <c r="G195" s="2">
        <v>26</v>
      </c>
      <c r="H195" s="2">
        <f t="shared" si="24"/>
        <v>1.3</v>
      </c>
      <c r="I195" s="2">
        <f t="shared" si="25"/>
        <v>1.3</v>
      </c>
      <c r="L195" s="2">
        <f t="shared" si="26"/>
        <v>0</v>
      </c>
      <c r="M195" s="2">
        <f t="shared" si="27"/>
        <v>1.3</v>
      </c>
    </row>
    <row r="196" hidden="1" spans="1:13">
      <c r="A196" s="30">
        <v>45839</v>
      </c>
      <c r="B196" s="1" t="s">
        <v>126</v>
      </c>
      <c r="C196" s="1" t="s">
        <v>43</v>
      </c>
      <c r="D196" s="1" t="s">
        <v>47</v>
      </c>
      <c r="F196" s="2">
        <v>1495.86</v>
      </c>
      <c r="G196" s="2">
        <v>1469.8</v>
      </c>
      <c r="H196" s="2">
        <f t="shared" si="24"/>
        <v>26.0599999999999</v>
      </c>
      <c r="I196" s="2">
        <f t="shared" si="25"/>
        <v>26.0599999999999</v>
      </c>
      <c r="L196" s="2">
        <f t="shared" si="26"/>
        <v>0</v>
      </c>
      <c r="M196" s="2">
        <f t="shared" si="27"/>
        <v>26.0599999999999</v>
      </c>
    </row>
    <row r="197" hidden="1" spans="1:13">
      <c r="A197" s="30">
        <v>45839</v>
      </c>
      <c r="B197" s="1" t="s">
        <v>127</v>
      </c>
      <c r="C197" s="1" t="s">
        <v>114</v>
      </c>
      <c r="D197" s="1" t="s">
        <v>47</v>
      </c>
      <c r="H197" s="2">
        <f t="shared" si="24"/>
        <v>0</v>
      </c>
      <c r="I197" s="2">
        <f t="shared" si="25"/>
        <v>0</v>
      </c>
      <c r="K197" s="2">
        <v>9344.59</v>
      </c>
      <c r="L197" s="2">
        <f t="shared" si="26"/>
        <v>-9344.59</v>
      </c>
      <c r="M197" s="2">
        <f t="shared" si="27"/>
        <v>-9344.59</v>
      </c>
    </row>
    <row r="198" hidden="1" spans="1:13">
      <c r="A198" s="30">
        <v>45839</v>
      </c>
      <c r="B198" s="1" t="s">
        <v>128</v>
      </c>
      <c r="C198" s="1" t="s">
        <v>51</v>
      </c>
      <c r="D198" s="1" t="s">
        <v>52</v>
      </c>
      <c r="H198" s="2">
        <f t="shared" si="24"/>
        <v>0</v>
      </c>
      <c r="I198" s="2">
        <f t="shared" si="25"/>
        <v>0</v>
      </c>
      <c r="J198" s="2">
        <v>45743.14</v>
      </c>
      <c r="L198" s="2">
        <f t="shared" si="26"/>
        <v>45743.14</v>
      </c>
      <c r="M198" s="2">
        <f t="shared" si="27"/>
        <v>45743.14</v>
      </c>
    </row>
    <row r="199" hidden="1" spans="1:13">
      <c r="A199" s="30">
        <v>45839</v>
      </c>
      <c r="B199" s="1" t="s">
        <v>129</v>
      </c>
      <c r="C199" s="1" t="s">
        <v>79</v>
      </c>
      <c r="D199" s="1" t="s">
        <v>47</v>
      </c>
      <c r="F199" s="2">
        <v>1233318.22</v>
      </c>
      <c r="G199" s="2">
        <v>1233312.14999999</v>
      </c>
      <c r="H199" s="2">
        <f t="shared" si="24"/>
        <v>6.07000001007691</v>
      </c>
      <c r="I199" s="2">
        <f t="shared" si="25"/>
        <v>6.07000001007691</v>
      </c>
      <c r="L199" s="2">
        <f t="shared" si="26"/>
        <v>0</v>
      </c>
      <c r="M199" s="2">
        <f t="shared" si="27"/>
        <v>6.07000001007691</v>
      </c>
    </row>
    <row r="200" hidden="1" spans="1:13">
      <c r="A200" s="30">
        <v>45839</v>
      </c>
      <c r="B200" s="1" t="s">
        <v>129</v>
      </c>
      <c r="C200" s="1" t="s">
        <v>41</v>
      </c>
      <c r="D200" s="1" t="s">
        <v>47</v>
      </c>
      <c r="F200" s="2">
        <v>12242.32</v>
      </c>
      <c r="H200" s="2">
        <f t="shared" si="24"/>
        <v>12242.32</v>
      </c>
      <c r="I200" s="2">
        <f t="shared" si="25"/>
        <v>12242.32</v>
      </c>
      <c r="L200" s="2">
        <f t="shared" si="26"/>
        <v>0</v>
      </c>
      <c r="M200" s="2">
        <f t="shared" si="27"/>
        <v>12242.32</v>
      </c>
    </row>
    <row r="201" hidden="1" spans="1:13">
      <c r="A201" s="30">
        <v>45839</v>
      </c>
      <c r="B201" s="1" t="s">
        <v>130</v>
      </c>
      <c r="C201" s="1" t="s">
        <v>41</v>
      </c>
      <c r="D201" s="1" t="s">
        <v>90</v>
      </c>
      <c r="F201" s="2">
        <v>42762.8</v>
      </c>
      <c r="G201" s="2">
        <v>41805.5</v>
      </c>
      <c r="H201" s="2">
        <f t="shared" si="24"/>
        <v>957.300000000003</v>
      </c>
      <c r="I201" s="2">
        <f t="shared" si="25"/>
        <v>957.300000000003</v>
      </c>
      <c r="L201" s="2">
        <f t="shared" si="26"/>
        <v>0</v>
      </c>
      <c r="M201" s="2">
        <f t="shared" si="27"/>
        <v>957.300000000003</v>
      </c>
    </row>
    <row r="202" hidden="1" spans="1:13">
      <c r="A202" s="30">
        <v>45839</v>
      </c>
      <c r="B202" s="1" t="s">
        <v>130</v>
      </c>
      <c r="C202" s="1" t="s">
        <v>43</v>
      </c>
      <c r="D202" s="1" t="s">
        <v>90</v>
      </c>
      <c r="F202" s="2">
        <v>12872.55</v>
      </c>
      <c r="G202" s="2">
        <v>12493</v>
      </c>
      <c r="H202" s="2">
        <f t="shared" si="24"/>
        <v>379.549999999999</v>
      </c>
      <c r="I202" s="2">
        <f t="shared" si="25"/>
        <v>379.549999999999</v>
      </c>
      <c r="L202" s="2">
        <f t="shared" si="26"/>
        <v>0</v>
      </c>
      <c r="M202" s="2">
        <f t="shared" si="27"/>
        <v>379.549999999999</v>
      </c>
    </row>
    <row r="203" hidden="1" spans="1:13">
      <c r="A203" s="30">
        <v>45839</v>
      </c>
      <c r="B203" s="1" t="s">
        <v>131</v>
      </c>
      <c r="C203" s="1" t="s">
        <v>41</v>
      </c>
      <c r="D203" s="1" t="s">
        <v>42</v>
      </c>
      <c r="F203" s="2">
        <v>1609.55562578</v>
      </c>
      <c r="H203" s="2">
        <f t="shared" si="24"/>
        <v>1609.55562578</v>
      </c>
      <c r="I203" s="2">
        <f t="shared" si="25"/>
        <v>1609.55562578</v>
      </c>
      <c r="L203" s="2">
        <f t="shared" si="26"/>
        <v>0</v>
      </c>
      <c r="M203" s="2">
        <f t="shared" si="27"/>
        <v>1609.55562578</v>
      </c>
    </row>
    <row r="204" hidden="1" spans="1:13">
      <c r="A204" s="30">
        <v>45839</v>
      </c>
      <c r="B204" s="1" t="s">
        <v>131</v>
      </c>
      <c r="C204" s="1" t="s">
        <v>49</v>
      </c>
      <c r="D204" s="1" t="s">
        <v>42</v>
      </c>
      <c r="F204" s="2">
        <v>700482.999999999</v>
      </c>
      <c r="G204" s="2">
        <f>692520.39800995+5660.38</f>
        <v>698180.77800995</v>
      </c>
      <c r="H204" s="2">
        <f t="shared" si="24"/>
        <v>2302.221990049</v>
      </c>
      <c r="I204" s="2">
        <f t="shared" si="25"/>
        <v>2302.221990049</v>
      </c>
      <c r="L204" s="2">
        <f t="shared" si="26"/>
        <v>0</v>
      </c>
      <c r="M204" s="2">
        <f t="shared" si="27"/>
        <v>2302.221990049</v>
      </c>
    </row>
    <row r="205" hidden="1" spans="1:13">
      <c r="A205" s="30">
        <v>45839</v>
      </c>
      <c r="B205" s="1" t="s">
        <v>131</v>
      </c>
      <c r="C205" s="1" t="s">
        <v>43</v>
      </c>
      <c r="D205" s="1" t="s">
        <v>42</v>
      </c>
      <c r="F205" s="2">
        <v>2500</v>
      </c>
      <c r="H205" s="2">
        <f t="shared" si="24"/>
        <v>2500</v>
      </c>
      <c r="I205" s="2">
        <f t="shared" si="25"/>
        <v>2500</v>
      </c>
      <c r="L205" s="2">
        <f t="shared" si="26"/>
        <v>0</v>
      </c>
      <c r="M205" s="2">
        <f t="shared" si="27"/>
        <v>2500</v>
      </c>
    </row>
    <row r="206" hidden="1" spans="1:13">
      <c r="A206" s="30">
        <v>45839</v>
      </c>
      <c r="B206" s="1" t="s">
        <v>132</v>
      </c>
      <c r="C206" s="1" t="s">
        <v>44</v>
      </c>
      <c r="D206" s="1" t="s">
        <v>45</v>
      </c>
      <c r="F206" s="2">
        <v>40879.36</v>
      </c>
      <c r="G206" s="2">
        <v>40767.05</v>
      </c>
      <c r="H206" s="2">
        <f t="shared" si="24"/>
        <v>112.309999999998</v>
      </c>
      <c r="I206" s="2">
        <f t="shared" si="25"/>
        <v>112.309999999998</v>
      </c>
      <c r="L206" s="2">
        <f t="shared" si="26"/>
        <v>0</v>
      </c>
      <c r="M206" s="2">
        <f t="shared" si="27"/>
        <v>112.309999999998</v>
      </c>
    </row>
    <row r="207" hidden="1" spans="1:13">
      <c r="A207" s="30">
        <v>45839</v>
      </c>
      <c r="B207" s="1" t="s">
        <v>133</v>
      </c>
      <c r="C207" s="1" t="s">
        <v>43</v>
      </c>
      <c r="D207" s="1" t="s">
        <v>42</v>
      </c>
      <c r="F207" s="2">
        <v>40</v>
      </c>
      <c r="G207" s="2">
        <v>40</v>
      </c>
      <c r="H207" s="2">
        <f t="shared" si="24"/>
        <v>0</v>
      </c>
      <c r="I207" s="2">
        <f t="shared" si="25"/>
        <v>0</v>
      </c>
      <c r="L207" s="2">
        <f t="shared" si="26"/>
        <v>0</v>
      </c>
      <c r="M207" s="2">
        <f t="shared" si="27"/>
        <v>0</v>
      </c>
    </row>
    <row r="208" hidden="1" spans="1:13">
      <c r="A208" s="30">
        <v>45839</v>
      </c>
      <c r="B208" s="1" t="s">
        <v>133</v>
      </c>
      <c r="C208" s="1" t="s">
        <v>121</v>
      </c>
      <c r="D208" s="1" t="s">
        <v>52</v>
      </c>
      <c r="F208" s="2">
        <v>324407</v>
      </c>
      <c r="G208" s="2">
        <v>315407</v>
      </c>
      <c r="H208" s="2">
        <f t="shared" si="24"/>
        <v>9000</v>
      </c>
      <c r="I208" s="2">
        <f t="shared" si="25"/>
        <v>9000</v>
      </c>
      <c r="L208" s="2">
        <f t="shared" si="26"/>
        <v>0</v>
      </c>
      <c r="M208" s="2">
        <f t="shared" si="27"/>
        <v>9000</v>
      </c>
    </row>
    <row r="209" hidden="1" spans="1:13">
      <c r="A209" s="30">
        <v>45839</v>
      </c>
      <c r="B209" s="1" t="s">
        <v>134</v>
      </c>
      <c r="C209" s="1" t="s">
        <v>41</v>
      </c>
      <c r="D209" s="1" t="s">
        <v>47</v>
      </c>
      <c r="F209" s="2">
        <v>-455.0169</v>
      </c>
      <c r="H209" s="2">
        <f t="shared" si="24"/>
        <v>-455.0169</v>
      </c>
      <c r="I209" s="2">
        <f t="shared" si="25"/>
        <v>-455.0169</v>
      </c>
      <c r="L209" s="2">
        <f t="shared" si="26"/>
        <v>0</v>
      </c>
      <c r="M209" s="2">
        <f t="shared" si="27"/>
        <v>-455.0169</v>
      </c>
    </row>
    <row r="210" hidden="1" spans="1:13">
      <c r="A210" s="30">
        <v>45839</v>
      </c>
      <c r="B210" s="1" t="s">
        <v>134</v>
      </c>
      <c r="C210" s="1" t="s">
        <v>43</v>
      </c>
      <c r="D210" s="1" t="s">
        <v>47</v>
      </c>
      <c r="E210" s="2">
        <v>85917.41</v>
      </c>
      <c r="F210" s="2">
        <v>14760.405</v>
      </c>
      <c r="G210" s="2">
        <f>14697.2+252.41</f>
        <v>14949.61</v>
      </c>
      <c r="H210" s="2">
        <f t="shared" si="24"/>
        <v>-189.205</v>
      </c>
      <c r="I210" s="2">
        <f t="shared" si="25"/>
        <v>85728.205</v>
      </c>
      <c r="L210" s="2">
        <f t="shared" si="26"/>
        <v>0</v>
      </c>
      <c r="M210" s="2">
        <f t="shared" si="27"/>
        <v>85728.205</v>
      </c>
    </row>
    <row r="211" hidden="1" spans="1:13">
      <c r="A211" s="30">
        <v>45839</v>
      </c>
      <c r="B211" s="1" t="s">
        <v>134</v>
      </c>
      <c r="C211" s="1" t="s">
        <v>57</v>
      </c>
      <c r="D211" s="1" t="s">
        <v>47</v>
      </c>
      <c r="F211" s="2">
        <v>271292.9169</v>
      </c>
      <c r="G211" s="2">
        <v>312124.3</v>
      </c>
      <c r="H211" s="2">
        <f t="shared" si="24"/>
        <v>-40831.3831</v>
      </c>
      <c r="I211" s="2">
        <f t="shared" si="25"/>
        <v>-40831.3831</v>
      </c>
      <c r="L211" s="2">
        <f t="shared" si="26"/>
        <v>0</v>
      </c>
      <c r="M211" s="2">
        <f t="shared" si="27"/>
        <v>-40831.3831</v>
      </c>
    </row>
    <row r="212" hidden="1" spans="1:13">
      <c r="A212" s="30">
        <v>45839</v>
      </c>
      <c r="B212" s="1" t="s">
        <v>135</v>
      </c>
      <c r="C212" s="1" t="s">
        <v>41</v>
      </c>
      <c r="D212" s="1" t="s">
        <v>42</v>
      </c>
      <c r="F212" s="2">
        <v>9249</v>
      </c>
      <c r="G212" s="2">
        <v>77501.72</v>
      </c>
      <c r="H212" s="2">
        <f t="shared" si="24"/>
        <v>-68252.72</v>
      </c>
      <c r="I212" s="2">
        <f t="shared" si="25"/>
        <v>-68252.72</v>
      </c>
      <c r="L212" s="2">
        <f t="shared" si="26"/>
        <v>0</v>
      </c>
      <c r="M212" s="2">
        <f t="shared" si="27"/>
        <v>-68252.72</v>
      </c>
    </row>
    <row r="213" hidden="1" spans="1:13">
      <c r="A213" s="30">
        <v>45839</v>
      </c>
      <c r="B213" s="1" t="s">
        <v>135</v>
      </c>
      <c r="C213" s="1" t="s">
        <v>43</v>
      </c>
      <c r="D213" s="1" t="s">
        <v>42</v>
      </c>
      <c r="F213" s="2">
        <v>4818.19</v>
      </c>
      <c r="G213" s="2">
        <v>4720.546</v>
      </c>
      <c r="H213" s="2">
        <f t="shared" si="24"/>
        <v>97.6439999999993</v>
      </c>
      <c r="I213" s="2">
        <f t="shared" si="25"/>
        <v>97.6439999999993</v>
      </c>
      <c r="L213" s="2">
        <f t="shared" si="26"/>
        <v>0</v>
      </c>
      <c r="M213" s="2">
        <f t="shared" si="27"/>
        <v>97.6439999999993</v>
      </c>
    </row>
    <row r="214" hidden="1" spans="1:13">
      <c r="A214" s="30">
        <v>45839</v>
      </c>
      <c r="B214" s="1" t="s">
        <v>136</v>
      </c>
      <c r="C214" s="1" t="s">
        <v>41</v>
      </c>
      <c r="D214" s="1" t="s">
        <v>42</v>
      </c>
      <c r="F214" s="2">
        <v>3381.5</v>
      </c>
      <c r="G214" s="2">
        <v>3346.2</v>
      </c>
      <c r="H214" s="2">
        <f t="shared" ref="H214:H233" si="28">F214-G214</f>
        <v>35.3000000000002</v>
      </c>
      <c r="I214" s="2">
        <f t="shared" ref="I214:I233" si="29">H214+E214</f>
        <v>35.3000000000002</v>
      </c>
      <c r="L214" s="2">
        <f t="shared" ref="L214:L244" si="30">J214-K214</f>
        <v>0</v>
      </c>
      <c r="M214" s="2">
        <f t="shared" ref="M214:M244" si="31">I214+L214</f>
        <v>35.3000000000002</v>
      </c>
    </row>
    <row r="215" hidden="1" spans="1:13">
      <c r="A215" s="30">
        <v>45839</v>
      </c>
      <c r="B215" s="1" t="s">
        <v>136</v>
      </c>
      <c r="C215" s="1" t="s">
        <v>43</v>
      </c>
      <c r="D215" s="1" t="s">
        <v>42</v>
      </c>
      <c r="F215" s="2">
        <v>2000518.88</v>
      </c>
      <c r="G215" s="2">
        <v>1996052.4</v>
      </c>
      <c r="H215" s="2">
        <f t="shared" si="28"/>
        <v>4466.47999999998</v>
      </c>
      <c r="I215" s="2">
        <f t="shared" si="29"/>
        <v>4466.47999999998</v>
      </c>
      <c r="L215" s="2">
        <f t="shared" si="30"/>
        <v>0</v>
      </c>
      <c r="M215" s="2">
        <f t="shared" si="31"/>
        <v>4466.47999999998</v>
      </c>
    </row>
    <row r="216" hidden="1" spans="1:13">
      <c r="A216" s="30">
        <v>45839</v>
      </c>
      <c r="B216" s="1" t="s">
        <v>137</v>
      </c>
      <c r="C216" s="1" t="s">
        <v>41</v>
      </c>
      <c r="D216" s="1" t="s">
        <v>42</v>
      </c>
      <c r="F216" s="2">
        <v>304991.85</v>
      </c>
      <c r="G216" s="2">
        <v>297901.4</v>
      </c>
      <c r="H216" s="2">
        <f t="shared" si="28"/>
        <v>7090.44999999995</v>
      </c>
      <c r="I216" s="2">
        <f t="shared" si="29"/>
        <v>7090.44999999995</v>
      </c>
      <c r="L216" s="2">
        <f t="shared" si="30"/>
        <v>0</v>
      </c>
      <c r="M216" s="2">
        <f t="shared" si="31"/>
        <v>7090.44999999995</v>
      </c>
    </row>
    <row r="217" hidden="1" spans="1:13">
      <c r="A217" s="30">
        <v>45839</v>
      </c>
      <c r="B217" s="1" t="s">
        <v>137</v>
      </c>
      <c r="C217" s="1" t="s">
        <v>55</v>
      </c>
      <c r="D217" s="1" t="s">
        <v>42</v>
      </c>
      <c r="F217" s="2">
        <v>123748.3</v>
      </c>
      <c r="G217" s="2">
        <v>123513</v>
      </c>
      <c r="H217" s="2">
        <f t="shared" si="28"/>
        <v>235.300000000003</v>
      </c>
      <c r="I217" s="2">
        <f t="shared" si="29"/>
        <v>235.300000000003</v>
      </c>
      <c r="L217" s="2">
        <f t="shared" si="30"/>
        <v>0</v>
      </c>
      <c r="M217" s="2">
        <f t="shared" si="31"/>
        <v>235.300000000003</v>
      </c>
    </row>
    <row r="218" hidden="1" spans="1:13">
      <c r="A218" s="30">
        <v>45839</v>
      </c>
      <c r="B218" s="1" t="s">
        <v>137</v>
      </c>
      <c r="C218" s="1" t="s">
        <v>43</v>
      </c>
      <c r="D218" s="1" t="s">
        <v>42</v>
      </c>
      <c r="F218" s="2">
        <v>36283.2</v>
      </c>
      <c r="G218" s="2">
        <v>34855.55</v>
      </c>
      <c r="H218" s="2">
        <f t="shared" si="28"/>
        <v>1427.64999999999</v>
      </c>
      <c r="I218" s="2">
        <f t="shared" si="29"/>
        <v>1427.64999999999</v>
      </c>
      <c r="L218" s="2">
        <f t="shared" si="30"/>
        <v>0</v>
      </c>
      <c r="M218" s="2">
        <f t="shared" si="31"/>
        <v>1427.64999999999</v>
      </c>
    </row>
    <row r="219" hidden="1" spans="1:13">
      <c r="A219" s="30">
        <v>45839</v>
      </c>
      <c r="B219" s="1" t="s">
        <v>137</v>
      </c>
      <c r="C219" s="1" t="s">
        <v>41</v>
      </c>
      <c r="D219" s="1" t="s">
        <v>47</v>
      </c>
      <c r="F219" s="2">
        <v>32.68</v>
      </c>
      <c r="G219" s="2">
        <v>31.82</v>
      </c>
      <c r="H219" s="2">
        <f t="shared" si="28"/>
        <v>0.859999999999999</v>
      </c>
      <c r="I219" s="2">
        <f t="shared" si="29"/>
        <v>0.859999999999999</v>
      </c>
      <c r="L219" s="2">
        <f t="shared" si="30"/>
        <v>0</v>
      </c>
      <c r="M219" s="2">
        <f t="shared" si="31"/>
        <v>0.859999999999999</v>
      </c>
    </row>
    <row r="220" hidden="1" spans="1:13">
      <c r="A220" s="30">
        <v>45839</v>
      </c>
      <c r="B220" s="1" t="s">
        <v>137</v>
      </c>
      <c r="C220" s="1" t="s">
        <v>43</v>
      </c>
      <c r="D220" s="1" t="s">
        <v>47</v>
      </c>
      <c r="F220" s="2">
        <v>647.37</v>
      </c>
      <c r="G220" s="2">
        <v>647.37</v>
      </c>
      <c r="H220" s="2">
        <f t="shared" si="28"/>
        <v>0</v>
      </c>
      <c r="I220" s="2">
        <f t="shared" si="29"/>
        <v>0</v>
      </c>
      <c r="L220" s="2">
        <f t="shared" si="30"/>
        <v>0</v>
      </c>
      <c r="M220" s="2">
        <f t="shared" si="31"/>
        <v>0</v>
      </c>
    </row>
    <row r="221" hidden="1" spans="1:13">
      <c r="A221" s="30">
        <v>45839</v>
      </c>
      <c r="B221" s="1" t="s">
        <v>138</v>
      </c>
      <c r="C221" s="1" t="s">
        <v>43</v>
      </c>
      <c r="D221" s="1" t="s">
        <v>47</v>
      </c>
      <c r="F221" s="2">
        <v>505513.22</v>
      </c>
      <c r="G221" s="2">
        <v>497518.499999999</v>
      </c>
      <c r="H221" s="2">
        <f t="shared" si="28"/>
        <v>7994.72000000096</v>
      </c>
      <c r="I221" s="2">
        <f t="shared" si="29"/>
        <v>7994.72000000096</v>
      </c>
      <c r="L221" s="2">
        <f t="shared" si="30"/>
        <v>0</v>
      </c>
      <c r="M221" s="2">
        <f t="shared" si="31"/>
        <v>7994.72000000096</v>
      </c>
    </row>
    <row r="222" hidden="1" spans="1:13">
      <c r="A222" s="30">
        <v>45839</v>
      </c>
      <c r="B222" s="1" t="s">
        <v>138</v>
      </c>
      <c r="C222" s="1" t="s">
        <v>57</v>
      </c>
      <c r="D222" s="1" t="s">
        <v>47</v>
      </c>
      <c r="F222" s="2">
        <v>28274.3999999999</v>
      </c>
      <c r="G222" s="2">
        <v>27489</v>
      </c>
      <c r="H222" s="2">
        <f t="shared" si="28"/>
        <v>785.3999999999</v>
      </c>
      <c r="I222" s="2">
        <f t="shared" si="29"/>
        <v>785.3999999999</v>
      </c>
      <c r="L222" s="2">
        <f t="shared" si="30"/>
        <v>0</v>
      </c>
      <c r="M222" s="2">
        <f t="shared" si="31"/>
        <v>785.3999999999</v>
      </c>
    </row>
    <row r="223" hidden="1" spans="1:13">
      <c r="A223" s="30">
        <v>45839</v>
      </c>
      <c r="B223" s="1" t="s">
        <v>139</v>
      </c>
      <c r="C223" s="1" t="s">
        <v>41</v>
      </c>
      <c r="D223" s="1" t="s">
        <v>42</v>
      </c>
      <c r="F223" s="2">
        <f>645630.6+1427</f>
        <v>647057.6</v>
      </c>
      <c r="G223" s="2">
        <v>646649.45</v>
      </c>
      <c r="H223" s="2">
        <f t="shared" si="28"/>
        <v>408.150000000023</v>
      </c>
      <c r="I223" s="2">
        <f t="shared" si="29"/>
        <v>408.150000000023</v>
      </c>
      <c r="L223" s="2">
        <f t="shared" si="30"/>
        <v>0</v>
      </c>
      <c r="M223" s="2">
        <f t="shared" si="31"/>
        <v>408.150000000023</v>
      </c>
    </row>
    <row r="224" hidden="1" spans="1:13">
      <c r="A224" s="30">
        <v>45839</v>
      </c>
      <c r="B224" s="1" t="s">
        <v>139</v>
      </c>
      <c r="C224" s="1" t="s">
        <v>55</v>
      </c>
      <c r="D224" s="1" t="s">
        <v>42</v>
      </c>
      <c r="F224" s="2">
        <v>246</v>
      </c>
      <c r="H224" s="2">
        <f t="shared" si="28"/>
        <v>246</v>
      </c>
      <c r="I224" s="2">
        <f t="shared" si="29"/>
        <v>246</v>
      </c>
      <c r="L224" s="2">
        <f t="shared" si="30"/>
        <v>0</v>
      </c>
      <c r="M224" s="2">
        <f t="shared" si="31"/>
        <v>246</v>
      </c>
    </row>
    <row r="225" hidden="1" spans="1:13">
      <c r="A225" s="30">
        <v>45839</v>
      </c>
      <c r="B225" s="1" t="s">
        <v>139</v>
      </c>
      <c r="C225" s="1" t="s">
        <v>43</v>
      </c>
      <c r="D225" s="1" t="s">
        <v>42</v>
      </c>
      <c r="F225" s="2">
        <v>8347.21</v>
      </c>
      <c r="H225" s="2">
        <f t="shared" si="28"/>
        <v>8347.21</v>
      </c>
      <c r="I225" s="2">
        <f t="shared" si="29"/>
        <v>8347.21</v>
      </c>
      <c r="L225" s="2">
        <f t="shared" si="30"/>
        <v>0</v>
      </c>
      <c r="M225" s="2">
        <f t="shared" si="31"/>
        <v>8347.21</v>
      </c>
    </row>
    <row r="226" hidden="1" spans="1:13">
      <c r="A226" s="30">
        <v>45839</v>
      </c>
      <c r="B226" s="1" t="s">
        <v>140</v>
      </c>
      <c r="C226" s="1" t="s">
        <v>41</v>
      </c>
      <c r="D226" s="1" t="s">
        <v>42</v>
      </c>
      <c r="F226" s="2">
        <v>126651.7</v>
      </c>
      <c r="G226" s="2">
        <v>125951.23</v>
      </c>
      <c r="H226" s="2">
        <f t="shared" si="28"/>
        <v>700.470000000001</v>
      </c>
      <c r="I226" s="2">
        <f t="shared" si="29"/>
        <v>700.470000000001</v>
      </c>
      <c r="L226" s="2">
        <f t="shared" si="30"/>
        <v>0</v>
      </c>
      <c r="M226" s="2">
        <f t="shared" si="31"/>
        <v>700.470000000001</v>
      </c>
    </row>
    <row r="227" hidden="1" spans="1:13">
      <c r="A227" s="30">
        <v>45839</v>
      </c>
      <c r="B227" s="1" t="s">
        <v>140</v>
      </c>
      <c r="C227" s="1" t="s">
        <v>55</v>
      </c>
      <c r="D227" s="1" t="s">
        <v>42</v>
      </c>
      <c r="F227" s="2">
        <v>365224.6</v>
      </c>
      <c r="G227" s="2">
        <v>363122.6</v>
      </c>
      <c r="H227" s="2">
        <f t="shared" si="28"/>
        <v>2102</v>
      </c>
      <c r="I227" s="2">
        <f t="shared" si="29"/>
        <v>2102</v>
      </c>
      <c r="L227" s="2">
        <f t="shared" si="30"/>
        <v>0</v>
      </c>
      <c r="M227" s="2">
        <f t="shared" si="31"/>
        <v>2102</v>
      </c>
    </row>
    <row r="228" hidden="1" spans="1:13">
      <c r="A228" s="30">
        <v>45839</v>
      </c>
      <c r="B228" s="1" t="s">
        <v>140</v>
      </c>
      <c r="C228" s="1" t="s">
        <v>43</v>
      </c>
      <c r="D228" s="1" t="s">
        <v>42</v>
      </c>
      <c r="F228" s="2">
        <v>3744269</v>
      </c>
      <c r="G228" s="2">
        <v>3716062.81</v>
      </c>
      <c r="H228" s="2">
        <f t="shared" si="28"/>
        <v>28206.1899999999</v>
      </c>
      <c r="I228" s="2">
        <f t="shared" si="29"/>
        <v>28206.1899999999</v>
      </c>
      <c r="L228" s="2">
        <f t="shared" si="30"/>
        <v>0</v>
      </c>
      <c r="M228" s="2">
        <f t="shared" si="31"/>
        <v>28206.1899999999</v>
      </c>
    </row>
    <row r="229" hidden="1" spans="1:13">
      <c r="A229" s="30">
        <v>45839</v>
      </c>
      <c r="B229" s="1" t="s">
        <v>141</v>
      </c>
      <c r="C229" s="1" t="s">
        <v>41</v>
      </c>
      <c r="D229" s="1" t="s">
        <v>42</v>
      </c>
      <c r="F229" s="2">
        <v>67</v>
      </c>
      <c r="H229" s="2">
        <f t="shared" si="28"/>
        <v>67</v>
      </c>
      <c r="I229" s="2">
        <f t="shared" si="29"/>
        <v>67</v>
      </c>
      <c r="L229" s="2">
        <f t="shared" si="30"/>
        <v>0</v>
      </c>
      <c r="M229" s="2">
        <f t="shared" si="31"/>
        <v>67</v>
      </c>
    </row>
    <row r="230" hidden="1" spans="1:13">
      <c r="A230" s="30">
        <v>45839</v>
      </c>
      <c r="B230" s="1" t="s">
        <v>141</v>
      </c>
      <c r="C230" s="1" t="s">
        <v>43</v>
      </c>
      <c r="D230" s="1" t="s">
        <v>42</v>
      </c>
      <c r="F230" s="2">
        <v>1253.05</v>
      </c>
      <c r="G230" s="2">
        <v>1232</v>
      </c>
      <c r="H230" s="2">
        <f t="shared" si="28"/>
        <v>21.05</v>
      </c>
      <c r="I230" s="2">
        <f t="shared" si="29"/>
        <v>21.05</v>
      </c>
      <c r="L230" s="2">
        <f t="shared" si="30"/>
        <v>0</v>
      </c>
      <c r="M230" s="2">
        <f t="shared" si="31"/>
        <v>21.05</v>
      </c>
    </row>
    <row r="231" hidden="1" spans="1:13">
      <c r="A231" s="30">
        <v>45839</v>
      </c>
      <c r="B231" s="1" t="s">
        <v>141</v>
      </c>
      <c r="C231" s="1" t="s">
        <v>57</v>
      </c>
      <c r="D231" s="1" t="s">
        <v>42</v>
      </c>
      <c r="F231" s="2">
        <v>84</v>
      </c>
      <c r="G231" s="2">
        <v>-0.019999999999996</v>
      </c>
      <c r="H231" s="2">
        <f t="shared" si="28"/>
        <v>84.02</v>
      </c>
      <c r="I231" s="2">
        <f t="shared" si="29"/>
        <v>84.02</v>
      </c>
      <c r="L231" s="2">
        <f t="shared" si="30"/>
        <v>0</v>
      </c>
      <c r="M231" s="2">
        <f t="shared" si="31"/>
        <v>84.02</v>
      </c>
    </row>
    <row r="232" hidden="1" spans="1:13">
      <c r="A232" s="30">
        <v>45839</v>
      </c>
      <c r="B232" s="1" t="s">
        <v>141</v>
      </c>
      <c r="C232" s="1" t="s">
        <v>64</v>
      </c>
      <c r="D232" s="1" t="s">
        <v>47</v>
      </c>
      <c r="F232" s="2">
        <v>943.2</v>
      </c>
      <c r="H232" s="2">
        <f t="shared" si="28"/>
        <v>943.2</v>
      </c>
      <c r="I232" s="2">
        <f t="shared" si="29"/>
        <v>943.2</v>
      </c>
      <c r="L232" s="2">
        <f t="shared" si="30"/>
        <v>0</v>
      </c>
      <c r="M232" s="2">
        <f t="shared" si="31"/>
        <v>943.2</v>
      </c>
    </row>
    <row r="233" hidden="1" spans="1:13">
      <c r="A233" s="30">
        <v>45839</v>
      </c>
      <c r="B233" s="1" t="s">
        <v>141</v>
      </c>
      <c r="C233" s="1" t="s">
        <v>41</v>
      </c>
      <c r="D233" s="1" t="s">
        <v>47</v>
      </c>
      <c r="F233" s="2">
        <v>4123.73043329</v>
      </c>
      <c r="H233" s="2">
        <f t="shared" si="28"/>
        <v>4123.73043329</v>
      </c>
      <c r="I233" s="2">
        <f t="shared" si="29"/>
        <v>4123.73043329</v>
      </c>
      <c r="L233" s="2">
        <f t="shared" si="30"/>
        <v>0</v>
      </c>
      <c r="M233" s="2">
        <f t="shared" si="31"/>
        <v>4123.73043329</v>
      </c>
    </row>
    <row r="234" hidden="1" spans="1:13">
      <c r="A234" s="30">
        <v>45839</v>
      </c>
      <c r="B234" s="1" t="s">
        <v>141</v>
      </c>
      <c r="C234" s="1" t="s">
        <v>55</v>
      </c>
      <c r="D234" s="1" t="s">
        <v>47</v>
      </c>
      <c r="F234" s="2">
        <v>176.16</v>
      </c>
      <c r="H234" s="2">
        <f t="shared" ref="H234:H267" si="32">F234-G234</f>
        <v>176.16</v>
      </c>
      <c r="I234" s="2">
        <f t="shared" ref="I234:I267" si="33">H234+E234</f>
        <v>176.16</v>
      </c>
      <c r="L234" s="2">
        <f t="shared" si="30"/>
        <v>0</v>
      </c>
      <c r="M234" s="2">
        <f t="shared" si="31"/>
        <v>176.16</v>
      </c>
    </row>
    <row r="235" hidden="1" spans="1:13">
      <c r="A235" s="30">
        <v>45839</v>
      </c>
      <c r="B235" s="1" t="s">
        <v>141</v>
      </c>
      <c r="C235" s="1" t="s">
        <v>43</v>
      </c>
      <c r="D235" s="1" t="s">
        <v>47</v>
      </c>
      <c r="F235" s="2">
        <v>635340.25013317</v>
      </c>
      <c r="G235" s="2">
        <f>588247.24+42</f>
        <v>588289.24</v>
      </c>
      <c r="H235" s="2">
        <f t="shared" si="32"/>
        <v>47051.0101331701</v>
      </c>
      <c r="I235" s="2">
        <f t="shared" si="33"/>
        <v>47051.0101331701</v>
      </c>
      <c r="L235" s="2">
        <f t="shared" si="30"/>
        <v>0</v>
      </c>
      <c r="M235" s="2">
        <f t="shared" si="31"/>
        <v>47051.0101331701</v>
      </c>
    </row>
    <row r="236" hidden="1" spans="1:13">
      <c r="A236" s="30">
        <v>45839</v>
      </c>
      <c r="B236" s="1" t="s">
        <v>141</v>
      </c>
      <c r="C236" s="1" t="s">
        <v>57</v>
      </c>
      <c r="D236" s="1" t="s">
        <v>47</v>
      </c>
      <c r="F236" s="2">
        <v>3026</v>
      </c>
      <c r="G236" s="2">
        <v>3456.28999999999</v>
      </c>
      <c r="H236" s="2">
        <f t="shared" si="32"/>
        <v>-430.28999999999</v>
      </c>
      <c r="I236" s="2">
        <f t="shared" si="33"/>
        <v>-430.28999999999</v>
      </c>
      <c r="L236" s="2">
        <f t="shared" si="30"/>
        <v>0</v>
      </c>
      <c r="M236" s="2">
        <f t="shared" si="31"/>
        <v>-430.28999999999</v>
      </c>
    </row>
    <row r="237" hidden="1" spans="1:13">
      <c r="A237" s="30">
        <v>45839</v>
      </c>
      <c r="B237" s="1" t="s">
        <v>141</v>
      </c>
      <c r="C237" s="1" t="s">
        <v>43</v>
      </c>
      <c r="D237" s="1" t="s">
        <v>90</v>
      </c>
      <c r="F237" s="2">
        <v>88201.2</v>
      </c>
      <c r="G237" s="2">
        <v>88388.45</v>
      </c>
      <c r="H237" s="2">
        <f t="shared" si="32"/>
        <v>-187.25</v>
      </c>
      <c r="I237" s="2">
        <f t="shared" si="33"/>
        <v>-187.25</v>
      </c>
      <c r="L237" s="2">
        <f t="shared" si="30"/>
        <v>0</v>
      </c>
      <c r="M237" s="2">
        <f t="shared" si="31"/>
        <v>-187.25</v>
      </c>
    </row>
    <row r="238" hidden="1" spans="1:13">
      <c r="A238" s="30">
        <v>45839</v>
      </c>
      <c r="B238" s="1" t="s">
        <v>142</v>
      </c>
      <c r="C238" s="1" t="s">
        <v>43</v>
      </c>
      <c r="D238" s="1" t="s">
        <v>42</v>
      </c>
      <c r="F238" s="2">
        <v>164</v>
      </c>
      <c r="G238" s="2">
        <v>160</v>
      </c>
      <c r="H238" s="2">
        <f t="shared" si="32"/>
        <v>4</v>
      </c>
      <c r="I238" s="2">
        <f t="shared" si="33"/>
        <v>4</v>
      </c>
      <c r="L238" s="2">
        <f t="shared" si="30"/>
        <v>0</v>
      </c>
      <c r="M238" s="2">
        <f t="shared" si="31"/>
        <v>4</v>
      </c>
    </row>
    <row r="239" hidden="1" spans="1:13">
      <c r="A239" s="30">
        <v>45839</v>
      </c>
      <c r="B239" s="1" t="s">
        <v>143</v>
      </c>
      <c r="C239" s="1" t="s">
        <v>51</v>
      </c>
      <c r="D239" s="1" t="s">
        <v>42</v>
      </c>
      <c r="F239" s="2">
        <v>46405.5</v>
      </c>
      <c r="G239" s="2">
        <f>45800+3185</f>
        <v>48985</v>
      </c>
      <c r="H239" s="2">
        <f t="shared" si="32"/>
        <v>-2579.5</v>
      </c>
      <c r="I239" s="2">
        <f t="shared" si="33"/>
        <v>-2579.5</v>
      </c>
      <c r="L239" s="2">
        <f t="shared" si="30"/>
        <v>0</v>
      </c>
      <c r="M239" s="2">
        <f t="shared" si="31"/>
        <v>-2579.5</v>
      </c>
    </row>
    <row r="240" hidden="1" spans="1:13">
      <c r="A240" s="30">
        <v>45839</v>
      </c>
      <c r="B240" s="1" t="s">
        <v>143</v>
      </c>
      <c r="C240" s="1" t="s">
        <v>121</v>
      </c>
      <c r="D240" s="1" t="s">
        <v>52</v>
      </c>
      <c r="F240" s="2">
        <v>469989</v>
      </c>
      <c r="G240" s="2">
        <v>455000</v>
      </c>
      <c r="H240" s="2">
        <f t="shared" si="32"/>
        <v>14989</v>
      </c>
      <c r="I240" s="2">
        <f t="shared" si="33"/>
        <v>14989</v>
      </c>
      <c r="L240" s="2">
        <f t="shared" si="30"/>
        <v>0</v>
      </c>
      <c r="M240" s="2">
        <f t="shared" si="31"/>
        <v>14989</v>
      </c>
    </row>
    <row r="241" hidden="1" spans="1:13">
      <c r="A241" s="30">
        <v>45839</v>
      </c>
      <c r="B241" s="1" t="s">
        <v>143</v>
      </c>
      <c r="C241" s="1" t="s">
        <v>51</v>
      </c>
      <c r="D241" s="1" t="s">
        <v>52</v>
      </c>
      <c r="H241" s="2">
        <f t="shared" si="32"/>
        <v>0</v>
      </c>
      <c r="I241" s="2">
        <f t="shared" si="33"/>
        <v>0</v>
      </c>
      <c r="J241" s="2">
        <v>150465.3</v>
      </c>
      <c r="L241" s="2">
        <f t="shared" si="30"/>
        <v>150465.3</v>
      </c>
      <c r="M241" s="2">
        <f t="shared" si="31"/>
        <v>150465.3</v>
      </c>
    </row>
    <row r="242" hidden="1" spans="1:13">
      <c r="A242" s="30">
        <v>45839</v>
      </c>
      <c r="B242" s="1" t="s">
        <v>144</v>
      </c>
      <c r="C242" s="1" t="s">
        <v>41</v>
      </c>
      <c r="D242" s="1" t="s">
        <v>42</v>
      </c>
      <c r="F242" s="2">
        <v>31528673.1</v>
      </c>
      <c r="G242" s="2">
        <v>30757405.5</v>
      </c>
      <c r="H242" s="2">
        <f t="shared" si="32"/>
        <v>771267.600000001</v>
      </c>
      <c r="I242" s="2">
        <f t="shared" si="33"/>
        <v>771267.600000001</v>
      </c>
      <c r="L242" s="2">
        <f t="shared" si="30"/>
        <v>0</v>
      </c>
      <c r="M242" s="2">
        <f t="shared" si="31"/>
        <v>771267.600000001</v>
      </c>
    </row>
    <row r="243" hidden="1" spans="1:13">
      <c r="A243" s="30">
        <v>45839</v>
      </c>
      <c r="B243" s="1" t="s">
        <v>144</v>
      </c>
      <c r="C243" s="1" t="s">
        <v>43</v>
      </c>
      <c r="D243" s="1" t="s">
        <v>42</v>
      </c>
      <c r="F243" s="2">
        <v>17127.5</v>
      </c>
      <c r="G243" s="2">
        <v>15329.5</v>
      </c>
      <c r="H243" s="2">
        <f t="shared" si="32"/>
        <v>1798</v>
      </c>
      <c r="I243" s="2">
        <f t="shared" si="33"/>
        <v>1798</v>
      </c>
      <c r="L243" s="2">
        <f t="shared" si="30"/>
        <v>0</v>
      </c>
      <c r="M243" s="2">
        <f t="shared" si="31"/>
        <v>1798</v>
      </c>
    </row>
    <row r="244" hidden="1" spans="1:13">
      <c r="A244" s="30">
        <v>45839</v>
      </c>
      <c r="B244" s="1" t="s">
        <v>145</v>
      </c>
      <c r="C244" s="1" t="s">
        <v>146</v>
      </c>
      <c r="D244" s="1" t="s">
        <v>47</v>
      </c>
      <c r="F244" s="2">
        <v>-11529.0509999999</v>
      </c>
      <c r="G244" s="2">
        <v>-11498.6981999999</v>
      </c>
      <c r="H244" s="2">
        <f t="shared" si="32"/>
        <v>-30.3527999999988</v>
      </c>
      <c r="I244" s="2">
        <f t="shared" si="33"/>
        <v>-30.3527999999988</v>
      </c>
      <c r="L244" s="2">
        <f t="shared" si="30"/>
        <v>0</v>
      </c>
      <c r="M244" s="2">
        <f t="shared" si="31"/>
        <v>-30.3527999999988</v>
      </c>
    </row>
    <row r="245" hidden="1" spans="1:13">
      <c r="A245" s="30">
        <v>45839</v>
      </c>
      <c r="B245" s="1" t="s">
        <v>147</v>
      </c>
      <c r="C245" s="1" t="s">
        <v>64</v>
      </c>
      <c r="D245" s="1" t="s">
        <v>42</v>
      </c>
      <c r="F245" s="2">
        <v>206.4</v>
      </c>
      <c r="H245" s="2">
        <f t="shared" si="32"/>
        <v>206.4</v>
      </c>
      <c r="I245" s="2">
        <f t="shared" si="33"/>
        <v>206.4</v>
      </c>
      <c r="L245" s="2">
        <f t="shared" ref="L245:L288" si="34">J245-K245</f>
        <v>0</v>
      </c>
      <c r="M245" s="2">
        <f t="shared" ref="M245:M288" si="35">I245+L245</f>
        <v>206.4</v>
      </c>
    </row>
    <row r="246" hidden="1" spans="1:13">
      <c r="A246" s="30">
        <v>45839</v>
      </c>
      <c r="B246" s="1" t="s">
        <v>147</v>
      </c>
      <c r="C246" s="1" t="s">
        <v>41</v>
      </c>
      <c r="D246" s="1" t="s">
        <v>42</v>
      </c>
      <c r="F246" s="2">
        <v>3528.2343</v>
      </c>
      <c r="H246" s="2">
        <f t="shared" si="32"/>
        <v>3528.2343</v>
      </c>
      <c r="I246" s="2">
        <f t="shared" si="33"/>
        <v>3528.2343</v>
      </c>
      <c r="L246" s="2">
        <f t="shared" si="34"/>
        <v>0</v>
      </c>
      <c r="M246" s="2">
        <f t="shared" si="35"/>
        <v>3528.2343</v>
      </c>
    </row>
    <row r="247" hidden="1" spans="1:13">
      <c r="A247" s="30">
        <v>45839</v>
      </c>
      <c r="B247" s="1" t="s">
        <v>147</v>
      </c>
      <c r="C247" s="1" t="s">
        <v>55</v>
      </c>
      <c r="D247" s="1" t="s">
        <v>42</v>
      </c>
      <c r="F247" s="2">
        <v>39.8</v>
      </c>
      <c r="H247" s="2">
        <f t="shared" si="32"/>
        <v>39.8</v>
      </c>
      <c r="I247" s="2">
        <f t="shared" si="33"/>
        <v>39.8</v>
      </c>
      <c r="L247" s="2">
        <f t="shared" si="34"/>
        <v>0</v>
      </c>
      <c r="M247" s="2">
        <f t="shared" si="35"/>
        <v>39.8</v>
      </c>
    </row>
    <row r="248" hidden="1" spans="1:13">
      <c r="A248" s="30">
        <v>45839</v>
      </c>
      <c r="B248" s="1" t="s">
        <v>147</v>
      </c>
      <c r="C248" s="1" t="s">
        <v>43</v>
      </c>
      <c r="D248" s="1" t="s">
        <v>42</v>
      </c>
      <c r="F248" s="2">
        <v>115707.65450352</v>
      </c>
      <c r="G248" s="2">
        <f>63280.5+30987</f>
        <v>94267.5</v>
      </c>
      <c r="H248" s="2">
        <f t="shared" si="32"/>
        <v>21440.15450352</v>
      </c>
      <c r="I248" s="2">
        <f t="shared" si="33"/>
        <v>21440.15450352</v>
      </c>
      <c r="L248" s="2">
        <f t="shared" si="34"/>
        <v>0</v>
      </c>
      <c r="M248" s="2">
        <f t="shared" si="35"/>
        <v>21440.15450352</v>
      </c>
    </row>
    <row r="249" hidden="1" spans="1:13">
      <c r="A249" s="30">
        <v>45839</v>
      </c>
      <c r="B249" s="1" t="s">
        <v>147</v>
      </c>
      <c r="C249" s="1" t="s">
        <v>57</v>
      </c>
      <c r="D249" s="1" t="s">
        <v>42</v>
      </c>
      <c r="F249" s="2">
        <v>447744.599999999</v>
      </c>
      <c r="G249" s="2">
        <f>412983.1-116018.2</f>
        <v>296964.9</v>
      </c>
      <c r="H249" s="2">
        <f t="shared" si="32"/>
        <v>150779.699999999</v>
      </c>
      <c r="I249" s="2">
        <f t="shared" si="33"/>
        <v>150779.699999999</v>
      </c>
      <c r="L249" s="2">
        <f t="shared" si="34"/>
        <v>0</v>
      </c>
      <c r="M249" s="2">
        <f t="shared" si="35"/>
        <v>150779.699999999</v>
      </c>
    </row>
    <row r="250" hidden="1" spans="1:13">
      <c r="A250" s="30">
        <v>45839</v>
      </c>
      <c r="B250" s="1" t="s">
        <v>148</v>
      </c>
      <c r="C250" s="1" t="s">
        <v>41</v>
      </c>
      <c r="D250" s="1" t="s">
        <v>42</v>
      </c>
      <c r="F250" s="2">
        <v>271560</v>
      </c>
      <c r="G250" s="2">
        <v>268640</v>
      </c>
      <c r="H250" s="2">
        <f t="shared" si="32"/>
        <v>2920</v>
      </c>
      <c r="I250" s="2">
        <f t="shared" si="33"/>
        <v>2920</v>
      </c>
      <c r="L250" s="2">
        <f t="shared" si="34"/>
        <v>0</v>
      </c>
      <c r="M250" s="2">
        <f t="shared" si="35"/>
        <v>2920</v>
      </c>
    </row>
    <row r="251" hidden="1" spans="1:13">
      <c r="A251" s="30">
        <v>45839</v>
      </c>
      <c r="B251" s="1" t="s">
        <v>148</v>
      </c>
      <c r="C251" s="1" t="s">
        <v>55</v>
      </c>
      <c r="D251" s="1" t="s">
        <v>42</v>
      </c>
      <c r="F251" s="2">
        <v>1218300</v>
      </c>
      <c r="G251" s="2">
        <v>1205200</v>
      </c>
      <c r="H251" s="2">
        <f t="shared" si="32"/>
        <v>13100</v>
      </c>
      <c r="I251" s="2">
        <f t="shared" si="33"/>
        <v>13100</v>
      </c>
      <c r="L251" s="2">
        <f t="shared" si="34"/>
        <v>0</v>
      </c>
      <c r="M251" s="2">
        <f t="shared" si="35"/>
        <v>13100</v>
      </c>
    </row>
    <row r="252" hidden="1" spans="1:13">
      <c r="A252" s="30">
        <v>45839</v>
      </c>
      <c r="B252" s="1" t="s">
        <v>149</v>
      </c>
      <c r="C252" s="1" t="s">
        <v>43</v>
      </c>
      <c r="D252" s="1" t="s">
        <v>42</v>
      </c>
      <c r="F252" s="2">
        <v>40487.5</v>
      </c>
      <c r="G252" s="2">
        <v>39816</v>
      </c>
      <c r="H252" s="2">
        <f t="shared" si="32"/>
        <v>671.5</v>
      </c>
      <c r="I252" s="2">
        <f t="shared" si="33"/>
        <v>671.5</v>
      </c>
      <c r="L252" s="2">
        <f t="shared" si="34"/>
        <v>0</v>
      </c>
      <c r="M252" s="2">
        <f t="shared" si="35"/>
        <v>671.5</v>
      </c>
    </row>
    <row r="253" hidden="1" spans="1:13">
      <c r="A253" s="30">
        <v>45839</v>
      </c>
      <c r="B253" s="1" t="s">
        <v>150</v>
      </c>
      <c r="C253" s="1" t="s">
        <v>121</v>
      </c>
      <c r="D253" s="1" t="s">
        <v>52</v>
      </c>
      <c r="F253" s="2">
        <v>50985</v>
      </c>
      <c r="G253" s="2">
        <v>45000</v>
      </c>
      <c r="H253" s="2">
        <f t="shared" si="32"/>
        <v>5985</v>
      </c>
      <c r="I253" s="2">
        <f t="shared" si="33"/>
        <v>5985</v>
      </c>
      <c r="L253" s="2">
        <f t="shared" si="34"/>
        <v>0</v>
      </c>
      <c r="M253" s="2">
        <f t="shared" si="35"/>
        <v>5985</v>
      </c>
    </row>
    <row r="254" hidden="1" spans="1:13">
      <c r="A254" s="30">
        <v>45839</v>
      </c>
      <c r="B254" s="1" t="s">
        <v>151</v>
      </c>
      <c r="C254" s="1" t="s">
        <v>41</v>
      </c>
      <c r="D254" s="1" t="s">
        <v>47</v>
      </c>
      <c r="F254" s="2">
        <v>2706</v>
      </c>
      <c r="G254" s="2">
        <v>2612.6</v>
      </c>
      <c r="H254" s="2">
        <f t="shared" si="32"/>
        <v>93.4000000000001</v>
      </c>
      <c r="I254" s="2">
        <f t="shared" si="33"/>
        <v>93.4000000000001</v>
      </c>
      <c r="L254" s="2">
        <f t="shared" si="34"/>
        <v>0</v>
      </c>
      <c r="M254" s="2">
        <f t="shared" si="35"/>
        <v>93.4000000000001</v>
      </c>
    </row>
    <row r="255" hidden="1" spans="1:13">
      <c r="A255" s="30">
        <v>45839</v>
      </c>
      <c r="B255" s="1" t="s">
        <v>151</v>
      </c>
      <c r="C255" s="1" t="s">
        <v>43</v>
      </c>
      <c r="D255" s="1" t="s">
        <v>47</v>
      </c>
      <c r="F255" s="2">
        <v>100127.3</v>
      </c>
      <c r="G255" s="2">
        <v>98553.08</v>
      </c>
      <c r="H255" s="2">
        <f t="shared" si="32"/>
        <v>1574.22</v>
      </c>
      <c r="I255" s="2">
        <f t="shared" si="33"/>
        <v>1574.22</v>
      </c>
      <c r="L255" s="2">
        <f t="shared" si="34"/>
        <v>0</v>
      </c>
      <c r="M255" s="2">
        <f t="shared" si="35"/>
        <v>1574.22</v>
      </c>
    </row>
    <row r="256" hidden="1" spans="1:13">
      <c r="A256" s="30">
        <v>45839</v>
      </c>
      <c r="B256" s="1" t="s">
        <v>151</v>
      </c>
      <c r="C256" s="1" t="s">
        <v>57</v>
      </c>
      <c r="D256" s="1" t="s">
        <v>47</v>
      </c>
      <c r="F256" s="2">
        <v>1594586.15</v>
      </c>
      <c r="G256" s="2">
        <v>1585699.98</v>
      </c>
      <c r="H256" s="2">
        <f t="shared" si="32"/>
        <v>8886.16999999993</v>
      </c>
      <c r="I256" s="2">
        <f t="shared" si="33"/>
        <v>8886.16999999993</v>
      </c>
      <c r="L256" s="2">
        <f t="shared" si="34"/>
        <v>0</v>
      </c>
      <c r="M256" s="2">
        <f t="shared" si="35"/>
        <v>8886.16999999993</v>
      </c>
    </row>
    <row r="257" hidden="1" spans="1:13">
      <c r="A257" s="30">
        <v>45839</v>
      </c>
      <c r="B257" s="1" t="s">
        <v>152</v>
      </c>
      <c r="C257" s="1" t="s">
        <v>57</v>
      </c>
      <c r="D257" s="1" t="s">
        <v>47</v>
      </c>
      <c r="E257" s="2">
        <v>1229.82</v>
      </c>
      <c r="G257" s="2">
        <v>-1396</v>
      </c>
      <c r="H257" s="2">
        <f t="shared" si="32"/>
        <v>1396</v>
      </c>
      <c r="I257" s="2">
        <f t="shared" si="33"/>
        <v>2625.82</v>
      </c>
      <c r="L257" s="2">
        <f t="shared" si="34"/>
        <v>0</v>
      </c>
      <c r="M257" s="2">
        <f t="shared" si="35"/>
        <v>2625.82</v>
      </c>
    </row>
    <row r="258" hidden="1" spans="1:13">
      <c r="A258" s="30">
        <v>45839</v>
      </c>
      <c r="B258" s="1" t="s">
        <v>153</v>
      </c>
      <c r="C258" s="1" t="s">
        <v>41</v>
      </c>
      <c r="D258" s="1" t="s">
        <v>42</v>
      </c>
      <c r="F258" s="2">
        <f>98928.3+31.6</f>
        <v>98959.9</v>
      </c>
      <c r="G258" s="2">
        <v>98007</v>
      </c>
      <c r="H258" s="2">
        <f t="shared" si="32"/>
        <v>952.900000000009</v>
      </c>
      <c r="I258" s="2">
        <f t="shared" si="33"/>
        <v>952.900000000009</v>
      </c>
      <c r="L258" s="2">
        <f t="shared" si="34"/>
        <v>0</v>
      </c>
      <c r="M258" s="2">
        <f t="shared" si="35"/>
        <v>952.900000000009</v>
      </c>
    </row>
    <row r="259" hidden="1" spans="1:13">
      <c r="A259" s="30">
        <v>45839</v>
      </c>
      <c r="B259" s="1" t="s">
        <v>153</v>
      </c>
      <c r="C259" s="1" t="s">
        <v>43</v>
      </c>
      <c r="D259" s="1" t="s">
        <v>42</v>
      </c>
      <c r="F259" s="2">
        <v>1012.8</v>
      </c>
      <c r="G259" s="2">
        <v>965.76</v>
      </c>
      <c r="H259" s="2">
        <f t="shared" si="32"/>
        <v>47.04</v>
      </c>
      <c r="I259" s="2">
        <f t="shared" si="33"/>
        <v>47.04</v>
      </c>
      <c r="L259" s="2">
        <f t="shared" si="34"/>
        <v>0</v>
      </c>
      <c r="M259" s="2">
        <f t="shared" si="35"/>
        <v>47.04</v>
      </c>
    </row>
    <row r="260" hidden="1" spans="1:13">
      <c r="A260" s="30">
        <v>45839</v>
      </c>
      <c r="B260" s="1" t="s">
        <v>154</v>
      </c>
      <c r="C260" s="1" t="s">
        <v>43</v>
      </c>
      <c r="D260" s="1" t="s">
        <v>45</v>
      </c>
      <c r="F260" s="2">
        <v>1.755</v>
      </c>
      <c r="G260" s="2">
        <v>1.65</v>
      </c>
      <c r="H260" s="2">
        <f t="shared" si="32"/>
        <v>0.105</v>
      </c>
      <c r="I260" s="2">
        <f t="shared" si="33"/>
        <v>0.105</v>
      </c>
      <c r="L260" s="2">
        <f t="shared" si="34"/>
        <v>0</v>
      </c>
      <c r="M260" s="2">
        <f t="shared" si="35"/>
        <v>0.105</v>
      </c>
    </row>
    <row r="261" hidden="1" spans="1:13">
      <c r="A261" s="30">
        <v>45839</v>
      </c>
      <c r="B261" s="1" t="s">
        <v>155</v>
      </c>
      <c r="C261" s="1" t="s">
        <v>43</v>
      </c>
      <c r="D261" s="1" t="s">
        <v>42</v>
      </c>
      <c r="F261" s="2">
        <v>6495.2</v>
      </c>
      <c r="G261" s="2">
        <v>6463</v>
      </c>
      <c r="H261" s="2">
        <f t="shared" si="32"/>
        <v>32.1999999999998</v>
      </c>
      <c r="I261" s="2">
        <f t="shared" si="33"/>
        <v>32.1999999999998</v>
      </c>
      <c r="L261" s="2">
        <f t="shared" si="34"/>
        <v>0</v>
      </c>
      <c r="M261" s="2">
        <f t="shared" si="35"/>
        <v>32.1999999999998</v>
      </c>
    </row>
    <row r="262" hidden="1" spans="1:13">
      <c r="A262" s="30">
        <v>45839</v>
      </c>
      <c r="B262" s="1" t="s">
        <v>155</v>
      </c>
      <c r="C262" s="1" t="s">
        <v>57</v>
      </c>
      <c r="D262" s="1" t="s">
        <v>42</v>
      </c>
      <c r="F262" s="2">
        <v>464</v>
      </c>
      <c r="G262" s="2">
        <v>456.8</v>
      </c>
      <c r="H262" s="2">
        <f t="shared" si="32"/>
        <v>7.19999999999999</v>
      </c>
      <c r="I262" s="2">
        <f t="shared" si="33"/>
        <v>7.19999999999999</v>
      </c>
      <c r="L262" s="2">
        <f t="shared" si="34"/>
        <v>0</v>
      </c>
      <c r="M262" s="2">
        <f t="shared" si="35"/>
        <v>7.19999999999999</v>
      </c>
    </row>
    <row r="263" hidden="1" spans="1:13">
      <c r="A263" s="30">
        <v>45839</v>
      </c>
      <c r="B263" s="1" t="s">
        <v>156</v>
      </c>
      <c r="C263" s="1" t="s">
        <v>51</v>
      </c>
      <c r="D263" s="1" t="s">
        <v>52</v>
      </c>
      <c r="H263" s="2">
        <f t="shared" si="32"/>
        <v>0</v>
      </c>
      <c r="I263" s="2">
        <f t="shared" si="33"/>
        <v>0</v>
      </c>
      <c r="J263" s="2">
        <v>17807.11</v>
      </c>
      <c r="L263" s="2">
        <f t="shared" si="34"/>
        <v>17807.11</v>
      </c>
      <c r="M263" s="2">
        <f t="shared" si="35"/>
        <v>17807.11</v>
      </c>
    </row>
    <row r="264" hidden="1" spans="1:13">
      <c r="A264" s="30">
        <v>45839</v>
      </c>
      <c r="B264" s="1" t="s">
        <v>157</v>
      </c>
      <c r="C264" s="1" t="s">
        <v>51</v>
      </c>
      <c r="D264" s="1" t="s">
        <v>52</v>
      </c>
      <c r="F264" s="2">
        <v>650009.5</v>
      </c>
      <c r="G264" s="2">
        <v>650009.499999999</v>
      </c>
      <c r="H264" s="2">
        <f t="shared" si="32"/>
        <v>1.04773789644241e-9</v>
      </c>
      <c r="I264" s="2">
        <f t="shared" si="33"/>
        <v>1.04773789644241e-9</v>
      </c>
      <c r="L264" s="2">
        <f t="shared" si="34"/>
        <v>0</v>
      </c>
      <c r="M264" s="2">
        <f t="shared" si="35"/>
        <v>1.04773789644241e-9</v>
      </c>
    </row>
    <row r="265" hidden="1" spans="1:13">
      <c r="A265" s="30">
        <v>45839</v>
      </c>
      <c r="B265" s="1" t="s">
        <v>158</v>
      </c>
      <c r="C265" s="1" t="s">
        <v>43</v>
      </c>
      <c r="D265" s="1" t="s">
        <v>42</v>
      </c>
      <c r="F265" s="2">
        <v>19760</v>
      </c>
      <c r="G265" s="2">
        <v>19380</v>
      </c>
      <c r="H265" s="2">
        <f t="shared" si="32"/>
        <v>380</v>
      </c>
      <c r="I265" s="2">
        <f t="shared" si="33"/>
        <v>380</v>
      </c>
      <c r="L265" s="2">
        <f t="shared" si="34"/>
        <v>0</v>
      </c>
      <c r="M265" s="2">
        <f t="shared" si="35"/>
        <v>380</v>
      </c>
    </row>
    <row r="266" hidden="1" spans="1:13">
      <c r="A266" s="30">
        <v>45839</v>
      </c>
      <c r="B266" s="1" t="s">
        <v>158</v>
      </c>
      <c r="C266" s="1" t="s">
        <v>54</v>
      </c>
      <c r="D266" s="1" t="s">
        <v>47</v>
      </c>
      <c r="F266" s="2">
        <v>22.4</v>
      </c>
      <c r="G266" s="2">
        <v>20.2</v>
      </c>
      <c r="H266" s="2">
        <f t="shared" si="32"/>
        <v>2.2</v>
      </c>
      <c r="I266" s="2">
        <f t="shared" si="33"/>
        <v>2.2</v>
      </c>
      <c r="L266" s="2">
        <f t="shared" si="34"/>
        <v>0</v>
      </c>
      <c r="M266" s="2">
        <f t="shared" si="35"/>
        <v>2.2</v>
      </c>
    </row>
    <row r="267" hidden="1" spans="1:13">
      <c r="A267" s="30">
        <v>45839</v>
      </c>
      <c r="B267" s="1" t="s">
        <v>158</v>
      </c>
      <c r="C267" s="1" t="s">
        <v>41</v>
      </c>
      <c r="D267" s="1" t="s">
        <v>47</v>
      </c>
      <c r="F267" s="2">
        <v>6390</v>
      </c>
      <c r="G267" s="2">
        <v>5256.42</v>
      </c>
      <c r="H267" s="2">
        <f t="shared" si="32"/>
        <v>1133.58</v>
      </c>
      <c r="I267" s="2">
        <f t="shared" si="33"/>
        <v>1133.58</v>
      </c>
      <c r="L267" s="2">
        <f t="shared" si="34"/>
        <v>0</v>
      </c>
      <c r="M267" s="2">
        <f t="shared" si="35"/>
        <v>1133.58</v>
      </c>
    </row>
    <row r="268" hidden="1" spans="1:13">
      <c r="A268" s="30">
        <v>45839</v>
      </c>
      <c r="B268" s="1" t="s">
        <v>158</v>
      </c>
      <c r="C268" s="1" t="s">
        <v>57</v>
      </c>
      <c r="D268" s="1" t="s">
        <v>47</v>
      </c>
      <c r="F268" s="2">
        <v>107254.6</v>
      </c>
      <c r="G268" s="2">
        <v>99004.5</v>
      </c>
      <c r="H268" s="2">
        <f t="shared" ref="H268:H307" si="36">F268-G268</f>
        <v>8250.10000000001</v>
      </c>
      <c r="I268" s="2">
        <f t="shared" ref="I268:I307" si="37">H268+E268</f>
        <v>8250.10000000001</v>
      </c>
      <c r="L268" s="2">
        <f t="shared" si="34"/>
        <v>0</v>
      </c>
      <c r="M268" s="2">
        <f t="shared" si="35"/>
        <v>8250.10000000001</v>
      </c>
    </row>
    <row r="269" hidden="1" spans="1:13">
      <c r="A269" s="30">
        <v>45839</v>
      </c>
      <c r="B269" s="1" t="s">
        <v>159</v>
      </c>
      <c r="C269" s="1" t="s">
        <v>160</v>
      </c>
      <c r="D269" s="1" t="s">
        <v>45</v>
      </c>
      <c r="F269" s="2">
        <v>427.839999999999</v>
      </c>
      <c r="G269" s="2">
        <v>272.899999999999</v>
      </c>
      <c r="H269" s="2">
        <f t="shared" si="36"/>
        <v>154.94</v>
      </c>
      <c r="I269" s="2">
        <f t="shared" si="37"/>
        <v>154.94</v>
      </c>
      <c r="L269" s="2">
        <f t="shared" si="34"/>
        <v>0</v>
      </c>
      <c r="M269" s="2">
        <f t="shared" si="35"/>
        <v>154.94</v>
      </c>
    </row>
    <row r="270" hidden="1" spans="1:13">
      <c r="A270" s="30">
        <v>45839</v>
      </c>
      <c r="B270" s="1" t="s">
        <v>159</v>
      </c>
      <c r="C270" s="1" t="s">
        <v>50</v>
      </c>
      <c r="D270" s="1" t="s">
        <v>45</v>
      </c>
      <c r="F270" s="2">
        <v>30.5999999999999</v>
      </c>
      <c r="G270" s="2">
        <v>30.5999999999999</v>
      </c>
      <c r="H270" s="2">
        <f t="shared" si="36"/>
        <v>0</v>
      </c>
      <c r="I270" s="2">
        <f t="shared" si="37"/>
        <v>0</v>
      </c>
      <c r="L270" s="2">
        <f t="shared" si="34"/>
        <v>0</v>
      </c>
      <c r="M270" s="2">
        <f t="shared" si="35"/>
        <v>0</v>
      </c>
    </row>
    <row r="271" hidden="1" spans="1:13">
      <c r="A271" s="30">
        <v>45839</v>
      </c>
      <c r="B271" s="1" t="s">
        <v>161</v>
      </c>
      <c r="C271" s="1" t="s">
        <v>64</v>
      </c>
      <c r="D271" s="1" t="s">
        <v>42</v>
      </c>
      <c r="F271" s="2">
        <v>216.568</v>
      </c>
      <c r="H271" s="2">
        <f t="shared" si="36"/>
        <v>216.568</v>
      </c>
      <c r="I271" s="2">
        <f t="shared" si="37"/>
        <v>216.568</v>
      </c>
      <c r="L271" s="2">
        <f t="shared" si="34"/>
        <v>0</v>
      </c>
      <c r="M271" s="2">
        <f t="shared" si="35"/>
        <v>216.568</v>
      </c>
    </row>
    <row r="272" hidden="1" spans="1:13">
      <c r="A272" s="30">
        <v>45839</v>
      </c>
      <c r="B272" s="1" t="s">
        <v>161</v>
      </c>
      <c r="C272" s="1" t="s">
        <v>41</v>
      </c>
      <c r="D272" s="1" t="s">
        <v>42</v>
      </c>
      <c r="F272" s="2">
        <v>-16645.6413</v>
      </c>
      <c r="H272" s="2">
        <f t="shared" si="36"/>
        <v>-16645.6413</v>
      </c>
      <c r="I272" s="2">
        <f t="shared" si="37"/>
        <v>-16645.6413</v>
      </c>
      <c r="L272" s="2">
        <f t="shared" si="34"/>
        <v>0</v>
      </c>
      <c r="M272" s="2">
        <f t="shared" si="35"/>
        <v>-16645.6413</v>
      </c>
    </row>
    <row r="273" hidden="1" spans="1:13">
      <c r="A273" s="30">
        <v>45839</v>
      </c>
      <c r="B273" s="1" t="s">
        <v>161</v>
      </c>
      <c r="C273" s="1" t="s">
        <v>55</v>
      </c>
      <c r="D273" s="1" t="s">
        <v>42</v>
      </c>
      <c r="F273" s="2">
        <v>47.3385</v>
      </c>
      <c r="H273" s="2">
        <f t="shared" si="36"/>
        <v>47.3385</v>
      </c>
      <c r="I273" s="2">
        <f t="shared" si="37"/>
        <v>47.3385</v>
      </c>
      <c r="L273" s="2">
        <f t="shared" si="34"/>
        <v>0</v>
      </c>
      <c r="M273" s="2">
        <f t="shared" si="35"/>
        <v>47.3385</v>
      </c>
    </row>
    <row r="274" hidden="1" spans="1:13">
      <c r="A274" s="30">
        <v>45839</v>
      </c>
      <c r="B274" s="1" t="s">
        <v>161</v>
      </c>
      <c r="C274" s="1" t="s">
        <v>77</v>
      </c>
      <c r="D274" s="1" t="s">
        <v>42</v>
      </c>
      <c r="E274" s="2">
        <v>100190</v>
      </c>
      <c r="F274" s="2">
        <v>273030.0433</v>
      </c>
      <c r="G274" s="2">
        <f>262496.08+14858.27</f>
        <v>277354.35</v>
      </c>
      <c r="H274" s="2">
        <f t="shared" si="36"/>
        <v>-4324.30670000002</v>
      </c>
      <c r="I274" s="2">
        <f t="shared" si="37"/>
        <v>95865.6933</v>
      </c>
      <c r="L274" s="2">
        <f t="shared" si="34"/>
        <v>0</v>
      </c>
      <c r="M274" s="2">
        <f t="shared" si="35"/>
        <v>95865.6933</v>
      </c>
    </row>
    <row r="275" hidden="1" spans="1:13">
      <c r="A275" s="30">
        <v>45839</v>
      </c>
      <c r="B275" s="1" t="s">
        <v>161</v>
      </c>
      <c r="C275" s="1" t="s">
        <v>49</v>
      </c>
      <c r="D275" s="1" t="s">
        <v>42</v>
      </c>
      <c r="F275" s="2">
        <v>5735.808</v>
      </c>
      <c r="G275" s="2">
        <f>5515.2+312.18</f>
        <v>5827.38</v>
      </c>
      <c r="H275" s="2">
        <f t="shared" si="36"/>
        <v>-91.5720000000001</v>
      </c>
      <c r="I275" s="2">
        <f t="shared" si="37"/>
        <v>-91.5720000000001</v>
      </c>
      <c r="L275" s="2">
        <f t="shared" si="34"/>
        <v>0</v>
      </c>
      <c r="M275" s="2">
        <f t="shared" si="35"/>
        <v>-91.5720000000001</v>
      </c>
    </row>
    <row r="276" hidden="1" spans="1:13">
      <c r="A276" s="30">
        <v>45839</v>
      </c>
      <c r="B276" s="1" t="s">
        <v>161</v>
      </c>
      <c r="C276" s="1" t="s">
        <v>43</v>
      </c>
      <c r="D276" s="1" t="s">
        <v>42</v>
      </c>
      <c r="F276" s="2">
        <v>3417.24120932999</v>
      </c>
      <c r="H276" s="2">
        <f t="shared" si="36"/>
        <v>3417.24120932999</v>
      </c>
      <c r="I276" s="2">
        <f t="shared" si="37"/>
        <v>3417.24120932999</v>
      </c>
      <c r="L276" s="2">
        <f t="shared" si="34"/>
        <v>0</v>
      </c>
      <c r="M276" s="2">
        <f t="shared" si="35"/>
        <v>3417.24120932999</v>
      </c>
    </row>
    <row r="277" hidden="1" spans="1:13">
      <c r="A277" s="30">
        <v>45839</v>
      </c>
      <c r="B277" s="1" t="s">
        <v>162</v>
      </c>
      <c r="C277" s="1" t="s">
        <v>41</v>
      </c>
      <c r="D277" s="1" t="s">
        <v>42</v>
      </c>
      <c r="F277" s="2">
        <v>3738.998</v>
      </c>
      <c r="H277" s="2">
        <f t="shared" si="36"/>
        <v>3738.998</v>
      </c>
      <c r="I277" s="2">
        <f t="shared" si="37"/>
        <v>3738.998</v>
      </c>
      <c r="L277" s="2">
        <f t="shared" si="34"/>
        <v>0</v>
      </c>
      <c r="M277" s="2">
        <f t="shared" si="35"/>
        <v>3738.998</v>
      </c>
    </row>
    <row r="278" hidden="1" spans="1:13">
      <c r="A278" s="30">
        <v>45839</v>
      </c>
      <c r="B278" s="1" t="s">
        <v>162</v>
      </c>
      <c r="C278" s="1" t="s">
        <v>55</v>
      </c>
      <c r="D278" s="1" t="s">
        <v>42</v>
      </c>
      <c r="F278" s="2">
        <v>12.6</v>
      </c>
      <c r="H278" s="2">
        <f t="shared" si="36"/>
        <v>12.6</v>
      </c>
      <c r="I278" s="2">
        <f t="shared" si="37"/>
        <v>12.6</v>
      </c>
      <c r="L278" s="2">
        <f t="shared" si="34"/>
        <v>0</v>
      </c>
      <c r="M278" s="2">
        <f t="shared" si="35"/>
        <v>12.6</v>
      </c>
    </row>
    <row r="279" hidden="1" spans="1:13">
      <c r="A279" s="30">
        <v>45839</v>
      </c>
      <c r="B279" s="1" t="s">
        <v>162</v>
      </c>
      <c r="C279" s="1" t="s">
        <v>43</v>
      </c>
      <c r="D279" s="1" t="s">
        <v>42</v>
      </c>
      <c r="F279" s="2">
        <v>194954.9182</v>
      </c>
      <c r="G279" s="2">
        <v>190036</v>
      </c>
      <c r="H279" s="2">
        <f t="shared" si="36"/>
        <v>4918.91819999999</v>
      </c>
      <c r="I279" s="2">
        <f t="shared" si="37"/>
        <v>4918.91819999999</v>
      </c>
      <c r="L279" s="2">
        <f t="shared" si="34"/>
        <v>0</v>
      </c>
      <c r="M279" s="2">
        <f t="shared" si="35"/>
        <v>4918.91819999999</v>
      </c>
    </row>
    <row r="280" hidden="1" spans="1:13">
      <c r="A280" s="30">
        <v>45839</v>
      </c>
      <c r="B280" s="1" t="s">
        <v>163</v>
      </c>
      <c r="C280" s="1" t="s">
        <v>55</v>
      </c>
      <c r="D280" s="1" t="s">
        <v>42</v>
      </c>
      <c r="F280" s="2">
        <v>153.3</v>
      </c>
      <c r="G280" s="2">
        <v>121.04</v>
      </c>
      <c r="H280" s="2">
        <f t="shared" si="36"/>
        <v>32.26</v>
      </c>
      <c r="I280" s="2">
        <f t="shared" si="37"/>
        <v>32.26</v>
      </c>
      <c r="L280" s="2">
        <f t="shared" si="34"/>
        <v>0</v>
      </c>
      <c r="M280" s="2">
        <f t="shared" si="35"/>
        <v>32.26</v>
      </c>
    </row>
    <row r="281" hidden="1" spans="1:13">
      <c r="A281" s="30">
        <v>45839</v>
      </c>
      <c r="B281" s="1" t="s">
        <v>163</v>
      </c>
      <c r="C281" s="1" t="s">
        <v>41</v>
      </c>
      <c r="D281" s="1" t="s">
        <v>47</v>
      </c>
      <c r="F281" s="2">
        <v>128</v>
      </c>
      <c r="G281" s="2">
        <v>144.5</v>
      </c>
      <c r="H281" s="2">
        <f t="shared" si="36"/>
        <v>-16.5</v>
      </c>
      <c r="I281" s="2">
        <f t="shared" si="37"/>
        <v>-16.5</v>
      </c>
      <c r="L281" s="2">
        <f t="shared" si="34"/>
        <v>0</v>
      </c>
      <c r="M281" s="2">
        <f t="shared" si="35"/>
        <v>-16.5</v>
      </c>
    </row>
    <row r="282" hidden="1" spans="1:13">
      <c r="A282" s="30">
        <v>45839</v>
      </c>
      <c r="B282" s="1" t="s">
        <v>163</v>
      </c>
      <c r="C282" s="1" t="s">
        <v>43</v>
      </c>
      <c r="D282" s="1" t="s">
        <v>47</v>
      </c>
      <c r="F282" s="2">
        <v>503.36</v>
      </c>
      <c r="G282" s="2">
        <v>480.3</v>
      </c>
      <c r="H282" s="2">
        <f t="shared" si="36"/>
        <v>23.06</v>
      </c>
      <c r="I282" s="2">
        <f t="shared" si="37"/>
        <v>23.06</v>
      </c>
      <c r="L282" s="2">
        <f t="shared" si="34"/>
        <v>0</v>
      </c>
      <c r="M282" s="2">
        <f t="shared" si="35"/>
        <v>23.06</v>
      </c>
    </row>
    <row r="283" hidden="1" spans="1:13">
      <c r="A283" s="30">
        <v>45839</v>
      </c>
      <c r="B283" s="1" t="s">
        <v>164</v>
      </c>
      <c r="C283" s="1" t="s">
        <v>41</v>
      </c>
      <c r="D283" s="1" t="s">
        <v>47</v>
      </c>
      <c r="F283" s="2">
        <v>275</v>
      </c>
      <c r="G283" s="2">
        <v>189.2</v>
      </c>
      <c r="H283" s="2">
        <f t="shared" si="36"/>
        <v>85.8</v>
      </c>
      <c r="I283" s="2">
        <f t="shared" si="37"/>
        <v>85.8</v>
      </c>
      <c r="L283" s="2">
        <f t="shared" si="34"/>
        <v>0</v>
      </c>
      <c r="M283" s="2">
        <f t="shared" si="35"/>
        <v>85.8</v>
      </c>
    </row>
    <row r="284" hidden="1" spans="1:13">
      <c r="A284" s="30">
        <v>45839</v>
      </c>
      <c r="B284" s="1" t="s">
        <v>164</v>
      </c>
      <c r="C284" s="1" t="s">
        <v>43</v>
      </c>
      <c r="D284" s="1" t="s">
        <v>47</v>
      </c>
      <c r="F284" s="2">
        <v>1077.6</v>
      </c>
      <c r="G284" s="2">
        <v>918</v>
      </c>
      <c r="H284" s="2">
        <f t="shared" si="36"/>
        <v>159.6</v>
      </c>
      <c r="I284" s="2">
        <f t="shared" si="37"/>
        <v>159.6</v>
      </c>
      <c r="L284" s="2">
        <f t="shared" si="34"/>
        <v>0</v>
      </c>
      <c r="M284" s="2">
        <f t="shared" si="35"/>
        <v>159.6</v>
      </c>
    </row>
    <row r="285" hidden="1" spans="1:13">
      <c r="A285" s="30">
        <v>45839</v>
      </c>
      <c r="B285" s="1" t="s">
        <v>165</v>
      </c>
      <c r="C285" s="1" t="s">
        <v>44</v>
      </c>
      <c r="D285" s="1" t="s">
        <v>45</v>
      </c>
      <c r="F285" s="2">
        <v>168785.7</v>
      </c>
      <c r="G285" s="2">
        <v>139091.43</v>
      </c>
      <c r="H285" s="2">
        <f t="shared" si="36"/>
        <v>29694.27</v>
      </c>
      <c r="I285" s="2">
        <f t="shared" si="37"/>
        <v>29694.27</v>
      </c>
      <c r="L285" s="2">
        <f t="shared" si="34"/>
        <v>0</v>
      </c>
      <c r="M285" s="2">
        <f t="shared" si="35"/>
        <v>29694.27</v>
      </c>
    </row>
    <row r="286" hidden="1" spans="1:13">
      <c r="A286" s="30">
        <v>45839</v>
      </c>
      <c r="B286" s="1" t="s">
        <v>165</v>
      </c>
      <c r="C286" s="1" t="s">
        <v>113</v>
      </c>
      <c r="D286" s="1" t="s">
        <v>45</v>
      </c>
      <c r="F286" s="2">
        <v>701</v>
      </c>
      <c r="H286" s="2">
        <f t="shared" si="36"/>
        <v>701</v>
      </c>
      <c r="I286" s="2">
        <f t="shared" si="37"/>
        <v>701</v>
      </c>
      <c r="L286" s="2">
        <f t="shared" si="34"/>
        <v>0</v>
      </c>
      <c r="M286" s="2">
        <f t="shared" si="35"/>
        <v>701</v>
      </c>
    </row>
    <row r="287" hidden="1" spans="1:13">
      <c r="A287" s="30">
        <v>45839</v>
      </c>
      <c r="B287" s="1" t="s">
        <v>165</v>
      </c>
      <c r="C287" s="1" t="s">
        <v>41</v>
      </c>
      <c r="D287" s="1" t="s">
        <v>45</v>
      </c>
      <c r="F287" s="2">
        <v>6.3</v>
      </c>
      <c r="H287" s="2">
        <f t="shared" si="36"/>
        <v>6.3</v>
      </c>
      <c r="I287" s="2">
        <f t="shared" si="37"/>
        <v>6.3</v>
      </c>
      <c r="L287" s="2">
        <f t="shared" si="34"/>
        <v>0</v>
      </c>
      <c r="M287" s="2">
        <f t="shared" si="35"/>
        <v>6.3</v>
      </c>
    </row>
    <row r="288" hidden="1" spans="1:13">
      <c r="A288" s="30">
        <v>45839</v>
      </c>
      <c r="B288" s="1" t="s">
        <v>166</v>
      </c>
      <c r="C288" s="1" t="s">
        <v>41</v>
      </c>
      <c r="D288" s="1" t="s">
        <v>47</v>
      </c>
      <c r="H288" s="2">
        <f t="shared" si="36"/>
        <v>0</v>
      </c>
      <c r="I288" s="2">
        <f t="shared" si="37"/>
        <v>0</v>
      </c>
      <c r="K288" s="2">
        <v>1812</v>
      </c>
      <c r="L288" s="2">
        <f t="shared" si="34"/>
        <v>-1812</v>
      </c>
      <c r="M288" s="2">
        <f t="shared" si="35"/>
        <v>-1812</v>
      </c>
    </row>
    <row r="289" hidden="1" spans="1:13">
      <c r="A289" s="30">
        <v>45839</v>
      </c>
      <c r="B289" s="1" t="s">
        <v>167</v>
      </c>
      <c r="C289" s="1" t="s">
        <v>51</v>
      </c>
      <c r="D289" s="1" t="s">
        <v>52</v>
      </c>
      <c r="H289" s="2">
        <f t="shared" si="36"/>
        <v>0</v>
      </c>
      <c r="I289" s="2">
        <f t="shared" si="37"/>
        <v>0</v>
      </c>
      <c r="K289" s="2">
        <v>90449.8</v>
      </c>
      <c r="L289" s="2">
        <f t="shared" ref="L289:L320" si="38">J289-K289</f>
        <v>-90449.8</v>
      </c>
      <c r="M289" s="2">
        <f t="shared" ref="M289:M320" si="39">I289+L289</f>
        <v>-90449.8</v>
      </c>
    </row>
    <row r="290" hidden="1" spans="1:13">
      <c r="A290" s="30">
        <v>45839</v>
      </c>
      <c r="B290" s="1" t="s">
        <v>167</v>
      </c>
      <c r="C290" s="1" t="s">
        <v>51</v>
      </c>
      <c r="D290" s="1" t="s">
        <v>47</v>
      </c>
      <c r="H290" s="2">
        <f t="shared" si="36"/>
        <v>0</v>
      </c>
      <c r="I290" s="2">
        <f t="shared" si="37"/>
        <v>0</v>
      </c>
      <c r="K290" s="2">
        <v>97672.7</v>
      </c>
      <c r="L290" s="2">
        <f t="shared" si="38"/>
        <v>-97672.7</v>
      </c>
      <c r="M290" s="2">
        <f t="shared" si="39"/>
        <v>-97672.7</v>
      </c>
    </row>
    <row r="291" hidden="1" spans="1:13">
      <c r="A291" s="30">
        <v>45839</v>
      </c>
      <c r="B291" s="1" t="s">
        <v>168</v>
      </c>
      <c r="C291" s="1" t="s">
        <v>51</v>
      </c>
      <c r="D291" s="1" t="s">
        <v>52</v>
      </c>
      <c r="H291" s="2">
        <f t="shared" si="36"/>
        <v>0</v>
      </c>
      <c r="I291" s="2">
        <f t="shared" si="37"/>
        <v>0</v>
      </c>
      <c r="K291" s="2">
        <v>-954</v>
      </c>
      <c r="L291" s="2">
        <f t="shared" si="38"/>
        <v>954</v>
      </c>
      <c r="M291" s="2">
        <f t="shared" si="39"/>
        <v>954</v>
      </c>
    </row>
    <row r="292" hidden="1" spans="1:13">
      <c r="A292" s="30">
        <v>45839</v>
      </c>
      <c r="B292" s="1" t="s">
        <v>169</v>
      </c>
      <c r="C292" s="1" t="s">
        <v>46</v>
      </c>
      <c r="D292" s="1" t="s">
        <v>45</v>
      </c>
      <c r="E292" s="2">
        <v>76.95</v>
      </c>
      <c r="F292" s="2">
        <v>3078</v>
      </c>
      <c r="G292" s="2">
        <v>3078</v>
      </c>
      <c r="H292" s="2">
        <f t="shared" si="36"/>
        <v>0</v>
      </c>
      <c r="I292" s="2">
        <f t="shared" si="37"/>
        <v>76.95</v>
      </c>
      <c r="L292" s="2">
        <f t="shared" si="38"/>
        <v>0</v>
      </c>
      <c r="M292" s="2">
        <f t="shared" si="39"/>
        <v>76.95</v>
      </c>
    </row>
    <row r="293" hidden="1" spans="1:13">
      <c r="A293" s="30">
        <v>45839</v>
      </c>
      <c r="B293" s="1" t="s">
        <v>170</v>
      </c>
      <c r="C293" s="1" t="s">
        <v>57</v>
      </c>
      <c r="D293" s="1" t="s">
        <v>47</v>
      </c>
      <c r="F293" s="2">
        <v>43.2</v>
      </c>
      <c r="G293" s="2">
        <v>43.2</v>
      </c>
      <c r="H293" s="2">
        <f t="shared" si="36"/>
        <v>0</v>
      </c>
      <c r="I293" s="2">
        <f t="shared" si="37"/>
        <v>0</v>
      </c>
      <c r="L293" s="2">
        <f t="shared" si="38"/>
        <v>0</v>
      </c>
      <c r="M293" s="2">
        <f t="shared" si="39"/>
        <v>0</v>
      </c>
    </row>
    <row r="294" hidden="1" spans="1:13">
      <c r="A294" s="30">
        <v>45839</v>
      </c>
      <c r="B294" s="1" t="s">
        <v>171</v>
      </c>
      <c r="C294" s="1" t="s">
        <v>121</v>
      </c>
      <c r="D294" s="1" t="s">
        <v>52</v>
      </c>
      <c r="F294" s="2">
        <v>50985</v>
      </c>
      <c r="G294" s="2">
        <v>45000</v>
      </c>
      <c r="H294" s="2">
        <f t="shared" si="36"/>
        <v>5985</v>
      </c>
      <c r="I294" s="2">
        <f t="shared" si="37"/>
        <v>5985</v>
      </c>
      <c r="L294" s="2">
        <f t="shared" si="38"/>
        <v>0</v>
      </c>
      <c r="M294" s="2">
        <f t="shared" si="39"/>
        <v>5985</v>
      </c>
    </row>
    <row r="295" hidden="1" spans="1:13">
      <c r="A295" s="30">
        <v>45839</v>
      </c>
      <c r="B295" s="1" t="s">
        <v>172</v>
      </c>
      <c r="C295" s="1" t="s">
        <v>57</v>
      </c>
      <c r="D295" s="1" t="s">
        <v>42</v>
      </c>
      <c r="E295" s="2">
        <v>580624.2</v>
      </c>
      <c r="H295" s="2">
        <f t="shared" si="36"/>
        <v>0</v>
      </c>
      <c r="I295" s="2">
        <f t="shared" si="37"/>
        <v>580624.2</v>
      </c>
      <c r="L295" s="2">
        <f t="shared" si="38"/>
        <v>0</v>
      </c>
      <c r="M295" s="2">
        <f t="shared" si="39"/>
        <v>580624.2</v>
      </c>
    </row>
    <row r="296" hidden="1" spans="1:13">
      <c r="A296" s="30">
        <v>45839</v>
      </c>
      <c r="B296" s="1" t="s">
        <v>172</v>
      </c>
      <c r="C296" s="1" t="s">
        <v>65</v>
      </c>
      <c r="D296" s="1" t="s">
        <v>47</v>
      </c>
      <c r="F296" s="2">
        <v>32941.5009999999</v>
      </c>
      <c r="H296" s="2">
        <f t="shared" si="36"/>
        <v>32941.5009999999</v>
      </c>
      <c r="I296" s="2">
        <f t="shared" si="37"/>
        <v>32941.5009999999</v>
      </c>
      <c r="L296" s="2">
        <f t="shared" si="38"/>
        <v>0</v>
      </c>
      <c r="M296" s="2">
        <f t="shared" si="39"/>
        <v>32941.5009999999</v>
      </c>
    </row>
    <row r="297" hidden="1" spans="1:13">
      <c r="A297" s="30">
        <v>45839</v>
      </c>
      <c r="B297" s="1" t="s">
        <v>172</v>
      </c>
      <c r="C297" s="1" t="s">
        <v>41</v>
      </c>
      <c r="D297" s="1" t="s">
        <v>47</v>
      </c>
      <c r="F297" s="2">
        <v>261.8587</v>
      </c>
      <c r="H297" s="2">
        <f t="shared" si="36"/>
        <v>261.8587</v>
      </c>
      <c r="I297" s="2">
        <f t="shared" si="37"/>
        <v>261.8587</v>
      </c>
      <c r="L297" s="2">
        <f t="shared" si="38"/>
        <v>0</v>
      </c>
      <c r="M297" s="2">
        <f t="shared" si="39"/>
        <v>261.8587</v>
      </c>
    </row>
    <row r="298" hidden="1" spans="1:13">
      <c r="A298" s="30">
        <v>45839</v>
      </c>
      <c r="B298" s="1" t="s">
        <v>172</v>
      </c>
      <c r="C298" s="1" t="s">
        <v>43</v>
      </c>
      <c r="D298" s="1" t="s">
        <v>47</v>
      </c>
      <c r="F298" s="2">
        <v>762.6099</v>
      </c>
      <c r="H298" s="2">
        <f t="shared" si="36"/>
        <v>762.6099</v>
      </c>
      <c r="I298" s="2">
        <f t="shared" si="37"/>
        <v>762.6099</v>
      </c>
      <c r="L298" s="2">
        <f t="shared" si="38"/>
        <v>0</v>
      </c>
      <c r="M298" s="2">
        <f t="shared" si="39"/>
        <v>762.6099</v>
      </c>
    </row>
    <row r="299" hidden="1" spans="1:13">
      <c r="A299" s="30">
        <v>45839</v>
      </c>
      <c r="B299" s="1" t="s">
        <v>172</v>
      </c>
      <c r="C299" s="1" t="s">
        <v>57</v>
      </c>
      <c r="D299" s="1" t="s">
        <v>47</v>
      </c>
      <c r="E299" s="2">
        <v>-457040.379999999</v>
      </c>
      <c r="F299" s="2">
        <v>2405709.5642</v>
      </c>
      <c r="G299" s="2">
        <v>2627756.78469999</v>
      </c>
      <c r="H299" s="2">
        <f t="shared" si="36"/>
        <v>-222047.22049999</v>
      </c>
      <c r="I299" s="2">
        <f t="shared" si="37"/>
        <v>-679087.600499989</v>
      </c>
      <c r="L299" s="2">
        <f t="shared" si="38"/>
        <v>0</v>
      </c>
      <c r="M299" s="2">
        <f t="shared" si="39"/>
        <v>-679087.600499989</v>
      </c>
    </row>
    <row r="300" hidden="1" spans="1:13">
      <c r="A300" s="30">
        <v>45839</v>
      </c>
      <c r="B300" s="1" t="s">
        <v>173</v>
      </c>
      <c r="C300" s="1" t="s">
        <v>79</v>
      </c>
      <c r="D300" s="1" t="s">
        <v>42</v>
      </c>
      <c r="F300" s="2">
        <v>2.5</v>
      </c>
      <c r="H300" s="2">
        <f t="shared" si="36"/>
        <v>2.5</v>
      </c>
      <c r="I300" s="2">
        <f t="shared" si="37"/>
        <v>2.5</v>
      </c>
      <c r="L300" s="2">
        <f t="shared" si="38"/>
        <v>0</v>
      </c>
      <c r="M300" s="2">
        <f t="shared" si="39"/>
        <v>2.5</v>
      </c>
    </row>
    <row r="301" hidden="1" spans="1:13">
      <c r="A301" s="30">
        <v>45839</v>
      </c>
      <c r="B301" s="1" t="s">
        <v>173</v>
      </c>
      <c r="C301" s="1" t="s">
        <v>41</v>
      </c>
      <c r="D301" s="1" t="s">
        <v>42</v>
      </c>
      <c r="F301" s="2">
        <f>84.3718+7.5</f>
        <v>91.8718</v>
      </c>
      <c r="H301" s="2">
        <f t="shared" si="36"/>
        <v>91.8718</v>
      </c>
      <c r="I301" s="2">
        <f t="shared" si="37"/>
        <v>91.8718</v>
      </c>
      <c r="L301" s="2">
        <f t="shared" si="38"/>
        <v>0</v>
      </c>
      <c r="M301" s="2">
        <f t="shared" si="39"/>
        <v>91.8718</v>
      </c>
    </row>
    <row r="302" hidden="1" spans="1:13">
      <c r="A302" s="30">
        <v>45839</v>
      </c>
      <c r="B302" s="1" t="s">
        <v>173</v>
      </c>
      <c r="C302" s="1" t="s">
        <v>55</v>
      </c>
      <c r="D302" s="1" t="s">
        <v>42</v>
      </c>
      <c r="F302" s="2">
        <v>313.55</v>
      </c>
      <c r="H302" s="2">
        <f t="shared" si="36"/>
        <v>313.55</v>
      </c>
      <c r="I302" s="2">
        <f t="shared" si="37"/>
        <v>313.55</v>
      </c>
      <c r="L302" s="2">
        <f t="shared" si="38"/>
        <v>0</v>
      </c>
      <c r="M302" s="2">
        <f t="shared" si="39"/>
        <v>313.55</v>
      </c>
    </row>
    <row r="303" hidden="1" spans="1:13">
      <c r="A303" s="30">
        <v>45839</v>
      </c>
      <c r="B303" s="1" t="s">
        <v>173</v>
      </c>
      <c r="C303" s="1" t="s">
        <v>43</v>
      </c>
      <c r="D303" s="1" t="s">
        <v>42</v>
      </c>
      <c r="F303" s="2">
        <f>288104.4+240</f>
        <v>288344.4</v>
      </c>
      <c r="G303" s="2">
        <v>237591</v>
      </c>
      <c r="H303" s="2">
        <f t="shared" si="36"/>
        <v>50753.4</v>
      </c>
      <c r="I303" s="2">
        <f t="shared" si="37"/>
        <v>50753.4</v>
      </c>
      <c r="L303" s="2">
        <f t="shared" si="38"/>
        <v>0</v>
      </c>
      <c r="M303" s="2">
        <f t="shared" si="39"/>
        <v>50753.4</v>
      </c>
    </row>
    <row r="304" hidden="1" spans="1:13">
      <c r="A304" s="30">
        <v>45839</v>
      </c>
      <c r="B304" s="1" t="s">
        <v>174</v>
      </c>
      <c r="C304" s="1" t="s">
        <v>51</v>
      </c>
      <c r="D304" s="1" t="s">
        <v>47</v>
      </c>
      <c r="H304" s="2">
        <f t="shared" si="36"/>
        <v>0</v>
      </c>
      <c r="I304" s="2">
        <f t="shared" si="37"/>
        <v>0</v>
      </c>
      <c r="K304" s="2">
        <v>451.709999999999</v>
      </c>
      <c r="L304" s="2">
        <f t="shared" si="38"/>
        <v>-451.709999999999</v>
      </c>
      <c r="M304" s="2">
        <f t="shared" si="39"/>
        <v>-451.709999999999</v>
      </c>
    </row>
    <row r="305" hidden="1" spans="1:13">
      <c r="A305" s="30">
        <v>45839</v>
      </c>
      <c r="B305" s="1" t="s">
        <v>175</v>
      </c>
      <c r="C305" s="1" t="s">
        <v>43</v>
      </c>
      <c r="D305" s="1" t="s">
        <v>42</v>
      </c>
      <c r="F305" s="2">
        <v>2</v>
      </c>
      <c r="G305" s="2">
        <v>0.2</v>
      </c>
      <c r="H305" s="2">
        <f t="shared" si="36"/>
        <v>1.8</v>
      </c>
      <c r="I305" s="2">
        <f t="shared" si="37"/>
        <v>1.8</v>
      </c>
      <c r="L305" s="2">
        <f t="shared" si="38"/>
        <v>0</v>
      </c>
      <c r="M305" s="2">
        <f t="shared" si="39"/>
        <v>1.8</v>
      </c>
    </row>
    <row r="306" hidden="1" spans="1:13">
      <c r="A306" s="30">
        <v>45839</v>
      </c>
      <c r="B306" s="1" t="s">
        <v>176</v>
      </c>
      <c r="C306" s="1" t="s">
        <v>121</v>
      </c>
      <c r="D306" s="1" t="s">
        <v>52</v>
      </c>
      <c r="F306" s="2">
        <v>5710.31999999999</v>
      </c>
      <c r="G306" s="2">
        <v>5040</v>
      </c>
      <c r="H306" s="2">
        <f t="shared" si="36"/>
        <v>670.31999999999</v>
      </c>
      <c r="I306" s="2">
        <f t="shared" si="37"/>
        <v>670.31999999999</v>
      </c>
      <c r="L306" s="2">
        <f t="shared" si="38"/>
        <v>0</v>
      </c>
      <c r="M306" s="2">
        <f t="shared" si="39"/>
        <v>670.31999999999</v>
      </c>
    </row>
    <row r="307" hidden="1" spans="1:13">
      <c r="A307" s="30">
        <v>45839</v>
      </c>
      <c r="B307" s="1" t="s">
        <v>177</v>
      </c>
      <c r="C307" s="1" t="s">
        <v>41</v>
      </c>
      <c r="D307" s="1" t="s">
        <v>42</v>
      </c>
      <c r="F307" s="2">
        <v>356299.1</v>
      </c>
      <c r="G307" s="2">
        <v>347641.552</v>
      </c>
      <c r="H307" s="2">
        <f t="shared" si="36"/>
        <v>8657.54799999995</v>
      </c>
      <c r="I307" s="2">
        <f t="shared" si="37"/>
        <v>8657.54799999995</v>
      </c>
      <c r="L307" s="2">
        <f t="shared" si="38"/>
        <v>0</v>
      </c>
      <c r="M307" s="2">
        <f t="shared" si="39"/>
        <v>8657.54799999995</v>
      </c>
    </row>
    <row r="308" hidden="1" spans="1:13">
      <c r="A308" s="30">
        <v>45839</v>
      </c>
      <c r="B308" s="1" t="s">
        <v>177</v>
      </c>
      <c r="C308" s="1" t="s">
        <v>43</v>
      </c>
      <c r="D308" s="1" t="s">
        <v>42</v>
      </c>
      <c r="F308" s="2">
        <v>705288.692</v>
      </c>
      <c r="G308" s="2">
        <v>690962.7553</v>
      </c>
      <c r="H308" s="2">
        <f t="shared" ref="H308:H345" si="40">F308-G308</f>
        <v>14325.9367000001</v>
      </c>
      <c r="I308" s="2">
        <f t="shared" ref="I308:I345" si="41">H308+E308</f>
        <v>14325.9367000001</v>
      </c>
      <c r="L308" s="2">
        <f t="shared" si="38"/>
        <v>0</v>
      </c>
      <c r="M308" s="2">
        <f t="shared" si="39"/>
        <v>14325.9367000001</v>
      </c>
    </row>
    <row r="309" hidden="1" spans="1:13">
      <c r="A309" s="30">
        <v>45839</v>
      </c>
      <c r="B309" s="1" t="s">
        <v>178</v>
      </c>
      <c r="C309" s="1" t="s">
        <v>41</v>
      </c>
      <c r="D309" s="1" t="s">
        <v>42</v>
      </c>
      <c r="F309" s="2">
        <v>606.273</v>
      </c>
      <c r="G309" s="2">
        <v>569.59</v>
      </c>
      <c r="H309" s="2">
        <f t="shared" si="40"/>
        <v>36.683</v>
      </c>
      <c r="I309" s="2">
        <f t="shared" si="41"/>
        <v>36.683</v>
      </c>
      <c r="L309" s="2">
        <f t="shared" si="38"/>
        <v>0</v>
      </c>
      <c r="M309" s="2">
        <f t="shared" si="39"/>
        <v>36.683</v>
      </c>
    </row>
    <row r="310" hidden="1" spans="1:13">
      <c r="A310" s="30">
        <v>45839</v>
      </c>
      <c r="B310" s="1" t="s">
        <v>178</v>
      </c>
      <c r="C310" s="1" t="s">
        <v>55</v>
      </c>
      <c r="D310" s="1" t="s">
        <v>42</v>
      </c>
      <c r="F310" s="2">
        <v>100.28</v>
      </c>
      <c r="G310" s="2">
        <v>97.7</v>
      </c>
      <c r="H310" s="2">
        <f t="shared" si="40"/>
        <v>2.58</v>
      </c>
      <c r="I310" s="2">
        <f t="shared" si="41"/>
        <v>2.58</v>
      </c>
      <c r="L310" s="2">
        <f t="shared" si="38"/>
        <v>0</v>
      </c>
      <c r="M310" s="2">
        <f t="shared" si="39"/>
        <v>2.58</v>
      </c>
    </row>
    <row r="311" hidden="1" spans="1:13">
      <c r="A311" s="30">
        <v>45839</v>
      </c>
      <c r="B311" s="1" t="s">
        <v>178</v>
      </c>
      <c r="C311" s="1" t="s">
        <v>43</v>
      </c>
      <c r="D311" s="1" t="s">
        <v>42</v>
      </c>
      <c r="F311" s="2">
        <v>18179.22</v>
      </c>
      <c r="G311" s="2">
        <v>16704.49</v>
      </c>
      <c r="H311" s="2">
        <f t="shared" si="40"/>
        <v>1474.73</v>
      </c>
      <c r="I311" s="2">
        <f t="shared" si="41"/>
        <v>1474.73</v>
      </c>
      <c r="L311" s="2">
        <f t="shared" si="38"/>
        <v>0</v>
      </c>
      <c r="M311" s="2">
        <f t="shared" si="39"/>
        <v>1474.73</v>
      </c>
    </row>
    <row r="312" hidden="1" spans="1:13">
      <c r="A312" s="30">
        <v>45839</v>
      </c>
      <c r="B312" s="1" t="s">
        <v>178</v>
      </c>
      <c r="C312" s="1" t="s">
        <v>41</v>
      </c>
      <c r="D312" s="1" t="s">
        <v>47</v>
      </c>
      <c r="F312" s="2">
        <v>12783.55766665</v>
      </c>
      <c r="G312" s="2">
        <v>11120.29</v>
      </c>
      <c r="H312" s="2">
        <f t="shared" si="40"/>
        <v>1663.26766665</v>
      </c>
      <c r="I312" s="2">
        <f t="shared" si="41"/>
        <v>1663.26766665</v>
      </c>
      <c r="L312" s="2">
        <f t="shared" si="38"/>
        <v>0</v>
      </c>
      <c r="M312" s="2">
        <f t="shared" si="39"/>
        <v>1663.26766665</v>
      </c>
    </row>
    <row r="313" hidden="1" spans="1:13">
      <c r="A313" s="30">
        <v>45839</v>
      </c>
      <c r="B313" s="1" t="s">
        <v>178</v>
      </c>
      <c r="C313" s="1" t="s">
        <v>55</v>
      </c>
      <c r="D313" s="1" t="s">
        <v>47</v>
      </c>
      <c r="F313" s="2">
        <v>6582.26</v>
      </c>
      <c r="G313" s="2">
        <v>5716.76</v>
      </c>
      <c r="H313" s="2">
        <f t="shared" si="40"/>
        <v>865.5</v>
      </c>
      <c r="I313" s="2">
        <f t="shared" si="41"/>
        <v>865.5</v>
      </c>
      <c r="L313" s="2">
        <f t="shared" si="38"/>
        <v>0</v>
      </c>
      <c r="M313" s="2">
        <f t="shared" si="39"/>
        <v>865.5</v>
      </c>
    </row>
    <row r="314" hidden="1" spans="1:13">
      <c r="A314" s="30">
        <v>45839</v>
      </c>
      <c r="B314" s="1" t="s">
        <v>178</v>
      </c>
      <c r="C314" s="1" t="s">
        <v>43</v>
      </c>
      <c r="D314" s="1" t="s">
        <v>47</v>
      </c>
      <c r="F314" s="2">
        <v>160641.01</v>
      </c>
      <c r="G314" s="2">
        <v>144897.58</v>
      </c>
      <c r="H314" s="2">
        <f t="shared" si="40"/>
        <v>15743.43</v>
      </c>
      <c r="I314" s="2">
        <f t="shared" si="41"/>
        <v>15743.43</v>
      </c>
      <c r="L314" s="2">
        <f t="shared" si="38"/>
        <v>0</v>
      </c>
      <c r="M314" s="2">
        <f t="shared" si="39"/>
        <v>15743.43</v>
      </c>
    </row>
    <row r="315" hidden="1" spans="1:13">
      <c r="A315" s="30">
        <v>45839</v>
      </c>
      <c r="B315" s="1" t="s">
        <v>179</v>
      </c>
      <c r="C315" s="1" t="s">
        <v>41</v>
      </c>
      <c r="D315" s="1" t="s">
        <v>42</v>
      </c>
      <c r="F315" s="2">
        <v>152.8</v>
      </c>
      <c r="G315" s="2">
        <v>152.8</v>
      </c>
      <c r="H315" s="2">
        <f t="shared" si="40"/>
        <v>0</v>
      </c>
      <c r="I315" s="2">
        <f t="shared" si="41"/>
        <v>0</v>
      </c>
      <c r="L315" s="2">
        <f t="shared" si="38"/>
        <v>0</v>
      </c>
      <c r="M315" s="2">
        <f t="shared" si="39"/>
        <v>0</v>
      </c>
    </row>
    <row r="316" hidden="1" spans="1:13">
      <c r="A316" s="30">
        <v>45839</v>
      </c>
      <c r="B316" s="1" t="s">
        <v>179</v>
      </c>
      <c r="C316" s="1" t="s">
        <v>43</v>
      </c>
      <c r="D316" s="1" t="s">
        <v>42</v>
      </c>
      <c r="F316" s="2">
        <v>51</v>
      </c>
      <c r="G316" s="2">
        <v>48</v>
      </c>
      <c r="H316" s="2">
        <f t="shared" si="40"/>
        <v>3</v>
      </c>
      <c r="I316" s="2">
        <f t="shared" si="41"/>
        <v>3</v>
      </c>
      <c r="L316" s="2">
        <f t="shared" si="38"/>
        <v>0</v>
      </c>
      <c r="M316" s="2">
        <f t="shared" si="39"/>
        <v>3</v>
      </c>
    </row>
    <row r="317" hidden="1" spans="1:13">
      <c r="A317" s="30">
        <v>45839</v>
      </c>
      <c r="B317" s="1" t="s">
        <v>179</v>
      </c>
      <c r="C317" s="1" t="s">
        <v>54</v>
      </c>
      <c r="D317" s="1" t="s">
        <v>47</v>
      </c>
      <c r="F317" s="2">
        <v>10753.33</v>
      </c>
      <c r="G317" s="2">
        <v>9425</v>
      </c>
      <c r="H317" s="2">
        <f t="shared" si="40"/>
        <v>1328.33</v>
      </c>
      <c r="I317" s="2">
        <f t="shared" si="41"/>
        <v>1328.33</v>
      </c>
      <c r="L317" s="2">
        <f t="shared" si="38"/>
        <v>0</v>
      </c>
      <c r="M317" s="2">
        <f t="shared" si="39"/>
        <v>1328.33</v>
      </c>
    </row>
    <row r="318" hidden="1" spans="1:13">
      <c r="A318" s="30">
        <v>45839</v>
      </c>
      <c r="B318" s="1" t="s">
        <v>179</v>
      </c>
      <c r="C318" s="1" t="s">
        <v>41</v>
      </c>
      <c r="D318" s="1" t="s">
        <v>47</v>
      </c>
      <c r="F318" s="2">
        <f>16639.74+286</f>
        <v>16925.74</v>
      </c>
      <c r="G318" s="2">
        <f>10523.66+240</f>
        <v>10763.66</v>
      </c>
      <c r="H318" s="2">
        <f t="shared" si="40"/>
        <v>6162.08</v>
      </c>
      <c r="I318" s="2">
        <f t="shared" si="41"/>
        <v>6162.08</v>
      </c>
      <c r="L318" s="2">
        <f t="shared" si="38"/>
        <v>0</v>
      </c>
      <c r="M318" s="2">
        <f t="shared" si="39"/>
        <v>6162.08</v>
      </c>
    </row>
    <row r="319" hidden="1" spans="1:13">
      <c r="A319" s="30">
        <v>45839</v>
      </c>
      <c r="B319" s="1" t="s">
        <v>179</v>
      </c>
      <c r="C319" s="1" t="s">
        <v>43</v>
      </c>
      <c r="D319" s="1" t="s">
        <v>47</v>
      </c>
      <c r="F319" s="2">
        <v>13354.96</v>
      </c>
      <c r="G319" s="2">
        <v>11435.74</v>
      </c>
      <c r="H319" s="2">
        <f t="shared" si="40"/>
        <v>1919.22</v>
      </c>
      <c r="I319" s="2">
        <f t="shared" si="41"/>
        <v>1919.22</v>
      </c>
      <c r="L319" s="2">
        <f t="shared" si="38"/>
        <v>0</v>
      </c>
      <c r="M319" s="2">
        <f t="shared" si="39"/>
        <v>1919.22</v>
      </c>
    </row>
    <row r="320" hidden="1" spans="1:13">
      <c r="A320" s="30">
        <v>45839</v>
      </c>
      <c r="B320" s="1" t="s">
        <v>180</v>
      </c>
      <c r="C320" s="1" t="s">
        <v>55</v>
      </c>
      <c r="D320" s="1" t="s">
        <v>42</v>
      </c>
      <c r="F320" s="2">
        <v>4761</v>
      </c>
      <c r="G320" s="2">
        <v>4702.5</v>
      </c>
      <c r="H320" s="2">
        <f t="shared" si="40"/>
        <v>58.5</v>
      </c>
      <c r="I320" s="2">
        <f t="shared" si="41"/>
        <v>58.5</v>
      </c>
      <c r="L320" s="2">
        <f t="shared" si="38"/>
        <v>0</v>
      </c>
      <c r="M320" s="2">
        <f t="shared" si="39"/>
        <v>58.5</v>
      </c>
    </row>
    <row r="321" hidden="1" spans="1:13">
      <c r="A321" s="30">
        <v>45839</v>
      </c>
      <c r="B321" s="1" t="s">
        <v>180</v>
      </c>
      <c r="C321" s="1" t="s">
        <v>43</v>
      </c>
      <c r="D321" s="1" t="s">
        <v>42</v>
      </c>
      <c r="F321" s="2">
        <v>271198.5</v>
      </c>
      <c r="G321" s="2">
        <v>267520</v>
      </c>
      <c r="H321" s="2">
        <f t="shared" si="40"/>
        <v>3678.5</v>
      </c>
      <c r="I321" s="2">
        <f t="shared" si="41"/>
        <v>3678.5</v>
      </c>
      <c r="L321" s="2">
        <f t="shared" ref="L321:L357" si="42">J321-K321</f>
        <v>0</v>
      </c>
      <c r="M321" s="2">
        <f t="shared" ref="M321:M357" si="43">I321+L321</f>
        <v>3678.5</v>
      </c>
    </row>
    <row r="322" hidden="1" spans="1:13">
      <c r="A322" s="30">
        <v>45839</v>
      </c>
      <c r="B322" s="1" t="s">
        <v>181</v>
      </c>
      <c r="C322" s="1" t="s">
        <v>57</v>
      </c>
      <c r="D322" s="1" t="s">
        <v>42</v>
      </c>
      <c r="F322" s="2">
        <v>-92.5</v>
      </c>
      <c r="G322" s="2">
        <v>-92.5</v>
      </c>
      <c r="H322" s="2">
        <f t="shared" si="40"/>
        <v>0</v>
      </c>
      <c r="I322" s="2">
        <f t="shared" si="41"/>
        <v>0</v>
      </c>
      <c r="L322" s="2">
        <f t="shared" si="42"/>
        <v>0</v>
      </c>
      <c r="M322" s="2">
        <f t="shared" si="43"/>
        <v>0</v>
      </c>
    </row>
    <row r="323" hidden="1" spans="1:13">
      <c r="A323" s="30">
        <v>45839</v>
      </c>
      <c r="B323" s="1" t="s">
        <v>182</v>
      </c>
      <c r="C323" s="1" t="s">
        <v>51</v>
      </c>
      <c r="D323" s="1" t="s">
        <v>52</v>
      </c>
      <c r="H323" s="2">
        <f t="shared" si="40"/>
        <v>0</v>
      </c>
      <c r="I323" s="2">
        <f t="shared" si="41"/>
        <v>0</v>
      </c>
      <c r="K323" s="2">
        <v>71907.91</v>
      </c>
      <c r="L323" s="2">
        <f t="shared" si="42"/>
        <v>-71907.91</v>
      </c>
      <c r="M323" s="2">
        <f t="shared" si="43"/>
        <v>-71907.91</v>
      </c>
    </row>
    <row r="324" hidden="1" spans="1:13">
      <c r="A324" s="30">
        <v>45839</v>
      </c>
      <c r="B324" s="1" t="s">
        <v>183</v>
      </c>
      <c r="C324" s="1" t="s">
        <v>43</v>
      </c>
      <c r="D324" s="1" t="s">
        <v>42</v>
      </c>
      <c r="F324" s="2">
        <v>985363</v>
      </c>
      <c r="G324" s="2">
        <v>971549.5</v>
      </c>
      <c r="H324" s="2">
        <f t="shared" si="40"/>
        <v>13813.5</v>
      </c>
      <c r="I324" s="2">
        <f t="shared" si="41"/>
        <v>13813.5</v>
      </c>
      <c r="L324" s="2">
        <f t="shared" si="42"/>
        <v>0</v>
      </c>
      <c r="M324" s="2">
        <f t="shared" si="43"/>
        <v>13813.5</v>
      </c>
    </row>
    <row r="325" hidden="1" spans="1:13">
      <c r="A325" s="30">
        <v>45839</v>
      </c>
      <c r="B325" s="1" t="s">
        <v>184</v>
      </c>
      <c r="C325" s="1" t="s">
        <v>51</v>
      </c>
      <c r="D325" s="1" t="s">
        <v>52</v>
      </c>
      <c r="H325" s="2">
        <f t="shared" si="40"/>
        <v>0</v>
      </c>
      <c r="I325" s="2">
        <f t="shared" si="41"/>
        <v>0</v>
      </c>
      <c r="J325" s="2">
        <v>195888.67</v>
      </c>
      <c r="L325" s="2">
        <f t="shared" si="42"/>
        <v>195888.67</v>
      </c>
      <c r="M325" s="2">
        <f t="shared" si="43"/>
        <v>195888.67</v>
      </c>
    </row>
    <row r="326" hidden="1" spans="1:13">
      <c r="A326" s="30">
        <v>45839</v>
      </c>
      <c r="B326" s="1" t="s">
        <v>184</v>
      </c>
      <c r="C326" s="1" t="s">
        <v>41</v>
      </c>
      <c r="D326" s="1" t="s">
        <v>52</v>
      </c>
      <c r="H326" s="2">
        <f t="shared" si="40"/>
        <v>0</v>
      </c>
      <c r="I326" s="2">
        <f t="shared" si="41"/>
        <v>0</v>
      </c>
      <c r="J326" s="2">
        <v>29980.78</v>
      </c>
      <c r="L326" s="2">
        <f t="shared" si="42"/>
        <v>29980.78</v>
      </c>
      <c r="M326" s="2">
        <f t="shared" si="43"/>
        <v>29980.78</v>
      </c>
    </row>
    <row r="327" hidden="1" spans="1:13">
      <c r="A327" s="30">
        <v>45839</v>
      </c>
      <c r="B327" s="1" t="s">
        <v>185</v>
      </c>
      <c r="C327" s="1" t="s">
        <v>41</v>
      </c>
      <c r="D327" s="1" t="s">
        <v>42</v>
      </c>
      <c r="F327" s="2">
        <v>505.25</v>
      </c>
      <c r="G327" s="2">
        <v>498.2</v>
      </c>
      <c r="H327" s="2">
        <f t="shared" si="40"/>
        <v>7.05000000000001</v>
      </c>
      <c r="I327" s="2">
        <f t="shared" si="41"/>
        <v>7.05000000000001</v>
      </c>
      <c r="L327" s="2">
        <f t="shared" si="42"/>
        <v>0</v>
      </c>
      <c r="M327" s="2">
        <f t="shared" si="43"/>
        <v>7.05000000000001</v>
      </c>
    </row>
    <row r="328" hidden="1" spans="1:13">
      <c r="A328" s="30">
        <v>45839</v>
      </c>
      <c r="B328" s="1" t="s">
        <v>185</v>
      </c>
      <c r="C328" s="1" t="s">
        <v>43</v>
      </c>
      <c r="D328" s="1" t="s">
        <v>42</v>
      </c>
      <c r="F328" s="2">
        <v>4645.65</v>
      </c>
      <c r="G328" s="2">
        <v>4619.7</v>
      </c>
      <c r="H328" s="2">
        <f t="shared" si="40"/>
        <v>25.9499999999998</v>
      </c>
      <c r="I328" s="2">
        <f t="shared" si="41"/>
        <v>25.9499999999998</v>
      </c>
      <c r="L328" s="2">
        <f t="shared" si="42"/>
        <v>0</v>
      </c>
      <c r="M328" s="2">
        <f t="shared" si="43"/>
        <v>25.9499999999998</v>
      </c>
    </row>
    <row r="329" hidden="1" spans="1:13">
      <c r="A329" s="30">
        <v>45839</v>
      </c>
      <c r="B329" s="1" t="s">
        <v>186</v>
      </c>
      <c r="C329" s="1" t="s">
        <v>43</v>
      </c>
      <c r="D329" s="1" t="s">
        <v>42</v>
      </c>
      <c r="F329" s="2">
        <v>-99</v>
      </c>
      <c r="G329" s="2">
        <v>-83</v>
      </c>
      <c r="H329" s="2">
        <f t="shared" si="40"/>
        <v>-16</v>
      </c>
      <c r="I329" s="2">
        <f t="shared" si="41"/>
        <v>-16</v>
      </c>
      <c r="L329" s="2">
        <f t="shared" si="42"/>
        <v>0</v>
      </c>
      <c r="M329" s="2">
        <f t="shared" si="43"/>
        <v>-16</v>
      </c>
    </row>
    <row r="330" hidden="1" spans="1:13">
      <c r="A330" s="30">
        <v>45839</v>
      </c>
      <c r="B330" s="1" t="s">
        <v>186</v>
      </c>
      <c r="C330" s="1" t="s">
        <v>41</v>
      </c>
      <c r="D330" s="1" t="s">
        <v>47</v>
      </c>
      <c r="F330" s="2">
        <v>2074.92</v>
      </c>
      <c r="G330" s="2">
        <v>1427.8</v>
      </c>
      <c r="H330" s="2">
        <f t="shared" si="40"/>
        <v>647.12</v>
      </c>
      <c r="I330" s="2">
        <f t="shared" si="41"/>
        <v>647.12</v>
      </c>
      <c r="L330" s="2">
        <f t="shared" si="42"/>
        <v>0</v>
      </c>
      <c r="M330" s="2">
        <f t="shared" si="43"/>
        <v>647.12</v>
      </c>
    </row>
    <row r="331" hidden="1" spans="1:13">
      <c r="A331" s="30">
        <v>45839</v>
      </c>
      <c r="B331" s="1" t="s">
        <v>186</v>
      </c>
      <c r="C331" s="1" t="s">
        <v>55</v>
      </c>
      <c r="D331" s="1" t="s">
        <v>47</v>
      </c>
      <c r="F331" s="2">
        <v>208</v>
      </c>
      <c r="G331" s="2">
        <v>140.9</v>
      </c>
      <c r="H331" s="2">
        <f t="shared" si="40"/>
        <v>67.1</v>
      </c>
      <c r="I331" s="2">
        <f t="shared" si="41"/>
        <v>67.1</v>
      </c>
      <c r="L331" s="2">
        <f t="shared" si="42"/>
        <v>0</v>
      </c>
      <c r="M331" s="2">
        <f t="shared" si="43"/>
        <v>67.1</v>
      </c>
    </row>
    <row r="332" hidden="1" spans="1:13">
      <c r="A332" s="30">
        <v>45839</v>
      </c>
      <c r="B332" s="1" t="s">
        <v>186</v>
      </c>
      <c r="C332" s="1" t="s">
        <v>43</v>
      </c>
      <c r="D332" s="1" t="s">
        <v>47</v>
      </c>
      <c r="F332" s="2">
        <v>5075.24</v>
      </c>
      <c r="G332" s="2">
        <v>4295.8</v>
      </c>
      <c r="H332" s="2">
        <f t="shared" si="40"/>
        <v>779.44</v>
      </c>
      <c r="I332" s="2">
        <f t="shared" si="41"/>
        <v>779.44</v>
      </c>
      <c r="L332" s="2">
        <f t="shared" si="42"/>
        <v>0</v>
      </c>
      <c r="M332" s="2">
        <f t="shared" si="43"/>
        <v>779.44</v>
      </c>
    </row>
    <row r="333" hidden="1" spans="1:13">
      <c r="A333" s="30">
        <v>45839</v>
      </c>
      <c r="B333" s="1" t="s">
        <v>187</v>
      </c>
      <c r="C333" s="1" t="s">
        <v>64</v>
      </c>
      <c r="D333" s="1" t="s">
        <v>42</v>
      </c>
      <c r="F333" s="2">
        <v>84.5</v>
      </c>
      <c r="G333" s="2">
        <v>72.8</v>
      </c>
      <c r="H333" s="2">
        <f t="shared" si="40"/>
        <v>11.7</v>
      </c>
      <c r="I333" s="2">
        <f t="shared" si="41"/>
        <v>11.7</v>
      </c>
      <c r="L333" s="2">
        <f t="shared" si="42"/>
        <v>0</v>
      </c>
      <c r="M333" s="2">
        <f t="shared" si="43"/>
        <v>11.7</v>
      </c>
    </row>
    <row r="334" hidden="1" spans="1:13">
      <c r="A334" s="30">
        <v>45839</v>
      </c>
      <c r="B334" s="1" t="s">
        <v>187</v>
      </c>
      <c r="C334" s="1" t="s">
        <v>79</v>
      </c>
      <c r="D334" s="1" t="s">
        <v>42</v>
      </c>
      <c r="F334" s="2">
        <v>90</v>
      </c>
      <c r="G334" s="2">
        <v>90</v>
      </c>
      <c r="H334" s="2">
        <f t="shared" si="40"/>
        <v>0</v>
      </c>
      <c r="I334" s="2">
        <f t="shared" si="41"/>
        <v>0</v>
      </c>
      <c r="L334" s="2">
        <f t="shared" si="42"/>
        <v>0</v>
      </c>
      <c r="M334" s="2">
        <f t="shared" si="43"/>
        <v>0</v>
      </c>
    </row>
    <row r="335" hidden="1" spans="1:13">
      <c r="A335" s="30">
        <v>45839</v>
      </c>
      <c r="B335" s="1" t="s">
        <v>187</v>
      </c>
      <c r="C335" s="1" t="s">
        <v>41</v>
      </c>
      <c r="D335" s="1" t="s">
        <v>42</v>
      </c>
      <c r="F335" s="2">
        <v>11860.515</v>
      </c>
      <c r="G335" s="2">
        <v>11006.54</v>
      </c>
      <c r="H335" s="2">
        <f t="shared" si="40"/>
        <v>853.974999999999</v>
      </c>
      <c r="I335" s="2">
        <f t="shared" si="41"/>
        <v>853.974999999999</v>
      </c>
      <c r="L335" s="2">
        <f t="shared" si="42"/>
        <v>0</v>
      </c>
      <c r="M335" s="2">
        <f t="shared" si="43"/>
        <v>853.974999999999</v>
      </c>
    </row>
    <row r="336" hidden="1" spans="1:13">
      <c r="A336" s="30">
        <v>45839</v>
      </c>
      <c r="B336" s="1" t="s">
        <v>187</v>
      </c>
      <c r="C336" s="1" t="s">
        <v>55</v>
      </c>
      <c r="D336" s="1" t="s">
        <v>42</v>
      </c>
      <c r="F336" s="2">
        <v>1311.79</v>
      </c>
      <c r="G336" s="2">
        <v>1178.62</v>
      </c>
      <c r="H336" s="2">
        <f t="shared" si="40"/>
        <v>133.17</v>
      </c>
      <c r="I336" s="2">
        <f t="shared" si="41"/>
        <v>133.17</v>
      </c>
      <c r="L336" s="2">
        <f t="shared" si="42"/>
        <v>0</v>
      </c>
      <c r="M336" s="2">
        <f t="shared" si="43"/>
        <v>133.17</v>
      </c>
    </row>
    <row r="337" hidden="1" spans="1:13">
      <c r="A337" s="30">
        <v>45839</v>
      </c>
      <c r="B337" s="1" t="s">
        <v>187</v>
      </c>
      <c r="C337" s="1" t="s">
        <v>43</v>
      </c>
      <c r="D337" s="1" t="s">
        <v>42</v>
      </c>
      <c r="F337" s="2">
        <v>49045.16750905</v>
      </c>
      <c r="G337" s="2">
        <v>45302.2799999999</v>
      </c>
      <c r="H337" s="2">
        <f t="shared" si="40"/>
        <v>3742.8875090501</v>
      </c>
      <c r="I337" s="2">
        <f t="shared" si="41"/>
        <v>3742.8875090501</v>
      </c>
      <c r="L337" s="2">
        <f t="shared" si="42"/>
        <v>0</v>
      </c>
      <c r="M337" s="2">
        <f t="shared" si="43"/>
        <v>3742.8875090501</v>
      </c>
    </row>
    <row r="338" hidden="1" spans="1:13">
      <c r="A338" s="30">
        <v>45839</v>
      </c>
      <c r="B338" s="1" t="s">
        <v>187</v>
      </c>
      <c r="C338" s="1" t="s">
        <v>64</v>
      </c>
      <c r="D338" s="1" t="s">
        <v>47</v>
      </c>
      <c r="F338" s="2">
        <v>244.2</v>
      </c>
      <c r="G338" s="2">
        <v>164.28</v>
      </c>
      <c r="H338" s="2">
        <f t="shared" si="40"/>
        <v>79.92</v>
      </c>
      <c r="I338" s="2">
        <f t="shared" si="41"/>
        <v>79.92</v>
      </c>
      <c r="L338" s="2">
        <f t="shared" si="42"/>
        <v>0</v>
      </c>
      <c r="M338" s="2">
        <f t="shared" si="43"/>
        <v>79.92</v>
      </c>
    </row>
    <row r="339" hidden="1" spans="1:13">
      <c r="A339" s="30">
        <v>45839</v>
      </c>
      <c r="B339" s="1" t="s">
        <v>187</v>
      </c>
      <c r="C339" s="1" t="s">
        <v>79</v>
      </c>
      <c r="D339" s="1" t="s">
        <v>47</v>
      </c>
      <c r="F339" s="2">
        <v>402</v>
      </c>
      <c r="G339" s="2">
        <v>382.35</v>
      </c>
      <c r="H339" s="2">
        <f t="shared" si="40"/>
        <v>19.65</v>
      </c>
      <c r="I339" s="2">
        <f t="shared" si="41"/>
        <v>19.65</v>
      </c>
      <c r="L339" s="2">
        <f t="shared" si="42"/>
        <v>0</v>
      </c>
      <c r="M339" s="2">
        <f t="shared" si="43"/>
        <v>19.65</v>
      </c>
    </row>
    <row r="340" hidden="1" spans="1:13">
      <c r="A340" s="30">
        <v>45839</v>
      </c>
      <c r="B340" s="1" t="s">
        <v>187</v>
      </c>
      <c r="C340" s="1" t="s">
        <v>41</v>
      </c>
      <c r="D340" s="1" t="s">
        <v>47</v>
      </c>
      <c r="F340" s="2">
        <v>6401.15</v>
      </c>
      <c r="G340" s="2">
        <v>5813.7</v>
      </c>
      <c r="H340" s="2">
        <f t="shared" si="40"/>
        <v>587.45</v>
      </c>
      <c r="I340" s="2">
        <f t="shared" si="41"/>
        <v>587.45</v>
      </c>
      <c r="L340" s="2">
        <f t="shared" si="42"/>
        <v>0</v>
      </c>
      <c r="M340" s="2">
        <f t="shared" si="43"/>
        <v>587.45</v>
      </c>
    </row>
    <row r="341" hidden="1" spans="1:13">
      <c r="A341" s="30">
        <v>45839</v>
      </c>
      <c r="B341" s="1" t="s">
        <v>187</v>
      </c>
      <c r="C341" s="1" t="s">
        <v>43</v>
      </c>
      <c r="D341" s="1" t="s">
        <v>47</v>
      </c>
      <c r="F341" s="2">
        <v>5626.39</v>
      </c>
      <c r="G341" s="2">
        <v>5074.1</v>
      </c>
      <c r="H341" s="2">
        <f t="shared" si="40"/>
        <v>552.29</v>
      </c>
      <c r="I341" s="2">
        <f t="shared" si="41"/>
        <v>552.29</v>
      </c>
      <c r="L341" s="2">
        <f t="shared" si="42"/>
        <v>0</v>
      </c>
      <c r="M341" s="2">
        <f t="shared" si="43"/>
        <v>552.29</v>
      </c>
    </row>
    <row r="342" hidden="1" spans="1:13">
      <c r="A342" s="30">
        <v>45839</v>
      </c>
      <c r="B342" s="1" t="s">
        <v>188</v>
      </c>
      <c r="C342" s="1" t="s">
        <v>79</v>
      </c>
      <c r="D342" s="1" t="s">
        <v>42</v>
      </c>
      <c r="F342" s="2">
        <v>137.2</v>
      </c>
      <c r="G342" s="2">
        <v>128.1</v>
      </c>
      <c r="H342" s="2">
        <f t="shared" si="40"/>
        <v>9.09999999999999</v>
      </c>
      <c r="I342" s="2">
        <f t="shared" si="41"/>
        <v>9.09999999999999</v>
      </c>
      <c r="L342" s="2">
        <f t="shared" si="42"/>
        <v>0</v>
      </c>
      <c r="M342" s="2">
        <f t="shared" si="43"/>
        <v>9.09999999999999</v>
      </c>
    </row>
    <row r="343" hidden="1" spans="1:13">
      <c r="A343" s="30">
        <v>45839</v>
      </c>
      <c r="B343" s="1" t="s">
        <v>188</v>
      </c>
      <c r="C343" s="1" t="s">
        <v>41</v>
      </c>
      <c r="D343" s="1" t="s">
        <v>42</v>
      </c>
      <c r="F343" s="2">
        <v>17541.5928</v>
      </c>
      <c r="G343" s="2">
        <v>16006.77</v>
      </c>
      <c r="H343" s="2">
        <f t="shared" si="40"/>
        <v>1534.8228</v>
      </c>
      <c r="I343" s="2">
        <f t="shared" si="41"/>
        <v>1534.8228</v>
      </c>
      <c r="L343" s="2">
        <f t="shared" si="42"/>
        <v>0</v>
      </c>
      <c r="M343" s="2">
        <f t="shared" si="43"/>
        <v>1534.8228</v>
      </c>
    </row>
    <row r="344" hidden="1" spans="1:13">
      <c r="A344" s="30">
        <v>45839</v>
      </c>
      <c r="B344" s="1" t="s">
        <v>188</v>
      </c>
      <c r="C344" s="1" t="s">
        <v>55</v>
      </c>
      <c r="D344" s="1" t="s">
        <v>42</v>
      </c>
      <c r="F344" s="2">
        <v>890.75</v>
      </c>
      <c r="G344" s="2">
        <v>883.75</v>
      </c>
      <c r="H344" s="2">
        <f t="shared" si="40"/>
        <v>7</v>
      </c>
      <c r="I344" s="2">
        <f t="shared" si="41"/>
        <v>7</v>
      </c>
      <c r="L344" s="2">
        <f t="shared" si="42"/>
        <v>0</v>
      </c>
      <c r="M344" s="2">
        <f t="shared" si="43"/>
        <v>7</v>
      </c>
    </row>
    <row r="345" hidden="1" spans="1:13">
      <c r="A345" s="30">
        <v>45839</v>
      </c>
      <c r="B345" s="1" t="s">
        <v>188</v>
      </c>
      <c r="C345" s="1" t="s">
        <v>43</v>
      </c>
      <c r="D345" s="1" t="s">
        <v>42</v>
      </c>
      <c r="F345" s="2">
        <v>2783.39</v>
      </c>
      <c r="G345" s="2">
        <v>2658.71</v>
      </c>
      <c r="H345" s="2">
        <f t="shared" si="40"/>
        <v>124.68</v>
      </c>
      <c r="I345" s="2">
        <f t="shared" si="41"/>
        <v>124.68</v>
      </c>
      <c r="L345" s="2">
        <f t="shared" si="42"/>
        <v>0</v>
      </c>
      <c r="M345" s="2">
        <f t="shared" si="43"/>
        <v>124.68</v>
      </c>
    </row>
    <row r="346" hidden="1" spans="1:13">
      <c r="A346" s="30">
        <v>45839</v>
      </c>
      <c r="B346" s="1" t="s">
        <v>188</v>
      </c>
      <c r="C346" s="1" t="s">
        <v>57</v>
      </c>
      <c r="D346" s="1" t="s">
        <v>42</v>
      </c>
      <c r="F346" s="2">
        <v>825.6</v>
      </c>
      <c r="G346" s="2">
        <v>816</v>
      </c>
      <c r="H346" s="2">
        <f t="shared" ref="H346:H384" si="44">F346-G346</f>
        <v>9.60000000000002</v>
      </c>
      <c r="I346" s="2">
        <f t="shared" ref="I346:I384" si="45">H346+E346</f>
        <v>9.60000000000002</v>
      </c>
      <c r="L346" s="2">
        <f t="shared" si="42"/>
        <v>0</v>
      </c>
      <c r="M346" s="2">
        <f t="shared" si="43"/>
        <v>9.60000000000002</v>
      </c>
    </row>
    <row r="347" hidden="1" spans="1:13">
      <c r="A347" s="30">
        <v>45839</v>
      </c>
      <c r="B347" s="1" t="s">
        <v>188</v>
      </c>
      <c r="C347" s="1" t="s">
        <v>64</v>
      </c>
      <c r="D347" s="1" t="s">
        <v>47</v>
      </c>
      <c r="F347" s="2">
        <v>296.45</v>
      </c>
      <c r="G347" s="2">
        <v>275</v>
      </c>
      <c r="H347" s="2">
        <f t="shared" si="44"/>
        <v>21.45</v>
      </c>
      <c r="I347" s="2">
        <f t="shared" si="45"/>
        <v>21.45</v>
      </c>
      <c r="L347" s="2">
        <f t="shared" si="42"/>
        <v>0</v>
      </c>
      <c r="M347" s="2">
        <f t="shared" si="43"/>
        <v>21.45</v>
      </c>
    </row>
    <row r="348" hidden="1" spans="1:13">
      <c r="A348" s="30">
        <v>45839</v>
      </c>
      <c r="B348" s="1" t="s">
        <v>188</v>
      </c>
      <c r="C348" s="1" t="s">
        <v>79</v>
      </c>
      <c r="D348" s="1" t="s">
        <v>47</v>
      </c>
      <c r="F348" s="2">
        <v>13.75</v>
      </c>
      <c r="G348" s="2">
        <v>13.75</v>
      </c>
      <c r="H348" s="2">
        <f t="shared" si="44"/>
        <v>0</v>
      </c>
      <c r="I348" s="2">
        <f t="shared" si="45"/>
        <v>0</v>
      </c>
      <c r="L348" s="2">
        <f t="shared" si="42"/>
        <v>0</v>
      </c>
      <c r="M348" s="2">
        <f t="shared" si="43"/>
        <v>0</v>
      </c>
    </row>
    <row r="349" hidden="1" spans="1:13">
      <c r="A349" s="30">
        <v>45839</v>
      </c>
      <c r="B349" s="1" t="s">
        <v>188</v>
      </c>
      <c r="C349" s="1" t="s">
        <v>41</v>
      </c>
      <c r="D349" s="1" t="s">
        <v>47</v>
      </c>
      <c r="F349" s="2">
        <f>1828.8714+20.77</f>
        <v>1849.6414</v>
      </c>
      <c r="G349" s="2">
        <v>1478.51</v>
      </c>
      <c r="H349" s="2">
        <f t="shared" si="44"/>
        <v>371.1314</v>
      </c>
      <c r="I349" s="2">
        <f t="shared" si="45"/>
        <v>371.1314</v>
      </c>
      <c r="L349" s="2">
        <f t="shared" si="42"/>
        <v>0</v>
      </c>
      <c r="M349" s="2">
        <f t="shared" si="43"/>
        <v>371.1314</v>
      </c>
    </row>
    <row r="350" hidden="1" spans="1:13">
      <c r="A350" s="30">
        <v>45839</v>
      </c>
      <c r="B350" s="1" t="s">
        <v>188</v>
      </c>
      <c r="C350" s="1" t="s">
        <v>55</v>
      </c>
      <c r="D350" s="1" t="s">
        <v>47</v>
      </c>
      <c r="F350" s="2">
        <v>1011.25</v>
      </c>
      <c r="G350" s="2">
        <v>923.74</v>
      </c>
      <c r="H350" s="2">
        <f t="shared" si="44"/>
        <v>87.51</v>
      </c>
      <c r="I350" s="2">
        <f t="shared" si="45"/>
        <v>87.51</v>
      </c>
      <c r="L350" s="2">
        <f t="shared" si="42"/>
        <v>0</v>
      </c>
      <c r="M350" s="2">
        <f t="shared" si="43"/>
        <v>87.51</v>
      </c>
    </row>
    <row r="351" hidden="1" spans="1:13">
      <c r="A351" s="30">
        <v>45839</v>
      </c>
      <c r="B351" s="1" t="s">
        <v>188</v>
      </c>
      <c r="C351" s="1" t="s">
        <v>43</v>
      </c>
      <c r="D351" s="1" t="s">
        <v>47</v>
      </c>
      <c r="F351" s="2">
        <v>11600.135</v>
      </c>
      <c r="G351" s="2">
        <v>9187.87</v>
      </c>
      <c r="H351" s="2">
        <f t="shared" si="44"/>
        <v>2412.265</v>
      </c>
      <c r="I351" s="2">
        <f t="shared" si="45"/>
        <v>2412.265</v>
      </c>
      <c r="L351" s="2">
        <f t="shared" si="42"/>
        <v>0</v>
      </c>
      <c r="M351" s="2">
        <f t="shared" si="43"/>
        <v>2412.265</v>
      </c>
    </row>
    <row r="352" hidden="1" spans="1:13">
      <c r="A352" s="30">
        <v>45839</v>
      </c>
      <c r="B352" s="1" t="s">
        <v>189</v>
      </c>
      <c r="C352" s="1" t="s">
        <v>79</v>
      </c>
      <c r="D352" s="1" t="s">
        <v>42</v>
      </c>
      <c r="F352" s="2">
        <v>310.55</v>
      </c>
      <c r="H352" s="2">
        <f t="shared" si="44"/>
        <v>310.55</v>
      </c>
      <c r="I352" s="2">
        <f t="shared" si="45"/>
        <v>310.55</v>
      </c>
      <c r="L352" s="2">
        <f t="shared" si="42"/>
        <v>0</v>
      </c>
      <c r="M352" s="2">
        <f t="shared" si="43"/>
        <v>310.55</v>
      </c>
    </row>
    <row r="353" hidden="1" spans="1:13">
      <c r="A353" s="30">
        <v>45839</v>
      </c>
      <c r="B353" s="1" t="s">
        <v>189</v>
      </c>
      <c r="C353" s="1" t="s">
        <v>41</v>
      </c>
      <c r="D353" s="1" t="s">
        <v>42</v>
      </c>
      <c r="F353" s="2">
        <v>862.4</v>
      </c>
      <c r="H353" s="2">
        <f t="shared" si="44"/>
        <v>862.4</v>
      </c>
      <c r="I353" s="2">
        <f t="shared" si="45"/>
        <v>862.4</v>
      </c>
      <c r="L353" s="2">
        <f t="shared" si="42"/>
        <v>0</v>
      </c>
      <c r="M353" s="2">
        <f t="shared" si="43"/>
        <v>862.4</v>
      </c>
    </row>
    <row r="354" hidden="1" spans="1:13">
      <c r="A354" s="30">
        <v>45839</v>
      </c>
      <c r="B354" s="1" t="s">
        <v>189</v>
      </c>
      <c r="C354" s="1" t="s">
        <v>43</v>
      </c>
      <c r="D354" s="1" t="s">
        <v>42</v>
      </c>
      <c r="E354" s="2">
        <v>4500</v>
      </c>
      <c r="F354" s="2">
        <f>182978.4+748.04</f>
        <v>183726.44</v>
      </c>
      <c r="G354" s="2">
        <v>180745</v>
      </c>
      <c r="H354" s="2">
        <f t="shared" si="44"/>
        <v>2981.44</v>
      </c>
      <c r="I354" s="2">
        <f t="shared" si="45"/>
        <v>7481.44</v>
      </c>
      <c r="L354" s="2">
        <f t="shared" si="42"/>
        <v>0</v>
      </c>
      <c r="M354" s="2">
        <f t="shared" si="43"/>
        <v>7481.44</v>
      </c>
    </row>
    <row r="355" hidden="1" spans="1:13">
      <c r="A355" s="30">
        <v>45839</v>
      </c>
      <c r="B355" s="1" t="s">
        <v>190</v>
      </c>
      <c r="C355" s="1" t="s">
        <v>41</v>
      </c>
      <c r="D355" s="1" t="s">
        <v>47</v>
      </c>
      <c r="F355" s="2">
        <v>28.4</v>
      </c>
      <c r="H355" s="2">
        <f t="shared" si="44"/>
        <v>28.4</v>
      </c>
      <c r="I355" s="2">
        <f t="shared" si="45"/>
        <v>28.4</v>
      </c>
      <c r="L355" s="2">
        <f t="shared" si="42"/>
        <v>0</v>
      </c>
      <c r="M355" s="2">
        <f t="shared" si="43"/>
        <v>28.4</v>
      </c>
    </row>
    <row r="356" hidden="1" spans="1:13">
      <c r="A356" s="30">
        <v>45839</v>
      </c>
      <c r="B356" s="1" t="s">
        <v>190</v>
      </c>
      <c r="C356" s="1" t="s">
        <v>43</v>
      </c>
      <c r="D356" s="1" t="s">
        <v>47</v>
      </c>
      <c r="F356" s="2">
        <v>235</v>
      </c>
      <c r="G356" s="2">
        <v>-221.8</v>
      </c>
      <c r="H356" s="2">
        <f t="shared" si="44"/>
        <v>456.8</v>
      </c>
      <c r="I356" s="2">
        <f t="shared" si="45"/>
        <v>456.8</v>
      </c>
      <c r="L356" s="2">
        <f t="shared" si="42"/>
        <v>0</v>
      </c>
      <c r="M356" s="2">
        <f t="shared" si="43"/>
        <v>456.8</v>
      </c>
    </row>
    <row r="357" hidden="1" spans="1:13">
      <c r="A357" s="30">
        <v>45839</v>
      </c>
      <c r="B357" s="1" t="s">
        <v>190</v>
      </c>
      <c r="C357" s="1" t="s">
        <v>57</v>
      </c>
      <c r="D357" s="1" t="s">
        <v>47</v>
      </c>
      <c r="F357" s="2">
        <v>7394.4</v>
      </c>
      <c r="G357" s="2">
        <v>7074.2</v>
      </c>
      <c r="H357" s="2">
        <f t="shared" si="44"/>
        <v>320.2</v>
      </c>
      <c r="I357" s="2">
        <f t="shared" si="45"/>
        <v>320.2</v>
      </c>
      <c r="L357" s="2">
        <f t="shared" si="42"/>
        <v>0</v>
      </c>
      <c r="M357" s="2">
        <f t="shared" si="43"/>
        <v>320.2</v>
      </c>
    </row>
    <row r="358" hidden="1" spans="1:13">
      <c r="A358" s="30">
        <v>45839</v>
      </c>
      <c r="B358" s="1" t="s">
        <v>191</v>
      </c>
      <c r="C358" s="1" t="s">
        <v>43</v>
      </c>
      <c r="D358" s="1" t="s">
        <v>42</v>
      </c>
      <c r="F358" s="2">
        <v>31465.5</v>
      </c>
      <c r="G358" s="2">
        <v>30339</v>
      </c>
      <c r="H358" s="2">
        <f t="shared" si="44"/>
        <v>1126.5</v>
      </c>
      <c r="I358" s="2">
        <f t="shared" si="45"/>
        <v>1126.5</v>
      </c>
      <c r="L358" s="2">
        <f t="shared" ref="L358:L391" si="46">J358-K358</f>
        <v>0</v>
      </c>
      <c r="M358" s="2">
        <f t="shared" ref="M358:M391" si="47">I358+L358</f>
        <v>1126.5</v>
      </c>
    </row>
    <row r="359" hidden="1" spans="1:13">
      <c r="A359" s="30">
        <v>45839</v>
      </c>
      <c r="B359" s="1" t="s">
        <v>191</v>
      </c>
      <c r="C359" s="1" t="s">
        <v>57</v>
      </c>
      <c r="D359" s="1" t="s">
        <v>42</v>
      </c>
      <c r="F359" s="2">
        <v>117.6</v>
      </c>
      <c r="G359" s="2">
        <v>114</v>
      </c>
      <c r="H359" s="2">
        <f t="shared" si="44"/>
        <v>3.59999999999999</v>
      </c>
      <c r="I359" s="2">
        <f t="shared" si="45"/>
        <v>3.59999999999999</v>
      </c>
      <c r="L359" s="2">
        <f t="shared" si="46"/>
        <v>0</v>
      </c>
      <c r="M359" s="2">
        <f t="shared" si="47"/>
        <v>3.59999999999999</v>
      </c>
    </row>
    <row r="360" hidden="1" spans="1:13">
      <c r="A360" s="30">
        <v>45839</v>
      </c>
      <c r="B360" s="1" t="s">
        <v>191</v>
      </c>
      <c r="C360" s="1" t="s">
        <v>43</v>
      </c>
      <c r="D360" s="1" t="s">
        <v>47</v>
      </c>
      <c r="F360" s="2">
        <v>7896.9</v>
      </c>
      <c r="G360" s="2">
        <v>7657.2</v>
      </c>
      <c r="H360" s="2">
        <f t="shared" si="44"/>
        <v>239.7</v>
      </c>
      <c r="I360" s="2">
        <f t="shared" si="45"/>
        <v>239.7</v>
      </c>
      <c r="L360" s="2">
        <f t="shared" si="46"/>
        <v>0</v>
      </c>
      <c r="M360" s="2">
        <f t="shared" si="47"/>
        <v>239.7</v>
      </c>
    </row>
    <row r="361" hidden="1" spans="1:13">
      <c r="A361" s="30">
        <v>45839</v>
      </c>
      <c r="B361" s="1" t="s">
        <v>192</v>
      </c>
      <c r="C361" s="1" t="s">
        <v>57</v>
      </c>
      <c r="D361" s="1" t="s">
        <v>47</v>
      </c>
      <c r="H361" s="2">
        <f t="shared" si="44"/>
        <v>0</v>
      </c>
      <c r="I361" s="2">
        <f t="shared" si="45"/>
        <v>0</v>
      </c>
      <c r="J361" s="2">
        <v>71401.77</v>
      </c>
      <c r="L361" s="2">
        <f t="shared" si="46"/>
        <v>71401.77</v>
      </c>
      <c r="M361" s="2">
        <f t="shared" si="47"/>
        <v>71401.77</v>
      </c>
    </row>
    <row r="362" hidden="1" spans="1:13">
      <c r="A362" s="30">
        <v>45839</v>
      </c>
      <c r="B362" s="1" t="s">
        <v>193</v>
      </c>
      <c r="C362" s="1" t="s">
        <v>65</v>
      </c>
      <c r="D362" s="1" t="s">
        <v>47</v>
      </c>
      <c r="F362" s="2">
        <v>3690.45</v>
      </c>
      <c r="H362" s="2">
        <f t="shared" si="44"/>
        <v>3690.45</v>
      </c>
      <c r="I362" s="2">
        <f t="shared" si="45"/>
        <v>3690.45</v>
      </c>
      <c r="L362" s="2">
        <f t="shared" si="46"/>
        <v>0</v>
      </c>
      <c r="M362" s="2">
        <f t="shared" si="47"/>
        <v>3690.45</v>
      </c>
    </row>
    <row r="363" hidden="1" spans="1:13">
      <c r="A363" s="30">
        <v>45839</v>
      </c>
      <c r="B363" s="1" t="s">
        <v>193</v>
      </c>
      <c r="C363" s="1" t="s">
        <v>41</v>
      </c>
      <c r="D363" s="1" t="s">
        <v>47</v>
      </c>
      <c r="F363" s="2">
        <v>3414.63</v>
      </c>
      <c r="H363" s="2">
        <f t="shared" si="44"/>
        <v>3414.63</v>
      </c>
      <c r="I363" s="2">
        <f t="shared" si="45"/>
        <v>3414.63</v>
      </c>
      <c r="L363" s="2">
        <f t="shared" si="46"/>
        <v>0</v>
      </c>
      <c r="M363" s="2">
        <f t="shared" si="47"/>
        <v>3414.63</v>
      </c>
    </row>
    <row r="364" hidden="1" spans="1:13">
      <c r="A364" s="30">
        <v>45839</v>
      </c>
      <c r="B364" s="1" t="s">
        <v>193</v>
      </c>
      <c r="C364" s="1" t="s">
        <v>43</v>
      </c>
      <c r="D364" s="1" t="s">
        <v>47</v>
      </c>
      <c r="F364" s="2">
        <v>217.16</v>
      </c>
      <c r="H364" s="2">
        <f t="shared" si="44"/>
        <v>217.16</v>
      </c>
      <c r="I364" s="2">
        <f t="shared" si="45"/>
        <v>217.16</v>
      </c>
      <c r="L364" s="2">
        <f t="shared" si="46"/>
        <v>0</v>
      </c>
      <c r="M364" s="2">
        <f t="shared" si="47"/>
        <v>217.16</v>
      </c>
    </row>
    <row r="365" hidden="1" spans="1:13">
      <c r="A365" s="30">
        <v>45839</v>
      </c>
      <c r="B365" s="1" t="s">
        <v>193</v>
      </c>
      <c r="C365" s="1" t="s">
        <v>57</v>
      </c>
      <c r="D365" s="1" t="s">
        <v>47</v>
      </c>
      <c r="E365" s="2">
        <v>15866.7</v>
      </c>
      <c r="F365" s="2">
        <v>63650.98</v>
      </c>
      <c r="G365" s="2">
        <f>79483.1+220</f>
        <v>79703.1</v>
      </c>
      <c r="H365" s="2">
        <f t="shared" si="44"/>
        <v>-16052.12</v>
      </c>
      <c r="I365" s="2">
        <f t="shared" si="45"/>
        <v>-185.420000000002</v>
      </c>
      <c r="J365" s="2">
        <v>5374.86999999999</v>
      </c>
      <c r="L365" s="2">
        <f t="shared" si="46"/>
        <v>5374.86999999999</v>
      </c>
      <c r="M365" s="2">
        <f t="shared" si="47"/>
        <v>5189.44999999999</v>
      </c>
    </row>
    <row r="366" hidden="1" spans="1:13">
      <c r="A366" s="30">
        <v>45839</v>
      </c>
      <c r="B366" s="1" t="s">
        <v>194</v>
      </c>
      <c r="C366" s="1" t="s">
        <v>113</v>
      </c>
      <c r="D366" s="1" t="s">
        <v>47</v>
      </c>
      <c r="F366" s="2">
        <v>249.16</v>
      </c>
      <c r="H366" s="2">
        <f t="shared" si="44"/>
        <v>249.16</v>
      </c>
      <c r="I366" s="2">
        <f t="shared" si="45"/>
        <v>249.16</v>
      </c>
      <c r="L366" s="2">
        <f t="shared" si="46"/>
        <v>0</v>
      </c>
      <c r="M366" s="2">
        <f t="shared" si="47"/>
        <v>249.16</v>
      </c>
    </row>
    <row r="367" hidden="1" spans="1:13">
      <c r="A367" s="30">
        <v>45839</v>
      </c>
      <c r="B367" s="1" t="s">
        <v>194</v>
      </c>
      <c r="C367" s="1" t="s">
        <v>41</v>
      </c>
      <c r="D367" s="1" t="s">
        <v>47</v>
      </c>
      <c r="F367" s="2">
        <v>3430.46</v>
      </c>
      <c r="H367" s="2">
        <f t="shared" si="44"/>
        <v>3430.46</v>
      </c>
      <c r="I367" s="2">
        <f t="shared" si="45"/>
        <v>3430.46</v>
      </c>
      <c r="L367" s="2">
        <f t="shared" si="46"/>
        <v>0</v>
      </c>
      <c r="M367" s="2">
        <f t="shared" si="47"/>
        <v>3430.46</v>
      </c>
    </row>
    <row r="368" hidden="1" spans="1:13">
      <c r="A368" s="30">
        <v>45839</v>
      </c>
      <c r="B368" s="1" t="s">
        <v>194</v>
      </c>
      <c r="C368" s="1" t="s">
        <v>57</v>
      </c>
      <c r="D368" s="1" t="s">
        <v>47</v>
      </c>
      <c r="E368" s="2">
        <v>180000</v>
      </c>
      <c r="F368" s="2">
        <v>8540885.22</v>
      </c>
      <c r="G368" s="2">
        <v>8715189</v>
      </c>
      <c r="H368" s="2">
        <f t="shared" si="44"/>
        <v>-174303.779999999</v>
      </c>
      <c r="I368" s="2">
        <f t="shared" si="45"/>
        <v>5696.22000000067</v>
      </c>
      <c r="L368" s="2">
        <f t="shared" si="46"/>
        <v>0</v>
      </c>
      <c r="M368" s="2">
        <f t="shared" si="47"/>
        <v>5696.22000000067</v>
      </c>
    </row>
    <row r="369" hidden="1" spans="1:13">
      <c r="A369" s="30">
        <v>45839</v>
      </c>
      <c r="B369" s="1" t="s">
        <v>195</v>
      </c>
      <c r="C369" s="1" t="s">
        <v>43</v>
      </c>
      <c r="D369" s="1" t="s">
        <v>42</v>
      </c>
      <c r="F369" s="2">
        <v>2849.914</v>
      </c>
      <c r="G369" s="2">
        <v>2790</v>
      </c>
      <c r="H369" s="2">
        <f t="shared" si="44"/>
        <v>59.9140000000002</v>
      </c>
      <c r="I369" s="2">
        <f t="shared" si="45"/>
        <v>59.9140000000002</v>
      </c>
      <c r="L369" s="2">
        <f t="shared" si="46"/>
        <v>0</v>
      </c>
      <c r="M369" s="2">
        <f t="shared" si="47"/>
        <v>59.9140000000002</v>
      </c>
    </row>
    <row r="370" hidden="1" spans="1:13">
      <c r="A370" s="30">
        <v>45839</v>
      </c>
      <c r="B370" s="1" t="s">
        <v>196</v>
      </c>
      <c r="C370" s="1" t="s">
        <v>41</v>
      </c>
      <c r="D370" s="1" t="s">
        <v>42</v>
      </c>
      <c r="F370" s="2">
        <v>147.999999999999</v>
      </c>
      <c r="H370" s="2">
        <f t="shared" si="44"/>
        <v>147.999999999999</v>
      </c>
      <c r="I370" s="2">
        <f t="shared" si="45"/>
        <v>147.999999999999</v>
      </c>
      <c r="L370" s="2">
        <f t="shared" si="46"/>
        <v>0</v>
      </c>
      <c r="M370" s="2">
        <f t="shared" si="47"/>
        <v>147.999999999999</v>
      </c>
    </row>
    <row r="371" hidden="1" spans="1:13">
      <c r="A371" s="30">
        <v>45839</v>
      </c>
      <c r="B371" s="1" t="s">
        <v>196</v>
      </c>
      <c r="C371" s="1" t="s">
        <v>197</v>
      </c>
      <c r="D371" s="1" t="s">
        <v>42</v>
      </c>
      <c r="F371" s="2">
        <v>4.1</v>
      </c>
      <c r="H371" s="2">
        <f t="shared" si="44"/>
        <v>4.1</v>
      </c>
      <c r="I371" s="2">
        <f t="shared" si="45"/>
        <v>4.1</v>
      </c>
      <c r="L371" s="2">
        <f t="shared" si="46"/>
        <v>0</v>
      </c>
      <c r="M371" s="2">
        <f t="shared" si="47"/>
        <v>4.1</v>
      </c>
    </row>
    <row r="372" hidden="1" spans="1:13">
      <c r="A372" s="30">
        <v>45839</v>
      </c>
      <c r="B372" s="1" t="s">
        <v>196</v>
      </c>
      <c r="C372" s="1" t="s">
        <v>43</v>
      </c>
      <c r="D372" s="1" t="s">
        <v>42</v>
      </c>
      <c r="F372" s="2">
        <v>3875.15312704852</v>
      </c>
      <c r="G372" s="2">
        <f>-152+50984.64</f>
        <v>50832.64</v>
      </c>
      <c r="H372" s="2">
        <f t="shared" si="44"/>
        <v>-46957.4868729515</v>
      </c>
      <c r="I372" s="2">
        <f t="shared" si="45"/>
        <v>-46957.4868729515</v>
      </c>
      <c r="L372" s="2">
        <f t="shared" si="46"/>
        <v>0</v>
      </c>
      <c r="M372" s="2">
        <f t="shared" si="47"/>
        <v>-46957.4868729515</v>
      </c>
    </row>
    <row r="373" hidden="1" spans="1:13">
      <c r="A373" s="30">
        <v>45839</v>
      </c>
      <c r="B373" s="1" t="s">
        <v>196</v>
      </c>
      <c r="C373" s="1" t="s">
        <v>57</v>
      </c>
      <c r="D373" s="1" t="s">
        <v>42</v>
      </c>
      <c r="F373" s="2">
        <v>91308.6709</v>
      </c>
      <c r="G373" s="2">
        <v>91308.6628</v>
      </c>
      <c r="H373" s="2">
        <f t="shared" si="44"/>
        <v>0.00809999999182764</v>
      </c>
      <c r="I373" s="2">
        <f t="shared" si="45"/>
        <v>0.00809999999182764</v>
      </c>
      <c r="L373" s="2">
        <f t="shared" si="46"/>
        <v>0</v>
      </c>
      <c r="M373" s="2">
        <f t="shared" si="47"/>
        <v>0.00809999999182764</v>
      </c>
    </row>
    <row r="374" hidden="1" spans="1:13">
      <c r="A374" s="30">
        <v>45839</v>
      </c>
      <c r="B374" s="1" t="s">
        <v>198</v>
      </c>
      <c r="C374" s="1" t="s">
        <v>51</v>
      </c>
      <c r="D374" s="1" t="s">
        <v>52</v>
      </c>
      <c r="F374" s="2">
        <v>106326</v>
      </c>
      <c r="G374" s="2">
        <v>106326</v>
      </c>
      <c r="H374" s="2">
        <f t="shared" si="44"/>
        <v>0</v>
      </c>
      <c r="I374" s="2">
        <f t="shared" si="45"/>
        <v>0</v>
      </c>
      <c r="L374" s="2">
        <f t="shared" si="46"/>
        <v>0</v>
      </c>
      <c r="M374" s="2">
        <f t="shared" si="47"/>
        <v>0</v>
      </c>
    </row>
    <row r="375" hidden="1" spans="1:13">
      <c r="A375" s="30">
        <v>45839</v>
      </c>
      <c r="B375" s="1" t="s">
        <v>199</v>
      </c>
      <c r="C375" s="1" t="s">
        <v>114</v>
      </c>
      <c r="D375" s="1" t="s">
        <v>47</v>
      </c>
      <c r="H375" s="2">
        <f t="shared" si="44"/>
        <v>0</v>
      </c>
      <c r="I375" s="2">
        <f t="shared" si="45"/>
        <v>0</v>
      </c>
      <c r="K375" s="2">
        <v>172203.3</v>
      </c>
      <c r="L375" s="2">
        <f t="shared" si="46"/>
        <v>-172203.3</v>
      </c>
      <c r="M375" s="2">
        <f t="shared" si="47"/>
        <v>-172203.3</v>
      </c>
    </row>
    <row r="376" hidden="1" spans="1:13">
      <c r="A376" s="30">
        <v>45839</v>
      </c>
      <c r="B376" s="1" t="s">
        <v>200</v>
      </c>
      <c r="C376" s="1" t="s">
        <v>41</v>
      </c>
      <c r="D376" s="1" t="s">
        <v>42</v>
      </c>
      <c r="F376" s="2">
        <v>701.559999999999</v>
      </c>
      <c r="G376" s="2">
        <v>-12734.79</v>
      </c>
      <c r="H376" s="2">
        <f t="shared" si="44"/>
        <v>13436.35</v>
      </c>
      <c r="I376" s="2">
        <f t="shared" si="45"/>
        <v>13436.35</v>
      </c>
      <c r="L376" s="2">
        <f t="shared" si="46"/>
        <v>0</v>
      </c>
      <c r="M376" s="2">
        <f t="shared" si="47"/>
        <v>13436.35</v>
      </c>
    </row>
    <row r="377" hidden="1" spans="1:13">
      <c r="A377" s="30">
        <v>45839</v>
      </c>
      <c r="B377" s="1" t="s">
        <v>200</v>
      </c>
      <c r="C377" s="1" t="s">
        <v>43</v>
      </c>
      <c r="D377" s="1" t="s">
        <v>42</v>
      </c>
      <c r="F377" s="2">
        <v>-26630.8299999999</v>
      </c>
      <c r="H377" s="2">
        <f t="shared" si="44"/>
        <v>-26630.8299999999</v>
      </c>
      <c r="I377" s="2">
        <f t="shared" si="45"/>
        <v>-26630.8299999999</v>
      </c>
      <c r="L377" s="2">
        <f t="shared" si="46"/>
        <v>0</v>
      </c>
      <c r="M377" s="2">
        <f t="shared" si="47"/>
        <v>-26630.8299999999</v>
      </c>
    </row>
    <row r="378" hidden="1" spans="1:13">
      <c r="A378" s="30">
        <v>45839</v>
      </c>
      <c r="B378" s="1" t="s">
        <v>200</v>
      </c>
      <c r="C378" s="1" t="s">
        <v>57</v>
      </c>
      <c r="D378" s="1" t="s">
        <v>42</v>
      </c>
      <c r="F378" s="2">
        <v>365119.459999999</v>
      </c>
      <c r="G378" s="2">
        <v>365119.459999999</v>
      </c>
      <c r="H378" s="2">
        <f t="shared" si="44"/>
        <v>0</v>
      </c>
      <c r="I378" s="2">
        <f t="shared" si="45"/>
        <v>0</v>
      </c>
      <c r="L378" s="2">
        <f t="shared" si="46"/>
        <v>0</v>
      </c>
      <c r="M378" s="2">
        <f t="shared" si="47"/>
        <v>0</v>
      </c>
    </row>
    <row r="379" hidden="1" spans="1:13">
      <c r="A379" s="30">
        <v>45839</v>
      </c>
      <c r="B379" s="1" t="s">
        <v>201</v>
      </c>
      <c r="C379" s="1" t="s">
        <v>79</v>
      </c>
      <c r="D379" s="1" t="s">
        <v>42</v>
      </c>
      <c r="G379" s="2">
        <v>20.01</v>
      </c>
      <c r="H379" s="2">
        <f t="shared" si="44"/>
        <v>-20.01</v>
      </c>
      <c r="I379" s="2">
        <f t="shared" si="45"/>
        <v>-20.01</v>
      </c>
      <c r="L379" s="2">
        <f t="shared" si="46"/>
        <v>0</v>
      </c>
      <c r="M379" s="2">
        <f t="shared" si="47"/>
        <v>-20.01</v>
      </c>
    </row>
    <row r="380" hidden="1" spans="1:13">
      <c r="A380" s="30">
        <v>45839</v>
      </c>
      <c r="B380" s="1" t="s">
        <v>201</v>
      </c>
      <c r="C380" s="1" t="s">
        <v>41</v>
      </c>
      <c r="D380" s="1" t="s">
        <v>42</v>
      </c>
      <c r="F380" s="2">
        <v>-1.19999999999999</v>
      </c>
      <c r="G380" s="2">
        <v>-3</v>
      </c>
      <c r="H380" s="2">
        <f t="shared" si="44"/>
        <v>1.80000000000001</v>
      </c>
      <c r="I380" s="2">
        <f t="shared" si="45"/>
        <v>1.80000000000001</v>
      </c>
      <c r="L380" s="2">
        <f t="shared" si="46"/>
        <v>0</v>
      </c>
      <c r="M380" s="2">
        <f t="shared" si="47"/>
        <v>1.80000000000001</v>
      </c>
    </row>
    <row r="381" hidden="1" spans="1:13">
      <c r="A381" s="30">
        <v>45839</v>
      </c>
      <c r="B381" s="1" t="s">
        <v>201</v>
      </c>
      <c r="C381" s="1" t="s">
        <v>43</v>
      </c>
      <c r="D381" s="1" t="s">
        <v>42</v>
      </c>
      <c r="F381" s="2">
        <v>-279.91</v>
      </c>
      <c r="G381" s="2">
        <v>8216.48999999999</v>
      </c>
      <c r="H381" s="2">
        <f t="shared" si="44"/>
        <v>-8496.39999999999</v>
      </c>
      <c r="I381" s="2">
        <f t="shared" si="45"/>
        <v>-8496.39999999999</v>
      </c>
      <c r="L381" s="2">
        <f t="shared" si="46"/>
        <v>0</v>
      </c>
      <c r="M381" s="2">
        <f t="shared" si="47"/>
        <v>-8496.39999999999</v>
      </c>
    </row>
    <row r="382" hidden="1" spans="1:13">
      <c r="A382" s="30">
        <v>45839</v>
      </c>
      <c r="B382" s="1" t="s">
        <v>201</v>
      </c>
      <c r="C382" s="1" t="s">
        <v>57</v>
      </c>
      <c r="D382" s="1" t="s">
        <v>42</v>
      </c>
      <c r="F382" s="2">
        <v>14736</v>
      </c>
      <c r="G382" s="2">
        <f>7005.6+7616.6</f>
        <v>14622.2</v>
      </c>
      <c r="H382" s="2">
        <f t="shared" si="44"/>
        <v>113.799999999999</v>
      </c>
      <c r="I382" s="2">
        <f t="shared" si="45"/>
        <v>113.799999999999</v>
      </c>
      <c r="L382" s="2">
        <f t="shared" si="46"/>
        <v>0</v>
      </c>
      <c r="M382" s="2">
        <f t="shared" si="47"/>
        <v>113.799999999999</v>
      </c>
    </row>
    <row r="383" hidden="1" spans="1:13">
      <c r="A383" s="30">
        <v>45839</v>
      </c>
      <c r="B383" s="1" t="s">
        <v>201</v>
      </c>
      <c r="C383" s="1" t="s">
        <v>41</v>
      </c>
      <c r="D383" s="1" t="s">
        <v>47</v>
      </c>
      <c r="G383" s="2">
        <v>1567.22</v>
      </c>
      <c r="H383" s="2">
        <f t="shared" si="44"/>
        <v>-1567.22</v>
      </c>
      <c r="I383" s="2">
        <f t="shared" si="45"/>
        <v>-1567.22</v>
      </c>
      <c r="L383" s="2">
        <f t="shared" si="46"/>
        <v>0</v>
      </c>
      <c r="M383" s="2">
        <f t="shared" si="47"/>
        <v>-1567.22</v>
      </c>
    </row>
    <row r="384" hidden="1" spans="1:13">
      <c r="A384" s="30">
        <v>45839</v>
      </c>
      <c r="B384" s="1" t="s">
        <v>201</v>
      </c>
      <c r="C384" s="1" t="s">
        <v>43</v>
      </c>
      <c r="D384" s="1" t="s">
        <v>47</v>
      </c>
      <c r="G384" s="2">
        <v>1.86</v>
      </c>
      <c r="H384" s="2">
        <f t="shared" si="44"/>
        <v>-1.86</v>
      </c>
      <c r="I384" s="2">
        <f t="shared" si="45"/>
        <v>-1.86</v>
      </c>
      <c r="L384" s="2">
        <f t="shared" si="46"/>
        <v>0</v>
      </c>
      <c r="M384" s="2">
        <f t="shared" si="47"/>
        <v>-1.86</v>
      </c>
    </row>
    <row r="385" hidden="1" spans="1:13">
      <c r="A385" s="30">
        <v>45839</v>
      </c>
      <c r="B385" s="1" t="s">
        <v>201</v>
      </c>
      <c r="C385" s="1" t="s">
        <v>57</v>
      </c>
      <c r="D385" s="1" t="s">
        <v>47</v>
      </c>
      <c r="G385" s="2">
        <f>-74700+25000</f>
        <v>-49700</v>
      </c>
      <c r="H385" s="2">
        <f t="shared" ref="H385:H422" si="48">F385-G385</f>
        <v>49700</v>
      </c>
      <c r="I385" s="2">
        <f t="shared" ref="I385:I422" si="49">H385+E385</f>
        <v>49700</v>
      </c>
      <c r="L385" s="2">
        <f t="shared" si="46"/>
        <v>0</v>
      </c>
      <c r="M385" s="2">
        <f t="shared" si="47"/>
        <v>49700</v>
      </c>
    </row>
    <row r="386" hidden="1" spans="1:13">
      <c r="A386" s="30">
        <v>45839</v>
      </c>
      <c r="B386" s="1" t="s">
        <v>202</v>
      </c>
      <c r="C386" s="1" t="s">
        <v>44</v>
      </c>
      <c r="D386" s="1" t="s">
        <v>45</v>
      </c>
      <c r="F386" s="2">
        <v>483.3</v>
      </c>
      <c r="G386" s="2">
        <v>483.3</v>
      </c>
      <c r="H386" s="2">
        <f t="shared" si="48"/>
        <v>0</v>
      </c>
      <c r="I386" s="2">
        <f t="shared" si="49"/>
        <v>0</v>
      </c>
      <c r="L386" s="2">
        <f t="shared" si="46"/>
        <v>0</v>
      </c>
      <c r="M386" s="2">
        <f t="shared" si="47"/>
        <v>0</v>
      </c>
    </row>
    <row r="387" hidden="1" spans="1:13">
      <c r="A387" s="30">
        <v>45839</v>
      </c>
      <c r="B387" s="1" t="s">
        <v>203</v>
      </c>
      <c r="C387" s="1" t="s">
        <v>65</v>
      </c>
      <c r="D387" s="1" t="s">
        <v>47</v>
      </c>
      <c r="F387" s="2">
        <v>5749.55</v>
      </c>
      <c r="H387" s="2">
        <f t="shared" si="48"/>
        <v>5749.55</v>
      </c>
      <c r="I387" s="2">
        <f t="shared" si="49"/>
        <v>5749.55</v>
      </c>
      <c r="L387" s="2">
        <f t="shared" si="46"/>
        <v>0</v>
      </c>
      <c r="M387" s="2">
        <f t="shared" si="47"/>
        <v>5749.55</v>
      </c>
    </row>
    <row r="388" hidden="1" spans="1:13">
      <c r="A388" s="30">
        <v>45839</v>
      </c>
      <c r="B388" s="1" t="s">
        <v>203</v>
      </c>
      <c r="C388" s="1" t="s">
        <v>41</v>
      </c>
      <c r="D388" s="1" t="s">
        <v>47</v>
      </c>
      <c r="F388" s="2">
        <v>5293.7</v>
      </c>
      <c r="H388" s="2">
        <f t="shared" si="48"/>
        <v>5293.7</v>
      </c>
      <c r="I388" s="2">
        <f t="shared" si="49"/>
        <v>5293.7</v>
      </c>
      <c r="L388" s="2">
        <f t="shared" si="46"/>
        <v>0</v>
      </c>
      <c r="M388" s="2">
        <f t="shared" si="47"/>
        <v>5293.7</v>
      </c>
    </row>
    <row r="389" hidden="1" spans="1:13">
      <c r="A389" s="30">
        <v>45839</v>
      </c>
      <c r="B389" s="1" t="s">
        <v>203</v>
      </c>
      <c r="C389" s="1" t="s">
        <v>43</v>
      </c>
      <c r="D389" s="1" t="s">
        <v>47</v>
      </c>
      <c r="F389" s="2">
        <v>669184.85</v>
      </c>
      <c r="G389" s="2">
        <v>657861.85</v>
      </c>
      <c r="H389" s="2">
        <f t="shared" si="48"/>
        <v>11323</v>
      </c>
      <c r="I389" s="2">
        <f t="shared" si="49"/>
        <v>11323</v>
      </c>
      <c r="L389" s="2">
        <f t="shared" si="46"/>
        <v>0</v>
      </c>
      <c r="M389" s="2">
        <f t="shared" si="47"/>
        <v>11323</v>
      </c>
    </row>
    <row r="390" hidden="1" spans="1:13">
      <c r="A390" s="30">
        <v>45839</v>
      </c>
      <c r="B390" s="1" t="s">
        <v>203</v>
      </c>
      <c r="C390" s="1" t="s">
        <v>57</v>
      </c>
      <c r="D390" s="1" t="s">
        <v>47</v>
      </c>
      <c r="F390" s="2">
        <v>611081.45</v>
      </c>
      <c r="G390" s="2">
        <v>534798.749999999</v>
      </c>
      <c r="H390" s="2">
        <f t="shared" si="48"/>
        <v>76282.700000001</v>
      </c>
      <c r="I390" s="2">
        <f t="shared" si="49"/>
        <v>76282.700000001</v>
      </c>
      <c r="L390" s="2">
        <f t="shared" si="46"/>
        <v>0</v>
      </c>
      <c r="M390" s="2">
        <f t="shared" si="47"/>
        <v>76282.700000001</v>
      </c>
    </row>
    <row r="391" hidden="1" spans="1:13">
      <c r="A391" s="30">
        <v>45839</v>
      </c>
      <c r="B391" s="1" t="s">
        <v>204</v>
      </c>
      <c r="C391" s="1" t="s">
        <v>160</v>
      </c>
      <c r="D391" s="1" t="s">
        <v>45</v>
      </c>
      <c r="F391" s="2">
        <v>7834.04999999999</v>
      </c>
      <c r="G391" s="2">
        <v>7234.4</v>
      </c>
      <c r="H391" s="2">
        <f t="shared" si="48"/>
        <v>599.649999999991</v>
      </c>
      <c r="I391" s="2">
        <f t="shared" si="49"/>
        <v>599.649999999991</v>
      </c>
      <c r="L391" s="2">
        <f t="shared" si="46"/>
        <v>0</v>
      </c>
      <c r="M391" s="2">
        <f t="shared" si="47"/>
        <v>599.649999999991</v>
      </c>
    </row>
    <row r="392" hidden="1" spans="1:13">
      <c r="A392" s="30">
        <v>45839</v>
      </c>
      <c r="B392" s="1" t="s">
        <v>205</v>
      </c>
      <c r="C392" s="1" t="s">
        <v>41</v>
      </c>
      <c r="D392" s="1" t="s">
        <v>42</v>
      </c>
      <c r="F392" s="2">
        <v>12.2</v>
      </c>
      <c r="G392" s="2">
        <v>12.2</v>
      </c>
      <c r="H392" s="2">
        <f t="shared" si="48"/>
        <v>0</v>
      </c>
      <c r="I392" s="2">
        <f t="shared" si="49"/>
        <v>0</v>
      </c>
      <c r="L392" s="2">
        <f t="shared" ref="L392:L425" si="50">J392-K392</f>
        <v>0</v>
      </c>
      <c r="M392" s="2">
        <f t="shared" ref="M392:M425" si="51">I392+L392</f>
        <v>0</v>
      </c>
    </row>
    <row r="393" hidden="1" spans="1:13">
      <c r="A393" s="30">
        <v>45839</v>
      </c>
      <c r="B393" s="1" t="s">
        <v>206</v>
      </c>
      <c r="C393" s="1" t="s">
        <v>41</v>
      </c>
      <c r="D393" s="1" t="s">
        <v>45</v>
      </c>
      <c r="H393" s="2">
        <f t="shared" si="48"/>
        <v>0</v>
      </c>
      <c r="I393" s="2">
        <f t="shared" si="49"/>
        <v>0</v>
      </c>
      <c r="K393" s="2">
        <v>-106.39</v>
      </c>
      <c r="L393" s="2">
        <f t="shared" si="50"/>
        <v>106.39</v>
      </c>
      <c r="M393" s="2">
        <f t="shared" si="51"/>
        <v>106.39</v>
      </c>
    </row>
    <row r="394" hidden="1" spans="1:13">
      <c r="A394" s="30">
        <v>45839</v>
      </c>
      <c r="B394" s="1" t="s">
        <v>207</v>
      </c>
      <c r="C394" s="1" t="s">
        <v>41</v>
      </c>
      <c r="D394" s="1" t="s">
        <v>42</v>
      </c>
      <c r="F394" s="2">
        <v>3258.36</v>
      </c>
      <c r="G394" s="2">
        <v>2691.2</v>
      </c>
      <c r="H394" s="2">
        <f t="shared" si="48"/>
        <v>567.16</v>
      </c>
      <c r="I394" s="2">
        <f t="shared" si="49"/>
        <v>567.16</v>
      </c>
      <c r="L394" s="2">
        <f t="shared" si="50"/>
        <v>0</v>
      </c>
      <c r="M394" s="2">
        <f t="shared" si="51"/>
        <v>567.16</v>
      </c>
    </row>
    <row r="395" hidden="1" spans="1:13">
      <c r="A395" s="30">
        <v>45839</v>
      </c>
      <c r="B395" s="1" t="s">
        <v>207</v>
      </c>
      <c r="C395" s="1" t="s">
        <v>55</v>
      </c>
      <c r="D395" s="1" t="s">
        <v>42</v>
      </c>
      <c r="F395" s="2">
        <v>663.08</v>
      </c>
      <c r="G395" s="2">
        <v>611.6</v>
      </c>
      <c r="H395" s="2">
        <f t="shared" si="48"/>
        <v>51.48</v>
      </c>
      <c r="I395" s="2">
        <f t="shared" si="49"/>
        <v>51.48</v>
      </c>
      <c r="L395" s="2">
        <f t="shared" si="50"/>
        <v>0</v>
      </c>
      <c r="M395" s="2">
        <f t="shared" si="51"/>
        <v>51.48</v>
      </c>
    </row>
    <row r="396" hidden="1" spans="1:13">
      <c r="A396" s="30">
        <v>45839</v>
      </c>
      <c r="B396" s="1" t="s">
        <v>207</v>
      </c>
      <c r="C396" s="1" t="s">
        <v>43</v>
      </c>
      <c r="D396" s="1" t="s">
        <v>42</v>
      </c>
      <c r="F396" s="2">
        <v>54692.34</v>
      </c>
      <c r="G396" s="2">
        <v>50758.51</v>
      </c>
      <c r="H396" s="2">
        <f t="shared" si="48"/>
        <v>3933.82999999999</v>
      </c>
      <c r="I396" s="2">
        <f t="shared" si="49"/>
        <v>3933.82999999999</v>
      </c>
      <c r="L396" s="2">
        <f t="shared" si="50"/>
        <v>0</v>
      </c>
      <c r="M396" s="2">
        <f t="shared" si="51"/>
        <v>3933.82999999999</v>
      </c>
    </row>
    <row r="397" hidden="1" spans="1:13">
      <c r="A397" s="30">
        <v>45839</v>
      </c>
      <c r="B397" s="1" t="s">
        <v>207</v>
      </c>
      <c r="C397" s="1" t="s">
        <v>64</v>
      </c>
      <c r="D397" s="1" t="s">
        <v>47</v>
      </c>
      <c r="F397" s="2">
        <v>170.7</v>
      </c>
      <c r="G397" s="2">
        <v>127.6</v>
      </c>
      <c r="H397" s="2">
        <f t="shared" si="48"/>
        <v>43.1</v>
      </c>
      <c r="I397" s="2">
        <f t="shared" si="49"/>
        <v>43.1</v>
      </c>
      <c r="L397" s="2">
        <f t="shared" si="50"/>
        <v>0</v>
      </c>
      <c r="M397" s="2">
        <f t="shared" si="51"/>
        <v>43.1</v>
      </c>
    </row>
    <row r="398" hidden="1" spans="1:13">
      <c r="A398" s="30">
        <v>45839</v>
      </c>
      <c r="B398" s="1" t="s">
        <v>207</v>
      </c>
      <c r="C398" s="1" t="s">
        <v>79</v>
      </c>
      <c r="D398" s="1" t="s">
        <v>47</v>
      </c>
      <c r="F398" s="2">
        <v>36</v>
      </c>
      <c r="G398" s="2">
        <v>30.6</v>
      </c>
      <c r="H398" s="2">
        <f t="shared" si="48"/>
        <v>5.4</v>
      </c>
      <c r="I398" s="2">
        <f t="shared" si="49"/>
        <v>5.4</v>
      </c>
      <c r="L398" s="2">
        <f t="shared" si="50"/>
        <v>0</v>
      </c>
      <c r="M398" s="2">
        <f t="shared" si="51"/>
        <v>5.4</v>
      </c>
    </row>
    <row r="399" hidden="1" spans="1:13">
      <c r="A399" s="30">
        <v>45839</v>
      </c>
      <c r="B399" s="1" t="s">
        <v>207</v>
      </c>
      <c r="C399" s="1" t="s">
        <v>41</v>
      </c>
      <c r="D399" s="1" t="s">
        <v>47</v>
      </c>
      <c r="F399" s="2">
        <f>8390.7672+11.65</f>
        <v>8402.4172</v>
      </c>
      <c r="G399" s="2">
        <v>6460.1</v>
      </c>
      <c r="H399" s="2">
        <f t="shared" si="48"/>
        <v>1942.3172</v>
      </c>
      <c r="I399" s="2">
        <f t="shared" si="49"/>
        <v>1942.3172</v>
      </c>
      <c r="L399" s="2">
        <f t="shared" si="50"/>
        <v>0</v>
      </c>
      <c r="M399" s="2">
        <f t="shared" si="51"/>
        <v>1942.3172</v>
      </c>
    </row>
    <row r="400" hidden="1" spans="1:13">
      <c r="A400" s="30">
        <v>45839</v>
      </c>
      <c r="B400" s="1" t="s">
        <v>207</v>
      </c>
      <c r="C400" s="1" t="s">
        <v>55</v>
      </c>
      <c r="D400" s="1" t="s">
        <v>47</v>
      </c>
      <c r="F400" s="2">
        <v>758.1</v>
      </c>
      <c r="G400" s="2">
        <v>686.3</v>
      </c>
      <c r="H400" s="2">
        <f t="shared" si="48"/>
        <v>71.8000000000001</v>
      </c>
      <c r="I400" s="2">
        <f t="shared" si="49"/>
        <v>71.8000000000001</v>
      </c>
      <c r="L400" s="2">
        <f t="shared" si="50"/>
        <v>0</v>
      </c>
      <c r="M400" s="2">
        <f t="shared" si="51"/>
        <v>71.8000000000001</v>
      </c>
    </row>
    <row r="401" hidden="1" spans="1:13">
      <c r="A401" s="30">
        <v>45839</v>
      </c>
      <c r="B401" s="1" t="s">
        <v>207</v>
      </c>
      <c r="C401" s="1" t="s">
        <v>43</v>
      </c>
      <c r="D401" s="1" t="s">
        <v>47</v>
      </c>
      <c r="F401" s="2">
        <v>136459.128</v>
      </c>
      <c r="G401" s="2">
        <v>122200.75</v>
      </c>
      <c r="H401" s="2">
        <f t="shared" si="48"/>
        <v>14258.378</v>
      </c>
      <c r="I401" s="2">
        <f t="shared" si="49"/>
        <v>14258.378</v>
      </c>
      <c r="L401" s="2">
        <f t="shared" si="50"/>
        <v>0</v>
      </c>
      <c r="M401" s="2">
        <f t="shared" si="51"/>
        <v>14258.378</v>
      </c>
    </row>
    <row r="402" hidden="1" spans="1:13">
      <c r="A402" s="30">
        <v>45839</v>
      </c>
      <c r="B402" s="1" t="s">
        <v>208</v>
      </c>
      <c r="C402" s="1" t="s">
        <v>41</v>
      </c>
      <c r="D402" s="1" t="s">
        <v>47</v>
      </c>
      <c r="F402" s="2">
        <v>4365.61999999999</v>
      </c>
      <c r="G402" s="2">
        <v>5385.19</v>
      </c>
      <c r="H402" s="2">
        <f t="shared" si="48"/>
        <v>-1019.57000000001</v>
      </c>
      <c r="I402" s="2">
        <f t="shared" si="49"/>
        <v>-1019.57000000001</v>
      </c>
      <c r="L402" s="2">
        <f t="shared" si="50"/>
        <v>0</v>
      </c>
      <c r="M402" s="2">
        <f t="shared" si="51"/>
        <v>-1019.57000000001</v>
      </c>
    </row>
    <row r="403" hidden="1" spans="1:13">
      <c r="A403" s="30">
        <v>45839</v>
      </c>
      <c r="B403" s="1" t="s">
        <v>208</v>
      </c>
      <c r="C403" s="1" t="s">
        <v>43</v>
      </c>
      <c r="D403" s="1" t="s">
        <v>47</v>
      </c>
      <c r="F403" s="2">
        <v>74487.9799999999</v>
      </c>
      <c r="G403" s="2">
        <v>92264.26</v>
      </c>
      <c r="H403" s="2">
        <f t="shared" si="48"/>
        <v>-17776.2800000001</v>
      </c>
      <c r="I403" s="2">
        <f t="shared" si="49"/>
        <v>-17776.2800000001</v>
      </c>
      <c r="L403" s="2">
        <f t="shared" si="50"/>
        <v>0</v>
      </c>
      <c r="M403" s="2">
        <f t="shared" si="51"/>
        <v>-17776.2800000001</v>
      </c>
    </row>
    <row r="404" hidden="1" spans="1:13">
      <c r="A404" s="30">
        <v>45839</v>
      </c>
      <c r="B404" s="1" t="s">
        <v>208</v>
      </c>
      <c r="C404" s="1" t="s">
        <v>57</v>
      </c>
      <c r="D404" s="1" t="s">
        <v>47</v>
      </c>
      <c r="F404" s="2">
        <v>406443.72</v>
      </c>
      <c r="G404" s="2">
        <v>446905.199999999</v>
      </c>
      <c r="H404" s="2">
        <f t="shared" si="48"/>
        <v>-40461.4799999991</v>
      </c>
      <c r="I404" s="2">
        <f t="shared" si="49"/>
        <v>-40461.4799999991</v>
      </c>
      <c r="L404" s="2">
        <f t="shared" si="50"/>
        <v>0</v>
      </c>
      <c r="M404" s="2">
        <f t="shared" si="51"/>
        <v>-40461.4799999991</v>
      </c>
    </row>
    <row r="405" hidden="1" spans="1:13">
      <c r="A405" s="30">
        <v>45839</v>
      </c>
      <c r="B405" s="1" t="s">
        <v>209</v>
      </c>
      <c r="C405" s="1" t="s">
        <v>41</v>
      </c>
      <c r="D405" s="1" t="s">
        <v>42</v>
      </c>
      <c r="F405" s="2">
        <v>1397.75804892</v>
      </c>
      <c r="G405" s="2">
        <v>1354.85</v>
      </c>
      <c r="H405" s="2">
        <f t="shared" si="48"/>
        <v>42.9080489200001</v>
      </c>
      <c r="I405" s="2">
        <f t="shared" si="49"/>
        <v>42.9080489200001</v>
      </c>
      <c r="L405" s="2">
        <f t="shared" si="50"/>
        <v>0</v>
      </c>
      <c r="M405" s="2">
        <f t="shared" si="51"/>
        <v>42.9080489200001</v>
      </c>
    </row>
    <row r="406" hidden="1" spans="1:13">
      <c r="A406" s="30">
        <v>45839</v>
      </c>
      <c r="B406" s="1" t="s">
        <v>209</v>
      </c>
      <c r="C406" s="1" t="s">
        <v>43</v>
      </c>
      <c r="D406" s="1" t="s">
        <v>42</v>
      </c>
      <c r="F406" s="2">
        <v>6940.4</v>
      </c>
      <c r="G406" s="2">
        <v>6940.4</v>
      </c>
      <c r="H406" s="2">
        <f t="shared" si="48"/>
        <v>0</v>
      </c>
      <c r="I406" s="2">
        <f t="shared" si="49"/>
        <v>0</v>
      </c>
      <c r="L406" s="2">
        <f t="shared" si="50"/>
        <v>0</v>
      </c>
      <c r="M406" s="2">
        <f t="shared" si="51"/>
        <v>0</v>
      </c>
    </row>
    <row r="407" hidden="1" spans="1:13">
      <c r="A407" s="30">
        <v>45839</v>
      </c>
      <c r="B407" s="1" t="s">
        <v>209</v>
      </c>
      <c r="C407" s="1" t="s">
        <v>41</v>
      </c>
      <c r="D407" s="1" t="s">
        <v>47</v>
      </c>
      <c r="F407" s="2">
        <v>406.289</v>
      </c>
      <c r="G407" s="2">
        <v>376.6</v>
      </c>
      <c r="H407" s="2">
        <f t="shared" si="48"/>
        <v>29.689</v>
      </c>
      <c r="I407" s="2">
        <f t="shared" si="49"/>
        <v>29.689</v>
      </c>
      <c r="L407" s="2">
        <f t="shared" si="50"/>
        <v>0</v>
      </c>
      <c r="M407" s="2">
        <f t="shared" si="51"/>
        <v>29.689</v>
      </c>
    </row>
    <row r="408" hidden="1" spans="1:13">
      <c r="A408" s="30">
        <v>45839</v>
      </c>
      <c r="B408" s="1" t="s">
        <v>209</v>
      </c>
      <c r="C408" s="1" t="s">
        <v>43</v>
      </c>
      <c r="D408" s="1" t="s">
        <v>47</v>
      </c>
      <c r="F408" s="2">
        <v>1212.57</v>
      </c>
      <c r="G408" s="2">
        <v>1092.2</v>
      </c>
      <c r="H408" s="2">
        <f t="shared" si="48"/>
        <v>120.37</v>
      </c>
      <c r="I408" s="2">
        <f t="shared" si="49"/>
        <v>120.37</v>
      </c>
      <c r="L408" s="2">
        <f t="shared" si="50"/>
        <v>0</v>
      </c>
      <c r="M408" s="2">
        <f t="shared" si="51"/>
        <v>120.37</v>
      </c>
    </row>
    <row r="409" hidden="1" spans="1:13">
      <c r="A409" s="30">
        <v>45839</v>
      </c>
      <c r="B409" s="1" t="s">
        <v>210</v>
      </c>
      <c r="C409" s="1" t="s">
        <v>41</v>
      </c>
      <c r="D409" s="1" t="s">
        <v>42</v>
      </c>
      <c r="F409" s="2">
        <v>15.6</v>
      </c>
      <c r="G409" s="2">
        <v>0.001</v>
      </c>
      <c r="H409" s="2">
        <f t="shared" si="48"/>
        <v>15.599</v>
      </c>
      <c r="I409" s="2">
        <f t="shared" si="49"/>
        <v>15.599</v>
      </c>
      <c r="L409" s="2">
        <f t="shared" si="50"/>
        <v>0</v>
      </c>
      <c r="M409" s="2">
        <f t="shared" si="51"/>
        <v>15.599</v>
      </c>
    </row>
    <row r="410" hidden="1" spans="1:13">
      <c r="A410" s="30">
        <v>45839</v>
      </c>
      <c r="B410" s="1" t="s">
        <v>210</v>
      </c>
      <c r="C410" s="1" t="s">
        <v>43</v>
      </c>
      <c r="D410" s="1" t="s">
        <v>42</v>
      </c>
      <c r="F410" s="2">
        <v>40.5378</v>
      </c>
      <c r="G410" s="2">
        <v>0.3191</v>
      </c>
      <c r="H410" s="2">
        <f t="shared" si="48"/>
        <v>40.2187</v>
      </c>
      <c r="I410" s="2">
        <f t="shared" si="49"/>
        <v>40.2187</v>
      </c>
      <c r="L410" s="2">
        <f t="shared" si="50"/>
        <v>0</v>
      </c>
      <c r="M410" s="2">
        <f t="shared" si="51"/>
        <v>40.2187</v>
      </c>
    </row>
    <row r="411" hidden="1" spans="1:13">
      <c r="A411" s="30">
        <v>45839</v>
      </c>
      <c r="B411" s="1" t="s">
        <v>211</v>
      </c>
      <c r="C411" s="1" t="s">
        <v>41</v>
      </c>
      <c r="D411" s="1" t="s">
        <v>48</v>
      </c>
      <c r="F411" s="2">
        <v>586780.331</v>
      </c>
      <c r="G411" s="2">
        <v>579343.659999999</v>
      </c>
      <c r="H411" s="2">
        <f t="shared" si="48"/>
        <v>7436.67100000102</v>
      </c>
      <c r="I411" s="2">
        <f t="shared" si="49"/>
        <v>7436.67100000102</v>
      </c>
      <c r="L411" s="2">
        <f t="shared" si="50"/>
        <v>0</v>
      </c>
      <c r="M411" s="2">
        <f t="shared" si="51"/>
        <v>7436.67100000102</v>
      </c>
    </row>
    <row r="412" hidden="1" spans="1:13">
      <c r="A412" s="30">
        <v>45839</v>
      </c>
      <c r="B412" s="1" t="s">
        <v>212</v>
      </c>
      <c r="C412" s="1" t="s">
        <v>87</v>
      </c>
      <c r="D412" s="1" t="s">
        <v>42</v>
      </c>
      <c r="F412" s="2">
        <v>628224.1</v>
      </c>
      <c r="G412" s="2">
        <v>231798.5</v>
      </c>
      <c r="H412" s="2">
        <f t="shared" si="48"/>
        <v>396425.6</v>
      </c>
      <c r="I412" s="2">
        <f t="shared" si="49"/>
        <v>396425.6</v>
      </c>
      <c r="J412" s="2">
        <v>26825.17</v>
      </c>
      <c r="L412" s="2">
        <f t="shared" si="50"/>
        <v>26825.17</v>
      </c>
      <c r="M412" s="2">
        <f t="shared" si="51"/>
        <v>423250.77</v>
      </c>
    </row>
    <row r="413" hidden="1" spans="1:13">
      <c r="A413" s="30">
        <v>45839</v>
      </c>
      <c r="B413" s="1" t="s">
        <v>212</v>
      </c>
      <c r="C413" s="1" t="s">
        <v>41</v>
      </c>
      <c r="D413" s="1" t="s">
        <v>42</v>
      </c>
      <c r="F413" s="2">
        <v>903.350299999999</v>
      </c>
      <c r="H413" s="2">
        <f t="shared" si="48"/>
        <v>903.350299999999</v>
      </c>
      <c r="I413" s="2">
        <f t="shared" si="49"/>
        <v>903.350299999999</v>
      </c>
      <c r="L413" s="2">
        <f t="shared" si="50"/>
        <v>0</v>
      </c>
      <c r="M413" s="2">
        <f t="shared" si="51"/>
        <v>903.350299999999</v>
      </c>
    </row>
    <row r="414" hidden="1" spans="1:13">
      <c r="A414" s="30">
        <v>45839</v>
      </c>
      <c r="B414" s="1" t="s">
        <v>212</v>
      </c>
      <c r="C414" s="1" t="s">
        <v>55</v>
      </c>
      <c r="D414" s="1" t="s">
        <v>42</v>
      </c>
      <c r="F414" s="2">
        <v>3.75</v>
      </c>
      <c r="H414" s="2">
        <f t="shared" si="48"/>
        <v>3.75</v>
      </c>
      <c r="I414" s="2">
        <f t="shared" si="49"/>
        <v>3.75</v>
      </c>
      <c r="L414" s="2">
        <f t="shared" si="50"/>
        <v>0</v>
      </c>
      <c r="M414" s="2">
        <f t="shared" si="51"/>
        <v>3.75</v>
      </c>
    </row>
    <row r="415" hidden="1" spans="1:13">
      <c r="A415" s="30">
        <v>45839</v>
      </c>
      <c r="B415" s="1" t="s">
        <v>212</v>
      </c>
      <c r="C415" s="1" t="s">
        <v>43</v>
      </c>
      <c r="D415" s="1" t="s">
        <v>42</v>
      </c>
      <c r="F415" s="2">
        <v>18940.4487999999</v>
      </c>
      <c r="G415" s="2">
        <f>19435.75+48721.55</f>
        <v>68157.3</v>
      </c>
      <c r="H415" s="2">
        <f t="shared" si="48"/>
        <v>-49216.8512000001</v>
      </c>
      <c r="I415" s="2">
        <f t="shared" si="49"/>
        <v>-49216.8512000001</v>
      </c>
      <c r="L415" s="2">
        <f t="shared" si="50"/>
        <v>0</v>
      </c>
      <c r="M415" s="2">
        <f t="shared" si="51"/>
        <v>-49216.8512000001</v>
      </c>
    </row>
    <row r="416" hidden="1" spans="1:13">
      <c r="A416" s="30">
        <v>45839</v>
      </c>
      <c r="B416" s="1" t="s">
        <v>212</v>
      </c>
      <c r="C416" s="1" t="s">
        <v>57</v>
      </c>
      <c r="D416" s="1" t="s">
        <v>42</v>
      </c>
      <c r="F416" s="2">
        <v>-3.8861</v>
      </c>
      <c r="H416" s="2">
        <f t="shared" si="48"/>
        <v>-3.8861</v>
      </c>
      <c r="I416" s="2">
        <f t="shared" si="49"/>
        <v>-3.8861</v>
      </c>
      <c r="L416" s="2">
        <f t="shared" si="50"/>
        <v>0</v>
      </c>
      <c r="M416" s="2">
        <f t="shared" si="51"/>
        <v>-3.8861</v>
      </c>
    </row>
    <row r="417" hidden="1" spans="1:13">
      <c r="A417" s="30">
        <v>45839</v>
      </c>
      <c r="B417" s="1" t="s">
        <v>213</v>
      </c>
      <c r="C417" s="1" t="s">
        <v>79</v>
      </c>
      <c r="D417" s="1" t="s">
        <v>47</v>
      </c>
      <c r="F417" s="2">
        <v>50</v>
      </c>
      <c r="G417" s="2">
        <v>50</v>
      </c>
      <c r="H417" s="2">
        <f t="shared" si="48"/>
        <v>0</v>
      </c>
      <c r="I417" s="2">
        <f t="shared" si="49"/>
        <v>0</v>
      </c>
      <c r="L417" s="2">
        <f t="shared" si="50"/>
        <v>0</v>
      </c>
      <c r="M417" s="2">
        <f t="shared" si="51"/>
        <v>0</v>
      </c>
    </row>
    <row r="418" hidden="1" spans="1:13">
      <c r="A418" s="30">
        <v>45839</v>
      </c>
      <c r="B418" s="1" t="s">
        <v>213</v>
      </c>
      <c r="C418" s="1" t="s">
        <v>41</v>
      </c>
      <c r="D418" s="1" t="s">
        <v>47</v>
      </c>
      <c r="F418" s="2">
        <v>4558.79999999999</v>
      </c>
      <c r="H418" s="2">
        <f t="shared" si="48"/>
        <v>4558.79999999999</v>
      </c>
      <c r="I418" s="2">
        <f t="shared" si="49"/>
        <v>4558.79999999999</v>
      </c>
      <c r="L418" s="2">
        <f t="shared" si="50"/>
        <v>0</v>
      </c>
      <c r="M418" s="2">
        <f t="shared" si="51"/>
        <v>4558.79999999999</v>
      </c>
    </row>
    <row r="419" hidden="1" spans="1:13">
      <c r="A419" s="30">
        <v>45839</v>
      </c>
      <c r="B419" s="1" t="s">
        <v>213</v>
      </c>
      <c r="C419" s="1" t="s">
        <v>43</v>
      </c>
      <c r="D419" s="1" t="s">
        <v>47</v>
      </c>
      <c r="F419" s="2">
        <v>8.2</v>
      </c>
      <c r="H419" s="2">
        <f t="shared" si="48"/>
        <v>8.2</v>
      </c>
      <c r="I419" s="2">
        <f t="shared" si="49"/>
        <v>8.2</v>
      </c>
      <c r="L419" s="2">
        <f t="shared" si="50"/>
        <v>0</v>
      </c>
      <c r="M419" s="2">
        <f t="shared" si="51"/>
        <v>8.2</v>
      </c>
    </row>
    <row r="420" hidden="1" spans="1:13">
      <c r="A420" s="30">
        <v>45839</v>
      </c>
      <c r="B420" s="1" t="s">
        <v>213</v>
      </c>
      <c r="C420" s="1" t="s">
        <v>57</v>
      </c>
      <c r="D420" s="1" t="s">
        <v>47</v>
      </c>
      <c r="F420" s="2">
        <v>34329.6</v>
      </c>
      <c r="G420" s="2">
        <v>34329.6</v>
      </c>
      <c r="H420" s="2">
        <f t="shared" si="48"/>
        <v>0</v>
      </c>
      <c r="I420" s="2">
        <f t="shared" si="49"/>
        <v>0</v>
      </c>
      <c r="L420" s="2">
        <f t="shared" si="50"/>
        <v>0</v>
      </c>
      <c r="M420" s="2">
        <f t="shared" si="51"/>
        <v>0</v>
      </c>
    </row>
    <row r="421" hidden="1" spans="1:13">
      <c r="A421" s="30">
        <v>45839</v>
      </c>
      <c r="B421" s="1" t="s">
        <v>214</v>
      </c>
      <c r="C421" s="1" t="s">
        <v>41</v>
      </c>
      <c r="D421" s="1" t="s">
        <v>47</v>
      </c>
      <c r="F421" s="2">
        <v>3785.97</v>
      </c>
      <c r="H421" s="2">
        <f t="shared" si="48"/>
        <v>3785.97</v>
      </c>
      <c r="I421" s="2">
        <f t="shared" si="49"/>
        <v>3785.97</v>
      </c>
      <c r="L421" s="2">
        <f t="shared" si="50"/>
        <v>0</v>
      </c>
      <c r="M421" s="2">
        <f t="shared" si="51"/>
        <v>3785.97</v>
      </c>
    </row>
    <row r="422" hidden="1" spans="1:13">
      <c r="A422" s="30">
        <v>45839</v>
      </c>
      <c r="B422" s="1" t="s">
        <v>214</v>
      </c>
      <c r="C422" s="1" t="s">
        <v>57</v>
      </c>
      <c r="D422" s="1" t="s">
        <v>47</v>
      </c>
      <c r="F422" s="2">
        <v>488681.024</v>
      </c>
      <c r="G422" s="2">
        <v>488681.024</v>
      </c>
      <c r="H422" s="2">
        <f t="shared" si="48"/>
        <v>0</v>
      </c>
      <c r="I422" s="2">
        <f t="shared" si="49"/>
        <v>0</v>
      </c>
      <c r="L422" s="2">
        <f t="shared" si="50"/>
        <v>0</v>
      </c>
      <c r="M422" s="2">
        <f t="shared" si="51"/>
        <v>0</v>
      </c>
    </row>
    <row r="423" hidden="1" spans="1:13">
      <c r="A423" s="30">
        <v>45839</v>
      </c>
      <c r="B423" s="1" t="s">
        <v>215</v>
      </c>
      <c r="C423" s="1" t="s">
        <v>41</v>
      </c>
      <c r="D423" s="1" t="s">
        <v>42</v>
      </c>
      <c r="F423" s="2">
        <f>143199.81+47827.2</f>
        <v>191027.01</v>
      </c>
      <c r="H423" s="2">
        <f t="shared" ref="H423:H461" si="52">F423-G423</f>
        <v>191027.01</v>
      </c>
      <c r="I423" s="2">
        <f t="shared" ref="I423:I461" si="53">H423+E423</f>
        <v>191027.01</v>
      </c>
      <c r="L423" s="2">
        <f t="shared" si="50"/>
        <v>0</v>
      </c>
      <c r="M423" s="2">
        <f t="shared" si="51"/>
        <v>191027.01</v>
      </c>
    </row>
    <row r="424" hidden="1" spans="1:13">
      <c r="A424" s="30">
        <v>45839</v>
      </c>
      <c r="B424" s="1" t="s">
        <v>215</v>
      </c>
      <c r="C424" s="1" t="s">
        <v>55</v>
      </c>
      <c r="D424" s="1" t="s">
        <v>42</v>
      </c>
      <c r="F424" s="2">
        <v>346947.25</v>
      </c>
      <c r="H424" s="2">
        <f t="shared" si="52"/>
        <v>346947.25</v>
      </c>
      <c r="I424" s="2">
        <f t="shared" si="53"/>
        <v>346947.25</v>
      </c>
      <c r="L424" s="2">
        <f t="shared" si="50"/>
        <v>0</v>
      </c>
      <c r="M424" s="2">
        <f t="shared" si="51"/>
        <v>346947.25</v>
      </c>
    </row>
    <row r="425" hidden="1" spans="1:13">
      <c r="A425" s="30">
        <v>45839</v>
      </c>
      <c r="B425" s="1" t="s">
        <v>215</v>
      </c>
      <c r="C425" s="1" t="s">
        <v>92</v>
      </c>
      <c r="D425" s="1" t="s">
        <v>42</v>
      </c>
      <c r="F425" s="2">
        <v>38119203.19</v>
      </c>
      <c r="G425" s="2">
        <f>36301479.8+2054800.74</f>
        <v>38356280.54</v>
      </c>
      <c r="H425" s="2">
        <f t="shared" si="52"/>
        <v>-237077.350000001</v>
      </c>
      <c r="I425" s="2">
        <f t="shared" si="53"/>
        <v>-237077.350000001</v>
      </c>
      <c r="L425" s="2">
        <f t="shared" si="50"/>
        <v>0</v>
      </c>
      <c r="M425" s="2">
        <f t="shared" si="51"/>
        <v>-237077.350000001</v>
      </c>
    </row>
    <row r="426" hidden="1" spans="1:13">
      <c r="A426" s="30">
        <v>45839</v>
      </c>
      <c r="B426" s="1" t="s">
        <v>215</v>
      </c>
      <c r="C426" s="1" t="s">
        <v>216</v>
      </c>
      <c r="D426" s="1" t="s">
        <v>42</v>
      </c>
      <c r="F426" s="2">
        <v>3.15</v>
      </c>
      <c r="G426" s="2">
        <v>3.05</v>
      </c>
      <c r="H426" s="2">
        <f t="shared" si="52"/>
        <v>0.1</v>
      </c>
      <c r="I426" s="2">
        <f t="shared" si="53"/>
        <v>0.1</v>
      </c>
      <c r="L426" s="2">
        <f t="shared" ref="L426:L468" si="54">J426-K426</f>
        <v>0</v>
      </c>
      <c r="M426" s="2">
        <f t="shared" ref="M426:M468" si="55">I426+L426</f>
        <v>0.1</v>
      </c>
    </row>
    <row r="427" hidden="1" spans="1:13">
      <c r="A427" s="30">
        <v>45839</v>
      </c>
      <c r="B427" s="1" t="s">
        <v>215</v>
      </c>
      <c r="C427" s="1" t="s">
        <v>49</v>
      </c>
      <c r="D427" s="1" t="s">
        <v>42</v>
      </c>
      <c r="F427" s="2">
        <v>1522.5</v>
      </c>
      <c r="G427" s="2">
        <f>-44583.1299999999-2680.155</f>
        <v>-47263.2849999999</v>
      </c>
      <c r="H427" s="2">
        <f t="shared" si="52"/>
        <v>48785.7849999999</v>
      </c>
      <c r="I427" s="2">
        <f t="shared" si="53"/>
        <v>48785.7849999999</v>
      </c>
      <c r="L427" s="2">
        <f t="shared" si="54"/>
        <v>0</v>
      </c>
      <c r="M427" s="2">
        <f t="shared" si="55"/>
        <v>48785.7849999999</v>
      </c>
    </row>
    <row r="428" hidden="1" spans="1:13">
      <c r="A428" s="30">
        <v>45839</v>
      </c>
      <c r="B428" s="1" t="s">
        <v>215</v>
      </c>
      <c r="C428" s="1" t="s">
        <v>43</v>
      </c>
      <c r="D428" s="1" t="s">
        <v>42</v>
      </c>
      <c r="F428" s="2">
        <f>233892894.677766+48931.92</f>
        <v>233941826.597766</v>
      </c>
      <c r="G428" s="2">
        <v>232541822.529999</v>
      </c>
      <c r="H428" s="2">
        <f t="shared" si="52"/>
        <v>1400004.06776699</v>
      </c>
      <c r="I428" s="2">
        <f t="shared" si="53"/>
        <v>1400004.06776699</v>
      </c>
      <c r="L428" s="2">
        <f t="shared" si="54"/>
        <v>0</v>
      </c>
      <c r="M428" s="2">
        <f t="shared" si="55"/>
        <v>1400004.06776699</v>
      </c>
    </row>
    <row r="429" hidden="1" spans="1:13">
      <c r="A429" s="30">
        <v>45839</v>
      </c>
      <c r="B429" s="1" t="s">
        <v>217</v>
      </c>
      <c r="C429" s="1" t="s">
        <v>41</v>
      </c>
      <c r="D429" s="1" t="s">
        <v>90</v>
      </c>
      <c r="F429" s="2">
        <v>524.05</v>
      </c>
      <c r="H429" s="2">
        <f t="shared" si="52"/>
        <v>524.05</v>
      </c>
      <c r="I429" s="2">
        <f t="shared" si="53"/>
        <v>524.05</v>
      </c>
      <c r="L429" s="2">
        <f t="shared" si="54"/>
        <v>0</v>
      </c>
      <c r="M429" s="2">
        <f t="shared" si="55"/>
        <v>524.05</v>
      </c>
    </row>
    <row r="430" hidden="1" spans="1:13">
      <c r="A430" s="30">
        <v>45839</v>
      </c>
      <c r="B430" s="1" t="s">
        <v>217</v>
      </c>
      <c r="C430" s="1" t="s">
        <v>43</v>
      </c>
      <c r="D430" s="1" t="s">
        <v>90</v>
      </c>
      <c r="F430" s="2">
        <v>432258.124999999</v>
      </c>
      <c r="G430" s="2">
        <v>430350</v>
      </c>
      <c r="H430" s="2">
        <f t="shared" si="52"/>
        <v>1908.12499999901</v>
      </c>
      <c r="I430" s="2">
        <f t="shared" si="53"/>
        <v>1908.12499999901</v>
      </c>
      <c r="L430" s="2">
        <f t="shared" si="54"/>
        <v>0</v>
      </c>
      <c r="M430" s="2">
        <f t="shared" si="55"/>
        <v>1908.12499999901</v>
      </c>
    </row>
    <row r="431" hidden="1" spans="1:13">
      <c r="A431" s="30">
        <v>45839</v>
      </c>
      <c r="B431" s="1" t="s">
        <v>218</v>
      </c>
      <c r="C431" s="1" t="s">
        <v>41</v>
      </c>
      <c r="D431" s="1" t="s">
        <v>42</v>
      </c>
      <c r="F431" s="2">
        <v>48.4</v>
      </c>
      <c r="H431" s="2">
        <f t="shared" si="52"/>
        <v>48.4</v>
      </c>
      <c r="I431" s="2">
        <f t="shared" si="53"/>
        <v>48.4</v>
      </c>
      <c r="L431" s="2">
        <f t="shared" si="54"/>
        <v>0</v>
      </c>
      <c r="M431" s="2">
        <f t="shared" si="55"/>
        <v>48.4</v>
      </c>
    </row>
    <row r="432" hidden="1" spans="1:13">
      <c r="A432" s="30">
        <v>45839</v>
      </c>
      <c r="B432" s="1" t="s">
        <v>218</v>
      </c>
      <c r="C432" s="1" t="s">
        <v>43</v>
      </c>
      <c r="D432" s="1" t="s">
        <v>42</v>
      </c>
      <c r="F432" s="2">
        <v>64538.6</v>
      </c>
      <c r="G432" s="2">
        <v>64351.76</v>
      </c>
      <c r="H432" s="2">
        <f t="shared" si="52"/>
        <v>186.839999999997</v>
      </c>
      <c r="I432" s="2">
        <f t="shared" si="53"/>
        <v>186.839999999997</v>
      </c>
      <c r="L432" s="2">
        <f t="shared" si="54"/>
        <v>0</v>
      </c>
      <c r="M432" s="2">
        <f t="shared" si="55"/>
        <v>186.839999999997</v>
      </c>
    </row>
    <row r="433" hidden="1" spans="1:13">
      <c r="A433" s="30">
        <v>45839</v>
      </c>
      <c r="B433" s="1" t="s">
        <v>219</v>
      </c>
      <c r="C433" s="1" t="s">
        <v>64</v>
      </c>
      <c r="D433" s="1" t="s">
        <v>47</v>
      </c>
      <c r="F433" s="2">
        <v>359.75</v>
      </c>
      <c r="H433" s="2">
        <f t="shared" si="52"/>
        <v>359.75</v>
      </c>
      <c r="I433" s="2">
        <f t="shared" si="53"/>
        <v>359.75</v>
      </c>
      <c r="L433" s="2">
        <f t="shared" si="54"/>
        <v>0</v>
      </c>
      <c r="M433" s="2">
        <f t="shared" si="55"/>
        <v>359.75</v>
      </c>
    </row>
    <row r="434" hidden="1" spans="1:13">
      <c r="A434" s="30">
        <v>45839</v>
      </c>
      <c r="B434" s="1" t="s">
        <v>219</v>
      </c>
      <c r="C434" s="1" t="s">
        <v>41</v>
      </c>
      <c r="D434" s="1" t="s">
        <v>47</v>
      </c>
      <c r="F434" s="2">
        <f>-9111.1471+14848+233.5493</f>
        <v>5970.4022</v>
      </c>
      <c r="H434" s="2">
        <f t="shared" si="52"/>
        <v>5970.4022</v>
      </c>
      <c r="I434" s="2">
        <f t="shared" si="53"/>
        <v>5970.4022</v>
      </c>
      <c r="L434" s="2">
        <f t="shared" si="54"/>
        <v>0</v>
      </c>
      <c r="M434" s="2">
        <f t="shared" si="55"/>
        <v>5970.4022</v>
      </c>
    </row>
    <row r="435" hidden="1" spans="1:13">
      <c r="A435" s="30">
        <v>45839</v>
      </c>
      <c r="B435" s="1" t="s">
        <v>219</v>
      </c>
      <c r="C435" s="1" t="s">
        <v>55</v>
      </c>
      <c r="D435" s="1" t="s">
        <v>47</v>
      </c>
      <c r="F435" s="2">
        <v>192.714</v>
      </c>
      <c r="H435" s="2">
        <f t="shared" si="52"/>
        <v>192.714</v>
      </c>
      <c r="I435" s="2">
        <f t="shared" si="53"/>
        <v>192.714</v>
      </c>
      <c r="L435" s="2">
        <f t="shared" si="54"/>
        <v>0</v>
      </c>
      <c r="M435" s="2">
        <f t="shared" si="55"/>
        <v>192.714</v>
      </c>
    </row>
    <row r="436" hidden="1" spans="1:13">
      <c r="A436" s="30">
        <v>45839</v>
      </c>
      <c r="B436" s="1" t="s">
        <v>219</v>
      </c>
      <c r="C436" s="1" t="s">
        <v>43</v>
      </c>
      <c r="D436" s="1" t="s">
        <v>47</v>
      </c>
      <c r="E436" s="2">
        <v>101158.8</v>
      </c>
      <c r="F436" s="2">
        <v>747076.71728802</v>
      </c>
      <c r="G436" s="2">
        <f>823114.5+19.41</f>
        <v>823133.91</v>
      </c>
      <c r="H436" s="2">
        <f t="shared" si="52"/>
        <v>-76057.1927119801</v>
      </c>
      <c r="I436" s="2">
        <f t="shared" si="53"/>
        <v>25101.6072880199</v>
      </c>
      <c r="L436" s="2">
        <f t="shared" si="54"/>
        <v>0</v>
      </c>
      <c r="M436" s="2">
        <f t="shared" si="55"/>
        <v>25101.6072880199</v>
      </c>
    </row>
    <row r="437" hidden="1" spans="1:13">
      <c r="A437" s="30">
        <v>45839</v>
      </c>
      <c r="B437" s="1" t="s">
        <v>220</v>
      </c>
      <c r="C437" s="1" t="s">
        <v>51</v>
      </c>
      <c r="D437" s="1" t="s">
        <v>52</v>
      </c>
      <c r="H437" s="2">
        <f t="shared" si="52"/>
        <v>0</v>
      </c>
      <c r="I437" s="2">
        <f t="shared" si="53"/>
        <v>0</v>
      </c>
      <c r="K437" s="2">
        <v>34291.23</v>
      </c>
      <c r="L437" s="2">
        <f t="shared" si="54"/>
        <v>-34291.23</v>
      </c>
      <c r="M437" s="2">
        <f t="shared" si="55"/>
        <v>-34291.23</v>
      </c>
    </row>
    <row r="438" hidden="1" spans="1:13">
      <c r="A438" s="30">
        <v>45839</v>
      </c>
      <c r="B438" s="1" t="s">
        <v>221</v>
      </c>
      <c r="C438" s="1" t="s">
        <v>146</v>
      </c>
      <c r="D438" s="1" t="s">
        <v>45</v>
      </c>
      <c r="H438" s="2">
        <f t="shared" si="52"/>
        <v>0</v>
      </c>
      <c r="I438" s="2">
        <f t="shared" si="53"/>
        <v>0</v>
      </c>
      <c r="J438" s="2">
        <v>163466.22</v>
      </c>
      <c r="K438" s="2">
        <v>156729.52</v>
      </c>
      <c r="L438" s="2">
        <f t="shared" si="54"/>
        <v>6736.70000000001</v>
      </c>
      <c r="M438" s="2">
        <f t="shared" si="55"/>
        <v>6736.70000000001</v>
      </c>
    </row>
    <row r="439" hidden="1" spans="1:13">
      <c r="A439" s="30">
        <v>45839</v>
      </c>
      <c r="B439" s="1" t="s">
        <v>222</v>
      </c>
      <c r="C439" s="1" t="s">
        <v>41</v>
      </c>
      <c r="D439" s="1" t="s">
        <v>42</v>
      </c>
      <c r="F439" s="2">
        <v>397</v>
      </c>
      <c r="G439" s="2">
        <v>390.8</v>
      </c>
      <c r="H439" s="2">
        <f t="shared" si="52"/>
        <v>6.19999999999999</v>
      </c>
      <c r="I439" s="2">
        <f t="shared" si="53"/>
        <v>6.19999999999999</v>
      </c>
      <c r="L439" s="2">
        <f t="shared" si="54"/>
        <v>0</v>
      </c>
      <c r="M439" s="2">
        <f t="shared" si="55"/>
        <v>6.19999999999999</v>
      </c>
    </row>
    <row r="440" hidden="1" spans="1:13">
      <c r="A440" s="30">
        <v>45839</v>
      </c>
      <c r="B440" s="1" t="s">
        <v>223</v>
      </c>
      <c r="C440" s="1" t="s">
        <v>54</v>
      </c>
      <c r="D440" s="1" t="s">
        <v>47</v>
      </c>
      <c r="G440" s="2">
        <v>-28.75</v>
      </c>
      <c r="H440" s="2">
        <f t="shared" si="52"/>
        <v>28.75</v>
      </c>
      <c r="I440" s="2">
        <f t="shared" si="53"/>
        <v>28.75</v>
      </c>
      <c r="L440" s="2">
        <f t="shared" si="54"/>
        <v>0</v>
      </c>
      <c r="M440" s="2">
        <f t="shared" si="55"/>
        <v>28.75</v>
      </c>
    </row>
    <row r="441" hidden="1" spans="1:13">
      <c r="A441" s="30">
        <v>45839</v>
      </c>
      <c r="B441" s="1" t="s">
        <v>224</v>
      </c>
      <c r="C441" s="1" t="s">
        <v>43</v>
      </c>
      <c r="D441" s="1" t="s">
        <v>42</v>
      </c>
      <c r="F441" s="2">
        <v>886.1</v>
      </c>
      <c r="G441" s="2">
        <v>867.3</v>
      </c>
      <c r="H441" s="2">
        <f t="shared" si="52"/>
        <v>18.8000000000001</v>
      </c>
      <c r="I441" s="2">
        <f t="shared" si="53"/>
        <v>18.8000000000001</v>
      </c>
      <c r="L441" s="2">
        <f t="shared" si="54"/>
        <v>0</v>
      </c>
      <c r="M441" s="2">
        <f t="shared" si="55"/>
        <v>18.8000000000001</v>
      </c>
    </row>
    <row r="442" hidden="1" spans="1:13">
      <c r="A442" s="30">
        <v>45839</v>
      </c>
      <c r="B442" s="1" t="s">
        <v>225</v>
      </c>
      <c r="C442" s="1" t="s">
        <v>41</v>
      </c>
      <c r="D442" s="1" t="s">
        <v>47</v>
      </c>
      <c r="F442" s="2">
        <v>185.64</v>
      </c>
      <c r="G442" s="2">
        <v>184.76</v>
      </c>
      <c r="H442" s="2">
        <f t="shared" si="52"/>
        <v>0.879999999999995</v>
      </c>
      <c r="I442" s="2">
        <f t="shared" si="53"/>
        <v>0.879999999999995</v>
      </c>
      <c r="L442" s="2">
        <f t="shared" si="54"/>
        <v>0</v>
      </c>
      <c r="M442" s="2">
        <f t="shared" si="55"/>
        <v>0.879999999999995</v>
      </c>
    </row>
    <row r="443" hidden="1" spans="1:13">
      <c r="A443" s="30">
        <v>45839</v>
      </c>
      <c r="B443" s="1" t="s">
        <v>226</v>
      </c>
      <c r="C443" s="1" t="s">
        <v>43</v>
      </c>
      <c r="D443" s="1" t="s">
        <v>42</v>
      </c>
      <c r="F443" s="2">
        <v>156.467</v>
      </c>
      <c r="G443" s="2">
        <v>153.0974</v>
      </c>
      <c r="H443" s="2">
        <f t="shared" si="52"/>
        <v>3.36960000000002</v>
      </c>
      <c r="I443" s="2">
        <f t="shared" si="53"/>
        <v>3.36960000000002</v>
      </c>
      <c r="L443" s="2">
        <f t="shared" si="54"/>
        <v>0</v>
      </c>
      <c r="M443" s="2">
        <f t="shared" si="55"/>
        <v>3.36960000000002</v>
      </c>
    </row>
    <row r="444" hidden="1" spans="1:13">
      <c r="A444" s="30">
        <v>45839</v>
      </c>
      <c r="B444" s="1" t="s">
        <v>227</v>
      </c>
      <c r="C444" s="1" t="s">
        <v>43</v>
      </c>
      <c r="D444" s="1" t="s">
        <v>42</v>
      </c>
      <c r="F444" s="2">
        <v>52.9</v>
      </c>
      <c r="G444" s="2">
        <v>52.45</v>
      </c>
      <c r="H444" s="2">
        <f t="shared" si="52"/>
        <v>0.449999999999996</v>
      </c>
      <c r="I444" s="2">
        <f t="shared" si="53"/>
        <v>0.449999999999996</v>
      </c>
      <c r="L444" s="2">
        <f t="shared" si="54"/>
        <v>0</v>
      </c>
      <c r="M444" s="2">
        <f t="shared" si="55"/>
        <v>0.449999999999996</v>
      </c>
    </row>
    <row r="445" hidden="1" spans="1:13">
      <c r="A445" s="30">
        <v>45839</v>
      </c>
      <c r="B445" s="1" t="s">
        <v>227</v>
      </c>
      <c r="C445" s="1" t="s">
        <v>57</v>
      </c>
      <c r="D445" s="1" t="s">
        <v>42</v>
      </c>
      <c r="F445" s="2">
        <v>2467.2</v>
      </c>
      <c r="G445" s="2">
        <v>2440.8</v>
      </c>
      <c r="H445" s="2">
        <f t="shared" si="52"/>
        <v>26.3999999999996</v>
      </c>
      <c r="I445" s="2">
        <f t="shared" si="53"/>
        <v>26.3999999999996</v>
      </c>
      <c r="L445" s="2">
        <f t="shared" si="54"/>
        <v>0</v>
      </c>
      <c r="M445" s="2">
        <f t="shared" si="55"/>
        <v>26.3999999999996</v>
      </c>
    </row>
    <row r="446" hidden="1" spans="1:13">
      <c r="A446" s="30">
        <v>45839</v>
      </c>
      <c r="B446" s="1" t="s">
        <v>228</v>
      </c>
      <c r="C446" s="1" t="s">
        <v>46</v>
      </c>
      <c r="D446" s="1" t="s">
        <v>45</v>
      </c>
      <c r="F446" s="2">
        <v>1806416.06</v>
      </c>
      <c r="G446" s="2">
        <v>1806416.06</v>
      </c>
      <c r="H446" s="2">
        <f t="shared" si="52"/>
        <v>0</v>
      </c>
      <c r="I446" s="2">
        <f t="shared" si="53"/>
        <v>0</v>
      </c>
      <c r="L446" s="2">
        <f t="shared" si="54"/>
        <v>0</v>
      </c>
      <c r="M446" s="2">
        <f t="shared" si="55"/>
        <v>0</v>
      </c>
    </row>
    <row r="447" hidden="1" spans="1:13">
      <c r="A447" s="30">
        <v>45839</v>
      </c>
      <c r="B447" s="1" t="s">
        <v>229</v>
      </c>
      <c r="C447" s="1" t="s">
        <v>121</v>
      </c>
      <c r="D447" s="1" t="s">
        <v>52</v>
      </c>
      <c r="F447" s="2">
        <v>22637.34</v>
      </c>
      <c r="G447" s="2">
        <v>19980</v>
      </c>
      <c r="H447" s="2">
        <f t="shared" si="52"/>
        <v>2657.34</v>
      </c>
      <c r="I447" s="2">
        <f t="shared" si="53"/>
        <v>2657.34</v>
      </c>
      <c r="L447" s="2">
        <f t="shared" si="54"/>
        <v>0</v>
      </c>
      <c r="M447" s="2">
        <f t="shared" si="55"/>
        <v>2657.34</v>
      </c>
    </row>
    <row r="448" hidden="1" spans="1:13">
      <c r="A448" s="30">
        <v>45839</v>
      </c>
      <c r="B448" s="1" t="s">
        <v>230</v>
      </c>
      <c r="C448" s="1" t="s">
        <v>41</v>
      </c>
      <c r="D448" s="1" t="s">
        <v>52</v>
      </c>
      <c r="H448" s="2">
        <f t="shared" si="52"/>
        <v>0</v>
      </c>
      <c r="I448" s="2">
        <f t="shared" si="53"/>
        <v>0</v>
      </c>
      <c r="J448" s="2">
        <v>25000</v>
      </c>
      <c r="L448" s="2">
        <f t="shared" si="54"/>
        <v>25000</v>
      </c>
      <c r="M448" s="2">
        <f t="shared" si="55"/>
        <v>25000</v>
      </c>
    </row>
    <row r="449" hidden="1" spans="1:13">
      <c r="A449" s="30">
        <v>45839</v>
      </c>
      <c r="B449" s="1" t="s">
        <v>231</v>
      </c>
      <c r="C449" s="1" t="s">
        <v>41</v>
      </c>
      <c r="D449" s="1" t="s">
        <v>90</v>
      </c>
      <c r="F449" s="2">
        <v>127317.7</v>
      </c>
      <c r="G449" s="2">
        <v>127607.4</v>
      </c>
      <c r="H449" s="2">
        <f t="shared" si="52"/>
        <v>-289.699999999997</v>
      </c>
      <c r="I449" s="2">
        <f t="shared" si="53"/>
        <v>-289.699999999997</v>
      </c>
      <c r="L449" s="2">
        <f t="shared" si="54"/>
        <v>0</v>
      </c>
      <c r="M449" s="2">
        <f t="shared" si="55"/>
        <v>-289.699999999997</v>
      </c>
    </row>
    <row r="450" hidden="1" spans="1:13">
      <c r="A450" s="30">
        <v>45839</v>
      </c>
      <c r="B450" s="1" t="s">
        <v>231</v>
      </c>
      <c r="C450" s="1" t="s">
        <v>43</v>
      </c>
      <c r="D450" s="1" t="s">
        <v>90</v>
      </c>
      <c r="F450" s="2">
        <v>167783.6</v>
      </c>
      <c r="G450" s="2">
        <v>165194.2</v>
      </c>
      <c r="H450" s="2">
        <f t="shared" si="52"/>
        <v>2589.39999999999</v>
      </c>
      <c r="I450" s="2">
        <f t="shared" si="53"/>
        <v>2589.39999999999</v>
      </c>
      <c r="L450" s="2">
        <f t="shared" si="54"/>
        <v>0</v>
      </c>
      <c r="M450" s="2">
        <f t="shared" si="55"/>
        <v>2589.39999999999</v>
      </c>
    </row>
    <row r="451" hidden="1" spans="1:13">
      <c r="A451" s="30">
        <v>45839</v>
      </c>
      <c r="B451" s="1" t="s">
        <v>232</v>
      </c>
      <c r="C451" s="1" t="s">
        <v>43</v>
      </c>
      <c r="D451" s="1" t="s">
        <v>47</v>
      </c>
      <c r="F451" s="2">
        <v>15027.4</v>
      </c>
      <c r="G451" s="2">
        <v>14982.4</v>
      </c>
      <c r="H451" s="2">
        <f t="shared" si="52"/>
        <v>45</v>
      </c>
      <c r="I451" s="2">
        <f t="shared" si="53"/>
        <v>45</v>
      </c>
      <c r="L451" s="2">
        <f t="shared" si="54"/>
        <v>0</v>
      </c>
      <c r="M451" s="2">
        <f t="shared" si="55"/>
        <v>45</v>
      </c>
    </row>
    <row r="452" hidden="1" spans="1:13">
      <c r="A452" s="30">
        <v>45839</v>
      </c>
      <c r="B452" s="1" t="s">
        <v>233</v>
      </c>
      <c r="C452" s="1" t="s">
        <v>65</v>
      </c>
      <c r="D452" s="1" t="s">
        <v>47</v>
      </c>
      <c r="F452" s="2">
        <v>10892.6399999999</v>
      </c>
      <c r="G452" s="2">
        <v>10043.9999999999</v>
      </c>
      <c r="H452" s="2">
        <f t="shared" si="52"/>
        <v>848.639999999999</v>
      </c>
      <c r="I452" s="2">
        <f t="shared" si="53"/>
        <v>848.639999999999</v>
      </c>
      <c r="L452" s="2">
        <f t="shared" si="54"/>
        <v>0</v>
      </c>
      <c r="M452" s="2">
        <f t="shared" si="55"/>
        <v>848.639999999999</v>
      </c>
    </row>
    <row r="453" hidden="1" spans="1:13">
      <c r="A453" s="30">
        <v>45839</v>
      </c>
      <c r="B453" s="1" t="s">
        <v>233</v>
      </c>
      <c r="C453" s="1" t="s">
        <v>43</v>
      </c>
      <c r="D453" s="1" t="s">
        <v>47</v>
      </c>
      <c r="F453" s="2">
        <v>112032</v>
      </c>
      <c r="G453" s="2">
        <v>111098.499999999</v>
      </c>
      <c r="H453" s="2">
        <f t="shared" si="52"/>
        <v>933.500000001004</v>
      </c>
      <c r="I453" s="2">
        <f t="shared" si="53"/>
        <v>933.500000001004</v>
      </c>
      <c r="L453" s="2">
        <f t="shared" si="54"/>
        <v>0</v>
      </c>
      <c r="M453" s="2">
        <f t="shared" si="55"/>
        <v>933.500000001004</v>
      </c>
    </row>
    <row r="454" hidden="1" spans="1:13">
      <c r="A454" s="30">
        <v>45839</v>
      </c>
      <c r="B454" s="1" t="s">
        <v>234</v>
      </c>
      <c r="C454" s="1" t="s">
        <v>44</v>
      </c>
      <c r="D454" s="1" t="s">
        <v>45</v>
      </c>
      <c r="F454" s="2">
        <v>36.5</v>
      </c>
      <c r="G454" s="2">
        <v>36.5</v>
      </c>
      <c r="H454" s="2">
        <f t="shared" si="52"/>
        <v>0</v>
      </c>
      <c r="I454" s="2">
        <f t="shared" si="53"/>
        <v>0</v>
      </c>
      <c r="L454" s="2">
        <f t="shared" si="54"/>
        <v>0</v>
      </c>
      <c r="M454" s="2">
        <f t="shared" si="55"/>
        <v>0</v>
      </c>
    </row>
    <row r="455" hidden="1" spans="1:13">
      <c r="A455" s="30">
        <v>45839</v>
      </c>
      <c r="B455" s="1" t="s">
        <v>235</v>
      </c>
      <c r="C455" s="1" t="s">
        <v>79</v>
      </c>
      <c r="D455" s="1" t="s">
        <v>42</v>
      </c>
      <c r="F455" s="2">
        <v>41.28</v>
      </c>
      <c r="G455" s="2">
        <v>41.24</v>
      </c>
      <c r="H455" s="2">
        <f t="shared" si="52"/>
        <v>0.0399999999999991</v>
      </c>
      <c r="I455" s="2">
        <f t="shared" si="53"/>
        <v>0.0399999999999991</v>
      </c>
      <c r="L455" s="2">
        <f t="shared" si="54"/>
        <v>0</v>
      </c>
      <c r="M455" s="2">
        <f t="shared" si="55"/>
        <v>0.0399999999999991</v>
      </c>
    </row>
    <row r="456" hidden="1" spans="1:13">
      <c r="A456" s="30">
        <v>45839</v>
      </c>
      <c r="B456" s="1" t="s">
        <v>235</v>
      </c>
      <c r="C456" s="1" t="s">
        <v>41</v>
      </c>
      <c r="D456" s="1" t="s">
        <v>42</v>
      </c>
      <c r="F456" s="2">
        <v>868</v>
      </c>
      <c r="G456" s="2">
        <v>666.4</v>
      </c>
      <c r="H456" s="2">
        <f t="shared" si="52"/>
        <v>201.6</v>
      </c>
      <c r="I456" s="2">
        <f t="shared" si="53"/>
        <v>201.6</v>
      </c>
      <c r="L456" s="2">
        <f t="shared" si="54"/>
        <v>0</v>
      </c>
      <c r="M456" s="2">
        <f t="shared" si="55"/>
        <v>201.6</v>
      </c>
    </row>
    <row r="457" hidden="1" spans="1:13">
      <c r="A457" s="30">
        <v>45839</v>
      </c>
      <c r="B457" s="1" t="s">
        <v>235</v>
      </c>
      <c r="C457" s="1" t="s">
        <v>55</v>
      </c>
      <c r="D457" s="1" t="s">
        <v>42</v>
      </c>
      <c r="F457" s="2">
        <v>367</v>
      </c>
      <c r="G457" s="2">
        <v>364.5</v>
      </c>
      <c r="H457" s="2">
        <f t="shared" si="52"/>
        <v>2.5</v>
      </c>
      <c r="I457" s="2">
        <f t="shared" si="53"/>
        <v>2.5</v>
      </c>
      <c r="L457" s="2">
        <f t="shared" si="54"/>
        <v>0</v>
      </c>
      <c r="M457" s="2">
        <f t="shared" si="55"/>
        <v>2.5</v>
      </c>
    </row>
    <row r="458" hidden="1" spans="1:13">
      <c r="A458" s="30">
        <v>45839</v>
      </c>
      <c r="B458" s="1" t="s">
        <v>235</v>
      </c>
      <c r="C458" s="1" t="s">
        <v>43</v>
      </c>
      <c r="D458" s="1" t="s">
        <v>42</v>
      </c>
      <c r="F458" s="2">
        <v>1536.525</v>
      </c>
      <c r="G458" s="2">
        <v>1286.39789999999</v>
      </c>
      <c r="H458" s="2">
        <f t="shared" si="52"/>
        <v>250.12710000001</v>
      </c>
      <c r="I458" s="2">
        <f t="shared" si="53"/>
        <v>250.12710000001</v>
      </c>
      <c r="L458" s="2">
        <f t="shared" si="54"/>
        <v>0</v>
      </c>
      <c r="M458" s="2">
        <f t="shared" si="55"/>
        <v>250.12710000001</v>
      </c>
    </row>
    <row r="459" hidden="1" spans="1:13">
      <c r="A459" s="30">
        <v>45839</v>
      </c>
      <c r="B459" s="1" t="s">
        <v>235</v>
      </c>
      <c r="C459" s="1" t="s">
        <v>57</v>
      </c>
      <c r="D459" s="1" t="s">
        <v>42</v>
      </c>
      <c r="F459" s="2">
        <v>21264.2</v>
      </c>
      <c r="G459" s="2">
        <v>21130.6</v>
      </c>
      <c r="H459" s="2">
        <f t="shared" si="52"/>
        <v>133.600000000002</v>
      </c>
      <c r="I459" s="2">
        <f t="shared" si="53"/>
        <v>133.600000000002</v>
      </c>
      <c r="L459" s="2">
        <f t="shared" si="54"/>
        <v>0</v>
      </c>
      <c r="M459" s="2">
        <f t="shared" si="55"/>
        <v>133.600000000002</v>
      </c>
    </row>
    <row r="460" hidden="1" spans="1:13">
      <c r="A460" s="30">
        <v>45839</v>
      </c>
      <c r="B460" s="1" t="s">
        <v>235</v>
      </c>
      <c r="C460" s="1" t="s">
        <v>79</v>
      </c>
      <c r="D460" s="1" t="s">
        <v>47</v>
      </c>
      <c r="F460" s="2">
        <v>436.24</v>
      </c>
      <c r="G460" s="2">
        <v>433.65</v>
      </c>
      <c r="H460" s="2">
        <f t="shared" si="52"/>
        <v>2.59000000000003</v>
      </c>
      <c r="I460" s="2">
        <f t="shared" si="53"/>
        <v>2.59000000000003</v>
      </c>
      <c r="L460" s="2">
        <f t="shared" si="54"/>
        <v>0</v>
      </c>
      <c r="M460" s="2">
        <f t="shared" si="55"/>
        <v>2.59000000000003</v>
      </c>
    </row>
    <row r="461" hidden="1" spans="1:13">
      <c r="A461" s="30">
        <v>45839</v>
      </c>
      <c r="B461" s="1" t="s">
        <v>235</v>
      </c>
      <c r="C461" s="1" t="s">
        <v>87</v>
      </c>
      <c r="D461" s="1" t="s">
        <v>47</v>
      </c>
      <c r="F461" s="2">
        <v>2343.6</v>
      </c>
      <c r="G461" s="2">
        <v>2343.6</v>
      </c>
      <c r="H461" s="2">
        <f t="shared" si="52"/>
        <v>0</v>
      </c>
      <c r="I461" s="2">
        <f t="shared" si="53"/>
        <v>0</v>
      </c>
      <c r="L461" s="2">
        <f t="shared" si="54"/>
        <v>0</v>
      </c>
      <c r="M461" s="2">
        <f t="shared" si="55"/>
        <v>0</v>
      </c>
    </row>
    <row r="462" hidden="1" spans="1:13">
      <c r="A462" s="30">
        <v>45839</v>
      </c>
      <c r="B462" s="1" t="s">
        <v>235</v>
      </c>
      <c r="C462" s="1" t="s">
        <v>41</v>
      </c>
      <c r="D462" s="1" t="s">
        <v>47</v>
      </c>
      <c r="F462" s="2">
        <v>2947.7</v>
      </c>
      <c r="G462" s="2">
        <v>2696.95</v>
      </c>
      <c r="H462" s="2">
        <f t="shared" ref="H462:H495" si="56">F462-G462</f>
        <v>250.75</v>
      </c>
      <c r="I462" s="2">
        <f t="shared" ref="I462:I495" si="57">H462+E462</f>
        <v>250.75</v>
      </c>
      <c r="L462" s="2">
        <f t="shared" si="54"/>
        <v>0</v>
      </c>
      <c r="M462" s="2">
        <f t="shared" si="55"/>
        <v>250.75</v>
      </c>
    </row>
    <row r="463" hidden="1" spans="1:13">
      <c r="A463" s="30">
        <v>45839</v>
      </c>
      <c r="B463" s="1" t="s">
        <v>235</v>
      </c>
      <c r="C463" s="1" t="s">
        <v>55</v>
      </c>
      <c r="D463" s="1" t="s">
        <v>47</v>
      </c>
      <c r="F463" s="2">
        <v>718.86</v>
      </c>
      <c r="G463" s="2">
        <v>680.5</v>
      </c>
      <c r="H463" s="2">
        <f t="shared" si="56"/>
        <v>38.36</v>
      </c>
      <c r="I463" s="2">
        <f t="shared" si="57"/>
        <v>38.36</v>
      </c>
      <c r="L463" s="2">
        <f t="shared" si="54"/>
        <v>0</v>
      </c>
      <c r="M463" s="2">
        <f t="shared" si="55"/>
        <v>38.36</v>
      </c>
    </row>
    <row r="464" hidden="1" spans="1:13">
      <c r="A464" s="30">
        <v>45839</v>
      </c>
      <c r="B464" s="1" t="s">
        <v>235</v>
      </c>
      <c r="C464" s="1" t="s">
        <v>43</v>
      </c>
      <c r="D464" s="1" t="s">
        <v>47</v>
      </c>
      <c r="F464" s="2">
        <v>247117.93</v>
      </c>
      <c r="G464" s="2">
        <v>242868.48</v>
      </c>
      <c r="H464" s="2">
        <f t="shared" si="56"/>
        <v>4249.44999999998</v>
      </c>
      <c r="I464" s="2">
        <f t="shared" si="57"/>
        <v>4249.44999999998</v>
      </c>
      <c r="L464" s="2">
        <f t="shared" si="54"/>
        <v>0</v>
      </c>
      <c r="M464" s="2">
        <f t="shared" si="55"/>
        <v>4249.44999999998</v>
      </c>
    </row>
    <row r="465" hidden="1" spans="1:13">
      <c r="A465" s="30">
        <v>45839</v>
      </c>
      <c r="B465" s="1" t="s">
        <v>235</v>
      </c>
      <c r="C465" s="1" t="s">
        <v>79</v>
      </c>
      <c r="D465" s="1" t="s">
        <v>48</v>
      </c>
      <c r="F465" s="2">
        <v>74376.5</v>
      </c>
      <c r="G465" s="2">
        <v>72348.05</v>
      </c>
      <c r="H465" s="2">
        <f t="shared" si="56"/>
        <v>2028.45</v>
      </c>
      <c r="I465" s="2">
        <f t="shared" si="57"/>
        <v>2028.45</v>
      </c>
      <c r="L465" s="2">
        <f t="shared" si="54"/>
        <v>0</v>
      </c>
      <c r="M465" s="2">
        <f t="shared" si="55"/>
        <v>2028.45</v>
      </c>
    </row>
    <row r="466" hidden="1" spans="1:13">
      <c r="A466" s="30">
        <v>45839</v>
      </c>
      <c r="B466" s="1" t="s">
        <v>236</v>
      </c>
      <c r="C466" s="1" t="s">
        <v>41</v>
      </c>
      <c r="D466" s="1" t="s">
        <v>42</v>
      </c>
      <c r="F466" s="2">
        <v>51</v>
      </c>
      <c r="H466" s="2">
        <f t="shared" si="56"/>
        <v>51</v>
      </c>
      <c r="I466" s="2">
        <f t="shared" si="57"/>
        <v>51</v>
      </c>
      <c r="L466" s="2">
        <f t="shared" si="54"/>
        <v>0</v>
      </c>
      <c r="M466" s="2">
        <f t="shared" si="55"/>
        <v>51</v>
      </c>
    </row>
    <row r="467" hidden="1" spans="1:13">
      <c r="A467" s="30">
        <v>45839</v>
      </c>
      <c r="B467" s="1" t="s">
        <v>236</v>
      </c>
      <c r="C467" s="1" t="s">
        <v>43</v>
      </c>
      <c r="D467" s="1" t="s">
        <v>42</v>
      </c>
      <c r="F467" s="2">
        <v>7107.99058260317</v>
      </c>
      <c r="G467" s="2">
        <v>-66493.74</v>
      </c>
      <c r="H467" s="2">
        <f t="shared" si="56"/>
        <v>73601.7305826032</v>
      </c>
      <c r="I467" s="2">
        <f t="shared" si="57"/>
        <v>73601.7305826032</v>
      </c>
      <c r="L467" s="2">
        <f t="shared" ref="L467:L508" si="58">J467-K467</f>
        <v>0</v>
      </c>
      <c r="M467" s="2">
        <f t="shared" ref="M467:M508" si="59">I467+L467</f>
        <v>73601.7305826032</v>
      </c>
    </row>
    <row r="468" hidden="1" spans="1:13">
      <c r="A468" s="30">
        <v>45839</v>
      </c>
      <c r="B468" s="1" t="s">
        <v>236</v>
      </c>
      <c r="C468" s="1" t="s">
        <v>57</v>
      </c>
      <c r="D468" s="1" t="s">
        <v>42</v>
      </c>
      <c r="F468" s="2">
        <v>65387.7465999999</v>
      </c>
      <c r="G468" s="2">
        <v>65387.7464999999</v>
      </c>
      <c r="H468" s="2">
        <f t="shared" si="56"/>
        <v>9.99999974737875e-5</v>
      </c>
      <c r="I468" s="2">
        <f t="shared" si="57"/>
        <v>9.99999974737875e-5</v>
      </c>
      <c r="L468" s="2">
        <f t="shared" si="58"/>
        <v>0</v>
      </c>
      <c r="M468" s="2">
        <f t="shared" si="59"/>
        <v>9.99999974737875e-5</v>
      </c>
    </row>
    <row r="469" hidden="1" spans="1:13">
      <c r="A469" s="30">
        <v>45839</v>
      </c>
      <c r="B469" s="1" t="s">
        <v>44</v>
      </c>
      <c r="C469" s="1" t="s">
        <v>46</v>
      </c>
      <c r="D469" s="1" t="s">
        <v>45</v>
      </c>
      <c r="F469" s="2">
        <v>51631.1299999999</v>
      </c>
      <c r="G469" s="2">
        <v>40879.36</v>
      </c>
      <c r="H469" s="2">
        <f t="shared" si="56"/>
        <v>10751.7699999999</v>
      </c>
      <c r="I469" s="2">
        <f t="shared" si="57"/>
        <v>10751.7699999999</v>
      </c>
      <c r="L469" s="2">
        <f t="shared" si="58"/>
        <v>0</v>
      </c>
      <c r="M469" s="2">
        <f t="shared" si="59"/>
        <v>10751.7699999999</v>
      </c>
    </row>
    <row r="470" hidden="1" spans="1:13">
      <c r="A470" s="30">
        <v>45839</v>
      </c>
      <c r="B470" s="1" t="s">
        <v>237</v>
      </c>
      <c r="C470" s="1" t="s">
        <v>51</v>
      </c>
      <c r="D470" s="1" t="s">
        <v>42</v>
      </c>
      <c r="F470" s="2">
        <v>2.98</v>
      </c>
      <c r="H470" s="2">
        <f t="shared" si="56"/>
        <v>2.98</v>
      </c>
      <c r="I470" s="2">
        <f t="shared" si="57"/>
        <v>2.98</v>
      </c>
      <c r="L470" s="2">
        <f t="shared" si="58"/>
        <v>0</v>
      </c>
      <c r="M470" s="2">
        <f t="shared" si="59"/>
        <v>2.98</v>
      </c>
    </row>
    <row r="471" hidden="1" spans="1:13">
      <c r="A471" s="30">
        <v>45839</v>
      </c>
      <c r="B471" s="1" t="s">
        <v>237</v>
      </c>
      <c r="C471" s="1" t="s">
        <v>41</v>
      </c>
      <c r="D471" s="1" t="s">
        <v>42</v>
      </c>
      <c r="F471" s="2">
        <v>126.9</v>
      </c>
      <c r="H471" s="2">
        <f t="shared" si="56"/>
        <v>126.9</v>
      </c>
      <c r="I471" s="2">
        <f t="shared" si="57"/>
        <v>126.9</v>
      </c>
      <c r="L471" s="2">
        <f t="shared" si="58"/>
        <v>0</v>
      </c>
      <c r="M471" s="2">
        <f t="shared" si="59"/>
        <v>126.9</v>
      </c>
    </row>
    <row r="472" hidden="1" spans="1:13">
      <c r="A472" s="30">
        <v>45839</v>
      </c>
      <c r="B472" s="1" t="s">
        <v>237</v>
      </c>
      <c r="C472" s="1" t="s">
        <v>57</v>
      </c>
      <c r="D472" s="1" t="s">
        <v>42</v>
      </c>
      <c r="F472" s="2">
        <v>8284</v>
      </c>
      <c r="G472" s="2">
        <v>8284</v>
      </c>
      <c r="H472" s="2">
        <f t="shared" si="56"/>
        <v>0</v>
      </c>
      <c r="I472" s="2">
        <f t="shared" si="57"/>
        <v>0</v>
      </c>
      <c r="L472" s="2">
        <f t="shared" si="58"/>
        <v>0</v>
      </c>
      <c r="M472" s="2">
        <f t="shared" si="59"/>
        <v>0</v>
      </c>
    </row>
    <row r="473" hidden="1" spans="1:13">
      <c r="A473" s="30">
        <v>45839</v>
      </c>
      <c r="B473" s="1" t="s">
        <v>237</v>
      </c>
      <c r="C473" s="1" t="s">
        <v>57</v>
      </c>
      <c r="D473" s="1" t="s">
        <v>47</v>
      </c>
      <c r="F473" s="2">
        <v>594.08</v>
      </c>
      <c r="G473" s="2">
        <v>594.08</v>
      </c>
      <c r="H473" s="2">
        <f t="shared" si="56"/>
        <v>0</v>
      </c>
      <c r="I473" s="2">
        <f t="shared" si="57"/>
        <v>0</v>
      </c>
      <c r="L473" s="2">
        <f t="shared" si="58"/>
        <v>0</v>
      </c>
      <c r="M473" s="2">
        <f t="shared" si="59"/>
        <v>0</v>
      </c>
    </row>
    <row r="474" hidden="1" spans="1:13">
      <c r="A474" s="30">
        <v>45839</v>
      </c>
      <c r="B474" s="1" t="s">
        <v>238</v>
      </c>
      <c r="C474" s="1" t="s">
        <v>41</v>
      </c>
      <c r="D474" s="1" t="s">
        <v>42</v>
      </c>
      <c r="E474" s="2">
        <v>70104.6</v>
      </c>
      <c r="F474" s="2">
        <f>8069408.14019999+18538.49+7345.74+91200</f>
        <v>8186492.37019999</v>
      </c>
      <c r="G474" s="2">
        <f>8164921+91300</f>
        <v>8256221</v>
      </c>
      <c r="H474" s="2">
        <f t="shared" si="56"/>
        <v>-69728.6298000095</v>
      </c>
      <c r="I474" s="2">
        <f t="shared" si="57"/>
        <v>375.970199990465</v>
      </c>
      <c r="L474" s="2">
        <f t="shared" si="58"/>
        <v>0</v>
      </c>
      <c r="M474" s="2">
        <f t="shared" si="59"/>
        <v>375.970199990465</v>
      </c>
    </row>
    <row r="475" hidden="1" spans="1:13">
      <c r="A475" s="30">
        <v>45839</v>
      </c>
      <c r="B475" s="1" t="s">
        <v>238</v>
      </c>
      <c r="C475" s="1" t="s">
        <v>55</v>
      </c>
      <c r="D475" s="1" t="s">
        <v>42</v>
      </c>
      <c r="F475" s="2">
        <v>5862844.394</v>
      </c>
      <c r="G475" s="2">
        <v>5842400</v>
      </c>
      <c r="H475" s="2">
        <f t="shared" si="56"/>
        <v>20444.3940000003</v>
      </c>
      <c r="I475" s="2">
        <f t="shared" si="57"/>
        <v>20444.3940000003</v>
      </c>
      <c r="L475" s="2">
        <f t="shared" si="58"/>
        <v>0</v>
      </c>
      <c r="M475" s="2">
        <f t="shared" si="59"/>
        <v>20444.3940000003</v>
      </c>
    </row>
    <row r="476" hidden="1" spans="1:13">
      <c r="A476" s="30">
        <v>45839</v>
      </c>
      <c r="B476" s="1" t="s">
        <v>238</v>
      </c>
      <c r="C476" s="1" t="s">
        <v>77</v>
      </c>
      <c r="D476" s="1" t="s">
        <v>42</v>
      </c>
      <c r="E476" s="2">
        <v>168807.5</v>
      </c>
      <c r="F476" s="2">
        <v>11117745.5347999</v>
      </c>
      <c r="G476" s="2">
        <f>10799083+611268.85</f>
        <v>11410351.85</v>
      </c>
      <c r="H476" s="2">
        <f t="shared" si="56"/>
        <v>-292606.3152001</v>
      </c>
      <c r="I476" s="2">
        <f t="shared" si="57"/>
        <v>-123798.8152001</v>
      </c>
      <c r="L476" s="2">
        <f t="shared" si="58"/>
        <v>0</v>
      </c>
      <c r="M476" s="2">
        <f t="shared" si="59"/>
        <v>-123798.8152001</v>
      </c>
    </row>
    <row r="477" hidden="1" spans="1:13">
      <c r="A477" s="30">
        <v>45839</v>
      </c>
      <c r="B477" s="1" t="s">
        <v>238</v>
      </c>
      <c r="C477" s="1" t="s">
        <v>43</v>
      </c>
      <c r="D477" s="1" t="s">
        <v>42</v>
      </c>
      <c r="F477" s="2">
        <v>400006.839</v>
      </c>
      <c r="H477" s="2">
        <f t="shared" si="56"/>
        <v>400006.839</v>
      </c>
      <c r="I477" s="2">
        <f t="shared" si="57"/>
        <v>400006.839</v>
      </c>
      <c r="L477" s="2">
        <f t="shared" si="58"/>
        <v>0</v>
      </c>
      <c r="M477" s="2">
        <f t="shared" si="59"/>
        <v>400006.839</v>
      </c>
    </row>
    <row r="478" hidden="1" spans="1:13">
      <c r="A478" s="30">
        <v>45839</v>
      </c>
      <c r="B478" s="1" t="s">
        <v>238</v>
      </c>
      <c r="C478" s="1" t="s">
        <v>57</v>
      </c>
      <c r="D478" s="1" t="s">
        <v>42</v>
      </c>
      <c r="F478" s="2">
        <v>40.5</v>
      </c>
      <c r="H478" s="2">
        <f t="shared" si="56"/>
        <v>40.5</v>
      </c>
      <c r="I478" s="2">
        <f t="shared" si="57"/>
        <v>40.5</v>
      </c>
      <c r="L478" s="2">
        <f t="shared" si="58"/>
        <v>0</v>
      </c>
      <c r="M478" s="2">
        <f t="shared" si="59"/>
        <v>40.5</v>
      </c>
    </row>
    <row r="479" hidden="1" spans="1:13">
      <c r="A479" s="30">
        <v>45839</v>
      </c>
      <c r="B479" s="1" t="s">
        <v>239</v>
      </c>
      <c r="C479" s="1" t="s">
        <v>53</v>
      </c>
      <c r="D479" s="1" t="s">
        <v>42</v>
      </c>
      <c r="F479" s="2">
        <v>201057</v>
      </c>
      <c r="G479" s="2">
        <v>201057</v>
      </c>
      <c r="H479" s="2">
        <f t="shared" si="56"/>
        <v>0</v>
      </c>
      <c r="I479" s="2">
        <f t="shared" si="57"/>
        <v>0</v>
      </c>
      <c r="L479" s="2">
        <f t="shared" si="58"/>
        <v>0</v>
      </c>
      <c r="M479" s="2">
        <f t="shared" si="59"/>
        <v>0</v>
      </c>
    </row>
    <row r="480" hidden="1" spans="1:13">
      <c r="A480" s="30">
        <v>45839</v>
      </c>
      <c r="B480" s="1" t="s">
        <v>239</v>
      </c>
      <c r="C480" s="1" t="s">
        <v>53</v>
      </c>
      <c r="D480" s="1" t="s">
        <v>48</v>
      </c>
      <c r="F480" s="2">
        <v>163568.4</v>
      </c>
      <c r="G480" s="2">
        <v>163568.4</v>
      </c>
      <c r="H480" s="2">
        <f t="shared" si="56"/>
        <v>0</v>
      </c>
      <c r="I480" s="2">
        <f t="shared" si="57"/>
        <v>0</v>
      </c>
      <c r="L480" s="2">
        <f t="shared" si="58"/>
        <v>0</v>
      </c>
      <c r="M480" s="2">
        <f t="shared" si="59"/>
        <v>0</v>
      </c>
    </row>
    <row r="481" hidden="1" spans="1:13">
      <c r="A481" s="30">
        <v>45839</v>
      </c>
      <c r="B481" s="1" t="s">
        <v>240</v>
      </c>
      <c r="C481" s="1" t="s">
        <v>51</v>
      </c>
      <c r="D481" s="1" t="s">
        <v>52</v>
      </c>
      <c r="H481" s="2">
        <f t="shared" si="56"/>
        <v>0</v>
      </c>
      <c r="I481" s="2">
        <f t="shared" si="57"/>
        <v>0</v>
      </c>
      <c r="J481" s="2">
        <v>32.85</v>
      </c>
      <c r="L481" s="2">
        <f t="shared" si="58"/>
        <v>32.85</v>
      </c>
      <c r="M481" s="2">
        <f t="shared" si="59"/>
        <v>32.85</v>
      </c>
    </row>
    <row r="482" hidden="1" spans="1:13">
      <c r="A482" s="30">
        <v>45839</v>
      </c>
      <c r="B482" s="1" t="s">
        <v>241</v>
      </c>
      <c r="C482" s="1" t="s">
        <v>43</v>
      </c>
      <c r="D482" s="1" t="s">
        <v>48</v>
      </c>
      <c r="F482" s="2">
        <v>714</v>
      </c>
      <c r="G482" s="2">
        <v>714</v>
      </c>
      <c r="H482" s="2">
        <f t="shared" si="56"/>
        <v>0</v>
      </c>
      <c r="I482" s="2">
        <f t="shared" si="57"/>
        <v>0</v>
      </c>
      <c r="L482" s="2">
        <f t="shared" si="58"/>
        <v>0</v>
      </c>
      <c r="M482" s="2">
        <f t="shared" si="59"/>
        <v>0</v>
      </c>
    </row>
    <row r="483" hidden="1" spans="1:13">
      <c r="A483" s="30">
        <v>45839</v>
      </c>
      <c r="B483" s="1" t="s">
        <v>242</v>
      </c>
      <c r="C483" s="1" t="s">
        <v>41</v>
      </c>
      <c r="D483" s="1" t="s">
        <v>42</v>
      </c>
      <c r="F483" s="2">
        <v>1091.275</v>
      </c>
      <c r="G483" s="2">
        <v>952.85</v>
      </c>
      <c r="H483" s="2">
        <f t="shared" si="56"/>
        <v>138.425</v>
      </c>
      <c r="I483" s="2">
        <f t="shared" si="57"/>
        <v>138.425</v>
      </c>
      <c r="L483" s="2">
        <f t="shared" si="58"/>
        <v>0</v>
      </c>
      <c r="M483" s="2">
        <f t="shared" si="59"/>
        <v>138.425</v>
      </c>
    </row>
    <row r="484" hidden="1" spans="1:13">
      <c r="A484" s="30">
        <v>45839</v>
      </c>
      <c r="B484" s="1" t="s">
        <v>242</v>
      </c>
      <c r="C484" s="1" t="s">
        <v>43</v>
      </c>
      <c r="D484" s="1" t="s">
        <v>42</v>
      </c>
      <c r="F484" s="2">
        <v>19389.00005658</v>
      </c>
      <c r="G484" s="2">
        <v>16127.6</v>
      </c>
      <c r="H484" s="2">
        <f t="shared" si="56"/>
        <v>3261.40005658</v>
      </c>
      <c r="I484" s="2">
        <f t="shared" si="57"/>
        <v>3261.40005658</v>
      </c>
      <c r="L484" s="2">
        <f t="shared" si="58"/>
        <v>0</v>
      </c>
      <c r="M484" s="2">
        <f t="shared" si="59"/>
        <v>3261.40005658</v>
      </c>
    </row>
    <row r="485" hidden="1" spans="1:13">
      <c r="A485" s="30">
        <v>45839</v>
      </c>
      <c r="B485" s="1" t="s">
        <v>242</v>
      </c>
      <c r="C485" s="1" t="s">
        <v>41</v>
      </c>
      <c r="D485" s="1" t="s">
        <v>47</v>
      </c>
      <c r="F485" s="2">
        <v>946</v>
      </c>
      <c r="G485" s="2">
        <v>631.45</v>
      </c>
      <c r="H485" s="2">
        <f t="shared" si="56"/>
        <v>314.55</v>
      </c>
      <c r="I485" s="2">
        <f t="shared" si="57"/>
        <v>314.55</v>
      </c>
      <c r="L485" s="2">
        <f t="shared" si="58"/>
        <v>0</v>
      </c>
      <c r="M485" s="2">
        <f t="shared" si="59"/>
        <v>314.55</v>
      </c>
    </row>
    <row r="486" hidden="1" spans="1:13">
      <c r="A486" s="30">
        <v>45839</v>
      </c>
      <c r="B486" s="1" t="s">
        <v>242</v>
      </c>
      <c r="C486" s="1" t="s">
        <v>43</v>
      </c>
      <c r="D486" s="1" t="s">
        <v>47</v>
      </c>
      <c r="F486" s="2">
        <v>345.73</v>
      </c>
      <c r="G486" s="2">
        <v>269.15</v>
      </c>
      <c r="H486" s="2">
        <f t="shared" si="56"/>
        <v>76.58</v>
      </c>
      <c r="I486" s="2">
        <f t="shared" si="57"/>
        <v>76.58</v>
      </c>
      <c r="L486" s="2">
        <f t="shared" si="58"/>
        <v>0</v>
      </c>
      <c r="M486" s="2">
        <f t="shared" si="59"/>
        <v>76.58</v>
      </c>
    </row>
    <row r="487" hidden="1" spans="1:13">
      <c r="A487" s="30">
        <v>45839</v>
      </c>
      <c r="B487" s="1" t="s">
        <v>243</v>
      </c>
      <c r="C487" s="1" t="s">
        <v>64</v>
      </c>
      <c r="D487" s="1" t="s">
        <v>42</v>
      </c>
      <c r="F487" s="2">
        <v>1166.85</v>
      </c>
      <c r="G487" s="2">
        <v>1025.83</v>
      </c>
      <c r="H487" s="2">
        <f t="shared" si="56"/>
        <v>141.02</v>
      </c>
      <c r="I487" s="2">
        <f t="shared" si="57"/>
        <v>141.02</v>
      </c>
      <c r="L487" s="2">
        <f t="shared" si="58"/>
        <v>0</v>
      </c>
      <c r="M487" s="2">
        <f t="shared" si="59"/>
        <v>141.02</v>
      </c>
    </row>
    <row r="488" hidden="1" spans="1:13">
      <c r="A488" s="30">
        <v>45839</v>
      </c>
      <c r="B488" s="1" t="s">
        <v>243</v>
      </c>
      <c r="C488" s="1" t="s">
        <v>79</v>
      </c>
      <c r="D488" s="1" t="s">
        <v>42</v>
      </c>
      <c r="F488" s="2">
        <v>403.5</v>
      </c>
      <c r="G488" s="2">
        <v>395.03</v>
      </c>
      <c r="H488" s="2">
        <f t="shared" si="56"/>
        <v>8.47000000000003</v>
      </c>
      <c r="I488" s="2">
        <f t="shared" si="57"/>
        <v>8.47000000000003</v>
      </c>
      <c r="L488" s="2">
        <f t="shared" si="58"/>
        <v>0</v>
      </c>
      <c r="M488" s="2">
        <f t="shared" si="59"/>
        <v>8.47000000000003</v>
      </c>
    </row>
    <row r="489" hidden="1" spans="1:13">
      <c r="A489" s="30">
        <v>45839</v>
      </c>
      <c r="B489" s="1" t="s">
        <v>243</v>
      </c>
      <c r="C489" s="1" t="s">
        <v>41</v>
      </c>
      <c r="D489" s="1" t="s">
        <v>42</v>
      </c>
      <c r="F489" s="2">
        <f>2026852.5298+5727.31</f>
        <v>2032579.8398</v>
      </c>
      <c r="G489" s="2">
        <v>1983292.395</v>
      </c>
      <c r="H489" s="2">
        <f t="shared" si="56"/>
        <v>49287.4447999999</v>
      </c>
      <c r="I489" s="2">
        <f t="shared" si="57"/>
        <v>49287.4447999999</v>
      </c>
      <c r="L489" s="2">
        <f t="shared" si="58"/>
        <v>0</v>
      </c>
      <c r="M489" s="2">
        <f t="shared" si="59"/>
        <v>49287.4447999999</v>
      </c>
    </row>
    <row r="490" hidden="1" spans="1:13">
      <c r="A490" s="30">
        <v>45839</v>
      </c>
      <c r="B490" s="1" t="s">
        <v>243</v>
      </c>
      <c r="C490" s="1" t="s">
        <v>55</v>
      </c>
      <c r="D490" s="1" t="s">
        <v>42</v>
      </c>
      <c r="F490" s="2">
        <v>18565.89</v>
      </c>
      <c r="G490" s="2">
        <v>18033.94</v>
      </c>
      <c r="H490" s="2">
        <f t="shared" si="56"/>
        <v>531.950000000001</v>
      </c>
      <c r="I490" s="2">
        <f t="shared" si="57"/>
        <v>531.950000000001</v>
      </c>
      <c r="L490" s="2">
        <f t="shared" si="58"/>
        <v>0</v>
      </c>
      <c r="M490" s="2">
        <f t="shared" si="59"/>
        <v>531.950000000001</v>
      </c>
    </row>
    <row r="491" hidden="1" spans="1:13">
      <c r="A491" s="30">
        <v>45839</v>
      </c>
      <c r="B491" s="1" t="s">
        <v>243</v>
      </c>
      <c r="C491" s="1" t="s">
        <v>197</v>
      </c>
      <c r="D491" s="1" t="s">
        <v>42</v>
      </c>
      <c r="F491" s="2">
        <v>9250.74</v>
      </c>
      <c r="G491" s="2">
        <v>8917.38</v>
      </c>
      <c r="H491" s="2">
        <f t="shared" si="56"/>
        <v>333.360000000001</v>
      </c>
      <c r="I491" s="2">
        <f t="shared" si="57"/>
        <v>333.360000000001</v>
      </c>
      <c r="L491" s="2">
        <f t="shared" si="58"/>
        <v>0</v>
      </c>
      <c r="M491" s="2">
        <f t="shared" si="59"/>
        <v>333.360000000001</v>
      </c>
    </row>
    <row r="492" hidden="1" spans="1:13">
      <c r="A492" s="30">
        <v>45839</v>
      </c>
      <c r="B492" s="1" t="s">
        <v>243</v>
      </c>
      <c r="C492" s="1" t="s">
        <v>146</v>
      </c>
      <c r="D492" s="1" t="s">
        <v>42</v>
      </c>
      <c r="F492" s="2">
        <v>298.8</v>
      </c>
      <c r="G492" s="2">
        <v>298.8</v>
      </c>
      <c r="H492" s="2">
        <f t="shared" si="56"/>
        <v>0</v>
      </c>
      <c r="I492" s="2">
        <f t="shared" si="57"/>
        <v>0</v>
      </c>
      <c r="L492" s="2">
        <f t="shared" si="58"/>
        <v>0</v>
      </c>
      <c r="M492" s="2">
        <f t="shared" si="59"/>
        <v>0</v>
      </c>
    </row>
    <row r="493" hidden="1" spans="1:13">
      <c r="A493" s="30">
        <v>45839</v>
      </c>
      <c r="B493" s="1" t="s">
        <v>243</v>
      </c>
      <c r="C493" s="1" t="s">
        <v>43</v>
      </c>
      <c r="D493" s="1" t="s">
        <v>42</v>
      </c>
      <c r="F493" s="2">
        <f>2044351.75695357+3257.94533047169</f>
        <v>2047609.70228404</v>
      </c>
      <c r="G493" s="2">
        <v>1973224.243</v>
      </c>
      <c r="H493" s="2">
        <f t="shared" si="56"/>
        <v>74385.4592840418</v>
      </c>
      <c r="I493" s="2">
        <f t="shared" si="57"/>
        <v>74385.4592840418</v>
      </c>
      <c r="L493" s="2">
        <f t="shared" si="58"/>
        <v>0</v>
      </c>
      <c r="M493" s="2">
        <f t="shared" si="59"/>
        <v>74385.4592840418</v>
      </c>
    </row>
    <row r="494" hidden="1" spans="1:13">
      <c r="A494" s="30">
        <v>45839</v>
      </c>
      <c r="B494" s="1" t="s">
        <v>243</v>
      </c>
      <c r="C494" s="1" t="s">
        <v>57</v>
      </c>
      <c r="D494" s="1" t="s">
        <v>42</v>
      </c>
      <c r="F494" s="2">
        <v>1631.24</v>
      </c>
      <c r="G494" s="2">
        <v>1444.915</v>
      </c>
      <c r="H494" s="2">
        <f t="shared" si="56"/>
        <v>186.325</v>
      </c>
      <c r="I494" s="2">
        <f t="shared" si="57"/>
        <v>186.325</v>
      </c>
      <c r="L494" s="2">
        <f t="shared" si="58"/>
        <v>0</v>
      </c>
      <c r="M494" s="2">
        <f t="shared" si="59"/>
        <v>186.325</v>
      </c>
    </row>
    <row r="495" hidden="1" spans="1:13">
      <c r="A495" s="30">
        <v>45839</v>
      </c>
      <c r="B495" s="1" t="s">
        <v>243</v>
      </c>
      <c r="C495" s="1" t="s">
        <v>41</v>
      </c>
      <c r="D495" s="1" t="s">
        <v>47</v>
      </c>
      <c r="F495" s="2">
        <v>299</v>
      </c>
      <c r="G495" s="2">
        <v>8251.8</v>
      </c>
      <c r="H495" s="2">
        <f t="shared" si="56"/>
        <v>-7952.8</v>
      </c>
      <c r="I495" s="2">
        <f t="shared" si="57"/>
        <v>-7952.8</v>
      </c>
      <c r="L495" s="2">
        <f t="shared" si="58"/>
        <v>0</v>
      </c>
      <c r="M495" s="2">
        <f t="shared" si="59"/>
        <v>-7952.8</v>
      </c>
    </row>
    <row r="496" hidden="1" spans="1:13">
      <c r="A496" s="30">
        <v>45839</v>
      </c>
      <c r="B496" s="1" t="s">
        <v>243</v>
      </c>
      <c r="C496" s="1" t="s">
        <v>55</v>
      </c>
      <c r="D496" s="1" t="s">
        <v>47</v>
      </c>
      <c r="F496" s="2">
        <v>12.5</v>
      </c>
      <c r="G496" s="2">
        <v>11.61</v>
      </c>
      <c r="H496" s="2">
        <f t="shared" ref="H496:H533" si="60">F496-G496</f>
        <v>0.890000000000001</v>
      </c>
      <c r="I496" s="2">
        <f t="shared" ref="I496:I533" si="61">H496+E496</f>
        <v>0.890000000000001</v>
      </c>
      <c r="L496" s="2">
        <f t="shared" si="58"/>
        <v>0</v>
      </c>
      <c r="M496" s="2">
        <f t="shared" si="59"/>
        <v>0.890000000000001</v>
      </c>
    </row>
    <row r="497" hidden="1" spans="1:13">
      <c r="A497" s="30">
        <v>45839</v>
      </c>
      <c r="B497" s="1" t="s">
        <v>243</v>
      </c>
      <c r="C497" s="1" t="s">
        <v>43</v>
      </c>
      <c r="D497" s="1" t="s">
        <v>47</v>
      </c>
      <c r="F497" s="2">
        <v>78100.85</v>
      </c>
      <c r="G497" s="2">
        <v>75162.93</v>
      </c>
      <c r="H497" s="2">
        <f t="shared" si="60"/>
        <v>2937.92000000001</v>
      </c>
      <c r="I497" s="2">
        <f t="shared" si="61"/>
        <v>2937.92000000001</v>
      </c>
      <c r="L497" s="2">
        <f t="shared" si="58"/>
        <v>0</v>
      </c>
      <c r="M497" s="2">
        <f t="shared" si="59"/>
        <v>2937.92000000001</v>
      </c>
    </row>
    <row r="498" hidden="1" spans="1:13">
      <c r="A498" s="30">
        <v>45839</v>
      </c>
      <c r="B498" s="1" t="s">
        <v>243</v>
      </c>
      <c r="C498" s="1" t="s">
        <v>41</v>
      </c>
      <c r="D498" s="1" t="s">
        <v>48</v>
      </c>
      <c r="F498" s="2">
        <v>245795.72</v>
      </c>
      <c r="G498" s="2">
        <v>240347.108</v>
      </c>
      <c r="H498" s="2">
        <f t="shared" si="60"/>
        <v>5448.61199999999</v>
      </c>
      <c r="I498" s="2">
        <f t="shared" si="61"/>
        <v>5448.61199999999</v>
      </c>
      <c r="L498" s="2">
        <f t="shared" si="58"/>
        <v>0</v>
      </c>
      <c r="M498" s="2">
        <f t="shared" si="59"/>
        <v>5448.61199999999</v>
      </c>
    </row>
    <row r="499" hidden="1" spans="1:13">
      <c r="A499" s="30">
        <v>45839</v>
      </c>
      <c r="B499" s="1" t="s">
        <v>243</v>
      </c>
      <c r="C499" s="1" t="s">
        <v>43</v>
      </c>
      <c r="D499" s="1" t="s">
        <v>48</v>
      </c>
      <c r="F499" s="2">
        <v>619873.52</v>
      </c>
      <c r="G499" s="2">
        <v>619240.996</v>
      </c>
      <c r="H499" s="2">
        <f t="shared" si="60"/>
        <v>632.523999999976</v>
      </c>
      <c r="I499" s="2">
        <f t="shared" si="61"/>
        <v>632.523999999976</v>
      </c>
      <c r="L499" s="2">
        <f t="shared" si="58"/>
        <v>0</v>
      </c>
      <c r="M499" s="2">
        <f t="shared" si="59"/>
        <v>632.523999999976</v>
      </c>
    </row>
    <row r="500" hidden="1" spans="1:13">
      <c r="A500" s="30">
        <v>45839</v>
      </c>
      <c r="B500" s="1" t="s">
        <v>244</v>
      </c>
      <c r="C500" s="1" t="s">
        <v>41</v>
      </c>
      <c r="D500" s="1" t="s">
        <v>45</v>
      </c>
      <c r="F500" s="2">
        <v>154042.5</v>
      </c>
      <c r="G500" s="2">
        <v>153370</v>
      </c>
      <c r="H500" s="2">
        <f t="shared" si="60"/>
        <v>672.5</v>
      </c>
      <c r="I500" s="2">
        <f t="shared" si="61"/>
        <v>672.5</v>
      </c>
      <c r="L500" s="2">
        <f t="shared" si="58"/>
        <v>0</v>
      </c>
      <c r="M500" s="2">
        <f t="shared" si="59"/>
        <v>672.5</v>
      </c>
    </row>
    <row r="501" hidden="1" spans="1:13">
      <c r="A501" s="30">
        <v>45839</v>
      </c>
      <c r="B501" s="1" t="s">
        <v>244</v>
      </c>
      <c r="C501" s="1" t="s">
        <v>53</v>
      </c>
      <c r="D501" s="1" t="s">
        <v>47</v>
      </c>
      <c r="F501" s="2">
        <v>-510</v>
      </c>
      <c r="G501" s="2">
        <v>-510</v>
      </c>
      <c r="H501" s="2">
        <f t="shared" si="60"/>
        <v>0</v>
      </c>
      <c r="I501" s="2">
        <f t="shared" si="61"/>
        <v>0</v>
      </c>
      <c r="L501" s="2">
        <f t="shared" si="58"/>
        <v>0</v>
      </c>
      <c r="M501" s="2">
        <f t="shared" si="59"/>
        <v>0</v>
      </c>
    </row>
    <row r="502" hidden="1" spans="1:13">
      <c r="A502" s="30">
        <v>45839</v>
      </c>
      <c r="B502" s="1" t="s">
        <v>245</v>
      </c>
      <c r="C502" s="1" t="s">
        <v>51</v>
      </c>
      <c r="D502" s="1" t="s">
        <v>52</v>
      </c>
      <c r="H502" s="2">
        <f t="shared" si="60"/>
        <v>0</v>
      </c>
      <c r="I502" s="2">
        <f t="shared" si="61"/>
        <v>0</v>
      </c>
      <c r="J502" s="2">
        <v>12.63</v>
      </c>
      <c r="L502" s="2">
        <f t="shared" si="58"/>
        <v>12.63</v>
      </c>
      <c r="M502" s="2">
        <f t="shared" si="59"/>
        <v>12.63</v>
      </c>
    </row>
    <row r="503" hidden="1" spans="1:13">
      <c r="A503" s="30">
        <v>45839</v>
      </c>
      <c r="B503" s="1" t="s">
        <v>246</v>
      </c>
      <c r="C503" s="1" t="s">
        <v>197</v>
      </c>
      <c r="D503" s="1" t="s">
        <v>45</v>
      </c>
      <c r="G503" s="2">
        <v>17.8199999999999</v>
      </c>
      <c r="H503" s="2">
        <f t="shared" si="60"/>
        <v>-17.8199999999999</v>
      </c>
      <c r="I503" s="2">
        <f t="shared" si="61"/>
        <v>-17.8199999999999</v>
      </c>
      <c r="L503" s="2">
        <f t="shared" si="58"/>
        <v>0</v>
      </c>
      <c r="M503" s="2">
        <f t="shared" si="59"/>
        <v>-17.8199999999999</v>
      </c>
    </row>
    <row r="504" hidden="1" spans="1:13">
      <c r="A504" s="30">
        <v>45839</v>
      </c>
      <c r="B504" s="1" t="s">
        <v>247</v>
      </c>
      <c r="C504" s="1" t="s">
        <v>41</v>
      </c>
      <c r="D504" s="1" t="s">
        <v>47</v>
      </c>
      <c r="F504" s="2">
        <v>450020</v>
      </c>
      <c r="G504" s="2">
        <v>365491</v>
      </c>
      <c r="H504" s="2">
        <f t="shared" si="60"/>
        <v>84529</v>
      </c>
      <c r="I504" s="2">
        <f t="shared" si="61"/>
        <v>84529</v>
      </c>
      <c r="L504" s="2">
        <f t="shared" si="58"/>
        <v>0</v>
      </c>
      <c r="M504" s="2">
        <f t="shared" si="59"/>
        <v>84529</v>
      </c>
    </row>
    <row r="505" hidden="1" spans="1:13">
      <c r="A505" s="30">
        <v>45839</v>
      </c>
      <c r="B505" s="1" t="s">
        <v>248</v>
      </c>
      <c r="C505" s="1" t="s">
        <v>57</v>
      </c>
      <c r="D505" s="1" t="s">
        <v>47</v>
      </c>
      <c r="G505" s="2">
        <v>-215</v>
      </c>
      <c r="H505" s="2">
        <f t="shared" si="60"/>
        <v>215</v>
      </c>
      <c r="I505" s="2">
        <f t="shared" si="61"/>
        <v>215</v>
      </c>
      <c r="L505" s="2">
        <f t="shared" si="58"/>
        <v>0</v>
      </c>
      <c r="M505" s="2">
        <f t="shared" si="59"/>
        <v>215</v>
      </c>
    </row>
    <row r="506" hidden="1" spans="1:13">
      <c r="A506" s="30">
        <v>45839</v>
      </c>
      <c r="B506" s="1" t="s">
        <v>46</v>
      </c>
      <c r="C506" s="1" t="s">
        <v>44</v>
      </c>
      <c r="D506" s="1" t="s">
        <v>45</v>
      </c>
      <c r="F506" s="2">
        <v>146449</v>
      </c>
      <c r="H506" s="2">
        <f t="shared" si="60"/>
        <v>146449</v>
      </c>
      <c r="I506" s="2">
        <f t="shared" si="61"/>
        <v>146449</v>
      </c>
      <c r="L506" s="2">
        <f t="shared" ref="L506:L551" si="62">J506-K506</f>
        <v>0</v>
      </c>
      <c r="M506" s="2">
        <f t="shared" ref="M506:M551" si="63">I506+L506</f>
        <v>146449</v>
      </c>
    </row>
    <row r="507" hidden="1" spans="1:13">
      <c r="A507" s="30">
        <v>45839</v>
      </c>
      <c r="B507" s="1" t="s">
        <v>46</v>
      </c>
      <c r="C507" s="1" t="s">
        <v>160</v>
      </c>
      <c r="D507" s="1" t="s">
        <v>45</v>
      </c>
      <c r="F507" s="2">
        <v>1795478.21999999</v>
      </c>
      <c r="G507" s="2">
        <v>1340962.11999999</v>
      </c>
      <c r="H507" s="2">
        <f t="shared" si="60"/>
        <v>454516.1</v>
      </c>
      <c r="I507" s="2">
        <f t="shared" si="61"/>
        <v>454516.1</v>
      </c>
      <c r="L507" s="2">
        <f t="shared" si="62"/>
        <v>0</v>
      </c>
      <c r="M507" s="2">
        <f t="shared" si="63"/>
        <v>454516.1</v>
      </c>
    </row>
    <row r="508" hidden="1" spans="1:13">
      <c r="A508" s="30">
        <v>45839</v>
      </c>
      <c r="B508" s="1" t="s">
        <v>249</v>
      </c>
      <c r="C508" s="1" t="s">
        <v>41</v>
      </c>
      <c r="D508" s="1" t="s">
        <v>42</v>
      </c>
      <c r="F508" s="2">
        <v>95</v>
      </c>
      <c r="G508" s="2">
        <v>82.5</v>
      </c>
      <c r="H508" s="2">
        <f t="shared" si="60"/>
        <v>12.5</v>
      </c>
      <c r="I508" s="2">
        <f t="shared" si="61"/>
        <v>12.5</v>
      </c>
      <c r="L508" s="2">
        <f t="shared" si="62"/>
        <v>0</v>
      </c>
      <c r="M508" s="2">
        <f t="shared" si="63"/>
        <v>12.5</v>
      </c>
    </row>
    <row r="509" hidden="1" spans="1:13">
      <c r="A509" s="30">
        <v>45839</v>
      </c>
      <c r="B509" s="1" t="s">
        <v>249</v>
      </c>
      <c r="C509" s="1" t="s">
        <v>65</v>
      </c>
      <c r="D509" s="1" t="s">
        <v>47</v>
      </c>
      <c r="F509" s="2">
        <v>10890</v>
      </c>
      <c r="G509" s="2">
        <v>10890</v>
      </c>
      <c r="H509" s="2">
        <f t="shared" si="60"/>
        <v>0</v>
      </c>
      <c r="I509" s="2">
        <f t="shared" si="61"/>
        <v>0</v>
      </c>
      <c r="L509" s="2">
        <f t="shared" si="62"/>
        <v>0</v>
      </c>
      <c r="M509" s="2">
        <f t="shared" si="63"/>
        <v>0</v>
      </c>
    </row>
    <row r="510" hidden="1" spans="1:13">
      <c r="A510" s="30">
        <v>45839</v>
      </c>
      <c r="B510" s="1" t="s">
        <v>249</v>
      </c>
      <c r="C510" s="1" t="s">
        <v>43</v>
      </c>
      <c r="D510" s="1" t="s">
        <v>47</v>
      </c>
      <c r="F510" s="2">
        <v>263660.7</v>
      </c>
      <c r="G510" s="2">
        <v>255172.9</v>
      </c>
      <c r="H510" s="2">
        <f t="shared" si="60"/>
        <v>8487.80000000002</v>
      </c>
      <c r="I510" s="2">
        <f t="shared" si="61"/>
        <v>8487.80000000002</v>
      </c>
      <c r="L510" s="2">
        <f t="shared" si="62"/>
        <v>0</v>
      </c>
      <c r="M510" s="2">
        <f t="shared" si="63"/>
        <v>8487.80000000002</v>
      </c>
    </row>
    <row r="511" hidden="1" spans="1:13">
      <c r="A511" s="30">
        <v>45839</v>
      </c>
      <c r="B511" s="1" t="s">
        <v>249</v>
      </c>
      <c r="C511" s="1" t="s">
        <v>57</v>
      </c>
      <c r="D511" s="1" t="s">
        <v>47</v>
      </c>
      <c r="F511" s="2">
        <f>391596+27170</f>
        <v>418766</v>
      </c>
      <c r="G511" s="2">
        <f>385476.5+18232.5</f>
        <v>403709</v>
      </c>
      <c r="H511" s="2">
        <f t="shared" si="60"/>
        <v>15057</v>
      </c>
      <c r="I511" s="2">
        <f t="shared" si="61"/>
        <v>15057</v>
      </c>
      <c r="L511" s="2">
        <f t="shared" si="62"/>
        <v>0</v>
      </c>
      <c r="M511" s="2">
        <f t="shared" si="63"/>
        <v>15057</v>
      </c>
    </row>
    <row r="512" hidden="1" spans="1:13">
      <c r="A512" s="30">
        <v>45839</v>
      </c>
      <c r="B512" s="1" t="s">
        <v>250</v>
      </c>
      <c r="C512" s="1" t="s">
        <v>53</v>
      </c>
      <c r="D512" s="1" t="s">
        <v>47</v>
      </c>
      <c r="F512" s="2">
        <v>15665.0299999999</v>
      </c>
      <c r="G512" s="2">
        <v>15578.3899999999</v>
      </c>
      <c r="H512" s="2">
        <f t="shared" si="60"/>
        <v>86.6400000000012</v>
      </c>
      <c r="I512" s="2">
        <f t="shared" si="61"/>
        <v>86.6400000000012</v>
      </c>
      <c r="L512" s="2">
        <f t="shared" si="62"/>
        <v>0</v>
      </c>
      <c r="M512" s="2">
        <f t="shared" si="63"/>
        <v>86.6400000000012</v>
      </c>
    </row>
    <row r="513" hidden="1" spans="1:13">
      <c r="A513" s="30">
        <v>45839</v>
      </c>
      <c r="B513" s="1" t="s">
        <v>250</v>
      </c>
      <c r="C513" s="1" t="s">
        <v>53</v>
      </c>
      <c r="D513" s="1" t="s">
        <v>48</v>
      </c>
      <c r="F513" s="2">
        <v>60.6</v>
      </c>
      <c r="G513" s="2">
        <v>60.6</v>
      </c>
      <c r="H513" s="2">
        <f t="shared" si="60"/>
        <v>0</v>
      </c>
      <c r="I513" s="2">
        <f t="shared" si="61"/>
        <v>0</v>
      </c>
      <c r="L513" s="2">
        <f t="shared" si="62"/>
        <v>0</v>
      </c>
      <c r="M513" s="2">
        <f t="shared" si="63"/>
        <v>0</v>
      </c>
    </row>
    <row r="514" hidden="1" spans="1:13">
      <c r="A514" s="30">
        <v>45839</v>
      </c>
      <c r="B514" s="1" t="s">
        <v>251</v>
      </c>
      <c r="C514" s="1" t="s">
        <v>121</v>
      </c>
      <c r="D514" s="1" t="s">
        <v>52</v>
      </c>
      <c r="F514" s="2">
        <v>50985</v>
      </c>
      <c r="G514" s="2">
        <v>45000</v>
      </c>
      <c r="H514" s="2">
        <f t="shared" si="60"/>
        <v>5985</v>
      </c>
      <c r="I514" s="2">
        <f t="shared" si="61"/>
        <v>5985</v>
      </c>
      <c r="L514" s="2">
        <f t="shared" si="62"/>
        <v>0</v>
      </c>
      <c r="M514" s="2">
        <f t="shared" si="63"/>
        <v>5985</v>
      </c>
    </row>
    <row r="515" hidden="1" spans="1:13">
      <c r="A515" s="30">
        <v>45839</v>
      </c>
      <c r="B515" s="1" t="s">
        <v>252</v>
      </c>
      <c r="C515" s="1" t="s">
        <v>51</v>
      </c>
      <c r="D515" s="1" t="s">
        <v>52</v>
      </c>
      <c r="H515" s="2">
        <f t="shared" si="60"/>
        <v>0</v>
      </c>
      <c r="I515" s="2">
        <f t="shared" si="61"/>
        <v>0</v>
      </c>
      <c r="J515" s="2">
        <v>11.73</v>
      </c>
      <c r="L515" s="2">
        <f t="shared" si="62"/>
        <v>11.73</v>
      </c>
      <c r="M515" s="2">
        <f t="shared" si="63"/>
        <v>11.73</v>
      </c>
    </row>
    <row r="516" hidden="1" spans="1:13">
      <c r="A516" s="30">
        <v>45839</v>
      </c>
      <c r="B516" s="1" t="s">
        <v>253</v>
      </c>
      <c r="C516" s="1" t="s">
        <v>41</v>
      </c>
      <c r="D516" s="1" t="s">
        <v>42</v>
      </c>
      <c r="F516" s="2">
        <v>253.71</v>
      </c>
      <c r="H516" s="2">
        <f t="shared" si="60"/>
        <v>253.71</v>
      </c>
      <c r="I516" s="2">
        <f t="shared" si="61"/>
        <v>253.71</v>
      </c>
      <c r="L516" s="2">
        <f t="shared" si="62"/>
        <v>0</v>
      </c>
      <c r="M516" s="2">
        <f t="shared" si="63"/>
        <v>253.71</v>
      </c>
    </row>
    <row r="517" hidden="1" spans="1:13">
      <c r="A517" s="30">
        <v>45839</v>
      </c>
      <c r="B517" s="1" t="s">
        <v>253</v>
      </c>
      <c r="C517" s="1" t="s">
        <v>43</v>
      </c>
      <c r="D517" s="1" t="s">
        <v>42</v>
      </c>
      <c r="F517" s="2">
        <v>-73.9399999999999</v>
      </c>
      <c r="H517" s="2">
        <f t="shared" si="60"/>
        <v>-73.9399999999999</v>
      </c>
      <c r="I517" s="2">
        <f t="shared" si="61"/>
        <v>-73.9399999999999</v>
      </c>
      <c r="L517" s="2">
        <f t="shared" si="62"/>
        <v>0</v>
      </c>
      <c r="M517" s="2">
        <f t="shared" si="63"/>
        <v>-73.9399999999999</v>
      </c>
    </row>
    <row r="518" hidden="1" spans="1:13">
      <c r="A518" s="30">
        <v>45839</v>
      </c>
      <c r="B518" s="1" t="s">
        <v>253</v>
      </c>
      <c r="C518" s="1" t="s">
        <v>57</v>
      </c>
      <c r="D518" s="1" t="s">
        <v>42</v>
      </c>
      <c r="F518" s="2">
        <v>-893841.180555555</v>
      </c>
      <c r="G518" s="2">
        <f>-801880.055-482.3</f>
        <v>-802362.355</v>
      </c>
      <c r="H518" s="2">
        <f t="shared" si="60"/>
        <v>-91478.8255555549</v>
      </c>
      <c r="I518" s="2">
        <f t="shared" si="61"/>
        <v>-91478.8255555549</v>
      </c>
      <c r="L518" s="2">
        <f t="shared" si="62"/>
        <v>0</v>
      </c>
      <c r="M518" s="2">
        <f t="shared" si="63"/>
        <v>-91478.8255555549</v>
      </c>
    </row>
    <row r="519" hidden="1" spans="1:13">
      <c r="A519" s="30">
        <v>45839</v>
      </c>
      <c r="B519" s="1" t="s">
        <v>254</v>
      </c>
      <c r="C519" s="1" t="s">
        <v>51</v>
      </c>
      <c r="D519" s="1" t="s">
        <v>52</v>
      </c>
      <c r="H519" s="2">
        <f t="shared" si="60"/>
        <v>0</v>
      </c>
      <c r="I519" s="2">
        <f t="shared" si="61"/>
        <v>0</v>
      </c>
      <c r="K519" s="2">
        <v>2423.87</v>
      </c>
      <c r="L519" s="2">
        <f t="shared" si="62"/>
        <v>-2423.87</v>
      </c>
      <c r="M519" s="2">
        <f t="shared" si="63"/>
        <v>-2423.87</v>
      </c>
    </row>
    <row r="520" hidden="1" spans="1:13">
      <c r="A520" s="30">
        <v>45839</v>
      </c>
      <c r="B520" s="1" t="s">
        <v>255</v>
      </c>
      <c r="C520" s="1" t="s">
        <v>113</v>
      </c>
      <c r="D520" s="1" t="s">
        <v>47</v>
      </c>
      <c r="F520" s="2">
        <v>10824830.976</v>
      </c>
      <c r="G520" s="2">
        <v>10824830.976</v>
      </c>
      <c r="H520" s="2">
        <f t="shared" si="60"/>
        <v>0</v>
      </c>
      <c r="I520" s="2">
        <f t="shared" si="61"/>
        <v>0</v>
      </c>
      <c r="L520" s="2">
        <f t="shared" si="62"/>
        <v>0</v>
      </c>
      <c r="M520" s="2">
        <f t="shared" si="63"/>
        <v>0</v>
      </c>
    </row>
    <row r="521" hidden="1" spans="1:13">
      <c r="A521" s="30">
        <v>45839</v>
      </c>
      <c r="B521" s="1" t="s">
        <v>255</v>
      </c>
      <c r="C521" s="1" t="s">
        <v>65</v>
      </c>
      <c r="D521" s="1" t="s">
        <v>47</v>
      </c>
      <c r="F521" s="2">
        <v>5525.001</v>
      </c>
      <c r="H521" s="2">
        <f t="shared" si="60"/>
        <v>5525.001</v>
      </c>
      <c r="I521" s="2">
        <f t="shared" si="61"/>
        <v>5525.001</v>
      </c>
      <c r="L521" s="2">
        <f t="shared" si="62"/>
        <v>0</v>
      </c>
      <c r="M521" s="2">
        <f t="shared" si="63"/>
        <v>5525.001</v>
      </c>
    </row>
    <row r="522" hidden="1" spans="1:13">
      <c r="A522" s="30">
        <v>45839</v>
      </c>
      <c r="B522" s="1" t="s">
        <v>255</v>
      </c>
      <c r="C522" s="1" t="s">
        <v>41</v>
      </c>
      <c r="D522" s="1" t="s">
        <v>47</v>
      </c>
      <c r="F522" s="2">
        <v>25918.905</v>
      </c>
      <c r="H522" s="2">
        <f t="shared" si="60"/>
        <v>25918.905</v>
      </c>
      <c r="I522" s="2">
        <f t="shared" si="61"/>
        <v>25918.905</v>
      </c>
      <c r="L522" s="2">
        <f t="shared" si="62"/>
        <v>0</v>
      </c>
      <c r="M522" s="2">
        <f t="shared" si="63"/>
        <v>25918.905</v>
      </c>
    </row>
    <row r="523" hidden="1" spans="1:13">
      <c r="A523" s="30">
        <v>45839</v>
      </c>
      <c r="B523" s="1" t="s">
        <v>255</v>
      </c>
      <c r="C523" s="1" t="s">
        <v>55</v>
      </c>
      <c r="D523" s="1" t="s">
        <v>47</v>
      </c>
      <c r="F523" s="2">
        <v>3673.263</v>
      </c>
      <c r="H523" s="2">
        <f t="shared" si="60"/>
        <v>3673.263</v>
      </c>
      <c r="I523" s="2">
        <f t="shared" si="61"/>
        <v>3673.263</v>
      </c>
      <c r="L523" s="2">
        <f t="shared" si="62"/>
        <v>0</v>
      </c>
      <c r="M523" s="2">
        <f t="shared" si="63"/>
        <v>3673.263</v>
      </c>
    </row>
    <row r="524" hidden="1" spans="1:13">
      <c r="A524" s="30">
        <v>45839</v>
      </c>
      <c r="B524" s="1" t="s">
        <v>255</v>
      </c>
      <c r="C524" s="1" t="s">
        <v>43</v>
      </c>
      <c r="D524" s="1" t="s">
        <v>47</v>
      </c>
      <c r="F524" s="2">
        <v>23981.125</v>
      </c>
      <c r="H524" s="2">
        <f t="shared" si="60"/>
        <v>23981.125</v>
      </c>
      <c r="I524" s="2">
        <f t="shared" si="61"/>
        <v>23981.125</v>
      </c>
      <c r="L524" s="2">
        <f t="shared" si="62"/>
        <v>0</v>
      </c>
      <c r="M524" s="2">
        <f t="shared" si="63"/>
        <v>23981.125</v>
      </c>
    </row>
    <row r="525" hidden="1" spans="1:13">
      <c r="A525" s="30">
        <v>45839</v>
      </c>
      <c r="B525" s="1" t="s">
        <v>256</v>
      </c>
      <c r="C525" s="1" t="s">
        <v>55</v>
      </c>
      <c r="D525" s="1" t="s">
        <v>47</v>
      </c>
      <c r="F525" s="2">
        <v>145450.336</v>
      </c>
      <c r="G525" s="2">
        <v>145012.672</v>
      </c>
      <c r="H525" s="2">
        <f t="shared" si="60"/>
        <v>437.664000000019</v>
      </c>
      <c r="I525" s="2">
        <f t="shared" si="61"/>
        <v>437.664000000019</v>
      </c>
      <c r="L525" s="2">
        <f t="shared" si="62"/>
        <v>0</v>
      </c>
      <c r="M525" s="2">
        <f t="shared" si="63"/>
        <v>437.664000000019</v>
      </c>
    </row>
    <row r="526" hidden="1" spans="1:13">
      <c r="A526" s="30">
        <v>45839</v>
      </c>
      <c r="B526" s="1" t="s">
        <v>257</v>
      </c>
      <c r="C526" s="1" t="s">
        <v>51</v>
      </c>
      <c r="D526" s="1" t="s">
        <v>42</v>
      </c>
      <c r="F526" s="2">
        <f>-140.999+99791.46</f>
        <v>99650.461</v>
      </c>
      <c r="G526" s="2">
        <f>-140.999+100495.818126465</f>
        <v>100354.819126465</v>
      </c>
      <c r="H526" s="2">
        <f t="shared" si="60"/>
        <v>-704.358126464998</v>
      </c>
      <c r="I526" s="2">
        <f t="shared" si="61"/>
        <v>-704.358126464998</v>
      </c>
      <c r="L526" s="2">
        <f t="shared" si="62"/>
        <v>0</v>
      </c>
      <c r="M526" s="2">
        <f t="shared" si="63"/>
        <v>-704.358126464998</v>
      </c>
    </row>
    <row r="527" hidden="1" spans="1:13">
      <c r="A527" s="30">
        <v>45839</v>
      </c>
      <c r="B527" s="1" t="s">
        <v>257</v>
      </c>
      <c r="C527" s="1" t="s">
        <v>55</v>
      </c>
      <c r="D527" s="1" t="s">
        <v>42</v>
      </c>
      <c r="F527" s="2">
        <v>-16.7999999999999</v>
      </c>
      <c r="H527" s="2">
        <f t="shared" si="60"/>
        <v>-16.7999999999999</v>
      </c>
      <c r="I527" s="2">
        <f t="shared" si="61"/>
        <v>-16.7999999999999</v>
      </c>
      <c r="L527" s="2">
        <f t="shared" si="62"/>
        <v>0</v>
      </c>
      <c r="M527" s="2">
        <f t="shared" si="63"/>
        <v>-16.7999999999999</v>
      </c>
    </row>
    <row r="528" hidden="1" spans="1:13">
      <c r="A528" s="30">
        <v>45839</v>
      </c>
      <c r="B528" s="1" t="s">
        <v>257</v>
      </c>
      <c r="C528" s="1" t="s">
        <v>43</v>
      </c>
      <c r="D528" s="1" t="s">
        <v>42</v>
      </c>
      <c r="F528" s="2">
        <v>11449.5</v>
      </c>
      <c r="G528" s="2">
        <v>11449.5</v>
      </c>
      <c r="H528" s="2">
        <f t="shared" si="60"/>
        <v>0</v>
      </c>
      <c r="I528" s="2">
        <f t="shared" si="61"/>
        <v>0</v>
      </c>
      <c r="L528" s="2">
        <f t="shared" si="62"/>
        <v>0</v>
      </c>
      <c r="M528" s="2">
        <f t="shared" si="63"/>
        <v>0</v>
      </c>
    </row>
    <row r="529" hidden="1" spans="1:13">
      <c r="A529" s="30">
        <v>45839</v>
      </c>
      <c r="B529" s="1" t="s">
        <v>257</v>
      </c>
      <c r="C529" s="1" t="s">
        <v>51</v>
      </c>
      <c r="D529" s="1" t="s">
        <v>47</v>
      </c>
      <c r="F529" s="2">
        <v>3775.75</v>
      </c>
      <c r="G529" s="2">
        <v>3753.6</v>
      </c>
      <c r="H529" s="2">
        <f t="shared" si="60"/>
        <v>22.1500000000001</v>
      </c>
      <c r="I529" s="2">
        <f t="shared" si="61"/>
        <v>22.1500000000001</v>
      </c>
      <c r="L529" s="2">
        <f t="shared" si="62"/>
        <v>0</v>
      </c>
      <c r="M529" s="2">
        <f t="shared" si="63"/>
        <v>22.1500000000001</v>
      </c>
    </row>
    <row r="530" hidden="1" spans="1:13">
      <c r="A530" s="30">
        <v>45839</v>
      </c>
      <c r="B530" s="1" t="s">
        <v>257</v>
      </c>
      <c r="C530" s="1" t="s">
        <v>87</v>
      </c>
      <c r="D530" s="1" t="s">
        <v>47</v>
      </c>
      <c r="F530" s="2">
        <v>52.5</v>
      </c>
      <c r="G530" s="2">
        <v>52.5</v>
      </c>
      <c r="H530" s="2">
        <f t="shared" si="60"/>
        <v>0</v>
      </c>
      <c r="I530" s="2">
        <f t="shared" si="61"/>
        <v>0</v>
      </c>
      <c r="L530" s="2">
        <f t="shared" si="62"/>
        <v>0</v>
      </c>
      <c r="M530" s="2">
        <f t="shared" si="63"/>
        <v>0</v>
      </c>
    </row>
    <row r="531" hidden="1" spans="1:13">
      <c r="A531" s="30">
        <v>45839</v>
      </c>
      <c r="B531" s="1" t="s">
        <v>257</v>
      </c>
      <c r="C531" s="1" t="s">
        <v>114</v>
      </c>
      <c r="D531" s="1" t="s">
        <v>47</v>
      </c>
      <c r="H531" s="2">
        <f t="shared" si="60"/>
        <v>0</v>
      </c>
      <c r="I531" s="2">
        <f t="shared" si="61"/>
        <v>0</v>
      </c>
      <c r="K531" s="2">
        <v>171033.35</v>
      </c>
      <c r="L531" s="2">
        <f t="shared" si="62"/>
        <v>-171033.35</v>
      </c>
      <c r="M531" s="2">
        <f t="shared" si="63"/>
        <v>-171033.35</v>
      </c>
    </row>
    <row r="532" hidden="1" spans="1:13">
      <c r="A532" s="30">
        <v>45839</v>
      </c>
      <c r="B532" s="1" t="s">
        <v>257</v>
      </c>
      <c r="C532" s="1" t="s">
        <v>43</v>
      </c>
      <c r="D532" s="1" t="s">
        <v>47</v>
      </c>
      <c r="F532" s="2">
        <v>634175.28</v>
      </c>
      <c r="G532" s="2">
        <v>627807.539999999</v>
      </c>
      <c r="H532" s="2">
        <f t="shared" si="60"/>
        <v>6367.74000000104</v>
      </c>
      <c r="I532" s="2">
        <f t="shared" si="61"/>
        <v>6367.74000000104</v>
      </c>
      <c r="L532" s="2">
        <f t="shared" si="62"/>
        <v>0</v>
      </c>
      <c r="M532" s="2">
        <f t="shared" si="63"/>
        <v>6367.74000000104</v>
      </c>
    </row>
    <row r="533" hidden="1" spans="1:13">
      <c r="A533" s="30">
        <v>45839</v>
      </c>
      <c r="B533" s="1" t="s">
        <v>257</v>
      </c>
      <c r="C533" s="1" t="s">
        <v>57</v>
      </c>
      <c r="D533" s="1" t="s">
        <v>47</v>
      </c>
      <c r="F533" s="2">
        <v>5086.8</v>
      </c>
      <c r="G533" s="2">
        <v>4945.5</v>
      </c>
      <c r="H533" s="2">
        <f t="shared" si="60"/>
        <v>141.3</v>
      </c>
      <c r="I533" s="2">
        <f t="shared" si="61"/>
        <v>141.3</v>
      </c>
      <c r="L533" s="2">
        <f t="shared" si="62"/>
        <v>0</v>
      </c>
      <c r="M533" s="2">
        <f t="shared" si="63"/>
        <v>141.3</v>
      </c>
    </row>
    <row r="534" hidden="1" spans="1:13">
      <c r="A534" s="30">
        <v>45839</v>
      </c>
      <c r="B534" s="1" t="s">
        <v>160</v>
      </c>
      <c r="C534" s="1" t="s">
        <v>44</v>
      </c>
      <c r="D534" s="1" t="s">
        <v>45</v>
      </c>
      <c r="F534" s="2">
        <v>43079.02</v>
      </c>
      <c r="G534" s="2">
        <v>34338.19</v>
      </c>
      <c r="H534" s="2">
        <f t="shared" ref="H534:H577" si="64">F534-G534</f>
        <v>8740.82999999999</v>
      </c>
      <c r="I534" s="2">
        <f t="shared" ref="I534:I577" si="65">H534+E534</f>
        <v>8740.82999999999</v>
      </c>
      <c r="L534" s="2">
        <f t="shared" si="62"/>
        <v>0</v>
      </c>
      <c r="M534" s="2">
        <f t="shared" si="63"/>
        <v>8740.82999999999</v>
      </c>
    </row>
    <row r="535" hidden="1" spans="1:13">
      <c r="A535" s="30">
        <v>45839</v>
      </c>
      <c r="B535" s="1" t="s">
        <v>160</v>
      </c>
      <c r="C535" s="1" t="s">
        <v>46</v>
      </c>
      <c r="D535" s="1" t="s">
        <v>45</v>
      </c>
      <c r="F535" s="2">
        <v>127.5</v>
      </c>
      <c r="G535" s="2">
        <v>120.349999999999</v>
      </c>
      <c r="H535" s="2">
        <f t="shared" si="64"/>
        <v>7.150000000001</v>
      </c>
      <c r="I535" s="2">
        <f t="shared" si="65"/>
        <v>7.150000000001</v>
      </c>
      <c r="L535" s="2">
        <f t="shared" si="62"/>
        <v>0</v>
      </c>
      <c r="M535" s="2">
        <f t="shared" si="63"/>
        <v>7.150000000001</v>
      </c>
    </row>
    <row r="536" hidden="1" spans="1:13">
      <c r="A536" s="30">
        <v>45839</v>
      </c>
      <c r="B536" s="1" t="s">
        <v>160</v>
      </c>
      <c r="C536" s="1" t="s">
        <v>43</v>
      </c>
      <c r="D536" s="1" t="s">
        <v>45</v>
      </c>
      <c r="F536" s="2">
        <v>786179.739999999</v>
      </c>
      <c r="G536" s="2">
        <v>632296.64</v>
      </c>
      <c r="H536" s="2">
        <f t="shared" si="64"/>
        <v>153883.099999999</v>
      </c>
      <c r="I536" s="2">
        <f t="shared" si="65"/>
        <v>153883.099999999</v>
      </c>
      <c r="L536" s="2">
        <f t="shared" si="62"/>
        <v>0</v>
      </c>
      <c r="M536" s="2">
        <f t="shared" si="63"/>
        <v>153883.099999999</v>
      </c>
    </row>
    <row r="537" hidden="1" spans="1:13">
      <c r="A537" s="30">
        <v>45839</v>
      </c>
      <c r="B537" s="1" t="s">
        <v>51</v>
      </c>
      <c r="C537" s="1" t="s">
        <v>41</v>
      </c>
      <c r="D537" s="1" t="s">
        <v>52</v>
      </c>
      <c r="H537" s="2">
        <f t="shared" si="64"/>
        <v>0</v>
      </c>
      <c r="I537" s="2">
        <f t="shared" si="65"/>
        <v>0</v>
      </c>
      <c r="J537" s="2">
        <v>13462.88</v>
      </c>
      <c r="L537" s="2">
        <f t="shared" si="62"/>
        <v>13462.88</v>
      </c>
      <c r="M537" s="2">
        <f t="shared" si="63"/>
        <v>13462.88</v>
      </c>
    </row>
    <row r="538" hidden="1" spans="1:13">
      <c r="A538" s="30">
        <v>45839</v>
      </c>
      <c r="B538" s="1" t="s">
        <v>51</v>
      </c>
      <c r="C538" s="1" t="s">
        <v>41</v>
      </c>
      <c r="D538" s="1" t="s">
        <v>47</v>
      </c>
      <c r="H538" s="2">
        <f t="shared" si="64"/>
        <v>0</v>
      </c>
      <c r="I538" s="2">
        <f t="shared" si="65"/>
        <v>0</v>
      </c>
      <c r="K538" s="2">
        <v>7850</v>
      </c>
      <c r="L538" s="2">
        <f t="shared" si="62"/>
        <v>-7850</v>
      </c>
      <c r="M538" s="2">
        <f t="shared" si="63"/>
        <v>-7850</v>
      </c>
    </row>
    <row r="539" hidden="1" spans="1:13">
      <c r="A539" s="30">
        <v>45839</v>
      </c>
      <c r="B539" s="1" t="s">
        <v>51</v>
      </c>
      <c r="C539" s="1" t="s">
        <v>55</v>
      </c>
      <c r="D539" s="1" t="s">
        <v>47</v>
      </c>
      <c r="H539" s="2">
        <f t="shared" si="64"/>
        <v>0</v>
      </c>
      <c r="I539" s="2">
        <f t="shared" si="65"/>
        <v>0</v>
      </c>
      <c r="J539" s="2">
        <v>14278.48</v>
      </c>
      <c r="L539" s="2">
        <f t="shared" si="62"/>
        <v>14278.48</v>
      </c>
      <c r="M539" s="2">
        <f t="shared" si="63"/>
        <v>14278.48</v>
      </c>
    </row>
    <row r="540" hidden="1" spans="1:13">
      <c r="A540" s="31">
        <v>45839</v>
      </c>
      <c r="B540" s="11" t="s">
        <v>41</v>
      </c>
      <c r="C540" s="11" t="s">
        <v>71</v>
      </c>
      <c r="D540" s="11" t="s">
        <v>45</v>
      </c>
      <c r="E540" s="12"/>
      <c r="F540" s="12">
        <f>21258731.41-21258731.41</f>
        <v>0</v>
      </c>
      <c r="G540" s="12">
        <f>21970995.31-21258731.41-712262.9</f>
        <v>0.999999998486601</v>
      </c>
      <c r="H540" s="12">
        <f t="shared" si="64"/>
        <v>-0.999999998486601</v>
      </c>
      <c r="I540" s="12">
        <f t="shared" si="65"/>
        <v>-0.999999998486601</v>
      </c>
      <c r="J540" s="12"/>
      <c r="K540" s="12"/>
      <c r="L540" s="12">
        <f t="shared" si="62"/>
        <v>0</v>
      </c>
      <c r="M540" s="12">
        <f t="shared" si="63"/>
        <v>-0.999999998486601</v>
      </c>
    </row>
    <row r="541" hidden="1" spans="1:13">
      <c r="A541" s="30">
        <v>45839</v>
      </c>
      <c r="B541" s="1" t="s">
        <v>41</v>
      </c>
      <c r="C541" s="1" t="s">
        <v>160</v>
      </c>
      <c r="D541" s="1" t="s">
        <v>45</v>
      </c>
      <c r="F541" s="2">
        <v>965</v>
      </c>
      <c r="G541" s="2">
        <v>965</v>
      </c>
      <c r="H541" s="2">
        <f t="shared" si="64"/>
        <v>0</v>
      </c>
      <c r="I541" s="2">
        <f t="shared" si="65"/>
        <v>0</v>
      </c>
      <c r="L541" s="2">
        <f t="shared" si="62"/>
        <v>0</v>
      </c>
      <c r="M541" s="2">
        <f t="shared" si="63"/>
        <v>0</v>
      </c>
    </row>
    <row r="542" hidden="1" spans="1:13">
      <c r="A542" s="30">
        <v>45839</v>
      </c>
      <c r="B542" s="1" t="s">
        <v>41</v>
      </c>
      <c r="C542" s="1" t="s">
        <v>51</v>
      </c>
      <c r="D542" s="1" t="s">
        <v>52</v>
      </c>
      <c r="H542" s="2">
        <f t="shared" si="64"/>
        <v>0</v>
      </c>
      <c r="I542" s="2">
        <f t="shared" si="65"/>
        <v>0</v>
      </c>
      <c r="K542" s="2">
        <v>13462.88</v>
      </c>
      <c r="L542" s="2">
        <f t="shared" si="62"/>
        <v>-13462.88</v>
      </c>
      <c r="M542" s="2">
        <f t="shared" si="63"/>
        <v>-13462.88</v>
      </c>
    </row>
    <row r="543" hidden="1" spans="1:13">
      <c r="A543" s="30">
        <v>45839</v>
      </c>
      <c r="B543" s="1" t="s">
        <v>41</v>
      </c>
      <c r="C543" s="1" t="s">
        <v>51</v>
      </c>
      <c r="D543" s="1" t="s">
        <v>47</v>
      </c>
      <c r="H543" s="2">
        <f t="shared" si="64"/>
        <v>0</v>
      </c>
      <c r="I543" s="2">
        <f t="shared" si="65"/>
        <v>0</v>
      </c>
      <c r="J543" s="2">
        <v>7850</v>
      </c>
      <c r="L543" s="2">
        <f t="shared" si="62"/>
        <v>7850</v>
      </c>
      <c r="M543" s="2">
        <f t="shared" si="63"/>
        <v>7850</v>
      </c>
    </row>
    <row r="544" hidden="1" spans="1:13">
      <c r="A544" s="30">
        <v>45839</v>
      </c>
      <c r="B544" s="1" t="s">
        <v>258</v>
      </c>
      <c r="C544" s="1" t="s">
        <v>113</v>
      </c>
      <c r="D544" s="1" t="s">
        <v>48</v>
      </c>
      <c r="F544" s="2">
        <v>3507704.72999999</v>
      </c>
      <c r="G544" s="2">
        <v>3440934.83999999</v>
      </c>
      <c r="H544" s="2">
        <f t="shared" si="64"/>
        <v>66769.8900000001</v>
      </c>
      <c r="I544" s="2">
        <f t="shared" si="65"/>
        <v>66769.8900000001</v>
      </c>
      <c r="L544" s="2">
        <f t="shared" si="62"/>
        <v>0</v>
      </c>
      <c r="M544" s="2">
        <f t="shared" si="63"/>
        <v>66769.8900000001</v>
      </c>
    </row>
    <row r="545" hidden="1" spans="1:13">
      <c r="A545" s="30">
        <v>45839</v>
      </c>
      <c r="B545" s="1" t="s">
        <v>258</v>
      </c>
      <c r="C545" s="1" t="s">
        <v>41</v>
      </c>
      <c r="D545" s="1" t="s">
        <v>48</v>
      </c>
      <c r="F545" s="2">
        <v>2967.15</v>
      </c>
      <c r="G545" s="2">
        <v>2910.6</v>
      </c>
      <c r="H545" s="2">
        <f t="shared" si="64"/>
        <v>56.5500000000002</v>
      </c>
      <c r="I545" s="2">
        <f t="shared" si="65"/>
        <v>56.5500000000002</v>
      </c>
      <c r="L545" s="2">
        <f t="shared" si="62"/>
        <v>0</v>
      </c>
      <c r="M545" s="2">
        <f t="shared" si="63"/>
        <v>56.5500000000002</v>
      </c>
    </row>
    <row r="546" hidden="1" spans="1:13">
      <c r="A546" s="30">
        <v>45839</v>
      </c>
      <c r="B546" s="1" t="s">
        <v>259</v>
      </c>
      <c r="C546" s="1" t="s">
        <v>41</v>
      </c>
      <c r="D546" s="1" t="s">
        <v>42</v>
      </c>
      <c r="F546" s="2">
        <v>481989.919999999</v>
      </c>
      <c r="G546" s="2">
        <v>474846.42</v>
      </c>
      <c r="H546" s="2">
        <f t="shared" si="64"/>
        <v>7143.49999999901</v>
      </c>
      <c r="I546" s="2">
        <f t="shared" si="65"/>
        <v>7143.49999999901</v>
      </c>
      <c r="L546" s="2">
        <f t="shared" si="62"/>
        <v>0</v>
      </c>
      <c r="M546" s="2">
        <f t="shared" si="63"/>
        <v>7143.49999999901</v>
      </c>
    </row>
    <row r="547" hidden="1" spans="1:13">
      <c r="A547" s="30">
        <v>45839</v>
      </c>
      <c r="B547" s="1" t="s">
        <v>259</v>
      </c>
      <c r="C547" s="1" t="s">
        <v>43</v>
      </c>
      <c r="D547" s="1" t="s">
        <v>42</v>
      </c>
      <c r="F547" s="2">
        <v>451127.885999999</v>
      </c>
      <c r="G547" s="2">
        <v>439295.552999999</v>
      </c>
      <c r="H547" s="2">
        <f t="shared" si="64"/>
        <v>11832.333</v>
      </c>
      <c r="I547" s="2">
        <f t="shared" si="65"/>
        <v>11832.333</v>
      </c>
      <c r="L547" s="2">
        <f t="shared" si="62"/>
        <v>0</v>
      </c>
      <c r="M547" s="2">
        <f t="shared" si="63"/>
        <v>11832.333</v>
      </c>
    </row>
    <row r="548" hidden="1" spans="1:13">
      <c r="A548" s="30">
        <v>45839</v>
      </c>
      <c r="B548" s="1" t="s">
        <v>260</v>
      </c>
      <c r="C548" s="1" t="s">
        <v>51</v>
      </c>
      <c r="D548" s="1" t="s">
        <v>52</v>
      </c>
      <c r="H548" s="2">
        <f t="shared" si="64"/>
        <v>0</v>
      </c>
      <c r="I548" s="2">
        <f t="shared" si="65"/>
        <v>0</v>
      </c>
      <c r="K548" s="2">
        <v>8.05</v>
      </c>
      <c r="L548" s="2">
        <f t="shared" si="62"/>
        <v>-8.05</v>
      </c>
      <c r="M548" s="2">
        <f t="shared" si="63"/>
        <v>-8.05</v>
      </c>
    </row>
    <row r="549" hidden="1" spans="1:13">
      <c r="A549" s="30">
        <v>45839</v>
      </c>
      <c r="B549" s="1" t="s">
        <v>261</v>
      </c>
      <c r="C549" s="1" t="s">
        <v>87</v>
      </c>
      <c r="D549" s="1" t="s">
        <v>42</v>
      </c>
      <c r="F549" s="2">
        <v>6436.49999999999</v>
      </c>
      <c r="G549" s="2">
        <v>6433.39999999999</v>
      </c>
      <c r="H549" s="2">
        <f t="shared" si="64"/>
        <v>3.10000000000036</v>
      </c>
      <c r="I549" s="2">
        <f t="shared" si="65"/>
        <v>3.10000000000036</v>
      </c>
      <c r="L549" s="2">
        <f t="shared" si="62"/>
        <v>0</v>
      </c>
      <c r="M549" s="2">
        <f t="shared" si="63"/>
        <v>3.10000000000036</v>
      </c>
    </row>
    <row r="550" hidden="1" spans="1:13">
      <c r="A550" s="30">
        <v>45839</v>
      </c>
      <c r="B550" s="1" t="s">
        <v>261</v>
      </c>
      <c r="C550" s="1" t="s">
        <v>41</v>
      </c>
      <c r="D550" s="1" t="s">
        <v>42</v>
      </c>
      <c r="F550" s="2">
        <v>130138.509999999</v>
      </c>
      <c r="G550" s="2">
        <v>128024.509999999</v>
      </c>
      <c r="H550" s="2">
        <f t="shared" si="64"/>
        <v>2114</v>
      </c>
      <c r="I550" s="2">
        <f t="shared" si="65"/>
        <v>2114</v>
      </c>
      <c r="L550" s="2">
        <f t="shared" si="62"/>
        <v>0</v>
      </c>
      <c r="M550" s="2">
        <f t="shared" si="63"/>
        <v>2114</v>
      </c>
    </row>
    <row r="551" hidden="1" spans="1:13">
      <c r="A551" s="30">
        <v>45839</v>
      </c>
      <c r="B551" s="1" t="s">
        <v>261</v>
      </c>
      <c r="C551" s="1" t="s">
        <v>43</v>
      </c>
      <c r="D551" s="1" t="s">
        <v>42</v>
      </c>
      <c r="F551" s="2">
        <v>409900.929399999</v>
      </c>
      <c r="G551" s="2">
        <v>407159.119399999</v>
      </c>
      <c r="H551" s="2">
        <f t="shared" si="64"/>
        <v>2741.81</v>
      </c>
      <c r="I551" s="2">
        <f t="shared" si="65"/>
        <v>2741.81</v>
      </c>
      <c r="L551" s="2">
        <f t="shared" si="62"/>
        <v>0</v>
      </c>
      <c r="M551" s="2">
        <f t="shared" si="63"/>
        <v>2741.81</v>
      </c>
    </row>
    <row r="552" hidden="1" spans="1:13">
      <c r="A552" s="30">
        <v>45839</v>
      </c>
      <c r="B552" s="1" t="s">
        <v>261</v>
      </c>
      <c r="C552" s="1" t="s">
        <v>57</v>
      </c>
      <c r="D552" s="1" t="s">
        <v>42</v>
      </c>
      <c r="F552" s="2">
        <v>398509.783499999</v>
      </c>
      <c r="G552" s="2">
        <v>398025.483499999</v>
      </c>
      <c r="H552" s="2">
        <f t="shared" si="64"/>
        <v>484.299999999988</v>
      </c>
      <c r="I552" s="2">
        <f t="shared" si="65"/>
        <v>484.299999999988</v>
      </c>
      <c r="L552" s="2">
        <f t="shared" ref="L552:L588" si="66">J552-K552</f>
        <v>0</v>
      </c>
      <c r="M552" s="2">
        <f t="shared" ref="M552:M588" si="67">I552+L552</f>
        <v>484.299999999988</v>
      </c>
    </row>
    <row r="553" hidden="1" spans="1:13">
      <c r="A553" s="30">
        <v>45839</v>
      </c>
      <c r="B553" s="1" t="s">
        <v>262</v>
      </c>
      <c r="C553" s="1" t="s">
        <v>146</v>
      </c>
      <c r="D553" s="1" t="s">
        <v>52</v>
      </c>
      <c r="E553" s="2">
        <v>990</v>
      </c>
      <c r="H553" s="2">
        <f t="shared" si="64"/>
        <v>0</v>
      </c>
      <c r="I553" s="2">
        <f t="shared" si="65"/>
        <v>990</v>
      </c>
      <c r="L553" s="2">
        <f t="shared" si="66"/>
        <v>0</v>
      </c>
      <c r="M553" s="2">
        <f t="shared" si="67"/>
        <v>990</v>
      </c>
    </row>
    <row r="554" hidden="1" spans="1:13">
      <c r="A554" s="30">
        <v>45839</v>
      </c>
      <c r="B554" s="1" t="s">
        <v>263</v>
      </c>
      <c r="C554" s="1" t="s">
        <v>114</v>
      </c>
      <c r="D554" s="1" t="s">
        <v>47</v>
      </c>
      <c r="H554" s="2">
        <f t="shared" si="64"/>
        <v>0</v>
      </c>
      <c r="I554" s="2">
        <f t="shared" si="65"/>
        <v>0</v>
      </c>
      <c r="K554" s="2">
        <v>18892.27</v>
      </c>
      <c r="L554" s="2">
        <f t="shared" si="66"/>
        <v>-18892.27</v>
      </c>
      <c r="M554" s="2">
        <f t="shared" si="67"/>
        <v>-18892.27</v>
      </c>
    </row>
    <row r="555" hidden="1" spans="1:13">
      <c r="A555" s="30">
        <v>45839</v>
      </c>
      <c r="B555" s="1" t="s">
        <v>264</v>
      </c>
      <c r="C555" s="1" t="s">
        <v>43</v>
      </c>
      <c r="D555" s="1" t="s">
        <v>90</v>
      </c>
      <c r="F555" s="2">
        <v>10052.25</v>
      </c>
      <c r="G555" s="2">
        <v>9883.8</v>
      </c>
      <c r="H555" s="2">
        <f t="shared" si="64"/>
        <v>168.450000000001</v>
      </c>
      <c r="I555" s="2">
        <f t="shared" si="65"/>
        <v>168.450000000001</v>
      </c>
      <c r="L555" s="2">
        <f t="shared" si="66"/>
        <v>0</v>
      </c>
      <c r="M555" s="2">
        <f t="shared" si="67"/>
        <v>168.450000000001</v>
      </c>
    </row>
    <row r="556" hidden="1" spans="1:13">
      <c r="A556" s="30">
        <v>45839</v>
      </c>
      <c r="B556" s="1" t="s">
        <v>265</v>
      </c>
      <c r="C556" s="1" t="s">
        <v>41</v>
      </c>
      <c r="D556" s="1" t="s">
        <v>42</v>
      </c>
      <c r="F556" s="2">
        <v>137.88</v>
      </c>
      <c r="H556" s="2">
        <f t="shared" si="64"/>
        <v>137.88</v>
      </c>
      <c r="I556" s="2">
        <f t="shared" si="65"/>
        <v>137.88</v>
      </c>
      <c r="L556" s="2">
        <f t="shared" si="66"/>
        <v>0</v>
      </c>
      <c r="M556" s="2">
        <f t="shared" si="67"/>
        <v>137.88</v>
      </c>
    </row>
    <row r="557" hidden="1" spans="1:13">
      <c r="A557" s="30">
        <v>45839</v>
      </c>
      <c r="B557" s="1" t="s">
        <v>265</v>
      </c>
      <c r="C557" s="1" t="s">
        <v>43</v>
      </c>
      <c r="D557" s="1" t="s">
        <v>42</v>
      </c>
      <c r="E557" s="2">
        <v>2334</v>
      </c>
      <c r="F557" s="2">
        <v>47656.87</v>
      </c>
      <c r="G557" s="2">
        <v>45880</v>
      </c>
      <c r="H557" s="2">
        <f t="shared" si="64"/>
        <v>1776.87</v>
      </c>
      <c r="I557" s="2">
        <f t="shared" si="65"/>
        <v>4110.87</v>
      </c>
      <c r="L557" s="2">
        <f t="shared" si="66"/>
        <v>0</v>
      </c>
      <c r="M557" s="2">
        <f t="shared" si="67"/>
        <v>4110.87</v>
      </c>
    </row>
    <row r="558" hidden="1" spans="1:13">
      <c r="A558" s="30">
        <v>45839</v>
      </c>
      <c r="B558" s="1" t="s">
        <v>266</v>
      </c>
      <c r="C558" s="1" t="s">
        <v>43</v>
      </c>
      <c r="D558" s="1" t="s">
        <v>42</v>
      </c>
      <c r="F558" s="2">
        <v>24.2</v>
      </c>
      <c r="G558" s="2">
        <v>24</v>
      </c>
      <c r="H558" s="2">
        <f t="shared" si="64"/>
        <v>0.199999999999999</v>
      </c>
      <c r="I558" s="2">
        <f t="shared" si="65"/>
        <v>0.199999999999999</v>
      </c>
      <c r="L558" s="2">
        <f t="shared" si="66"/>
        <v>0</v>
      </c>
      <c r="M558" s="2">
        <f t="shared" si="67"/>
        <v>0.199999999999999</v>
      </c>
    </row>
    <row r="559" hidden="1" spans="1:13">
      <c r="A559" s="30">
        <v>45839</v>
      </c>
      <c r="B559" s="1" t="s">
        <v>267</v>
      </c>
      <c r="C559" s="1" t="s">
        <v>43</v>
      </c>
      <c r="D559" s="1" t="s">
        <v>42</v>
      </c>
      <c r="F559" s="2">
        <v>1</v>
      </c>
      <c r="H559" s="2">
        <f t="shared" si="64"/>
        <v>1</v>
      </c>
      <c r="I559" s="2">
        <f t="shared" si="65"/>
        <v>1</v>
      </c>
      <c r="L559" s="2">
        <f t="shared" si="66"/>
        <v>0</v>
      </c>
      <c r="M559" s="2">
        <f t="shared" si="67"/>
        <v>1</v>
      </c>
    </row>
    <row r="560" hidden="1" spans="1:13">
      <c r="A560" s="30">
        <v>45839</v>
      </c>
      <c r="B560" s="1" t="s">
        <v>267</v>
      </c>
      <c r="C560" s="1" t="s">
        <v>57</v>
      </c>
      <c r="D560" s="1" t="s">
        <v>42</v>
      </c>
      <c r="F560" s="2">
        <v>-32.2999999999999</v>
      </c>
      <c r="G560" s="2">
        <v>-32.2999999999999</v>
      </c>
      <c r="H560" s="2">
        <f t="shared" si="64"/>
        <v>0</v>
      </c>
      <c r="I560" s="2">
        <f t="shared" si="65"/>
        <v>0</v>
      </c>
      <c r="L560" s="2">
        <f t="shared" si="66"/>
        <v>0</v>
      </c>
      <c r="M560" s="2">
        <f t="shared" si="67"/>
        <v>0</v>
      </c>
    </row>
    <row r="561" hidden="1" spans="1:13">
      <c r="A561" s="30">
        <v>45839</v>
      </c>
      <c r="B561" s="1" t="s">
        <v>268</v>
      </c>
      <c r="C561" s="1" t="s">
        <v>43</v>
      </c>
      <c r="D561" s="1" t="s">
        <v>47</v>
      </c>
      <c r="G561" s="2">
        <v>-5.24</v>
      </c>
      <c r="H561" s="2">
        <f t="shared" si="64"/>
        <v>5.24</v>
      </c>
      <c r="I561" s="2">
        <f t="shared" si="65"/>
        <v>5.24</v>
      </c>
      <c r="L561" s="2">
        <f t="shared" si="66"/>
        <v>0</v>
      </c>
      <c r="M561" s="2">
        <f t="shared" si="67"/>
        <v>5.24</v>
      </c>
    </row>
    <row r="562" hidden="1" spans="1:13">
      <c r="A562" s="30">
        <v>45839</v>
      </c>
      <c r="B562" s="1" t="s">
        <v>269</v>
      </c>
      <c r="C562" s="1" t="s">
        <v>55</v>
      </c>
      <c r="D562" s="1" t="s">
        <v>42</v>
      </c>
      <c r="F562" s="2">
        <v>60919.04</v>
      </c>
      <c r="G562" s="2">
        <v>60333</v>
      </c>
      <c r="H562" s="2">
        <f t="shared" si="64"/>
        <v>586.040000000001</v>
      </c>
      <c r="I562" s="2">
        <f t="shared" si="65"/>
        <v>586.040000000001</v>
      </c>
      <c r="L562" s="2">
        <f t="shared" si="66"/>
        <v>0</v>
      </c>
      <c r="M562" s="2">
        <f t="shared" si="67"/>
        <v>586.040000000001</v>
      </c>
    </row>
    <row r="563" hidden="1" spans="1:13">
      <c r="A563" s="30">
        <v>45839</v>
      </c>
      <c r="B563" s="1" t="s">
        <v>269</v>
      </c>
      <c r="C563" s="1" t="s">
        <v>43</v>
      </c>
      <c r="D563" s="1" t="s">
        <v>42</v>
      </c>
      <c r="F563" s="2">
        <v>32401.7</v>
      </c>
      <c r="G563" s="2">
        <v>32221.8</v>
      </c>
      <c r="H563" s="2">
        <f t="shared" si="64"/>
        <v>179.900000000001</v>
      </c>
      <c r="I563" s="2">
        <f t="shared" si="65"/>
        <v>179.900000000001</v>
      </c>
      <c r="L563" s="2">
        <f t="shared" si="66"/>
        <v>0</v>
      </c>
      <c r="M563" s="2">
        <f t="shared" si="67"/>
        <v>179.900000000001</v>
      </c>
    </row>
    <row r="564" hidden="1" spans="1:13">
      <c r="A564" s="30">
        <v>45839</v>
      </c>
      <c r="B564" s="1" t="s">
        <v>270</v>
      </c>
      <c r="C564" s="1" t="s">
        <v>57</v>
      </c>
      <c r="D564" s="1" t="s">
        <v>47</v>
      </c>
      <c r="F564" s="2">
        <v>891.9</v>
      </c>
      <c r="G564" s="2">
        <v>891.9</v>
      </c>
      <c r="H564" s="2">
        <f t="shared" si="64"/>
        <v>0</v>
      </c>
      <c r="I564" s="2">
        <f t="shared" si="65"/>
        <v>0</v>
      </c>
      <c r="L564" s="2">
        <f t="shared" si="66"/>
        <v>0</v>
      </c>
      <c r="M564" s="2">
        <f t="shared" si="67"/>
        <v>0</v>
      </c>
    </row>
    <row r="565" hidden="1" spans="1:13">
      <c r="A565" s="30">
        <v>45839</v>
      </c>
      <c r="B565" s="1" t="s">
        <v>50</v>
      </c>
      <c r="C565" s="1" t="s">
        <v>160</v>
      </c>
      <c r="D565" s="1" t="s">
        <v>45</v>
      </c>
      <c r="F565" s="2">
        <v>1465.39999999999</v>
      </c>
      <c r="G565" s="2">
        <v>238.8</v>
      </c>
      <c r="H565" s="2">
        <f t="shared" si="64"/>
        <v>1226.59999999999</v>
      </c>
      <c r="I565" s="2">
        <f t="shared" si="65"/>
        <v>1226.59999999999</v>
      </c>
      <c r="L565" s="2">
        <f t="shared" si="66"/>
        <v>0</v>
      </c>
      <c r="M565" s="2">
        <f t="shared" si="67"/>
        <v>1226.59999999999</v>
      </c>
    </row>
    <row r="566" hidden="1" spans="1:13">
      <c r="A566" s="30">
        <v>45839</v>
      </c>
      <c r="B566" s="1" t="s">
        <v>271</v>
      </c>
      <c r="C566" s="1" t="s">
        <v>41</v>
      </c>
      <c r="D566" s="1" t="s">
        <v>42</v>
      </c>
      <c r="F566" s="2">
        <v>38.4</v>
      </c>
      <c r="G566" s="2">
        <v>32.64</v>
      </c>
      <c r="H566" s="2">
        <f t="shared" si="64"/>
        <v>5.76</v>
      </c>
      <c r="I566" s="2">
        <f t="shared" si="65"/>
        <v>5.76</v>
      </c>
      <c r="L566" s="2">
        <f t="shared" si="66"/>
        <v>0</v>
      </c>
      <c r="M566" s="2">
        <f t="shared" si="67"/>
        <v>5.76</v>
      </c>
    </row>
    <row r="567" hidden="1" spans="1:13">
      <c r="A567" s="30">
        <v>45839</v>
      </c>
      <c r="B567" s="1" t="s">
        <v>271</v>
      </c>
      <c r="C567" s="1" t="s">
        <v>53</v>
      </c>
      <c r="D567" s="1" t="s">
        <v>42</v>
      </c>
      <c r="F567" s="2">
        <v>38580.5</v>
      </c>
      <c r="G567" s="2">
        <v>37817.04</v>
      </c>
      <c r="H567" s="2">
        <f t="shared" si="64"/>
        <v>763.459999999999</v>
      </c>
      <c r="I567" s="2">
        <f t="shared" si="65"/>
        <v>763.459999999999</v>
      </c>
      <c r="L567" s="2">
        <f t="shared" si="66"/>
        <v>0</v>
      </c>
      <c r="M567" s="2">
        <f t="shared" si="67"/>
        <v>763.459999999999</v>
      </c>
    </row>
    <row r="568" hidden="1" spans="1:13">
      <c r="A568" s="30">
        <v>45839</v>
      </c>
      <c r="B568" s="1" t="s">
        <v>271</v>
      </c>
      <c r="C568" s="1" t="s">
        <v>55</v>
      </c>
      <c r="D568" s="1" t="s">
        <v>42</v>
      </c>
      <c r="F568" s="2">
        <v>416.8</v>
      </c>
      <c r="G568" s="2">
        <v>418</v>
      </c>
      <c r="H568" s="2">
        <f t="shared" si="64"/>
        <v>-1.19999999999999</v>
      </c>
      <c r="I568" s="2">
        <f t="shared" si="65"/>
        <v>-1.19999999999999</v>
      </c>
      <c r="L568" s="2">
        <f t="shared" si="66"/>
        <v>0</v>
      </c>
      <c r="M568" s="2">
        <f t="shared" si="67"/>
        <v>-1.19999999999999</v>
      </c>
    </row>
    <row r="569" hidden="1" spans="1:13">
      <c r="A569" s="30">
        <v>45839</v>
      </c>
      <c r="B569" s="1" t="s">
        <v>271</v>
      </c>
      <c r="C569" s="1" t="s">
        <v>43</v>
      </c>
      <c r="D569" s="1" t="s">
        <v>42</v>
      </c>
      <c r="F569" s="2">
        <v>35333.5</v>
      </c>
      <c r="G569" s="2">
        <v>34583</v>
      </c>
      <c r="H569" s="2">
        <f t="shared" si="64"/>
        <v>750.5</v>
      </c>
      <c r="I569" s="2">
        <f t="shared" si="65"/>
        <v>750.5</v>
      </c>
      <c r="L569" s="2">
        <f t="shared" si="66"/>
        <v>0</v>
      </c>
      <c r="M569" s="2">
        <f t="shared" si="67"/>
        <v>750.5</v>
      </c>
    </row>
    <row r="570" hidden="1" spans="1:13">
      <c r="A570" s="30">
        <v>45839</v>
      </c>
      <c r="B570" s="1" t="s">
        <v>271</v>
      </c>
      <c r="C570" s="1" t="s">
        <v>41</v>
      </c>
      <c r="D570" s="1" t="s">
        <v>48</v>
      </c>
      <c r="F570" s="2">
        <v>25593.88</v>
      </c>
      <c r="G570" s="2">
        <v>25136.186</v>
      </c>
      <c r="H570" s="2">
        <f t="shared" si="64"/>
        <v>457.694</v>
      </c>
      <c r="I570" s="2">
        <f t="shared" si="65"/>
        <v>457.694</v>
      </c>
      <c r="L570" s="2">
        <f t="shared" si="66"/>
        <v>0</v>
      </c>
      <c r="M570" s="2">
        <f t="shared" si="67"/>
        <v>457.694</v>
      </c>
    </row>
    <row r="571" hidden="1" spans="1:13">
      <c r="A571" s="30">
        <v>45839</v>
      </c>
      <c r="B571" s="1" t="s">
        <v>271</v>
      </c>
      <c r="C571" s="1" t="s">
        <v>53</v>
      </c>
      <c r="D571" s="1" t="s">
        <v>48</v>
      </c>
      <c r="F571" s="2">
        <v>12874.95</v>
      </c>
      <c r="G571" s="2">
        <v>12744.86</v>
      </c>
      <c r="H571" s="2">
        <f t="shared" si="64"/>
        <v>130.09</v>
      </c>
      <c r="I571" s="2">
        <f t="shared" si="65"/>
        <v>130.09</v>
      </c>
      <c r="L571" s="2">
        <f t="shared" si="66"/>
        <v>0</v>
      </c>
      <c r="M571" s="2">
        <f t="shared" si="67"/>
        <v>130.09</v>
      </c>
    </row>
    <row r="572" hidden="1" spans="1:13">
      <c r="A572" s="30">
        <v>45839</v>
      </c>
      <c r="B572" s="1" t="s">
        <v>271</v>
      </c>
      <c r="C572" s="1" t="s">
        <v>43</v>
      </c>
      <c r="D572" s="1" t="s">
        <v>48</v>
      </c>
      <c r="F572" s="2">
        <v>1249.2</v>
      </c>
      <c r="G572" s="2">
        <v>1217.425</v>
      </c>
      <c r="H572" s="2">
        <f t="shared" si="64"/>
        <v>31.7750000000001</v>
      </c>
      <c r="I572" s="2">
        <f t="shared" si="65"/>
        <v>31.7750000000001</v>
      </c>
      <c r="L572" s="2">
        <f t="shared" si="66"/>
        <v>0</v>
      </c>
      <c r="M572" s="2">
        <f t="shared" si="67"/>
        <v>31.7750000000001</v>
      </c>
    </row>
    <row r="573" hidden="1" spans="1:13">
      <c r="A573" s="30">
        <v>45839</v>
      </c>
      <c r="B573" s="1" t="s">
        <v>271</v>
      </c>
      <c r="C573" s="1" t="s">
        <v>43</v>
      </c>
      <c r="D573" s="1" t="s">
        <v>90</v>
      </c>
      <c r="F573" s="2">
        <v>151334.55</v>
      </c>
      <c r="G573" s="2">
        <v>148972.37</v>
      </c>
      <c r="H573" s="2">
        <f t="shared" si="64"/>
        <v>2362.17999999999</v>
      </c>
      <c r="I573" s="2">
        <f t="shared" si="65"/>
        <v>2362.17999999999</v>
      </c>
      <c r="L573" s="2">
        <f t="shared" si="66"/>
        <v>0</v>
      </c>
      <c r="M573" s="2">
        <f t="shared" si="67"/>
        <v>2362.17999999999</v>
      </c>
    </row>
    <row r="574" hidden="1" spans="1:13">
      <c r="A574" s="30">
        <v>45839</v>
      </c>
      <c r="B574" s="1" t="s">
        <v>272</v>
      </c>
      <c r="C574" s="1" t="s">
        <v>41</v>
      </c>
      <c r="D574" s="1" t="s">
        <v>42</v>
      </c>
      <c r="F574" s="2">
        <v>-520.6</v>
      </c>
      <c r="G574" s="2">
        <f>-520.199999999999-35050.33</f>
        <v>-35570.53</v>
      </c>
      <c r="H574" s="2">
        <f t="shared" si="64"/>
        <v>35049.93</v>
      </c>
      <c r="I574" s="2">
        <f t="shared" si="65"/>
        <v>35049.93</v>
      </c>
      <c r="L574" s="2">
        <f t="shared" si="66"/>
        <v>0</v>
      </c>
      <c r="M574" s="2">
        <f t="shared" si="67"/>
        <v>35049.93</v>
      </c>
    </row>
    <row r="575" hidden="1" spans="1:13">
      <c r="A575" s="30">
        <v>45839</v>
      </c>
      <c r="B575" s="1" t="s">
        <v>272</v>
      </c>
      <c r="C575" s="1" t="s">
        <v>43</v>
      </c>
      <c r="D575" s="1" t="s">
        <v>42</v>
      </c>
      <c r="F575" s="2">
        <v>-19203.7899999999</v>
      </c>
      <c r="G575" s="2">
        <f>-19504.0284999999-1626465.33</f>
        <v>-1645969.3585</v>
      </c>
      <c r="H575" s="2">
        <f t="shared" si="64"/>
        <v>1626765.5685</v>
      </c>
      <c r="I575" s="2">
        <f t="shared" si="65"/>
        <v>1626765.5685</v>
      </c>
      <c r="L575" s="2">
        <f t="shared" si="66"/>
        <v>0</v>
      </c>
      <c r="M575" s="2">
        <f t="shared" si="67"/>
        <v>1626765.5685</v>
      </c>
    </row>
    <row r="576" hidden="1" spans="1:13">
      <c r="A576" s="30">
        <v>45839</v>
      </c>
      <c r="B576" s="1" t="s">
        <v>273</v>
      </c>
      <c r="C576" s="1" t="s">
        <v>41</v>
      </c>
      <c r="D576" s="1" t="s">
        <v>42</v>
      </c>
      <c r="F576" s="2">
        <v>2.1</v>
      </c>
      <c r="G576" s="2">
        <v>2.1</v>
      </c>
      <c r="H576" s="2">
        <f t="shared" si="64"/>
        <v>0</v>
      </c>
      <c r="I576" s="2">
        <f t="shared" si="65"/>
        <v>0</v>
      </c>
      <c r="L576" s="2">
        <f t="shared" si="66"/>
        <v>0</v>
      </c>
      <c r="M576" s="2">
        <f t="shared" si="67"/>
        <v>0</v>
      </c>
    </row>
    <row r="577" hidden="1" spans="1:13">
      <c r="A577" s="30">
        <v>45839</v>
      </c>
      <c r="B577" s="1" t="s">
        <v>273</v>
      </c>
      <c r="C577" s="1" t="s">
        <v>43</v>
      </c>
      <c r="D577" s="1" t="s">
        <v>42</v>
      </c>
      <c r="F577" s="2">
        <v>1881540.0596</v>
      </c>
      <c r="G577" s="2">
        <v>1841604.41169999</v>
      </c>
      <c r="H577" s="2">
        <f t="shared" si="64"/>
        <v>39935.64790001</v>
      </c>
      <c r="I577" s="2">
        <f t="shared" si="65"/>
        <v>39935.64790001</v>
      </c>
      <c r="L577" s="2">
        <f t="shared" si="66"/>
        <v>0</v>
      </c>
      <c r="M577" s="2">
        <f t="shared" si="67"/>
        <v>39935.64790001</v>
      </c>
    </row>
    <row r="578" hidden="1" spans="1:13">
      <c r="A578" s="30">
        <v>45839</v>
      </c>
      <c r="B578" s="1" t="s">
        <v>274</v>
      </c>
      <c r="C578" s="1" t="s">
        <v>41</v>
      </c>
      <c r="D578" s="1" t="s">
        <v>90</v>
      </c>
      <c r="F578" s="2">
        <v>30410.8</v>
      </c>
      <c r="G578" s="2">
        <v>30446.32</v>
      </c>
      <c r="H578" s="2">
        <f t="shared" ref="H578:H607" si="68">F578-G578</f>
        <v>-35.5200000000004</v>
      </c>
      <c r="I578" s="2">
        <f t="shared" ref="I578:I607" si="69">H578+E578</f>
        <v>-35.5200000000004</v>
      </c>
      <c r="L578" s="2">
        <f t="shared" si="66"/>
        <v>0</v>
      </c>
      <c r="M578" s="2">
        <f t="shared" si="67"/>
        <v>-35.5200000000004</v>
      </c>
    </row>
    <row r="579" hidden="1" spans="1:13">
      <c r="A579" s="30">
        <v>45839</v>
      </c>
      <c r="B579" s="1" t="s">
        <v>274</v>
      </c>
      <c r="C579" s="1" t="s">
        <v>43</v>
      </c>
      <c r="D579" s="1" t="s">
        <v>90</v>
      </c>
      <c r="F579" s="2">
        <v>76938.65</v>
      </c>
      <c r="G579" s="2">
        <v>76083.67</v>
      </c>
      <c r="H579" s="2">
        <f t="shared" si="68"/>
        <v>854.979999999996</v>
      </c>
      <c r="I579" s="2">
        <f t="shared" si="69"/>
        <v>854.979999999996</v>
      </c>
      <c r="L579" s="2">
        <f t="shared" si="66"/>
        <v>0</v>
      </c>
      <c r="M579" s="2">
        <f t="shared" si="67"/>
        <v>854.979999999996</v>
      </c>
    </row>
    <row r="580" hidden="1" spans="1:13">
      <c r="A580" s="30">
        <v>45839</v>
      </c>
      <c r="B580" s="1" t="s">
        <v>275</v>
      </c>
      <c r="C580" s="1" t="s">
        <v>121</v>
      </c>
      <c r="D580" s="1" t="s">
        <v>52</v>
      </c>
      <c r="F580" s="2">
        <v>16995</v>
      </c>
      <c r="G580" s="2">
        <v>15000</v>
      </c>
      <c r="H580" s="2">
        <f t="shared" si="68"/>
        <v>1995</v>
      </c>
      <c r="I580" s="2">
        <f t="shared" si="69"/>
        <v>1995</v>
      </c>
      <c r="L580" s="2">
        <f t="shared" si="66"/>
        <v>0</v>
      </c>
      <c r="M580" s="2">
        <f t="shared" si="67"/>
        <v>1995</v>
      </c>
    </row>
    <row r="581" hidden="1" spans="1:13">
      <c r="A581" s="30">
        <v>45839</v>
      </c>
      <c r="B581" s="1" t="s">
        <v>276</v>
      </c>
      <c r="C581" s="1" t="s">
        <v>121</v>
      </c>
      <c r="D581" s="1" t="s">
        <v>52</v>
      </c>
      <c r="F581" s="2">
        <v>16995</v>
      </c>
      <c r="G581" s="2">
        <v>15000</v>
      </c>
      <c r="H581" s="2">
        <f t="shared" si="68"/>
        <v>1995</v>
      </c>
      <c r="I581" s="2">
        <f t="shared" si="69"/>
        <v>1995</v>
      </c>
      <c r="L581" s="2">
        <f t="shared" si="66"/>
        <v>0</v>
      </c>
      <c r="M581" s="2">
        <f t="shared" si="67"/>
        <v>1995</v>
      </c>
    </row>
    <row r="582" hidden="1" spans="1:13">
      <c r="A582" s="30">
        <v>45839</v>
      </c>
      <c r="B582" s="1" t="s">
        <v>277</v>
      </c>
      <c r="C582" s="1" t="s">
        <v>121</v>
      </c>
      <c r="D582" s="1" t="s">
        <v>52</v>
      </c>
      <c r="F582" s="2">
        <v>45308.6699999999</v>
      </c>
      <c r="G582" s="2">
        <v>39999.9974999999</v>
      </c>
      <c r="H582" s="2">
        <f t="shared" si="68"/>
        <v>5308.67249999999</v>
      </c>
      <c r="I582" s="2">
        <f t="shared" si="69"/>
        <v>5308.67249999999</v>
      </c>
      <c r="L582" s="2">
        <f t="shared" si="66"/>
        <v>0</v>
      </c>
      <c r="M582" s="2">
        <f t="shared" si="67"/>
        <v>5308.67249999999</v>
      </c>
    </row>
    <row r="583" hidden="1" spans="1:13">
      <c r="A583" s="30">
        <v>45839</v>
      </c>
      <c r="B583" s="1" t="s">
        <v>278</v>
      </c>
      <c r="C583" s="1" t="s">
        <v>43</v>
      </c>
      <c r="D583" s="1" t="s">
        <v>42</v>
      </c>
      <c r="E583" s="2">
        <v>34317.57</v>
      </c>
      <c r="F583" s="2">
        <v>7573.8</v>
      </c>
      <c r="G583" s="2">
        <v>7800</v>
      </c>
      <c r="H583" s="2">
        <f t="shared" si="68"/>
        <v>-226.2</v>
      </c>
      <c r="I583" s="2">
        <f t="shared" si="69"/>
        <v>34091.37</v>
      </c>
      <c r="L583" s="2">
        <f t="shared" si="66"/>
        <v>0</v>
      </c>
      <c r="M583" s="2">
        <f t="shared" si="67"/>
        <v>34091.37</v>
      </c>
    </row>
    <row r="584" hidden="1" spans="1:13">
      <c r="A584" s="30">
        <v>45839</v>
      </c>
      <c r="B584" s="1" t="s">
        <v>279</v>
      </c>
      <c r="C584" s="1" t="s">
        <v>64</v>
      </c>
      <c r="D584" s="1" t="s">
        <v>42</v>
      </c>
      <c r="F584" s="2">
        <v>1</v>
      </c>
      <c r="H584" s="2">
        <f t="shared" si="68"/>
        <v>1</v>
      </c>
      <c r="I584" s="2">
        <f t="shared" si="69"/>
        <v>1</v>
      </c>
      <c r="L584" s="2">
        <f t="shared" si="66"/>
        <v>0</v>
      </c>
      <c r="M584" s="2">
        <f t="shared" si="67"/>
        <v>1</v>
      </c>
    </row>
    <row r="585" hidden="1" spans="1:13">
      <c r="A585" s="30">
        <v>45839</v>
      </c>
      <c r="B585" s="1" t="s">
        <v>279</v>
      </c>
      <c r="C585" s="1" t="s">
        <v>41</v>
      </c>
      <c r="D585" s="1" t="s">
        <v>42</v>
      </c>
      <c r="F585" s="2">
        <v>1141.79999999999</v>
      </c>
      <c r="H585" s="2">
        <f t="shared" si="68"/>
        <v>1141.79999999999</v>
      </c>
      <c r="I585" s="2">
        <f t="shared" si="69"/>
        <v>1141.79999999999</v>
      </c>
      <c r="L585" s="2">
        <f t="shared" si="66"/>
        <v>0</v>
      </c>
      <c r="M585" s="2">
        <f t="shared" si="67"/>
        <v>1141.79999999999</v>
      </c>
    </row>
    <row r="586" hidden="1" spans="1:13">
      <c r="A586" s="30">
        <v>45839</v>
      </c>
      <c r="B586" s="1" t="s">
        <v>279</v>
      </c>
      <c r="C586" s="1" t="s">
        <v>55</v>
      </c>
      <c r="D586" s="1" t="s">
        <v>42</v>
      </c>
      <c r="F586" s="2">
        <v>3.4</v>
      </c>
      <c r="H586" s="2">
        <f t="shared" si="68"/>
        <v>3.4</v>
      </c>
      <c r="I586" s="2">
        <f t="shared" si="69"/>
        <v>3.4</v>
      </c>
      <c r="L586" s="2">
        <f t="shared" si="66"/>
        <v>0</v>
      </c>
      <c r="M586" s="2">
        <f t="shared" si="67"/>
        <v>3.4</v>
      </c>
    </row>
    <row r="587" hidden="1" spans="1:13">
      <c r="A587" s="30">
        <v>45839</v>
      </c>
      <c r="B587" s="1" t="s">
        <v>279</v>
      </c>
      <c r="C587" s="1" t="s">
        <v>43</v>
      </c>
      <c r="D587" s="1" t="s">
        <v>42</v>
      </c>
      <c r="E587" s="2">
        <v>20714.51</v>
      </c>
      <c r="F587" s="2">
        <v>7224.025</v>
      </c>
      <c r="H587" s="2">
        <f t="shared" si="68"/>
        <v>7224.025</v>
      </c>
      <c r="I587" s="2">
        <f t="shared" si="69"/>
        <v>27938.535</v>
      </c>
      <c r="L587" s="2">
        <f t="shared" si="66"/>
        <v>0</v>
      </c>
      <c r="M587" s="2">
        <f t="shared" si="67"/>
        <v>27938.535</v>
      </c>
    </row>
    <row r="588" hidden="1" spans="1:13">
      <c r="A588" s="30">
        <v>45839</v>
      </c>
      <c r="B588" s="1" t="s">
        <v>279</v>
      </c>
      <c r="C588" s="1" t="s">
        <v>57</v>
      </c>
      <c r="D588" s="1" t="s">
        <v>42</v>
      </c>
      <c r="F588" s="2">
        <v>719019</v>
      </c>
      <c r="G588" s="2">
        <v>733967.699999999</v>
      </c>
      <c r="H588" s="2">
        <f t="shared" si="68"/>
        <v>-14948.699999999</v>
      </c>
      <c r="I588" s="2">
        <f t="shared" si="69"/>
        <v>-14948.699999999</v>
      </c>
      <c r="L588" s="2">
        <f t="shared" ref="L588:L631" si="70">J588-K588</f>
        <v>0</v>
      </c>
      <c r="M588" s="2">
        <f t="shared" ref="M588:M631" si="71">I588+L588</f>
        <v>-14948.699999999</v>
      </c>
    </row>
    <row r="589" hidden="1" spans="1:13">
      <c r="A589" s="30">
        <v>45839</v>
      </c>
      <c r="B589" s="1" t="s">
        <v>280</v>
      </c>
      <c r="C589" s="1" t="s">
        <v>43</v>
      </c>
      <c r="D589" s="1" t="s">
        <v>42</v>
      </c>
      <c r="F589" s="2">
        <v>191.875</v>
      </c>
      <c r="G589" s="2">
        <v>181.5</v>
      </c>
      <c r="H589" s="2">
        <f t="shared" si="68"/>
        <v>10.375</v>
      </c>
      <c r="I589" s="2">
        <f t="shared" si="69"/>
        <v>10.375</v>
      </c>
      <c r="L589" s="2">
        <f t="shared" si="70"/>
        <v>0</v>
      </c>
      <c r="M589" s="2">
        <f t="shared" si="71"/>
        <v>10.375</v>
      </c>
    </row>
    <row r="590" hidden="1" spans="1:13">
      <c r="A590" s="30">
        <v>45839</v>
      </c>
      <c r="B590" s="1" t="s">
        <v>281</v>
      </c>
      <c r="C590" s="1" t="s">
        <v>43</v>
      </c>
      <c r="D590" s="1" t="s">
        <v>42</v>
      </c>
      <c r="F590" s="2">
        <v>21334.59</v>
      </c>
      <c r="G590" s="2">
        <v>21080.5</v>
      </c>
      <c r="H590" s="2">
        <f t="shared" si="68"/>
        <v>254.09</v>
      </c>
      <c r="I590" s="2">
        <f t="shared" si="69"/>
        <v>254.09</v>
      </c>
      <c r="L590" s="2">
        <f t="shared" si="70"/>
        <v>0</v>
      </c>
      <c r="M590" s="2">
        <f t="shared" si="71"/>
        <v>254.09</v>
      </c>
    </row>
    <row r="591" hidden="1" spans="1:13">
      <c r="A591" s="30">
        <v>45839</v>
      </c>
      <c r="B591" s="1" t="s">
        <v>282</v>
      </c>
      <c r="C591" s="1" t="s">
        <v>57</v>
      </c>
      <c r="D591" s="1" t="s">
        <v>42</v>
      </c>
      <c r="F591" s="2">
        <v>4806.11999999999</v>
      </c>
      <c r="G591" s="2">
        <v>4781.93</v>
      </c>
      <c r="H591" s="2">
        <f t="shared" si="68"/>
        <v>24.1899999999896</v>
      </c>
      <c r="I591" s="2">
        <f t="shared" si="69"/>
        <v>24.1899999999896</v>
      </c>
      <c r="L591" s="2">
        <f t="shared" si="70"/>
        <v>0</v>
      </c>
      <c r="M591" s="2">
        <f t="shared" si="71"/>
        <v>24.1899999999896</v>
      </c>
    </row>
    <row r="592" hidden="1" spans="1:13">
      <c r="A592" s="30">
        <v>45839</v>
      </c>
      <c r="B592" s="1" t="s">
        <v>282</v>
      </c>
      <c r="C592" s="1" t="s">
        <v>57</v>
      </c>
      <c r="D592" s="1" t="s">
        <v>47</v>
      </c>
      <c r="F592" s="2">
        <v>344380</v>
      </c>
      <c r="G592" s="2">
        <f>91200.02+49700</f>
        <v>140900.02</v>
      </c>
      <c r="H592" s="2">
        <f t="shared" si="68"/>
        <v>203479.98</v>
      </c>
      <c r="I592" s="2">
        <f t="shared" si="69"/>
        <v>203479.98</v>
      </c>
      <c r="L592" s="2">
        <f t="shared" si="70"/>
        <v>0</v>
      </c>
      <c r="M592" s="2">
        <f t="shared" si="71"/>
        <v>203479.98</v>
      </c>
    </row>
    <row r="593" hidden="1" spans="1:13">
      <c r="A593" s="30">
        <v>45839</v>
      </c>
      <c r="B593" s="1" t="s">
        <v>283</v>
      </c>
      <c r="C593" s="1" t="s">
        <v>43</v>
      </c>
      <c r="D593" s="1" t="s">
        <v>47</v>
      </c>
      <c r="F593" s="2">
        <v>2846.865</v>
      </c>
      <c r="G593" s="2">
        <v>2704</v>
      </c>
      <c r="H593" s="2">
        <f t="shared" si="68"/>
        <v>142.865</v>
      </c>
      <c r="I593" s="2">
        <f t="shared" si="69"/>
        <v>142.865</v>
      </c>
      <c r="L593" s="2">
        <f t="shared" si="70"/>
        <v>0</v>
      </c>
      <c r="M593" s="2">
        <f t="shared" si="71"/>
        <v>142.865</v>
      </c>
    </row>
    <row r="594" hidden="1" spans="1:13">
      <c r="A594" s="30">
        <v>45839</v>
      </c>
      <c r="B594" s="1" t="s">
        <v>284</v>
      </c>
      <c r="C594" s="1" t="s">
        <v>121</v>
      </c>
      <c r="D594" s="1" t="s">
        <v>52</v>
      </c>
      <c r="F594" s="2">
        <v>16995</v>
      </c>
      <c r="G594" s="2">
        <v>15000</v>
      </c>
      <c r="H594" s="2">
        <f t="shared" si="68"/>
        <v>1995</v>
      </c>
      <c r="I594" s="2">
        <f t="shared" si="69"/>
        <v>1995</v>
      </c>
      <c r="L594" s="2">
        <f t="shared" si="70"/>
        <v>0</v>
      </c>
      <c r="M594" s="2">
        <f t="shared" si="71"/>
        <v>1995</v>
      </c>
    </row>
    <row r="595" hidden="1" spans="1:13">
      <c r="A595" s="30">
        <v>45839</v>
      </c>
      <c r="B595" s="1" t="s">
        <v>285</v>
      </c>
      <c r="C595" s="1" t="s">
        <v>41</v>
      </c>
      <c r="D595" s="1" t="s">
        <v>42</v>
      </c>
      <c r="F595" s="2">
        <v>716.9371</v>
      </c>
      <c r="H595" s="2">
        <f t="shared" si="68"/>
        <v>716.9371</v>
      </c>
      <c r="I595" s="2">
        <f t="shared" si="69"/>
        <v>716.9371</v>
      </c>
      <c r="L595" s="2">
        <f t="shared" si="70"/>
        <v>0</v>
      </c>
      <c r="M595" s="2">
        <f t="shared" si="71"/>
        <v>716.9371</v>
      </c>
    </row>
    <row r="596" hidden="1" spans="1:13">
      <c r="A596" s="30">
        <v>45839</v>
      </c>
      <c r="B596" s="1" t="s">
        <v>286</v>
      </c>
      <c r="C596" s="1" t="s">
        <v>44</v>
      </c>
      <c r="D596" s="1" t="s">
        <v>45</v>
      </c>
      <c r="F596" s="2">
        <v>1</v>
      </c>
      <c r="H596" s="2">
        <f t="shared" si="68"/>
        <v>1</v>
      </c>
      <c r="I596" s="2">
        <f t="shared" si="69"/>
        <v>1</v>
      </c>
      <c r="L596" s="2">
        <f t="shared" si="70"/>
        <v>0</v>
      </c>
      <c r="M596" s="2">
        <f t="shared" si="71"/>
        <v>1</v>
      </c>
    </row>
    <row r="597" hidden="1" spans="1:13">
      <c r="A597" s="30">
        <v>45839</v>
      </c>
      <c r="B597" s="1" t="s">
        <v>287</v>
      </c>
      <c r="C597" s="1" t="s">
        <v>71</v>
      </c>
      <c r="D597" s="1" t="s">
        <v>45</v>
      </c>
      <c r="F597" s="2">
        <v>3822766.9</v>
      </c>
      <c r="G597" s="2">
        <v>3793369.84</v>
      </c>
      <c r="H597" s="2">
        <f t="shared" si="68"/>
        <v>29397.0600000001</v>
      </c>
      <c r="I597" s="2">
        <f t="shared" si="69"/>
        <v>29397.0600000001</v>
      </c>
      <c r="L597" s="2">
        <f t="shared" si="70"/>
        <v>0</v>
      </c>
      <c r="M597" s="2">
        <f t="shared" si="71"/>
        <v>29397.0600000001</v>
      </c>
    </row>
    <row r="598" hidden="1" spans="1:13">
      <c r="A598" s="30">
        <v>45839</v>
      </c>
      <c r="B598" s="1" t="s">
        <v>287</v>
      </c>
      <c r="C598" s="1" t="s">
        <v>44</v>
      </c>
      <c r="D598" s="1" t="s">
        <v>45</v>
      </c>
      <c r="F598" s="2">
        <v>346855.78</v>
      </c>
      <c r="G598" s="2">
        <v>353930.34</v>
      </c>
      <c r="H598" s="2">
        <f t="shared" si="68"/>
        <v>-7074.56</v>
      </c>
      <c r="I598" s="2">
        <f t="shared" si="69"/>
        <v>-7074.56</v>
      </c>
      <c r="L598" s="2">
        <f t="shared" si="70"/>
        <v>0</v>
      </c>
      <c r="M598" s="2">
        <f t="shared" si="71"/>
        <v>-7074.56</v>
      </c>
    </row>
    <row r="599" hidden="1" spans="1:13">
      <c r="A599" s="30">
        <v>45839</v>
      </c>
      <c r="B599" s="1" t="s">
        <v>287</v>
      </c>
      <c r="C599" s="1" t="s">
        <v>146</v>
      </c>
      <c r="D599" s="1" t="s">
        <v>45</v>
      </c>
      <c r="F599" s="2">
        <v>49.91</v>
      </c>
      <c r="G599" s="2">
        <v>0.91</v>
      </c>
      <c r="H599" s="2">
        <f t="shared" si="68"/>
        <v>49</v>
      </c>
      <c r="I599" s="2">
        <f t="shared" si="69"/>
        <v>49</v>
      </c>
      <c r="L599" s="2">
        <f t="shared" si="70"/>
        <v>0</v>
      </c>
      <c r="M599" s="2">
        <f t="shared" si="71"/>
        <v>49</v>
      </c>
    </row>
    <row r="600" hidden="1" spans="1:13">
      <c r="A600" s="30">
        <v>45839</v>
      </c>
      <c r="B600" s="1" t="s">
        <v>287</v>
      </c>
      <c r="C600" s="1" t="s">
        <v>146</v>
      </c>
      <c r="D600" s="1" t="s">
        <v>47</v>
      </c>
      <c r="F600" s="2">
        <v>-5005.66999999999</v>
      </c>
      <c r="G600" s="2">
        <v>-5006.54</v>
      </c>
      <c r="H600" s="2">
        <f t="shared" si="68"/>
        <v>0.870000000009895</v>
      </c>
      <c r="I600" s="2">
        <f t="shared" si="69"/>
        <v>0.870000000009895</v>
      </c>
      <c r="L600" s="2">
        <f t="shared" si="70"/>
        <v>0</v>
      </c>
      <c r="M600" s="2">
        <f t="shared" si="71"/>
        <v>0.870000000009895</v>
      </c>
    </row>
    <row r="601" hidden="1" spans="1:13">
      <c r="A601" s="30">
        <v>45839</v>
      </c>
      <c r="B601" s="1" t="s">
        <v>287</v>
      </c>
      <c r="C601" s="1" t="s">
        <v>43</v>
      </c>
      <c r="D601" s="1" t="s">
        <v>47</v>
      </c>
      <c r="F601" s="2">
        <v>1169.82</v>
      </c>
      <c r="G601" s="2">
        <v>1169.82</v>
      </c>
      <c r="H601" s="2">
        <f t="shared" si="68"/>
        <v>0</v>
      </c>
      <c r="I601" s="2">
        <f t="shared" si="69"/>
        <v>0</v>
      </c>
      <c r="L601" s="2">
        <f t="shared" si="70"/>
        <v>0</v>
      </c>
      <c r="M601" s="2">
        <f t="shared" si="71"/>
        <v>0</v>
      </c>
    </row>
    <row r="602" hidden="1" spans="1:13">
      <c r="A602" s="30">
        <v>45839</v>
      </c>
      <c r="B602" s="1" t="s">
        <v>288</v>
      </c>
      <c r="C602" s="1" t="s">
        <v>64</v>
      </c>
      <c r="D602" s="1" t="s">
        <v>42</v>
      </c>
      <c r="F602" s="2">
        <v>149.76</v>
      </c>
      <c r="H602" s="2">
        <f t="shared" si="68"/>
        <v>149.76</v>
      </c>
      <c r="I602" s="2">
        <f t="shared" si="69"/>
        <v>149.76</v>
      </c>
      <c r="L602" s="2">
        <f t="shared" si="70"/>
        <v>0</v>
      </c>
      <c r="M602" s="2">
        <f t="shared" si="71"/>
        <v>149.76</v>
      </c>
    </row>
    <row r="603" hidden="1" spans="1:13">
      <c r="A603" s="30">
        <v>45839</v>
      </c>
      <c r="B603" s="1" t="s">
        <v>288</v>
      </c>
      <c r="C603" s="1" t="s">
        <v>51</v>
      </c>
      <c r="D603" s="1" t="s">
        <v>42</v>
      </c>
      <c r="F603" s="2">
        <v>72.8899999999999</v>
      </c>
      <c r="H603" s="2">
        <f t="shared" si="68"/>
        <v>72.8899999999999</v>
      </c>
      <c r="I603" s="2">
        <f t="shared" si="69"/>
        <v>72.8899999999999</v>
      </c>
      <c r="L603" s="2">
        <f t="shared" si="70"/>
        <v>0</v>
      </c>
      <c r="M603" s="2">
        <f t="shared" si="71"/>
        <v>72.8899999999999</v>
      </c>
    </row>
    <row r="604" hidden="1" spans="1:13">
      <c r="A604" s="30">
        <v>45839</v>
      </c>
      <c r="B604" s="1" t="s">
        <v>288</v>
      </c>
      <c r="C604" s="1" t="s">
        <v>41</v>
      </c>
      <c r="D604" s="1" t="s">
        <v>42</v>
      </c>
      <c r="F604" s="2">
        <v>3436.54999999999</v>
      </c>
      <c r="H604" s="2">
        <f t="shared" si="68"/>
        <v>3436.54999999999</v>
      </c>
      <c r="I604" s="2">
        <f t="shared" si="69"/>
        <v>3436.54999999999</v>
      </c>
      <c r="L604" s="2">
        <f t="shared" si="70"/>
        <v>0</v>
      </c>
      <c r="M604" s="2">
        <f t="shared" si="71"/>
        <v>3436.54999999999</v>
      </c>
    </row>
    <row r="605" hidden="1" spans="1:13">
      <c r="A605" s="30">
        <v>45839</v>
      </c>
      <c r="B605" s="1" t="s">
        <v>288</v>
      </c>
      <c r="C605" s="1" t="s">
        <v>55</v>
      </c>
      <c r="D605" s="1" t="s">
        <v>42</v>
      </c>
      <c r="F605" s="2">
        <v>4925.1</v>
      </c>
      <c r="H605" s="2">
        <f t="shared" si="68"/>
        <v>4925.1</v>
      </c>
      <c r="I605" s="2">
        <f t="shared" si="69"/>
        <v>4925.1</v>
      </c>
      <c r="L605" s="2">
        <f t="shared" si="70"/>
        <v>0</v>
      </c>
      <c r="M605" s="2">
        <f t="shared" si="71"/>
        <v>4925.1</v>
      </c>
    </row>
    <row r="606" hidden="1" spans="1:13">
      <c r="A606" s="30">
        <v>45839</v>
      </c>
      <c r="B606" s="1" t="s">
        <v>288</v>
      </c>
      <c r="C606" s="1" t="s">
        <v>77</v>
      </c>
      <c r="D606" s="1" t="s">
        <v>42</v>
      </c>
      <c r="F606" s="2">
        <v>373152</v>
      </c>
      <c r="G606" s="2">
        <f>358800+20309.43</f>
        <v>379109.43</v>
      </c>
      <c r="H606" s="2">
        <f t="shared" si="68"/>
        <v>-5957.42999999999</v>
      </c>
      <c r="I606" s="2">
        <f t="shared" si="69"/>
        <v>-5957.42999999999</v>
      </c>
      <c r="L606" s="2">
        <f t="shared" si="70"/>
        <v>0</v>
      </c>
      <c r="M606" s="2">
        <f t="shared" si="71"/>
        <v>-5957.42999999999</v>
      </c>
    </row>
    <row r="607" hidden="1" spans="1:13">
      <c r="A607" s="30">
        <v>45839</v>
      </c>
      <c r="B607" s="1" t="s">
        <v>288</v>
      </c>
      <c r="C607" s="1" t="s">
        <v>197</v>
      </c>
      <c r="D607" s="1" t="s">
        <v>42</v>
      </c>
      <c r="F607" s="2">
        <v>12.75</v>
      </c>
      <c r="H607" s="2">
        <f t="shared" si="68"/>
        <v>12.75</v>
      </c>
      <c r="I607" s="2">
        <f t="shared" si="69"/>
        <v>12.75</v>
      </c>
      <c r="L607" s="2">
        <f t="shared" si="70"/>
        <v>0</v>
      </c>
      <c r="M607" s="2">
        <f t="shared" si="71"/>
        <v>12.75</v>
      </c>
    </row>
    <row r="608" hidden="1" spans="1:13">
      <c r="A608" s="30">
        <v>45839</v>
      </c>
      <c r="B608" s="1" t="s">
        <v>288</v>
      </c>
      <c r="C608" s="1" t="s">
        <v>49</v>
      </c>
      <c r="D608" s="1" t="s">
        <v>42</v>
      </c>
      <c r="F608" s="2">
        <v>1400</v>
      </c>
      <c r="G608" s="2">
        <v>1784</v>
      </c>
      <c r="H608" s="2">
        <f t="shared" ref="H608:H648" si="72">F608-G608</f>
        <v>-384</v>
      </c>
      <c r="I608" s="2">
        <f t="shared" ref="I608:I648" si="73">H608+E608</f>
        <v>-384</v>
      </c>
      <c r="L608" s="2">
        <f t="shared" si="70"/>
        <v>0</v>
      </c>
      <c r="M608" s="2">
        <f t="shared" si="71"/>
        <v>-384</v>
      </c>
    </row>
    <row r="609" hidden="1" spans="1:13">
      <c r="A609" s="30">
        <v>45839</v>
      </c>
      <c r="B609" s="1" t="s">
        <v>288</v>
      </c>
      <c r="C609" s="1" t="s">
        <v>43</v>
      </c>
      <c r="D609" s="1" t="s">
        <v>42</v>
      </c>
      <c r="F609" s="2">
        <f>2072410.4920181+13761.4</f>
        <v>2086171.8920181</v>
      </c>
      <c r="G609" s="2">
        <v>2023392</v>
      </c>
      <c r="H609" s="2">
        <f t="shared" si="72"/>
        <v>62779.8920181</v>
      </c>
      <c r="I609" s="2">
        <f t="shared" si="73"/>
        <v>62779.8920181</v>
      </c>
      <c r="L609" s="2">
        <f t="shared" si="70"/>
        <v>0</v>
      </c>
      <c r="M609" s="2">
        <f t="shared" si="71"/>
        <v>62779.8920181</v>
      </c>
    </row>
    <row r="610" hidden="1" spans="1:13">
      <c r="A610" s="30">
        <v>45839</v>
      </c>
      <c r="B610" s="1" t="s">
        <v>288</v>
      </c>
      <c r="C610" s="1" t="s">
        <v>57</v>
      </c>
      <c r="D610" s="1" t="s">
        <v>42</v>
      </c>
      <c r="F610" s="2">
        <v>516646.8</v>
      </c>
      <c r="G610" s="2">
        <v>526702.8</v>
      </c>
      <c r="H610" s="2">
        <f t="shared" si="72"/>
        <v>-10056.0000000001</v>
      </c>
      <c r="I610" s="2">
        <f t="shared" si="73"/>
        <v>-10056.0000000001</v>
      </c>
      <c r="L610" s="2">
        <f t="shared" si="70"/>
        <v>0</v>
      </c>
      <c r="M610" s="2">
        <f t="shared" si="71"/>
        <v>-10056.0000000001</v>
      </c>
    </row>
    <row r="611" hidden="1" spans="1:13">
      <c r="A611" s="30">
        <v>45839</v>
      </c>
      <c r="B611" s="1" t="s">
        <v>289</v>
      </c>
      <c r="C611" s="1" t="s">
        <v>43</v>
      </c>
      <c r="D611" s="1" t="s">
        <v>42</v>
      </c>
      <c r="F611" s="2">
        <v>24091.6</v>
      </c>
      <c r="G611" s="2">
        <v>23590.24</v>
      </c>
      <c r="H611" s="2">
        <f t="shared" si="72"/>
        <v>501.359999999997</v>
      </c>
      <c r="I611" s="2">
        <f t="shared" si="73"/>
        <v>501.359999999997</v>
      </c>
      <c r="L611" s="2">
        <f t="shared" si="70"/>
        <v>0</v>
      </c>
      <c r="M611" s="2">
        <f t="shared" si="71"/>
        <v>501.359999999997</v>
      </c>
    </row>
    <row r="612" hidden="1" spans="1:13">
      <c r="A612" s="30">
        <v>45839</v>
      </c>
      <c r="B612" s="1" t="s">
        <v>290</v>
      </c>
      <c r="C612" s="1" t="s">
        <v>41</v>
      </c>
      <c r="D612" s="1" t="s">
        <v>47</v>
      </c>
      <c r="F612" s="2">
        <v>148.8918</v>
      </c>
      <c r="G612" s="2">
        <v>143.46</v>
      </c>
      <c r="H612" s="2">
        <f t="shared" si="72"/>
        <v>5.43179999999998</v>
      </c>
      <c r="I612" s="2">
        <f t="shared" si="73"/>
        <v>5.43179999999998</v>
      </c>
      <c r="L612" s="2">
        <f t="shared" si="70"/>
        <v>0</v>
      </c>
      <c r="M612" s="2">
        <f t="shared" si="71"/>
        <v>5.43179999999998</v>
      </c>
    </row>
    <row r="613" hidden="1" spans="1:13">
      <c r="A613" s="30">
        <v>45839</v>
      </c>
      <c r="B613" s="1" t="s">
        <v>290</v>
      </c>
      <c r="C613" s="1" t="s">
        <v>55</v>
      </c>
      <c r="D613" s="1" t="s">
        <v>47</v>
      </c>
      <c r="F613" s="2">
        <v>358.11</v>
      </c>
      <c r="G613" s="2">
        <v>366.809999999999</v>
      </c>
      <c r="H613" s="2">
        <f t="shared" si="72"/>
        <v>-8.69999999999897</v>
      </c>
      <c r="I613" s="2">
        <f t="shared" si="73"/>
        <v>-8.69999999999897</v>
      </c>
      <c r="L613" s="2">
        <f t="shared" si="70"/>
        <v>0</v>
      </c>
      <c r="M613" s="2">
        <f t="shared" si="71"/>
        <v>-8.69999999999897</v>
      </c>
    </row>
    <row r="614" hidden="1" spans="1:13">
      <c r="A614" s="30">
        <v>45839</v>
      </c>
      <c r="B614" s="1" t="s">
        <v>290</v>
      </c>
      <c r="C614" s="1" t="s">
        <v>43</v>
      </c>
      <c r="D614" s="1" t="s">
        <v>47</v>
      </c>
      <c r="F614" s="2">
        <v>110.6</v>
      </c>
      <c r="G614" s="2">
        <v>100.1</v>
      </c>
      <c r="H614" s="2">
        <f t="shared" si="72"/>
        <v>10.5</v>
      </c>
      <c r="I614" s="2">
        <f t="shared" si="73"/>
        <v>10.5</v>
      </c>
      <c r="L614" s="2">
        <f t="shared" si="70"/>
        <v>0</v>
      </c>
      <c r="M614" s="2">
        <f t="shared" si="71"/>
        <v>10.5</v>
      </c>
    </row>
    <row r="615" hidden="1" spans="1:13">
      <c r="A615" s="30">
        <v>45839</v>
      </c>
      <c r="B615" s="1" t="s">
        <v>291</v>
      </c>
      <c r="C615" s="1" t="s">
        <v>43</v>
      </c>
      <c r="D615" s="1" t="s">
        <v>48</v>
      </c>
      <c r="F615" s="2">
        <v>-109.2</v>
      </c>
      <c r="G615" s="2">
        <v>-109.2</v>
      </c>
      <c r="H615" s="2">
        <f t="shared" si="72"/>
        <v>0</v>
      </c>
      <c r="I615" s="2">
        <f t="shared" si="73"/>
        <v>0</v>
      </c>
      <c r="L615" s="2">
        <f t="shared" si="70"/>
        <v>0</v>
      </c>
      <c r="M615" s="2">
        <f t="shared" si="71"/>
        <v>0</v>
      </c>
    </row>
    <row r="616" hidden="1" spans="1:13">
      <c r="A616" s="30">
        <v>45839</v>
      </c>
      <c r="B616" s="1" t="s">
        <v>292</v>
      </c>
      <c r="C616" s="1" t="s">
        <v>41</v>
      </c>
      <c r="D616" s="1" t="s">
        <v>42</v>
      </c>
      <c r="F616" s="2">
        <v>480</v>
      </c>
      <c r="H616" s="2">
        <f t="shared" si="72"/>
        <v>480</v>
      </c>
      <c r="I616" s="2">
        <f t="shared" si="73"/>
        <v>480</v>
      </c>
      <c r="L616" s="2">
        <f t="shared" si="70"/>
        <v>0</v>
      </c>
      <c r="M616" s="2">
        <f t="shared" si="71"/>
        <v>480</v>
      </c>
    </row>
    <row r="617" hidden="1" spans="1:13">
      <c r="A617" s="30">
        <v>45839</v>
      </c>
      <c r="B617" s="1" t="s">
        <v>292</v>
      </c>
      <c r="C617" s="1" t="s">
        <v>43</v>
      </c>
      <c r="D617" s="1" t="s">
        <v>42</v>
      </c>
      <c r="F617" s="2">
        <f>46960.55+84.89</f>
        <v>47045.44</v>
      </c>
      <c r="G617" s="2">
        <v>46795.07</v>
      </c>
      <c r="H617" s="2">
        <f t="shared" si="72"/>
        <v>250.370000000003</v>
      </c>
      <c r="I617" s="2">
        <f t="shared" si="73"/>
        <v>250.370000000003</v>
      </c>
      <c r="L617" s="2">
        <f t="shared" si="70"/>
        <v>0</v>
      </c>
      <c r="M617" s="2">
        <f t="shared" si="71"/>
        <v>250.370000000003</v>
      </c>
    </row>
    <row r="618" hidden="1" spans="1:13">
      <c r="A618" s="30">
        <v>45839</v>
      </c>
      <c r="B618" s="1" t="s">
        <v>293</v>
      </c>
      <c r="C618" s="1" t="s">
        <v>160</v>
      </c>
      <c r="D618" s="1" t="s">
        <v>45</v>
      </c>
      <c r="F618" s="2">
        <v>117822.44</v>
      </c>
      <c r="G618" s="2">
        <v>117774.51</v>
      </c>
      <c r="H618" s="2">
        <f t="shared" si="72"/>
        <v>47.9300000000076</v>
      </c>
      <c r="I618" s="2">
        <f t="shared" si="73"/>
        <v>47.9300000000076</v>
      </c>
      <c r="L618" s="2">
        <f t="shared" si="70"/>
        <v>0</v>
      </c>
      <c r="M618" s="2">
        <f t="shared" si="71"/>
        <v>47.9300000000076</v>
      </c>
    </row>
    <row r="619" hidden="1" spans="1:13">
      <c r="A619" s="30">
        <v>45839</v>
      </c>
      <c r="B619" s="1" t="s">
        <v>293</v>
      </c>
      <c r="C619" s="1" t="s">
        <v>146</v>
      </c>
      <c r="D619" s="1" t="s">
        <v>45</v>
      </c>
      <c r="H619" s="2">
        <f t="shared" si="72"/>
        <v>0</v>
      </c>
      <c r="I619" s="2">
        <f t="shared" si="73"/>
        <v>0</v>
      </c>
      <c r="J619" s="2">
        <v>148332.62</v>
      </c>
      <c r="L619" s="2">
        <f t="shared" si="70"/>
        <v>148332.62</v>
      </c>
      <c r="M619" s="2">
        <f t="shared" si="71"/>
        <v>148332.62</v>
      </c>
    </row>
    <row r="620" hidden="1" spans="1:13">
      <c r="A620" s="30">
        <v>45839</v>
      </c>
      <c r="B620" s="1" t="s">
        <v>294</v>
      </c>
      <c r="C620" s="1" t="s">
        <v>113</v>
      </c>
      <c r="D620" s="1" t="s">
        <v>47</v>
      </c>
      <c r="F620" s="2">
        <v>13.45</v>
      </c>
      <c r="H620" s="2">
        <f t="shared" si="72"/>
        <v>13.45</v>
      </c>
      <c r="I620" s="2">
        <f t="shared" si="73"/>
        <v>13.45</v>
      </c>
      <c r="L620" s="2">
        <f t="shared" si="70"/>
        <v>0</v>
      </c>
      <c r="M620" s="2">
        <f t="shared" si="71"/>
        <v>13.45</v>
      </c>
    </row>
    <row r="621" hidden="1" spans="1:13">
      <c r="A621" s="30">
        <v>45839</v>
      </c>
      <c r="B621" s="1" t="s">
        <v>294</v>
      </c>
      <c r="C621" s="1" t="s">
        <v>41</v>
      </c>
      <c r="D621" s="1" t="s">
        <v>47</v>
      </c>
      <c r="E621" s="2">
        <v>28.8</v>
      </c>
      <c r="F621" s="2">
        <v>4170.45348492831</v>
      </c>
      <c r="G621" s="2">
        <v>2354</v>
      </c>
      <c r="H621" s="2">
        <f t="shared" si="72"/>
        <v>1816.45348492831</v>
      </c>
      <c r="I621" s="2">
        <f t="shared" si="73"/>
        <v>1845.25348492831</v>
      </c>
      <c r="L621" s="2">
        <f t="shared" si="70"/>
        <v>0</v>
      </c>
      <c r="M621" s="2">
        <f t="shared" si="71"/>
        <v>1845.25348492831</v>
      </c>
    </row>
    <row r="622" hidden="1" spans="1:13">
      <c r="A622" s="30">
        <v>45839</v>
      </c>
      <c r="B622" s="1" t="s">
        <v>294</v>
      </c>
      <c r="C622" s="1" t="s">
        <v>55</v>
      </c>
      <c r="D622" s="1" t="s">
        <v>47</v>
      </c>
      <c r="F622" s="2">
        <v>91.43</v>
      </c>
      <c r="H622" s="2">
        <f t="shared" si="72"/>
        <v>91.43</v>
      </c>
      <c r="I622" s="2">
        <f t="shared" si="73"/>
        <v>91.43</v>
      </c>
      <c r="L622" s="2">
        <f t="shared" si="70"/>
        <v>0</v>
      </c>
      <c r="M622" s="2">
        <f t="shared" si="71"/>
        <v>91.43</v>
      </c>
    </row>
    <row r="623" hidden="1" spans="1:13">
      <c r="A623" s="30">
        <v>45839</v>
      </c>
      <c r="B623" s="1" t="s">
        <v>294</v>
      </c>
      <c r="C623" s="1" t="s">
        <v>197</v>
      </c>
      <c r="D623" s="1" t="s">
        <v>47</v>
      </c>
      <c r="F623" s="2">
        <v>23.46</v>
      </c>
      <c r="H623" s="2">
        <f t="shared" si="72"/>
        <v>23.46</v>
      </c>
      <c r="I623" s="2">
        <f t="shared" si="73"/>
        <v>23.46</v>
      </c>
      <c r="L623" s="2">
        <f t="shared" si="70"/>
        <v>0</v>
      </c>
      <c r="M623" s="2">
        <f t="shared" si="71"/>
        <v>23.46</v>
      </c>
    </row>
    <row r="624" hidden="1" spans="1:13">
      <c r="A624" s="30">
        <v>45839</v>
      </c>
      <c r="B624" s="1" t="s">
        <v>294</v>
      </c>
      <c r="C624" s="1" t="s">
        <v>43</v>
      </c>
      <c r="D624" s="1" t="s">
        <v>47</v>
      </c>
      <c r="F624" s="2">
        <f>5818.75366925064-14690</f>
        <v>-8871.24633074936</v>
      </c>
      <c r="H624" s="2">
        <f t="shared" si="72"/>
        <v>-8871.24633074936</v>
      </c>
      <c r="I624" s="2">
        <f t="shared" si="73"/>
        <v>-8871.24633074936</v>
      </c>
      <c r="L624" s="2">
        <f t="shared" si="70"/>
        <v>0</v>
      </c>
      <c r="M624" s="2">
        <f t="shared" si="71"/>
        <v>-8871.24633074936</v>
      </c>
    </row>
    <row r="625" hidden="1" spans="1:13">
      <c r="A625" s="30">
        <v>45839</v>
      </c>
      <c r="B625" s="1" t="s">
        <v>294</v>
      </c>
      <c r="C625" s="1" t="s">
        <v>57</v>
      </c>
      <c r="D625" s="1" t="s">
        <v>47</v>
      </c>
      <c r="E625" s="2">
        <v>199.08</v>
      </c>
      <c r="F625" s="2">
        <f>4542708.0895+4480</f>
        <v>4547188.0895</v>
      </c>
      <c r="G625" s="2">
        <f>4459437.80492944+3858.8</f>
        <v>4463296.60492944</v>
      </c>
      <c r="H625" s="2">
        <f t="shared" si="72"/>
        <v>83891.48457056</v>
      </c>
      <c r="I625" s="2">
        <f t="shared" si="73"/>
        <v>84090.56457056</v>
      </c>
      <c r="J625" s="2">
        <v>587759.81</v>
      </c>
      <c r="K625" s="2">
        <v>20523</v>
      </c>
      <c r="L625" s="2">
        <f t="shared" si="70"/>
        <v>567236.81</v>
      </c>
      <c r="M625" s="2">
        <f t="shared" si="71"/>
        <v>651327.37457056</v>
      </c>
    </row>
    <row r="626" hidden="1" spans="1:13">
      <c r="A626" s="30">
        <v>45839</v>
      </c>
      <c r="B626" s="1" t="s">
        <v>295</v>
      </c>
      <c r="C626" s="1" t="s">
        <v>41</v>
      </c>
      <c r="D626" s="1" t="s">
        <v>45</v>
      </c>
      <c r="G626" s="2">
        <v>68.6899999999999</v>
      </c>
      <c r="H626" s="2">
        <f t="shared" si="72"/>
        <v>-68.6899999999999</v>
      </c>
      <c r="I626" s="2">
        <f t="shared" si="73"/>
        <v>-68.6899999999999</v>
      </c>
      <c r="L626" s="2">
        <f t="shared" si="70"/>
        <v>0</v>
      </c>
      <c r="M626" s="2">
        <f t="shared" si="71"/>
        <v>-68.6899999999999</v>
      </c>
    </row>
    <row r="627" hidden="1" spans="1:13">
      <c r="A627" s="30">
        <v>45839</v>
      </c>
      <c r="B627" s="1" t="s">
        <v>295</v>
      </c>
      <c r="C627" s="1" t="s">
        <v>50</v>
      </c>
      <c r="D627" s="1" t="s">
        <v>45</v>
      </c>
      <c r="E627" s="2">
        <v>35385.41</v>
      </c>
      <c r="F627" s="2">
        <f>1678553.76-8708.52</f>
        <v>1669845.24</v>
      </c>
      <c r="G627" s="2">
        <v>1678553.76</v>
      </c>
      <c r="H627" s="2">
        <f t="shared" si="72"/>
        <v>-8708.52000000002</v>
      </c>
      <c r="I627" s="2">
        <f t="shared" si="73"/>
        <v>26676.89</v>
      </c>
      <c r="L627" s="2">
        <f t="shared" si="70"/>
        <v>0</v>
      </c>
      <c r="M627" s="2">
        <f t="shared" si="71"/>
        <v>26676.89</v>
      </c>
    </row>
    <row r="628" hidden="1" spans="1:13">
      <c r="A628" s="30">
        <v>45839</v>
      </c>
      <c r="B628" s="1" t="s">
        <v>295</v>
      </c>
      <c r="C628" s="1" t="s">
        <v>146</v>
      </c>
      <c r="D628" s="1" t="s">
        <v>45</v>
      </c>
      <c r="E628" s="2">
        <v>47541.41</v>
      </c>
      <c r="F628" s="2">
        <f>1036783.18+6260.8</f>
        <v>1043043.98</v>
      </c>
      <c r="G628" s="2">
        <f>1036783.18+6260.8</f>
        <v>1043043.98</v>
      </c>
      <c r="H628" s="2">
        <f t="shared" si="72"/>
        <v>0</v>
      </c>
      <c r="I628" s="2">
        <f t="shared" si="73"/>
        <v>47541.41</v>
      </c>
      <c r="L628" s="2">
        <f t="shared" si="70"/>
        <v>0</v>
      </c>
      <c r="M628" s="2">
        <f t="shared" si="71"/>
        <v>47541.41</v>
      </c>
    </row>
    <row r="629" hidden="1" spans="1:13">
      <c r="A629" s="30">
        <v>45839</v>
      </c>
      <c r="B629" s="1" t="s">
        <v>295</v>
      </c>
      <c r="C629" s="1" t="s">
        <v>43</v>
      </c>
      <c r="D629" s="1" t="s">
        <v>45</v>
      </c>
      <c r="E629" s="2">
        <v>626.36</v>
      </c>
      <c r="F629" s="2">
        <f>1027902.07999999+31318.2</f>
        <v>1059220.27999999</v>
      </c>
      <c r="G629" s="2">
        <f>1027902.07999999+31318.2</f>
        <v>1059220.27999999</v>
      </c>
      <c r="H629" s="2">
        <f t="shared" si="72"/>
        <v>0</v>
      </c>
      <c r="I629" s="2">
        <f t="shared" si="73"/>
        <v>626.36</v>
      </c>
      <c r="L629" s="2">
        <f t="shared" si="70"/>
        <v>0</v>
      </c>
      <c r="M629" s="2">
        <f t="shared" si="71"/>
        <v>626.36</v>
      </c>
    </row>
    <row r="630" hidden="1" spans="1:13">
      <c r="A630" s="30">
        <v>45839</v>
      </c>
      <c r="B630" s="1" t="s">
        <v>295</v>
      </c>
      <c r="C630" s="1" t="s">
        <v>41</v>
      </c>
      <c r="D630" s="1" t="s">
        <v>48</v>
      </c>
      <c r="F630" s="2">
        <v>98</v>
      </c>
      <c r="G630" s="2">
        <v>98</v>
      </c>
      <c r="H630" s="2">
        <f t="shared" si="72"/>
        <v>0</v>
      </c>
      <c r="I630" s="2">
        <f t="shared" si="73"/>
        <v>0</v>
      </c>
      <c r="L630" s="2">
        <f t="shared" si="70"/>
        <v>0</v>
      </c>
      <c r="M630" s="2">
        <f t="shared" si="71"/>
        <v>0</v>
      </c>
    </row>
    <row r="631" hidden="1" spans="1:13">
      <c r="A631" s="30">
        <v>45839</v>
      </c>
      <c r="B631" s="1" t="s">
        <v>296</v>
      </c>
      <c r="C631" s="1" t="s">
        <v>41</v>
      </c>
      <c r="D631" s="1" t="s">
        <v>45</v>
      </c>
      <c r="F631" s="2">
        <v>13.4</v>
      </c>
      <c r="H631" s="2">
        <f t="shared" si="72"/>
        <v>13.4</v>
      </c>
      <c r="I631" s="2">
        <f t="shared" si="73"/>
        <v>13.4</v>
      </c>
      <c r="L631" s="2">
        <f t="shared" si="70"/>
        <v>0</v>
      </c>
      <c r="M631" s="2">
        <f t="shared" si="71"/>
        <v>13.4</v>
      </c>
    </row>
    <row r="632" hidden="1" spans="1:13">
      <c r="A632" s="30">
        <v>45839</v>
      </c>
      <c r="B632" s="1" t="s">
        <v>296</v>
      </c>
      <c r="C632" s="1" t="s">
        <v>50</v>
      </c>
      <c r="D632" s="1" t="s">
        <v>45</v>
      </c>
      <c r="E632" s="2">
        <v>107375.42</v>
      </c>
      <c r="F632" s="2">
        <f>7079721-12953.84</f>
        <v>7066767.16</v>
      </c>
      <c r="G632" s="2">
        <v>7079721</v>
      </c>
      <c r="H632" s="2">
        <f t="shared" si="72"/>
        <v>-12953.8399999999</v>
      </c>
      <c r="I632" s="2">
        <f t="shared" si="73"/>
        <v>94421.5800000001</v>
      </c>
      <c r="L632" s="2">
        <f t="shared" ref="L632:L668" si="74">J632-K632</f>
        <v>0</v>
      </c>
      <c r="M632" s="2">
        <f t="shared" ref="M632:M668" si="75">I632+L632</f>
        <v>94421.5800000001</v>
      </c>
    </row>
    <row r="633" hidden="1" spans="1:13">
      <c r="A633" s="30">
        <v>45839</v>
      </c>
      <c r="B633" s="1" t="s">
        <v>296</v>
      </c>
      <c r="C633" s="1" t="s">
        <v>146</v>
      </c>
      <c r="D633" s="1" t="s">
        <v>45</v>
      </c>
      <c r="E633" s="2">
        <f>15992.42+76.91</f>
        <v>16069.33</v>
      </c>
      <c r="F633" s="2">
        <f>548248.8+492.9</f>
        <v>548741.7</v>
      </c>
      <c r="G633" s="2">
        <f>548297.1+492.9</f>
        <v>548790</v>
      </c>
      <c r="H633" s="2">
        <f t="shared" si="72"/>
        <v>-48.2999999999302</v>
      </c>
      <c r="I633" s="2">
        <f t="shared" si="73"/>
        <v>16021.0300000001</v>
      </c>
      <c r="L633" s="2">
        <f t="shared" si="74"/>
        <v>0</v>
      </c>
      <c r="M633" s="2">
        <f t="shared" si="75"/>
        <v>16021.0300000001</v>
      </c>
    </row>
    <row r="634" hidden="1" spans="1:13">
      <c r="A634" s="30">
        <v>45839</v>
      </c>
      <c r="B634" s="1" t="s">
        <v>296</v>
      </c>
      <c r="C634" s="1" t="s">
        <v>43</v>
      </c>
      <c r="D634" s="1" t="s">
        <v>45</v>
      </c>
      <c r="E634" s="2">
        <v>70.52</v>
      </c>
      <c r="F634" s="2">
        <f>38294.12+3525.9</f>
        <v>41820.02</v>
      </c>
      <c r="G634" s="2">
        <f>37973.4+3853.9</f>
        <v>41827.3</v>
      </c>
      <c r="H634" s="2">
        <f t="shared" si="72"/>
        <v>-7.27999999999884</v>
      </c>
      <c r="I634" s="2">
        <f t="shared" si="73"/>
        <v>63.2400000000012</v>
      </c>
      <c r="L634" s="2">
        <f t="shared" si="74"/>
        <v>0</v>
      </c>
      <c r="M634" s="2">
        <f t="shared" si="75"/>
        <v>63.2400000000012</v>
      </c>
    </row>
    <row r="635" hidden="1" spans="1:13">
      <c r="A635" s="30">
        <v>45839</v>
      </c>
      <c r="B635" s="1" t="s">
        <v>296</v>
      </c>
      <c r="C635" s="1" t="s">
        <v>50</v>
      </c>
      <c r="D635" s="1" t="s">
        <v>52</v>
      </c>
      <c r="F635" s="2">
        <v>39050.892</v>
      </c>
      <c r="G635" s="2">
        <v>39050.892</v>
      </c>
      <c r="H635" s="2">
        <f t="shared" si="72"/>
        <v>0</v>
      </c>
      <c r="I635" s="2">
        <f t="shared" si="73"/>
        <v>0</v>
      </c>
      <c r="L635" s="2">
        <f t="shared" si="74"/>
        <v>0</v>
      </c>
      <c r="M635" s="2">
        <f t="shared" si="75"/>
        <v>0</v>
      </c>
    </row>
    <row r="636" hidden="1" spans="1:13">
      <c r="A636" s="30">
        <v>45839</v>
      </c>
      <c r="B636" s="1" t="s">
        <v>296</v>
      </c>
      <c r="C636" s="1" t="s">
        <v>43</v>
      </c>
      <c r="D636" s="1" t="s">
        <v>52</v>
      </c>
      <c r="F636" s="2">
        <v>8.1</v>
      </c>
      <c r="H636" s="2">
        <f t="shared" si="72"/>
        <v>8.1</v>
      </c>
      <c r="I636" s="2">
        <f t="shared" si="73"/>
        <v>8.1</v>
      </c>
      <c r="L636" s="2">
        <f t="shared" si="74"/>
        <v>0</v>
      </c>
      <c r="M636" s="2">
        <f t="shared" si="75"/>
        <v>8.1</v>
      </c>
    </row>
    <row r="637" hidden="1" spans="1:13">
      <c r="A637" s="30">
        <v>45839</v>
      </c>
      <c r="B637" s="1" t="s">
        <v>296</v>
      </c>
      <c r="C637" s="1" t="s">
        <v>54</v>
      </c>
      <c r="D637" s="1" t="s">
        <v>47</v>
      </c>
      <c r="F637" s="2">
        <v>29.56</v>
      </c>
      <c r="H637" s="2">
        <f t="shared" si="72"/>
        <v>29.56</v>
      </c>
      <c r="I637" s="2">
        <f t="shared" si="73"/>
        <v>29.56</v>
      </c>
      <c r="L637" s="2">
        <f t="shared" si="74"/>
        <v>0</v>
      </c>
      <c r="M637" s="2">
        <f t="shared" si="75"/>
        <v>29.56</v>
      </c>
    </row>
    <row r="638" hidden="1" spans="1:13">
      <c r="A638" s="30">
        <v>45839</v>
      </c>
      <c r="B638" s="1" t="s">
        <v>296</v>
      </c>
      <c r="C638" s="1" t="s">
        <v>64</v>
      </c>
      <c r="D638" s="1" t="s">
        <v>47</v>
      </c>
      <c r="E638" s="2">
        <v>1016424.43</v>
      </c>
      <c r="F638" s="2">
        <v>3993447.1072</v>
      </c>
      <c r="G638" s="2">
        <f>4041335.57148936+793.69</f>
        <v>4042129.26148936</v>
      </c>
      <c r="H638" s="2">
        <f t="shared" si="72"/>
        <v>-48682.1542893602</v>
      </c>
      <c r="I638" s="2">
        <f t="shared" si="73"/>
        <v>967742.27571064</v>
      </c>
      <c r="L638" s="2">
        <f t="shared" si="74"/>
        <v>0</v>
      </c>
      <c r="M638" s="2">
        <f t="shared" si="75"/>
        <v>967742.27571064</v>
      </c>
    </row>
    <row r="639" hidden="1" spans="1:13">
      <c r="A639" s="30">
        <v>45839</v>
      </c>
      <c r="B639" s="1" t="s">
        <v>296</v>
      </c>
      <c r="C639" s="1" t="s">
        <v>51</v>
      </c>
      <c r="D639" s="1" t="s">
        <v>47</v>
      </c>
      <c r="F639" s="2">
        <f>3733.2-3936.2</f>
        <v>-203</v>
      </c>
      <c r="G639" s="2">
        <v>3733.2</v>
      </c>
      <c r="H639" s="2">
        <f t="shared" si="72"/>
        <v>-3936.2</v>
      </c>
      <c r="I639" s="2">
        <f t="shared" si="73"/>
        <v>-3936.2</v>
      </c>
      <c r="L639" s="2">
        <f t="shared" si="74"/>
        <v>0</v>
      </c>
      <c r="M639" s="2">
        <f t="shared" si="75"/>
        <v>-3936.2</v>
      </c>
    </row>
    <row r="640" hidden="1" spans="1:13">
      <c r="A640" s="30">
        <v>45839</v>
      </c>
      <c r="B640" s="1" t="s">
        <v>296</v>
      </c>
      <c r="C640" s="1" t="s">
        <v>87</v>
      </c>
      <c r="D640" s="1" t="s">
        <v>47</v>
      </c>
      <c r="F640" s="2">
        <v>75360</v>
      </c>
      <c r="G640" s="2">
        <v>75360</v>
      </c>
      <c r="H640" s="2">
        <f t="shared" si="72"/>
        <v>0</v>
      </c>
      <c r="I640" s="2">
        <f t="shared" si="73"/>
        <v>0</v>
      </c>
      <c r="L640" s="2">
        <f t="shared" si="74"/>
        <v>0</v>
      </c>
      <c r="M640" s="2">
        <f t="shared" si="75"/>
        <v>0</v>
      </c>
    </row>
    <row r="641" hidden="1" spans="1:13">
      <c r="A641" s="30">
        <v>45839</v>
      </c>
      <c r="B641" s="1" t="s">
        <v>296</v>
      </c>
      <c r="C641" s="1" t="s">
        <v>41</v>
      </c>
      <c r="D641" s="1" t="s">
        <v>47</v>
      </c>
      <c r="F641" s="2">
        <f>-452919.199933719+761818.74+3684.2057+329449.51</f>
        <v>642033.255766281</v>
      </c>
      <c r="G641" s="2">
        <v>4212</v>
      </c>
      <c r="H641" s="2">
        <f t="shared" si="72"/>
        <v>637821.255766281</v>
      </c>
      <c r="I641" s="2">
        <f t="shared" si="73"/>
        <v>637821.255766281</v>
      </c>
      <c r="J641" s="2">
        <v>226040.67</v>
      </c>
      <c r="K641" s="2">
        <v>22500</v>
      </c>
      <c r="L641" s="2">
        <f t="shared" si="74"/>
        <v>203540.67</v>
      </c>
      <c r="M641" s="2">
        <f t="shared" si="75"/>
        <v>841361.925766281</v>
      </c>
    </row>
    <row r="642" hidden="1" spans="1:13">
      <c r="A642" s="30">
        <v>45839</v>
      </c>
      <c r="B642" s="1" t="s">
        <v>296</v>
      </c>
      <c r="C642" s="1" t="s">
        <v>55</v>
      </c>
      <c r="D642" s="1" t="s">
        <v>47</v>
      </c>
      <c r="F642" s="2">
        <v>4887.256</v>
      </c>
      <c r="H642" s="2">
        <f t="shared" si="72"/>
        <v>4887.256</v>
      </c>
      <c r="I642" s="2">
        <f t="shared" si="73"/>
        <v>4887.256</v>
      </c>
      <c r="L642" s="2">
        <f t="shared" si="74"/>
        <v>0</v>
      </c>
      <c r="M642" s="2">
        <f t="shared" si="75"/>
        <v>4887.256</v>
      </c>
    </row>
    <row r="643" hidden="1" spans="1:13">
      <c r="A643" s="30">
        <v>45839</v>
      </c>
      <c r="B643" s="1" t="s">
        <v>296</v>
      </c>
      <c r="C643" s="1" t="s">
        <v>43</v>
      </c>
      <c r="D643" s="1" t="s">
        <v>47</v>
      </c>
      <c r="E643" s="2">
        <v>430974.15</v>
      </c>
      <c r="F643" s="2">
        <f>8571850.62216825+21794.34</f>
        <v>8593644.96216825</v>
      </c>
      <c r="G643" s="2">
        <f>9363509.39+1352.4</f>
        <v>9364861.79</v>
      </c>
      <c r="H643" s="2">
        <f t="shared" si="72"/>
        <v>-771216.827831751</v>
      </c>
      <c r="I643" s="2">
        <f t="shared" si="73"/>
        <v>-340242.677831751</v>
      </c>
      <c r="L643" s="2">
        <f t="shared" si="74"/>
        <v>0</v>
      </c>
      <c r="M643" s="2">
        <f t="shared" si="75"/>
        <v>-340242.677831751</v>
      </c>
    </row>
    <row r="644" hidden="1" spans="1:13">
      <c r="A644" s="30">
        <v>45839</v>
      </c>
      <c r="B644" s="1" t="s">
        <v>296</v>
      </c>
      <c r="C644" s="1" t="s">
        <v>57</v>
      </c>
      <c r="D644" s="1" t="s">
        <v>47</v>
      </c>
      <c r="F644" s="2">
        <v>67331.18</v>
      </c>
      <c r="H644" s="2">
        <f t="shared" si="72"/>
        <v>67331.18</v>
      </c>
      <c r="I644" s="2">
        <f t="shared" si="73"/>
        <v>67331.18</v>
      </c>
      <c r="L644" s="2">
        <f t="shared" si="74"/>
        <v>0</v>
      </c>
      <c r="M644" s="2">
        <f t="shared" si="75"/>
        <v>67331.18</v>
      </c>
    </row>
    <row r="645" hidden="1" spans="1:13">
      <c r="A645" s="30">
        <v>45839</v>
      </c>
      <c r="B645" s="1" t="s">
        <v>296</v>
      </c>
      <c r="C645" s="1" t="s">
        <v>54</v>
      </c>
      <c r="D645" s="1" t="s">
        <v>48</v>
      </c>
      <c r="F645" s="2">
        <v>15</v>
      </c>
      <c r="H645" s="2">
        <f t="shared" si="72"/>
        <v>15</v>
      </c>
      <c r="I645" s="2">
        <f t="shared" si="73"/>
        <v>15</v>
      </c>
      <c r="L645" s="2">
        <f t="shared" si="74"/>
        <v>0</v>
      </c>
      <c r="M645" s="2">
        <f t="shared" si="75"/>
        <v>15</v>
      </c>
    </row>
    <row r="646" hidden="1" spans="1:13">
      <c r="A646" s="30">
        <v>45839</v>
      </c>
      <c r="B646" s="1" t="s">
        <v>296</v>
      </c>
      <c r="C646" s="1" t="s">
        <v>79</v>
      </c>
      <c r="D646" s="1" t="s">
        <v>48</v>
      </c>
      <c r="F646" s="2">
        <v>1617</v>
      </c>
      <c r="H646" s="2">
        <f t="shared" si="72"/>
        <v>1617</v>
      </c>
      <c r="I646" s="2">
        <f t="shared" si="73"/>
        <v>1617</v>
      </c>
      <c r="L646" s="2">
        <f t="shared" si="74"/>
        <v>0</v>
      </c>
      <c r="M646" s="2">
        <f t="shared" si="75"/>
        <v>1617</v>
      </c>
    </row>
    <row r="647" hidden="1" spans="1:13">
      <c r="A647" s="30">
        <v>45839</v>
      </c>
      <c r="B647" s="1" t="s">
        <v>296</v>
      </c>
      <c r="C647" s="1" t="s">
        <v>297</v>
      </c>
      <c r="D647" s="1" t="s">
        <v>48</v>
      </c>
      <c r="F647" s="2">
        <v>3839</v>
      </c>
      <c r="H647" s="2">
        <f t="shared" si="72"/>
        <v>3839</v>
      </c>
      <c r="I647" s="2">
        <f t="shared" si="73"/>
        <v>3839</v>
      </c>
      <c r="L647" s="2">
        <f t="shared" si="74"/>
        <v>0</v>
      </c>
      <c r="M647" s="2">
        <f t="shared" si="75"/>
        <v>3839</v>
      </c>
    </row>
    <row r="648" hidden="1" spans="1:13">
      <c r="A648" s="30">
        <v>45839</v>
      </c>
      <c r="B648" s="1" t="s">
        <v>296</v>
      </c>
      <c r="C648" s="1" t="s">
        <v>41</v>
      </c>
      <c r="D648" s="1" t="s">
        <v>48</v>
      </c>
      <c r="F648" s="2">
        <v>159760.72333333</v>
      </c>
      <c r="H648" s="2">
        <f t="shared" si="72"/>
        <v>159760.72333333</v>
      </c>
      <c r="I648" s="2">
        <f t="shared" si="73"/>
        <v>159760.72333333</v>
      </c>
      <c r="L648" s="2">
        <f t="shared" si="74"/>
        <v>0</v>
      </c>
      <c r="M648" s="2">
        <f t="shared" si="75"/>
        <v>159760.72333333</v>
      </c>
    </row>
    <row r="649" hidden="1" spans="1:13">
      <c r="A649" s="30">
        <v>45839</v>
      </c>
      <c r="B649" s="1" t="s">
        <v>296</v>
      </c>
      <c r="C649" s="1" t="s">
        <v>55</v>
      </c>
      <c r="D649" s="1" t="s">
        <v>48</v>
      </c>
      <c r="F649" s="2">
        <v>-6337.35</v>
      </c>
      <c r="H649" s="2">
        <f t="shared" ref="H649:H697" si="76">F649-G649</f>
        <v>-6337.35</v>
      </c>
      <c r="I649" s="2">
        <f t="shared" ref="I649:I697" si="77">H649+E649</f>
        <v>-6337.35</v>
      </c>
      <c r="L649" s="2">
        <f t="shared" si="74"/>
        <v>0</v>
      </c>
      <c r="M649" s="2">
        <f t="shared" si="75"/>
        <v>-6337.35</v>
      </c>
    </row>
    <row r="650" hidden="1" spans="1:13">
      <c r="A650" s="30">
        <v>45839</v>
      </c>
      <c r="B650" s="1" t="s">
        <v>296</v>
      </c>
      <c r="C650" s="1" t="s">
        <v>43</v>
      </c>
      <c r="D650" s="1" t="s">
        <v>48</v>
      </c>
      <c r="F650" s="2">
        <v>796762.455</v>
      </c>
      <c r="G650" s="2">
        <v>777833.47</v>
      </c>
      <c r="H650" s="2">
        <f t="shared" si="76"/>
        <v>18928.985</v>
      </c>
      <c r="I650" s="2">
        <f t="shared" si="77"/>
        <v>18928.985</v>
      </c>
      <c r="L650" s="2">
        <f t="shared" si="74"/>
        <v>0</v>
      </c>
      <c r="M650" s="2">
        <f t="shared" si="75"/>
        <v>18928.985</v>
      </c>
    </row>
    <row r="651" hidden="1" spans="1:13">
      <c r="A651" s="30">
        <v>45839</v>
      </c>
      <c r="B651" s="1" t="s">
        <v>296</v>
      </c>
      <c r="C651" s="1" t="s">
        <v>57</v>
      </c>
      <c r="D651" s="1" t="s">
        <v>48</v>
      </c>
      <c r="F651" s="2">
        <v>9805.35</v>
      </c>
      <c r="H651" s="2">
        <f t="shared" si="76"/>
        <v>9805.35</v>
      </c>
      <c r="I651" s="2">
        <f t="shared" si="77"/>
        <v>9805.35</v>
      </c>
      <c r="L651" s="2">
        <f t="shared" si="74"/>
        <v>0</v>
      </c>
      <c r="M651" s="2">
        <f t="shared" si="75"/>
        <v>9805.35</v>
      </c>
    </row>
    <row r="652" hidden="1" spans="1:13">
      <c r="A652" s="30">
        <v>45839</v>
      </c>
      <c r="B652" s="1" t="s">
        <v>298</v>
      </c>
      <c r="C652" s="1" t="s">
        <v>113</v>
      </c>
      <c r="D652" s="1" t="s">
        <v>47</v>
      </c>
      <c r="F652" s="2">
        <v>3033</v>
      </c>
      <c r="H652" s="2">
        <f t="shared" si="76"/>
        <v>3033</v>
      </c>
      <c r="I652" s="2">
        <f t="shared" si="77"/>
        <v>3033</v>
      </c>
      <c r="L652" s="2">
        <f t="shared" si="74"/>
        <v>0</v>
      </c>
      <c r="M652" s="2">
        <f t="shared" si="75"/>
        <v>3033</v>
      </c>
    </row>
    <row r="653" hidden="1" spans="1:13">
      <c r="A653" s="30">
        <v>45839</v>
      </c>
      <c r="B653" s="1" t="s">
        <v>298</v>
      </c>
      <c r="C653" s="1" t="s">
        <v>41</v>
      </c>
      <c r="D653" s="1" t="s">
        <v>47</v>
      </c>
      <c r="F653" s="2">
        <v>6024.2</v>
      </c>
      <c r="H653" s="2">
        <f t="shared" si="76"/>
        <v>6024.2</v>
      </c>
      <c r="I653" s="2">
        <f t="shared" si="77"/>
        <v>6024.2</v>
      </c>
      <c r="L653" s="2">
        <f t="shared" si="74"/>
        <v>0</v>
      </c>
      <c r="M653" s="2">
        <f t="shared" si="75"/>
        <v>6024.2</v>
      </c>
    </row>
    <row r="654" hidden="1" spans="1:13">
      <c r="A654" s="30">
        <v>45839</v>
      </c>
      <c r="B654" s="1" t="s">
        <v>298</v>
      </c>
      <c r="C654" s="1" t="s">
        <v>43</v>
      </c>
      <c r="D654" s="1" t="s">
        <v>47</v>
      </c>
      <c r="F654" s="2">
        <v>2153.67</v>
      </c>
      <c r="G654" s="2">
        <v>5195.12</v>
      </c>
      <c r="H654" s="2">
        <f t="shared" si="76"/>
        <v>-3041.45</v>
      </c>
      <c r="I654" s="2">
        <f t="shared" si="77"/>
        <v>-3041.45</v>
      </c>
      <c r="J654" s="2">
        <v>676510.27</v>
      </c>
      <c r="K654" s="2">
        <v>231747.42</v>
      </c>
      <c r="L654" s="2">
        <f t="shared" si="74"/>
        <v>444762.85</v>
      </c>
      <c r="M654" s="2">
        <f t="shared" si="75"/>
        <v>441721.4</v>
      </c>
    </row>
    <row r="655" hidden="1" spans="1:13">
      <c r="A655" s="30">
        <v>45839</v>
      </c>
      <c r="B655" s="1" t="s">
        <v>298</v>
      </c>
      <c r="C655" s="1" t="s">
        <v>57</v>
      </c>
      <c r="D655" s="1" t="s">
        <v>47</v>
      </c>
      <c r="E655" s="2">
        <v>9758.75</v>
      </c>
      <c r="F655" s="2">
        <v>106400.2</v>
      </c>
      <c r="G655" s="2">
        <v>113679.95</v>
      </c>
      <c r="H655" s="2">
        <f t="shared" si="76"/>
        <v>-7279.75</v>
      </c>
      <c r="I655" s="2">
        <f t="shared" si="77"/>
        <v>2479</v>
      </c>
      <c r="J655" s="2">
        <v>188298.92</v>
      </c>
      <c r="K655" s="2">
        <v>28743</v>
      </c>
      <c r="L655" s="2">
        <f t="shared" si="74"/>
        <v>159555.92</v>
      </c>
      <c r="M655" s="2">
        <f t="shared" si="75"/>
        <v>162034.92</v>
      </c>
    </row>
    <row r="656" hidden="1" spans="1:13">
      <c r="A656" s="30">
        <v>45839</v>
      </c>
      <c r="B656" s="1" t="s">
        <v>299</v>
      </c>
      <c r="C656" s="1" t="s">
        <v>43</v>
      </c>
      <c r="D656" s="1" t="s">
        <v>47</v>
      </c>
      <c r="F656" s="2">
        <v>863.87</v>
      </c>
      <c r="G656" s="2">
        <v>858</v>
      </c>
      <c r="H656" s="2">
        <f t="shared" si="76"/>
        <v>5.87</v>
      </c>
      <c r="I656" s="2">
        <f t="shared" si="77"/>
        <v>5.87</v>
      </c>
      <c r="L656" s="2">
        <f t="shared" si="74"/>
        <v>0</v>
      </c>
      <c r="M656" s="2">
        <f t="shared" si="75"/>
        <v>5.87</v>
      </c>
    </row>
    <row r="657" hidden="1" spans="1:13">
      <c r="A657" s="30">
        <v>45839</v>
      </c>
      <c r="B657" s="1" t="s">
        <v>300</v>
      </c>
      <c r="C657" s="1" t="s">
        <v>41</v>
      </c>
      <c r="D657" s="1" t="s">
        <v>42</v>
      </c>
      <c r="F657" s="2">
        <f>2341.806+20619.32</f>
        <v>22961.126</v>
      </c>
      <c r="H657" s="2">
        <f t="shared" si="76"/>
        <v>22961.126</v>
      </c>
      <c r="I657" s="2">
        <f t="shared" si="77"/>
        <v>22961.126</v>
      </c>
      <c r="L657" s="2">
        <f t="shared" si="74"/>
        <v>0</v>
      </c>
      <c r="M657" s="2">
        <f t="shared" si="75"/>
        <v>22961.126</v>
      </c>
    </row>
    <row r="658" hidden="1" spans="1:13">
      <c r="A658" s="30">
        <v>45839</v>
      </c>
      <c r="B658" s="1" t="s">
        <v>300</v>
      </c>
      <c r="C658" s="1" t="s">
        <v>55</v>
      </c>
      <c r="D658" s="1" t="s">
        <v>42</v>
      </c>
      <c r="F658" s="2">
        <v>-20.924</v>
      </c>
      <c r="H658" s="2">
        <f t="shared" si="76"/>
        <v>-20.924</v>
      </c>
      <c r="I658" s="2">
        <f t="shared" si="77"/>
        <v>-20.924</v>
      </c>
      <c r="L658" s="2">
        <f t="shared" si="74"/>
        <v>0</v>
      </c>
      <c r="M658" s="2">
        <f t="shared" si="75"/>
        <v>-20.924</v>
      </c>
    </row>
    <row r="659" hidden="1" spans="1:13">
      <c r="A659" s="30">
        <v>45839</v>
      </c>
      <c r="B659" s="1" t="s">
        <v>300</v>
      </c>
      <c r="C659" s="1" t="s">
        <v>77</v>
      </c>
      <c r="D659" s="1" t="s">
        <v>42</v>
      </c>
      <c r="F659" s="2">
        <v>381364.983999999</v>
      </c>
      <c r="G659" s="2">
        <f>351913.5+19919.63</f>
        <v>371833.13</v>
      </c>
      <c r="H659" s="2">
        <f t="shared" si="76"/>
        <v>9531.853999999</v>
      </c>
      <c r="I659" s="2">
        <f t="shared" si="77"/>
        <v>9531.853999999</v>
      </c>
      <c r="L659" s="2">
        <f t="shared" si="74"/>
        <v>0</v>
      </c>
      <c r="M659" s="2">
        <f t="shared" si="75"/>
        <v>9531.853999999</v>
      </c>
    </row>
    <row r="660" hidden="1" spans="1:13">
      <c r="A660" s="30">
        <v>45839</v>
      </c>
      <c r="B660" s="1" t="s">
        <v>300</v>
      </c>
      <c r="C660" s="1" t="s">
        <v>49</v>
      </c>
      <c r="D660" s="1" t="s">
        <v>42</v>
      </c>
      <c r="G660" s="2">
        <v>1.35</v>
      </c>
      <c r="H660" s="2">
        <f t="shared" si="76"/>
        <v>-1.35</v>
      </c>
      <c r="I660" s="2">
        <f t="shared" si="77"/>
        <v>-1.35</v>
      </c>
      <c r="L660" s="2">
        <f t="shared" si="74"/>
        <v>0</v>
      </c>
      <c r="M660" s="2">
        <f t="shared" si="75"/>
        <v>-1.35</v>
      </c>
    </row>
    <row r="661" hidden="1" spans="1:13">
      <c r="A661" s="30">
        <v>45839</v>
      </c>
      <c r="B661" s="1" t="s">
        <v>300</v>
      </c>
      <c r="C661" s="1" t="s">
        <v>43</v>
      </c>
      <c r="D661" s="1" t="s">
        <v>42</v>
      </c>
      <c r="F661" s="2">
        <v>405277.108651159</v>
      </c>
      <c r="G661" s="2">
        <v>401601.199999999</v>
      </c>
      <c r="H661" s="2">
        <f t="shared" si="76"/>
        <v>3675.90865115996</v>
      </c>
      <c r="I661" s="2">
        <f t="shared" si="77"/>
        <v>3675.90865115996</v>
      </c>
      <c r="L661" s="2">
        <f t="shared" si="74"/>
        <v>0</v>
      </c>
      <c r="M661" s="2">
        <f t="shared" si="75"/>
        <v>3675.90865115996</v>
      </c>
    </row>
    <row r="662" hidden="1" spans="1:13">
      <c r="A662" s="30">
        <v>45839</v>
      </c>
      <c r="B662" s="1" t="s">
        <v>301</v>
      </c>
      <c r="C662" s="1" t="s">
        <v>41</v>
      </c>
      <c r="D662" s="1" t="s">
        <v>47</v>
      </c>
      <c r="F662" s="2">
        <v>239.5</v>
      </c>
      <c r="H662" s="2">
        <f t="shared" si="76"/>
        <v>239.5</v>
      </c>
      <c r="I662" s="2">
        <f t="shared" si="77"/>
        <v>239.5</v>
      </c>
      <c r="L662" s="2">
        <f t="shared" si="74"/>
        <v>0</v>
      </c>
      <c r="M662" s="2">
        <f t="shared" si="75"/>
        <v>239.5</v>
      </c>
    </row>
    <row r="663" hidden="1" spans="1:13">
      <c r="A663" s="30">
        <v>45839</v>
      </c>
      <c r="B663" s="1" t="s">
        <v>301</v>
      </c>
      <c r="C663" s="1" t="s">
        <v>57</v>
      </c>
      <c r="D663" s="1" t="s">
        <v>47</v>
      </c>
      <c r="F663" s="2">
        <v>55561.6</v>
      </c>
      <c r="G663" s="2">
        <v>55561.6</v>
      </c>
      <c r="H663" s="2">
        <f t="shared" si="76"/>
        <v>0</v>
      </c>
      <c r="I663" s="2">
        <f t="shared" si="77"/>
        <v>0</v>
      </c>
      <c r="L663" s="2">
        <f t="shared" si="74"/>
        <v>0</v>
      </c>
      <c r="M663" s="2">
        <f t="shared" si="75"/>
        <v>0</v>
      </c>
    </row>
    <row r="664" hidden="1" spans="1:13">
      <c r="A664" s="30">
        <v>45839</v>
      </c>
      <c r="B664" s="1" t="s">
        <v>302</v>
      </c>
      <c r="C664" s="1" t="s">
        <v>160</v>
      </c>
      <c r="D664" s="1" t="s">
        <v>45</v>
      </c>
      <c r="F664" s="2">
        <v>3130.25</v>
      </c>
      <c r="G664" s="2">
        <v>2237.5</v>
      </c>
      <c r="H664" s="2">
        <f t="shared" si="76"/>
        <v>892.75</v>
      </c>
      <c r="I664" s="2">
        <f t="shared" si="77"/>
        <v>892.75</v>
      </c>
      <c r="L664" s="2">
        <f t="shared" si="74"/>
        <v>0</v>
      </c>
      <c r="M664" s="2">
        <f t="shared" si="75"/>
        <v>892.75</v>
      </c>
    </row>
    <row r="665" hidden="1" spans="1:13">
      <c r="A665" s="30">
        <v>45839</v>
      </c>
      <c r="B665" s="1" t="s">
        <v>303</v>
      </c>
      <c r="C665" s="1" t="s">
        <v>146</v>
      </c>
      <c r="D665" s="1" t="s">
        <v>45</v>
      </c>
      <c r="H665" s="2">
        <f t="shared" si="76"/>
        <v>0</v>
      </c>
      <c r="I665" s="2">
        <f t="shared" si="77"/>
        <v>0</v>
      </c>
      <c r="J665" s="2">
        <v>440401.299999999</v>
      </c>
      <c r="K665" s="2">
        <v>148835.09</v>
      </c>
      <c r="L665" s="2">
        <f t="shared" si="74"/>
        <v>291566.209999999</v>
      </c>
      <c r="M665" s="2">
        <f t="shared" si="75"/>
        <v>291566.209999999</v>
      </c>
    </row>
    <row r="666" hidden="1" spans="1:13">
      <c r="A666" s="30">
        <v>45839</v>
      </c>
      <c r="B666" s="1" t="s">
        <v>304</v>
      </c>
      <c r="C666" s="1" t="s">
        <v>41</v>
      </c>
      <c r="D666" s="1" t="s">
        <v>48</v>
      </c>
      <c r="F666" s="2">
        <v>3921628.93</v>
      </c>
      <c r="G666" s="2">
        <v>3754914.912</v>
      </c>
      <c r="H666" s="2">
        <f t="shared" si="76"/>
        <v>166714.018</v>
      </c>
      <c r="I666" s="2">
        <f t="shared" si="77"/>
        <v>166714.018</v>
      </c>
      <c r="L666" s="2">
        <f t="shared" si="74"/>
        <v>0</v>
      </c>
      <c r="M666" s="2">
        <f t="shared" si="75"/>
        <v>166714.018</v>
      </c>
    </row>
    <row r="667" hidden="1" spans="1:13">
      <c r="A667" s="30">
        <v>45839</v>
      </c>
      <c r="B667" s="1" t="s">
        <v>304</v>
      </c>
      <c r="C667" s="1" t="s">
        <v>55</v>
      </c>
      <c r="D667" s="1" t="s">
        <v>48</v>
      </c>
      <c r="F667" s="2">
        <v>4039590.1</v>
      </c>
      <c r="G667" s="2">
        <v>3903552.576</v>
      </c>
      <c r="H667" s="2">
        <f t="shared" si="76"/>
        <v>136037.524</v>
      </c>
      <c r="I667" s="2">
        <f t="shared" si="77"/>
        <v>136037.524</v>
      </c>
      <c r="L667" s="2">
        <f t="shared" si="74"/>
        <v>0</v>
      </c>
      <c r="M667" s="2">
        <f t="shared" si="75"/>
        <v>136037.524</v>
      </c>
    </row>
    <row r="668" hidden="1" spans="1:13">
      <c r="A668" s="30">
        <v>45839</v>
      </c>
      <c r="B668" s="1" t="s">
        <v>304</v>
      </c>
      <c r="C668" s="1" t="s">
        <v>43</v>
      </c>
      <c r="D668" s="1" t="s">
        <v>48</v>
      </c>
      <c r="F668" s="2">
        <v>7449210.97</v>
      </c>
      <c r="G668" s="2">
        <v>7107443.28</v>
      </c>
      <c r="H668" s="2">
        <f t="shared" si="76"/>
        <v>341767.689999999</v>
      </c>
      <c r="I668" s="2">
        <f t="shared" si="77"/>
        <v>341767.689999999</v>
      </c>
      <c r="L668" s="2">
        <f t="shared" si="74"/>
        <v>0</v>
      </c>
      <c r="M668" s="2">
        <f t="shared" si="75"/>
        <v>341767.689999999</v>
      </c>
    </row>
    <row r="669" hidden="1" spans="1:13">
      <c r="A669" s="30">
        <v>45839</v>
      </c>
      <c r="B669" s="1" t="s">
        <v>305</v>
      </c>
      <c r="C669" s="1" t="s">
        <v>41</v>
      </c>
      <c r="D669" s="1" t="s">
        <v>47</v>
      </c>
      <c r="F669" s="2">
        <v>297.7836</v>
      </c>
      <c r="G669" s="2">
        <v>284</v>
      </c>
      <c r="H669" s="2">
        <f t="shared" si="76"/>
        <v>13.7836</v>
      </c>
      <c r="I669" s="2">
        <f t="shared" si="77"/>
        <v>13.7836</v>
      </c>
      <c r="L669" s="2">
        <f t="shared" ref="L669:L706" si="78">J669-K669</f>
        <v>0</v>
      </c>
      <c r="M669" s="2">
        <f t="shared" ref="M669:M706" si="79">I669+L669</f>
        <v>13.7836</v>
      </c>
    </row>
    <row r="670" hidden="1" spans="1:13">
      <c r="A670" s="30">
        <v>45839</v>
      </c>
      <c r="B670" s="1" t="s">
        <v>305</v>
      </c>
      <c r="C670" s="1" t="s">
        <v>55</v>
      </c>
      <c r="D670" s="1" t="s">
        <v>47</v>
      </c>
      <c r="F670" s="2">
        <v>70580.22</v>
      </c>
      <c r="G670" s="2">
        <v>69744.55</v>
      </c>
      <c r="H670" s="2">
        <f t="shared" si="76"/>
        <v>835.669999999998</v>
      </c>
      <c r="I670" s="2">
        <f t="shared" si="77"/>
        <v>835.669999999998</v>
      </c>
      <c r="L670" s="2">
        <f t="shared" si="78"/>
        <v>0</v>
      </c>
      <c r="M670" s="2">
        <f t="shared" si="79"/>
        <v>835.669999999998</v>
      </c>
    </row>
    <row r="671" hidden="1" spans="1:13">
      <c r="A671" s="30">
        <v>45839</v>
      </c>
      <c r="B671" s="1" t="s">
        <v>305</v>
      </c>
      <c r="C671" s="1" t="s">
        <v>43</v>
      </c>
      <c r="D671" s="1" t="s">
        <v>47</v>
      </c>
      <c r="F671" s="2">
        <v>171938.989999999</v>
      </c>
      <c r="G671" s="2">
        <v>171935.239999999</v>
      </c>
      <c r="H671" s="2">
        <f t="shared" si="76"/>
        <v>3.75</v>
      </c>
      <c r="I671" s="2">
        <f t="shared" si="77"/>
        <v>3.75</v>
      </c>
      <c r="L671" s="2">
        <f t="shared" si="78"/>
        <v>0</v>
      </c>
      <c r="M671" s="2">
        <f t="shared" si="79"/>
        <v>3.75</v>
      </c>
    </row>
    <row r="672" hidden="1" spans="1:13">
      <c r="A672" s="30">
        <v>45839</v>
      </c>
      <c r="B672" s="1" t="s">
        <v>306</v>
      </c>
      <c r="C672" s="1" t="s">
        <v>41</v>
      </c>
      <c r="D672" s="1" t="s">
        <v>52</v>
      </c>
      <c r="H672" s="2">
        <f t="shared" si="76"/>
        <v>0</v>
      </c>
      <c r="I672" s="2">
        <f t="shared" si="77"/>
        <v>0</v>
      </c>
      <c r="K672" s="2">
        <v>13462.88</v>
      </c>
      <c r="L672" s="2">
        <f t="shared" si="78"/>
        <v>-13462.88</v>
      </c>
      <c r="M672" s="2">
        <f t="shared" si="79"/>
        <v>-13462.88</v>
      </c>
    </row>
    <row r="673" hidden="1" spans="1:13">
      <c r="A673" s="30">
        <v>45839</v>
      </c>
      <c r="B673" s="1" t="s">
        <v>307</v>
      </c>
      <c r="C673" s="1" t="s">
        <v>41</v>
      </c>
      <c r="D673" s="1" t="s">
        <v>42</v>
      </c>
      <c r="F673" s="2">
        <v>400.399999999999</v>
      </c>
      <c r="H673" s="2">
        <f t="shared" si="76"/>
        <v>400.399999999999</v>
      </c>
      <c r="I673" s="2">
        <f t="shared" si="77"/>
        <v>400.399999999999</v>
      </c>
      <c r="J673" s="2">
        <v>57000</v>
      </c>
      <c r="L673" s="2">
        <f t="shared" si="78"/>
        <v>57000</v>
      </c>
      <c r="M673" s="2">
        <f t="shared" si="79"/>
        <v>57400.4</v>
      </c>
    </row>
    <row r="674" hidden="1" spans="1:13">
      <c r="A674" s="30">
        <v>45839</v>
      </c>
      <c r="B674" s="1" t="s">
        <v>307</v>
      </c>
      <c r="C674" s="1" t="s">
        <v>55</v>
      </c>
      <c r="D674" s="1" t="s">
        <v>42</v>
      </c>
      <c r="F674" s="2">
        <v>3.2</v>
      </c>
      <c r="H674" s="2">
        <f t="shared" si="76"/>
        <v>3.2</v>
      </c>
      <c r="I674" s="2">
        <f t="shared" si="77"/>
        <v>3.2</v>
      </c>
      <c r="L674" s="2">
        <f t="shared" si="78"/>
        <v>0</v>
      </c>
      <c r="M674" s="2">
        <f t="shared" si="79"/>
        <v>3.2</v>
      </c>
    </row>
    <row r="675" hidden="1" spans="1:13">
      <c r="A675" s="30">
        <v>45839</v>
      </c>
      <c r="B675" s="1" t="s">
        <v>307</v>
      </c>
      <c r="C675" s="1" t="s">
        <v>43</v>
      </c>
      <c r="D675" s="1" t="s">
        <v>42</v>
      </c>
      <c r="F675" s="2">
        <v>-11595.0849999999</v>
      </c>
      <c r="H675" s="2">
        <f t="shared" si="76"/>
        <v>-11595.0849999999</v>
      </c>
      <c r="I675" s="2">
        <f t="shared" si="77"/>
        <v>-11595.0849999999</v>
      </c>
      <c r="L675" s="2">
        <f t="shared" si="78"/>
        <v>0</v>
      </c>
      <c r="M675" s="2">
        <f t="shared" si="79"/>
        <v>-11595.0849999999</v>
      </c>
    </row>
    <row r="676" hidden="1" spans="1:13">
      <c r="A676" s="30">
        <v>45839</v>
      </c>
      <c r="B676" s="1" t="s">
        <v>307</v>
      </c>
      <c r="C676" s="1" t="s">
        <v>57</v>
      </c>
      <c r="D676" s="1" t="s">
        <v>42</v>
      </c>
      <c r="F676" s="2">
        <v>110429.519999999</v>
      </c>
      <c r="G676" s="2">
        <v>110429.519999999</v>
      </c>
      <c r="H676" s="2">
        <f t="shared" si="76"/>
        <v>0</v>
      </c>
      <c r="I676" s="2">
        <f t="shared" si="77"/>
        <v>0</v>
      </c>
      <c r="L676" s="2">
        <f t="shared" si="78"/>
        <v>0</v>
      </c>
      <c r="M676" s="2">
        <f t="shared" si="79"/>
        <v>0</v>
      </c>
    </row>
    <row r="677" hidden="1" spans="1:13">
      <c r="A677" s="30">
        <v>45839</v>
      </c>
      <c r="B677" s="1" t="s">
        <v>308</v>
      </c>
      <c r="C677" s="1" t="s">
        <v>51</v>
      </c>
      <c r="D677" s="1" t="s">
        <v>52</v>
      </c>
      <c r="H677" s="2">
        <f t="shared" si="76"/>
        <v>0</v>
      </c>
      <c r="I677" s="2">
        <f t="shared" si="77"/>
        <v>0</v>
      </c>
      <c r="J677" s="2">
        <v>17.67</v>
      </c>
      <c r="L677" s="2">
        <f t="shared" si="78"/>
        <v>17.67</v>
      </c>
      <c r="M677" s="2">
        <f t="shared" si="79"/>
        <v>17.67</v>
      </c>
    </row>
    <row r="678" hidden="1" spans="1:13">
      <c r="A678" s="30">
        <v>45839</v>
      </c>
      <c r="B678" s="1" t="s">
        <v>309</v>
      </c>
      <c r="C678" s="1" t="s">
        <v>43</v>
      </c>
      <c r="D678" s="1" t="s">
        <v>42</v>
      </c>
      <c r="F678" s="2">
        <v>-130</v>
      </c>
      <c r="G678" s="2">
        <v>-119.999999999999</v>
      </c>
      <c r="H678" s="2">
        <f t="shared" si="76"/>
        <v>-10.000000000001</v>
      </c>
      <c r="I678" s="2">
        <f t="shared" si="77"/>
        <v>-10.000000000001</v>
      </c>
      <c r="L678" s="2">
        <f t="shared" si="78"/>
        <v>0</v>
      </c>
      <c r="M678" s="2">
        <f t="shared" si="79"/>
        <v>-10.000000000001</v>
      </c>
    </row>
    <row r="679" hidden="1" spans="1:13">
      <c r="A679" s="30">
        <v>45839</v>
      </c>
      <c r="B679" s="1" t="s">
        <v>309</v>
      </c>
      <c r="C679" s="1" t="s">
        <v>51</v>
      </c>
      <c r="D679" s="1" t="s">
        <v>47</v>
      </c>
      <c r="H679" s="2">
        <f t="shared" si="76"/>
        <v>0</v>
      </c>
      <c r="I679" s="2">
        <f t="shared" si="77"/>
        <v>0</v>
      </c>
      <c r="J679" s="2">
        <v>165242.15</v>
      </c>
      <c r="L679" s="2">
        <f t="shared" si="78"/>
        <v>165242.15</v>
      </c>
      <c r="M679" s="2">
        <f t="shared" si="79"/>
        <v>165242.15</v>
      </c>
    </row>
    <row r="680" hidden="1" spans="1:13">
      <c r="A680" s="30">
        <v>45839</v>
      </c>
      <c r="B680" s="1" t="s">
        <v>310</v>
      </c>
      <c r="C680" s="1" t="s">
        <v>79</v>
      </c>
      <c r="D680" s="1" t="s">
        <v>42</v>
      </c>
      <c r="F680" s="2">
        <v>11.2</v>
      </c>
      <c r="H680" s="2">
        <f t="shared" si="76"/>
        <v>11.2</v>
      </c>
      <c r="I680" s="2">
        <f t="shared" si="77"/>
        <v>11.2</v>
      </c>
      <c r="L680" s="2">
        <f t="shared" si="78"/>
        <v>0</v>
      </c>
      <c r="M680" s="2">
        <f t="shared" si="79"/>
        <v>11.2</v>
      </c>
    </row>
    <row r="681" hidden="1" spans="1:13">
      <c r="A681" s="30">
        <v>45839</v>
      </c>
      <c r="B681" s="1" t="s">
        <v>310</v>
      </c>
      <c r="C681" s="1" t="s">
        <v>41</v>
      </c>
      <c r="D681" s="1" t="s">
        <v>42</v>
      </c>
      <c r="F681" s="2">
        <v>292.9791</v>
      </c>
      <c r="H681" s="2">
        <f t="shared" si="76"/>
        <v>292.9791</v>
      </c>
      <c r="I681" s="2">
        <f t="shared" si="77"/>
        <v>292.9791</v>
      </c>
      <c r="L681" s="2">
        <f t="shared" si="78"/>
        <v>0</v>
      </c>
      <c r="M681" s="2">
        <f t="shared" si="79"/>
        <v>292.9791</v>
      </c>
    </row>
    <row r="682" hidden="1" spans="1:13">
      <c r="A682" s="30">
        <v>45839</v>
      </c>
      <c r="B682" s="1" t="s">
        <v>310</v>
      </c>
      <c r="C682" s="1" t="s">
        <v>55</v>
      </c>
      <c r="D682" s="1" t="s">
        <v>42</v>
      </c>
      <c r="F682" s="2">
        <v>3.4</v>
      </c>
      <c r="H682" s="2">
        <f t="shared" si="76"/>
        <v>3.4</v>
      </c>
      <c r="I682" s="2">
        <f t="shared" si="77"/>
        <v>3.4</v>
      </c>
      <c r="L682" s="2">
        <f t="shared" si="78"/>
        <v>0</v>
      </c>
      <c r="M682" s="2">
        <f t="shared" si="79"/>
        <v>3.4</v>
      </c>
    </row>
    <row r="683" hidden="1" spans="1:13">
      <c r="A683" s="30">
        <v>45839</v>
      </c>
      <c r="B683" s="1" t="s">
        <v>310</v>
      </c>
      <c r="C683" s="1" t="s">
        <v>43</v>
      </c>
      <c r="D683" s="1" t="s">
        <v>42</v>
      </c>
      <c r="F683" s="2">
        <v>320056.1509</v>
      </c>
      <c r="G683" s="2">
        <f>315106.8-4237.76</f>
        <v>310869.04</v>
      </c>
      <c r="H683" s="2">
        <f t="shared" si="76"/>
        <v>9187.11090000003</v>
      </c>
      <c r="I683" s="2">
        <f t="shared" si="77"/>
        <v>9187.11090000003</v>
      </c>
      <c r="L683" s="2">
        <f t="shared" si="78"/>
        <v>0</v>
      </c>
      <c r="M683" s="2">
        <f t="shared" si="79"/>
        <v>9187.11090000003</v>
      </c>
    </row>
    <row r="684" hidden="1" spans="1:13">
      <c r="A684" s="30">
        <v>45839</v>
      </c>
      <c r="B684" s="1" t="s">
        <v>311</v>
      </c>
      <c r="C684" s="1" t="s">
        <v>41</v>
      </c>
      <c r="D684" s="1" t="s">
        <v>47</v>
      </c>
      <c r="F684" s="2">
        <v>164</v>
      </c>
      <c r="H684" s="2">
        <f t="shared" si="76"/>
        <v>164</v>
      </c>
      <c r="I684" s="2">
        <f t="shared" si="77"/>
        <v>164</v>
      </c>
      <c r="L684" s="2">
        <f t="shared" si="78"/>
        <v>0</v>
      </c>
      <c r="M684" s="2">
        <f t="shared" si="79"/>
        <v>164</v>
      </c>
    </row>
    <row r="685" hidden="1" spans="1:13">
      <c r="A685" s="30">
        <v>45839</v>
      </c>
      <c r="B685" s="1" t="s">
        <v>311</v>
      </c>
      <c r="C685" s="1" t="s">
        <v>57</v>
      </c>
      <c r="D685" s="1" t="s">
        <v>47</v>
      </c>
      <c r="F685" s="2">
        <v>55268.04</v>
      </c>
      <c r="G685" s="2">
        <v>55268</v>
      </c>
      <c r="H685" s="2">
        <f t="shared" si="76"/>
        <v>0.0400000000008731</v>
      </c>
      <c r="I685" s="2">
        <f t="shared" si="77"/>
        <v>0.0400000000008731</v>
      </c>
      <c r="L685" s="2">
        <f t="shared" si="78"/>
        <v>0</v>
      </c>
      <c r="M685" s="2">
        <f t="shared" si="79"/>
        <v>0.0400000000008731</v>
      </c>
    </row>
    <row r="686" hidden="1" spans="1:13">
      <c r="A686" s="30">
        <v>45839</v>
      </c>
      <c r="B686" s="1" t="s">
        <v>312</v>
      </c>
      <c r="C686" s="1" t="s">
        <v>41</v>
      </c>
      <c r="D686" s="1" t="s">
        <v>42</v>
      </c>
      <c r="F686" s="2">
        <f>-15532.313+28049.31</f>
        <v>12516.997</v>
      </c>
      <c r="H686" s="2">
        <f t="shared" si="76"/>
        <v>12516.997</v>
      </c>
      <c r="I686" s="2">
        <f t="shared" si="77"/>
        <v>12516.997</v>
      </c>
      <c r="L686" s="2">
        <f t="shared" si="78"/>
        <v>0</v>
      </c>
      <c r="M686" s="2">
        <f t="shared" si="79"/>
        <v>12516.997</v>
      </c>
    </row>
    <row r="687" hidden="1" spans="1:13">
      <c r="A687" s="30">
        <v>45839</v>
      </c>
      <c r="B687" s="1" t="s">
        <v>312</v>
      </c>
      <c r="C687" s="1" t="s">
        <v>55</v>
      </c>
      <c r="D687" s="1" t="s">
        <v>42</v>
      </c>
      <c r="F687" s="2">
        <v>5235.1886</v>
      </c>
      <c r="H687" s="2">
        <f t="shared" si="76"/>
        <v>5235.1886</v>
      </c>
      <c r="I687" s="2">
        <f t="shared" si="77"/>
        <v>5235.1886</v>
      </c>
      <c r="L687" s="2">
        <f t="shared" si="78"/>
        <v>0</v>
      </c>
      <c r="M687" s="2">
        <f t="shared" si="79"/>
        <v>5235.1886</v>
      </c>
    </row>
    <row r="688" hidden="1" spans="1:13">
      <c r="A688" s="30">
        <v>45839</v>
      </c>
      <c r="B688" s="1" t="s">
        <v>312</v>
      </c>
      <c r="C688" s="1" t="s">
        <v>77</v>
      </c>
      <c r="D688" s="1" t="s">
        <v>42</v>
      </c>
      <c r="F688" s="2">
        <v>1361907.2896</v>
      </c>
      <c r="G688" s="2">
        <f>1137108.42999999+9952.88+65138.4+28.5</f>
        <v>1212228.20999999</v>
      </c>
      <c r="H688" s="2">
        <f t="shared" si="76"/>
        <v>149679.07960001</v>
      </c>
      <c r="I688" s="2">
        <f t="shared" si="77"/>
        <v>149679.07960001</v>
      </c>
      <c r="L688" s="2">
        <f t="shared" si="78"/>
        <v>0</v>
      </c>
      <c r="M688" s="2">
        <f t="shared" si="79"/>
        <v>149679.07960001</v>
      </c>
    </row>
    <row r="689" hidden="1" spans="1:13">
      <c r="A689" s="30">
        <v>45839</v>
      </c>
      <c r="B689" s="1" t="s">
        <v>312</v>
      </c>
      <c r="C689" s="1" t="s">
        <v>197</v>
      </c>
      <c r="D689" s="1" t="s">
        <v>42</v>
      </c>
      <c r="F689" s="2">
        <v>417.973599999999</v>
      </c>
      <c r="H689" s="2">
        <f t="shared" si="76"/>
        <v>417.973599999999</v>
      </c>
      <c r="I689" s="2">
        <f t="shared" si="77"/>
        <v>417.973599999999</v>
      </c>
      <c r="L689" s="2">
        <f t="shared" si="78"/>
        <v>0</v>
      </c>
      <c r="M689" s="2">
        <f t="shared" si="79"/>
        <v>417.973599999999</v>
      </c>
    </row>
    <row r="690" hidden="1" spans="1:13">
      <c r="A690" s="30">
        <v>45839</v>
      </c>
      <c r="B690" s="1" t="s">
        <v>312</v>
      </c>
      <c r="C690" s="1" t="s">
        <v>43</v>
      </c>
      <c r="D690" s="1" t="s">
        <v>42</v>
      </c>
      <c r="F690" s="2">
        <v>14381.0538999999</v>
      </c>
      <c r="G690" s="2">
        <v>4987.5</v>
      </c>
      <c r="H690" s="2">
        <f t="shared" si="76"/>
        <v>9393.5538999999</v>
      </c>
      <c r="I690" s="2">
        <f t="shared" si="77"/>
        <v>9393.5538999999</v>
      </c>
      <c r="L690" s="2">
        <f t="shared" si="78"/>
        <v>0</v>
      </c>
      <c r="M690" s="2">
        <f t="shared" si="79"/>
        <v>9393.5538999999</v>
      </c>
    </row>
    <row r="691" hidden="1" spans="1:13">
      <c r="A691" s="30">
        <v>45839</v>
      </c>
      <c r="B691" s="1" t="s">
        <v>313</v>
      </c>
      <c r="C691" s="1" t="s">
        <v>51</v>
      </c>
      <c r="D691" s="1" t="s">
        <v>52</v>
      </c>
      <c r="H691" s="2">
        <f t="shared" si="76"/>
        <v>0</v>
      </c>
      <c r="I691" s="2">
        <f t="shared" si="77"/>
        <v>0</v>
      </c>
      <c r="K691" s="2">
        <v>50114.6699999999</v>
      </c>
      <c r="L691" s="2">
        <f t="shared" si="78"/>
        <v>-50114.6699999999</v>
      </c>
      <c r="M691" s="2">
        <f t="shared" si="79"/>
        <v>-50114.6699999999</v>
      </c>
    </row>
    <row r="692" hidden="1" spans="1:13">
      <c r="A692" s="30">
        <v>45839</v>
      </c>
      <c r="B692" s="1" t="s">
        <v>314</v>
      </c>
      <c r="C692" s="1" t="s">
        <v>87</v>
      </c>
      <c r="D692" s="1" t="s">
        <v>42</v>
      </c>
      <c r="H692" s="2">
        <f t="shared" si="76"/>
        <v>0</v>
      </c>
      <c r="I692" s="2">
        <f t="shared" si="77"/>
        <v>0</v>
      </c>
      <c r="J692" s="2">
        <v>191250.53</v>
      </c>
      <c r="L692" s="2">
        <f t="shared" si="78"/>
        <v>191250.53</v>
      </c>
      <c r="M692" s="2">
        <f t="shared" si="79"/>
        <v>191250.53</v>
      </c>
    </row>
    <row r="693" hidden="1" spans="1:13">
      <c r="A693" s="30">
        <v>45839</v>
      </c>
      <c r="B693" s="1" t="s">
        <v>314</v>
      </c>
      <c r="C693" s="1" t="s">
        <v>41</v>
      </c>
      <c r="D693" s="1" t="s">
        <v>42</v>
      </c>
      <c r="F693" s="2">
        <f>-226873.2+233341.24</f>
        <v>6468.03999999998</v>
      </c>
      <c r="H693" s="2">
        <f t="shared" si="76"/>
        <v>6468.03999999998</v>
      </c>
      <c r="I693" s="2">
        <f t="shared" si="77"/>
        <v>6468.03999999998</v>
      </c>
      <c r="L693" s="2">
        <f t="shared" si="78"/>
        <v>0</v>
      </c>
      <c r="M693" s="2">
        <f t="shared" si="79"/>
        <v>6468.03999999998</v>
      </c>
    </row>
    <row r="694" hidden="1" spans="1:13">
      <c r="A694" s="30">
        <v>45839</v>
      </c>
      <c r="B694" s="1" t="s">
        <v>314</v>
      </c>
      <c r="C694" s="1" t="s">
        <v>55</v>
      </c>
      <c r="D694" s="1" t="s">
        <v>42</v>
      </c>
      <c r="F694" s="2">
        <v>227649.95</v>
      </c>
      <c r="G694" s="2">
        <v>227649.95</v>
      </c>
      <c r="H694" s="2">
        <f t="shared" si="76"/>
        <v>0</v>
      </c>
      <c r="I694" s="2">
        <f t="shared" si="77"/>
        <v>0</v>
      </c>
      <c r="L694" s="2">
        <f t="shared" si="78"/>
        <v>0</v>
      </c>
      <c r="M694" s="2">
        <f t="shared" si="79"/>
        <v>0</v>
      </c>
    </row>
    <row r="695" hidden="1" spans="1:13">
      <c r="A695" s="30">
        <v>45839</v>
      </c>
      <c r="B695" s="1" t="s">
        <v>314</v>
      </c>
      <c r="C695" s="1" t="s">
        <v>43</v>
      </c>
      <c r="D695" s="1" t="s">
        <v>42</v>
      </c>
      <c r="E695" s="2">
        <v>-500962.83</v>
      </c>
      <c r="F695" s="2">
        <v>1232.98999999999</v>
      </c>
      <c r="G695" s="2">
        <f>-14.5+357</f>
        <v>342.5</v>
      </c>
      <c r="H695" s="2">
        <f t="shared" si="76"/>
        <v>890.48999999999</v>
      </c>
      <c r="I695" s="2">
        <f t="shared" si="77"/>
        <v>-500072.34</v>
      </c>
      <c r="L695" s="2">
        <f t="shared" si="78"/>
        <v>0</v>
      </c>
      <c r="M695" s="2">
        <f t="shared" si="79"/>
        <v>-500072.34</v>
      </c>
    </row>
    <row r="696" hidden="1" spans="1:13">
      <c r="A696" s="30">
        <v>45839</v>
      </c>
      <c r="B696" s="1" t="s">
        <v>314</v>
      </c>
      <c r="C696" s="1" t="s">
        <v>57</v>
      </c>
      <c r="D696" s="1" t="s">
        <v>42</v>
      </c>
      <c r="F696" s="2">
        <v>64123.99</v>
      </c>
      <c r="G696" s="2">
        <v>60769.0699999999</v>
      </c>
      <c r="H696" s="2">
        <f t="shared" si="76"/>
        <v>3354.9200000001</v>
      </c>
      <c r="I696" s="2">
        <f t="shared" si="77"/>
        <v>3354.9200000001</v>
      </c>
      <c r="L696" s="2">
        <f t="shared" si="78"/>
        <v>0</v>
      </c>
      <c r="M696" s="2">
        <f t="shared" si="79"/>
        <v>3354.9200000001</v>
      </c>
    </row>
    <row r="697" hidden="1" spans="1:13">
      <c r="A697" s="30">
        <v>45839</v>
      </c>
      <c r="B697" s="1" t="s">
        <v>314</v>
      </c>
      <c r="C697" s="1" t="s">
        <v>51</v>
      </c>
      <c r="D697" s="1" t="s">
        <v>52</v>
      </c>
      <c r="H697" s="2">
        <f t="shared" si="76"/>
        <v>0</v>
      </c>
      <c r="I697" s="2">
        <f t="shared" si="77"/>
        <v>0</v>
      </c>
      <c r="J697" s="2">
        <v>1003294.95</v>
      </c>
      <c r="L697" s="2">
        <f t="shared" si="78"/>
        <v>1003294.95</v>
      </c>
      <c r="M697" s="2">
        <f t="shared" si="79"/>
        <v>1003294.95</v>
      </c>
    </row>
    <row r="698" hidden="1" spans="1:13">
      <c r="A698" s="30">
        <v>45839</v>
      </c>
      <c r="B698" s="1" t="s">
        <v>315</v>
      </c>
      <c r="C698" s="1" t="s">
        <v>41</v>
      </c>
      <c r="D698" s="1" t="s">
        <v>42</v>
      </c>
      <c r="F698" s="2">
        <v>4272750.21639999</v>
      </c>
      <c r="G698" s="2">
        <v>4192257.2164</v>
      </c>
      <c r="H698" s="2">
        <f t="shared" ref="H698:H727" si="80">F698-G698</f>
        <v>80492.9999999902</v>
      </c>
      <c r="I698" s="2">
        <f t="shared" ref="I698:I727" si="81">H698+E698</f>
        <v>80492.9999999902</v>
      </c>
      <c r="L698" s="2">
        <f t="shared" si="78"/>
        <v>0</v>
      </c>
      <c r="M698" s="2">
        <f t="shared" si="79"/>
        <v>80492.9999999902</v>
      </c>
    </row>
    <row r="699" hidden="1" spans="1:13">
      <c r="A699" s="30">
        <v>45839</v>
      </c>
      <c r="B699" s="1" t="s">
        <v>315</v>
      </c>
      <c r="C699" s="1" t="s">
        <v>55</v>
      </c>
      <c r="D699" s="1" t="s">
        <v>42</v>
      </c>
      <c r="F699" s="2">
        <v>63271.97</v>
      </c>
      <c r="G699" s="2">
        <v>62326.7</v>
      </c>
      <c r="H699" s="2">
        <f t="shared" si="80"/>
        <v>945.270000000004</v>
      </c>
      <c r="I699" s="2">
        <f t="shared" si="81"/>
        <v>945.270000000004</v>
      </c>
      <c r="L699" s="2">
        <f t="shared" si="78"/>
        <v>0</v>
      </c>
      <c r="M699" s="2">
        <f t="shared" si="79"/>
        <v>945.270000000004</v>
      </c>
    </row>
    <row r="700" hidden="1" spans="1:13">
      <c r="A700" s="30">
        <v>45839</v>
      </c>
      <c r="B700" s="1" t="s">
        <v>315</v>
      </c>
      <c r="C700" s="1" t="s">
        <v>49</v>
      </c>
      <c r="D700" s="1" t="s">
        <v>42</v>
      </c>
      <c r="G700" s="2">
        <v>420</v>
      </c>
      <c r="H700" s="2">
        <f t="shared" si="80"/>
        <v>-420</v>
      </c>
      <c r="I700" s="2">
        <f t="shared" si="81"/>
        <v>-420</v>
      </c>
      <c r="L700" s="2">
        <f t="shared" si="78"/>
        <v>0</v>
      </c>
      <c r="M700" s="2">
        <f t="shared" si="79"/>
        <v>-420</v>
      </c>
    </row>
    <row r="701" hidden="1" spans="1:13">
      <c r="A701" s="30">
        <v>45839</v>
      </c>
      <c r="B701" s="1" t="s">
        <v>315</v>
      </c>
      <c r="C701" s="1" t="s">
        <v>43</v>
      </c>
      <c r="D701" s="1" t="s">
        <v>42</v>
      </c>
      <c r="F701" s="2">
        <f>28177551.1949999+30270.32</f>
        <v>28207821.5149999</v>
      </c>
      <c r="G701" s="2">
        <v>27883027.5536</v>
      </c>
      <c r="H701" s="2">
        <f t="shared" si="80"/>
        <v>324793.961399902</v>
      </c>
      <c r="I701" s="2">
        <f t="shared" si="81"/>
        <v>324793.961399902</v>
      </c>
      <c r="L701" s="2">
        <f t="shared" si="78"/>
        <v>0</v>
      </c>
      <c r="M701" s="2">
        <f t="shared" si="79"/>
        <v>324793.961399902</v>
      </c>
    </row>
    <row r="702" hidden="1" spans="1:13">
      <c r="A702" s="30">
        <v>45839</v>
      </c>
      <c r="B702" s="1" t="s">
        <v>316</v>
      </c>
      <c r="C702" s="1" t="s">
        <v>41</v>
      </c>
      <c r="D702" s="1" t="s">
        <v>42</v>
      </c>
      <c r="F702" s="2">
        <v>47.4</v>
      </c>
      <c r="H702" s="2">
        <f t="shared" si="80"/>
        <v>47.4</v>
      </c>
      <c r="I702" s="2">
        <f t="shared" si="81"/>
        <v>47.4</v>
      </c>
      <c r="L702" s="2">
        <f t="shared" si="78"/>
        <v>0</v>
      </c>
      <c r="M702" s="2">
        <f t="shared" si="79"/>
        <v>47.4</v>
      </c>
    </row>
    <row r="703" hidden="1" spans="1:13">
      <c r="A703" s="30">
        <v>45839</v>
      </c>
      <c r="B703" s="1" t="s">
        <v>316</v>
      </c>
      <c r="C703" s="1" t="s">
        <v>57</v>
      </c>
      <c r="D703" s="1" t="s">
        <v>42</v>
      </c>
      <c r="F703" s="2">
        <v>1532.6</v>
      </c>
      <c r="G703" s="2">
        <v>1580</v>
      </c>
      <c r="H703" s="2">
        <f t="shared" si="80"/>
        <v>-47.4000000000001</v>
      </c>
      <c r="I703" s="2">
        <f t="shared" si="81"/>
        <v>-47.4000000000001</v>
      </c>
      <c r="L703" s="2">
        <f t="shared" si="78"/>
        <v>0</v>
      </c>
      <c r="M703" s="2">
        <f t="shared" si="79"/>
        <v>-47.4000000000001</v>
      </c>
    </row>
    <row r="704" hidden="1" spans="1:13">
      <c r="A704" s="30">
        <v>45839</v>
      </c>
      <c r="B704" s="1" t="s">
        <v>317</v>
      </c>
      <c r="C704" s="1" t="s">
        <v>43</v>
      </c>
      <c r="D704" s="1" t="s">
        <v>42</v>
      </c>
      <c r="F704" s="2">
        <v>166.306</v>
      </c>
      <c r="G704" s="2">
        <v>201</v>
      </c>
      <c r="H704" s="2">
        <f t="shared" si="80"/>
        <v>-34.694</v>
      </c>
      <c r="I704" s="2">
        <f t="shared" si="81"/>
        <v>-34.694</v>
      </c>
      <c r="L704" s="2">
        <f t="shared" ref="L704:L738" si="82">J704-K704</f>
        <v>0</v>
      </c>
      <c r="M704" s="2">
        <f t="shared" ref="M704:M738" si="83">I704+L704</f>
        <v>-34.694</v>
      </c>
    </row>
    <row r="705" hidden="1" spans="1:13">
      <c r="A705" s="30">
        <v>45839</v>
      </c>
      <c r="B705" s="1" t="s">
        <v>318</v>
      </c>
      <c r="C705" s="1" t="s">
        <v>79</v>
      </c>
      <c r="D705" s="1" t="s">
        <v>48</v>
      </c>
      <c r="E705" s="2">
        <f>301140-154410</f>
        <v>146730</v>
      </c>
      <c r="F705" s="2">
        <v>2952811.436</v>
      </c>
      <c r="G705" s="2">
        <v>3100390</v>
      </c>
      <c r="H705" s="2">
        <f t="shared" si="80"/>
        <v>-147578.564</v>
      </c>
      <c r="I705" s="2">
        <f t="shared" si="81"/>
        <v>-848.56399999978</v>
      </c>
      <c r="L705" s="2">
        <f t="shared" si="82"/>
        <v>0</v>
      </c>
      <c r="M705" s="2">
        <f t="shared" si="83"/>
        <v>-848.56399999978</v>
      </c>
    </row>
    <row r="706" hidden="1" spans="1:13">
      <c r="A706" s="30">
        <v>45839</v>
      </c>
      <c r="B706" s="1" t="s">
        <v>318</v>
      </c>
      <c r="C706" s="1" t="s">
        <v>41</v>
      </c>
      <c r="D706" s="1" t="s">
        <v>48</v>
      </c>
      <c r="F706" s="2">
        <v>416.764</v>
      </c>
      <c r="H706" s="2">
        <f t="shared" si="80"/>
        <v>416.764</v>
      </c>
      <c r="I706" s="2">
        <f t="shared" si="81"/>
        <v>416.764</v>
      </c>
      <c r="L706" s="2">
        <f t="shared" si="82"/>
        <v>0</v>
      </c>
      <c r="M706" s="2">
        <f t="shared" si="83"/>
        <v>416.764</v>
      </c>
    </row>
    <row r="707" hidden="1" spans="1:13">
      <c r="A707" s="30">
        <v>45839</v>
      </c>
      <c r="B707" s="1" t="s">
        <v>318</v>
      </c>
      <c r="C707" s="1" t="s">
        <v>43</v>
      </c>
      <c r="D707" s="1" t="s">
        <v>48</v>
      </c>
      <c r="F707" s="2">
        <v>7986.68</v>
      </c>
      <c r="H707" s="2">
        <f t="shared" si="80"/>
        <v>7986.68</v>
      </c>
      <c r="I707" s="2">
        <f t="shared" si="81"/>
        <v>7986.68</v>
      </c>
      <c r="L707" s="2">
        <f t="shared" si="82"/>
        <v>0</v>
      </c>
      <c r="M707" s="2">
        <f t="shared" si="83"/>
        <v>7986.68</v>
      </c>
    </row>
    <row r="708" hidden="1" spans="1:13">
      <c r="A708" s="30">
        <v>45839</v>
      </c>
      <c r="B708" s="1" t="s">
        <v>319</v>
      </c>
      <c r="C708" s="1" t="s">
        <v>41</v>
      </c>
      <c r="D708" s="1" t="s">
        <v>42</v>
      </c>
      <c r="F708" s="2">
        <v>14965999</v>
      </c>
      <c r="G708" s="2">
        <v>14620500</v>
      </c>
      <c r="H708" s="2">
        <f t="shared" si="80"/>
        <v>345499</v>
      </c>
      <c r="I708" s="2">
        <f t="shared" si="81"/>
        <v>345499</v>
      </c>
      <c r="L708" s="2">
        <f t="shared" si="82"/>
        <v>0</v>
      </c>
      <c r="M708" s="2">
        <f t="shared" si="83"/>
        <v>345499</v>
      </c>
    </row>
    <row r="709" hidden="1" spans="1:13">
      <c r="A709" s="30">
        <v>45839</v>
      </c>
      <c r="B709" s="1" t="s">
        <v>319</v>
      </c>
      <c r="C709" s="1" t="s">
        <v>43</v>
      </c>
      <c r="D709" s="1" t="s">
        <v>42</v>
      </c>
      <c r="F709" s="2">
        <v>59670</v>
      </c>
      <c r="H709" s="2">
        <f t="shared" si="80"/>
        <v>59670</v>
      </c>
      <c r="I709" s="2">
        <f t="shared" si="81"/>
        <v>59670</v>
      </c>
      <c r="L709" s="2">
        <f t="shared" si="82"/>
        <v>0</v>
      </c>
      <c r="M709" s="2">
        <f t="shared" si="83"/>
        <v>59670</v>
      </c>
    </row>
    <row r="710" hidden="1" spans="1:13">
      <c r="A710" s="30">
        <v>45839</v>
      </c>
      <c r="B710" s="1" t="s">
        <v>320</v>
      </c>
      <c r="C710" s="1" t="s">
        <v>51</v>
      </c>
      <c r="D710" s="1" t="s">
        <v>52</v>
      </c>
      <c r="H710" s="2">
        <f t="shared" si="80"/>
        <v>0</v>
      </c>
      <c r="I710" s="2">
        <f t="shared" si="81"/>
        <v>0</v>
      </c>
      <c r="J710" s="2">
        <v>73.37</v>
      </c>
      <c r="L710" s="2">
        <f t="shared" si="82"/>
        <v>73.37</v>
      </c>
      <c r="M710" s="2">
        <f t="shared" si="83"/>
        <v>73.37</v>
      </c>
    </row>
    <row r="711" hidden="1" spans="1:13">
      <c r="A711" s="30">
        <v>45839</v>
      </c>
      <c r="B711" s="1" t="s">
        <v>321</v>
      </c>
      <c r="C711" s="1" t="s">
        <v>322</v>
      </c>
      <c r="D711" s="1" t="s">
        <v>52</v>
      </c>
      <c r="H711" s="2">
        <f t="shared" si="80"/>
        <v>0</v>
      </c>
      <c r="I711" s="2">
        <f t="shared" si="81"/>
        <v>0</v>
      </c>
      <c r="K711" s="2">
        <v>246.21</v>
      </c>
      <c r="L711" s="2">
        <f t="shared" si="82"/>
        <v>-246.21</v>
      </c>
      <c r="M711" s="2">
        <f t="shared" si="83"/>
        <v>-246.21</v>
      </c>
    </row>
    <row r="712" hidden="1" spans="1:13">
      <c r="A712" s="30">
        <v>45839</v>
      </c>
      <c r="B712" s="1" t="s">
        <v>323</v>
      </c>
      <c r="C712" s="1" t="s">
        <v>41</v>
      </c>
      <c r="D712" s="1" t="s">
        <v>47</v>
      </c>
      <c r="F712" s="2">
        <f>5.01+27682.6</f>
        <v>27687.61</v>
      </c>
      <c r="G712" s="2">
        <v>27687.61</v>
      </c>
      <c r="H712" s="2">
        <f t="shared" si="80"/>
        <v>0</v>
      </c>
      <c r="I712" s="2">
        <f t="shared" si="81"/>
        <v>0</v>
      </c>
      <c r="L712" s="2">
        <f t="shared" si="82"/>
        <v>0</v>
      </c>
      <c r="M712" s="2">
        <f t="shared" si="83"/>
        <v>0</v>
      </c>
    </row>
    <row r="713" hidden="1" spans="1:13">
      <c r="A713" s="30">
        <v>45839</v>
      </c>
      <c r="B713" s="1" t="s">
        <v>324</v>
      </c>
      <c r="C713" s="1" t="s">
        <v>121</v>
      </c>
      <c r="D713" s="1" t="s">
        <v>52</v>
      </c>
      <c r="F713" s="2">
        <v>39666.33</v>
      </c>
      <c r="G713" s="2">
        <v>34999.9637999999</v>
      </c>
      <c r="H713" s="2">
        <f t="shared" si="80"/>
        <v>4666.3662000001</v>
      </c>
      <c r="I713" s="2">
        <f t="shared" si="81"/>
        <v>4666.3662000001</v>
      </c>
      <c r="L713" s="2">
        <f t="shared" si="82"/>
        <v>0</v>
      </c>
      <c r="M713" s="2">
        <f t="shared" si="83"/>
        <v>4666.3662000001</v>
      </c>
    </row>
    <row r="714" hidden="1" spans="1:13">
      <c r="A714" s="30">
        <v>45839</v>
      </c>
      <c r="B714" s="1" t="s">
        <v>325</v>
      </c>
      <c r="C714" s="1" t="s">
        <v>121</v>
      </c>
      <c r="D714" s="1" t="s">
        <v>52</v>
      </c>
      <c r="F714" s="2">
        <v>45342.66</v>
      </c>
      <c r="G714" s="2">
        <v>39999.9899999999</v>
      </c>
      <c r="H714" s="2">
        <f t="shared" si="80"/>
        <v>5342.6700000001</v>
      </c>
      <c r="I714" s="2">
        <f t="shared" si="81"/>
        <v>5342.6700000001</v>
      </c>
      <c r="L714" s="2">
        <f t="shared" si="82"/>
        <v>0</v>
      </c>
      <c r="M714" s="2">
        <f t="shared" si="83"/>
        <v>5342.6700000001</v>
      </c>
    </row>
    <row r="715" hidden="1" spans="1:13">
      <c r="A715" s="30">
        <v>45839</v>
      </c>
      <c r="B715" s="1" t="s">
        <v>326</v>
      </c>
      <c r="C715" s="1" t="s">
        <v>41</v>
      </c>
      <c r="D715" s="1" t="s">
        <v>42</v>
      </c>
      <c r="F715" s="2">
        <v>2.3</v>
      </c>
      <c r="H715" s="2">
        <f t="shared" si="80"/>
        <v>2.3</v>
      </c>
      <c r="I715" s="2">
        <f t="shared" si="81"/>
        <v>2.3</v>
      </c>
      <c r="L715" s="2">
        <f t="shared" si="82"/>
        <v>0</v>
      </c>
      <c r="M715" s="2">
        <f t="shared" si="83"/>
        <v>2.3</v>
      </c>
    </row>
    <row r="716" hidden="1" spans="1:13">
      <c r="A716" s="30">
        <v>45839</v>
      </c>
      <c r="B716" s="1" t="s">
        <v>326</v>
      </c>
      <c r="C716" s="1" t="s">
        <v>43</v>
      </c>
      <c r="D716" s="1" t="s">
        <v>42</v>
      </c>
      <c r="F716" s="2">
        <v>2851.48</v>
      </c>
      <c r="G716" s="2">
        <v>2690.8</v>
      </c>
      <c r="H716" s="2">
        <f t="shared" si="80"/>
        <v>160.68</v>
      </c>
      <c r="I716" s="2">
        <f t="shared" si="81"/>
        <v>160.68</v>
      </c>
      <c r="L716" s="2">
        <f t="shared" si="82"/>
        <v>0</v>
      </c>
      <c r="M716" s="2">
        <f t="shared" si="83"/>
        <v>160.68</v>
      </c>
    </row>
    <row r="717" hidden="1" spans="1:13">
      <c r="A717" s="30">
        <v>45839</v>
      </c>
      <c r="B717" s="1" t="s">
        <v>327</v>
      </c>
      <c r="C717" s="1" t="s">
        <v>43</v>
      </c>
      <c r="D717" s="1" t="s">
        <v>42</v>
      </c>
      <c r="F717" s="2">
        <v>279.92</v>
      </c>
      <c r="G717" s="2">
        <v>275</v>
      </c>
      <c r="H717" s="2">
        <f t="shared" si="80"/>
        <v>4.92000000000002</v>
      </c>
      <c r="I717" s="2">
        <f t="shared" si="81"/>
        <v>4.92000000000002</v>
      </c>
      <c r="L717" s="2">
        <f t="shared" si="82"/>
        <v>0</v>
      </c>
      <c r="M717" s="2">
        <f t="shared" si="83"/>
        <v>4.92000000000002</v>
      </c>
    </row>
    <row r="718" hidden="1" spans="1:13">
      <c r="A718" s="30">
        <v>45839</v>
      </c>
      <c r="B718" s="1" t="s">
        <v>328</v>
      </c>
      <c r="C718" s="1" t="s">
        <v>43</v>
      </c>
      <c r="D718" s="1" t="s">
        <v>90</v>
      </c>
      <c r="F718" s="2">
        <v>2558</v>
      </c>
      <c r="G718" s="2">
        <v>2524.8</v>
      </c>
      <c r="H718" s="2">
        <f t="shared" si="80"/>
        <v>33.1999999999998</v>
      </c>
      <c r="I718" s="2">
        <f t="shared" si="81"/>
        <v>33.1999999999998</v>
      </c>
      <c r="L718" s="2">
        <f t="shared" si="82"/>
        <v>0</v>
      </c>
      <c r="M718" s="2">
        <f t="shared" si="83"/>
        <v>33.1999999999998</v>
      </c>
    </row>
    <row r="719" hidden="1" spans="1:13">
      <c r="A719" s="30">
        <v>45839</v>
      </c>
      <c r="B719" s="1" t="s">
        <v>43</v>
      </c>
      <c r="C719" s="1" t="s">
        <v>41</v>
      </c>
      <c r="D719" s="1" t="s">
        <v>42</v>
      </c>
      <c r="F719" s="2">
        <v>409.7992</v>
      </c>
      <c r="G719" s="2">
        <v>422.59</v>
      </c>
      <c r="H719" s="2">
        <f t="shared" si="80"/>
        <v>-12.7908</v>
      </c>
      <c r="I719" s="2">
        <f t="shared" si="81"/>
        <v>-12.7908</v>
      </c>
      <c r="L719" s="2">
        <f t="shared" si="82"/>
        <v>0</v>
      </c>
      <c r="M719" s="2">
        <f t="shared" si="83"/>
        <v>-12.7908</v>
      </c>
    </row>
    <row r="720" hidden="1" spans="1:13">
      <c r="A720" s="30">
        <v>45839</v>
      </c>
      <c r="B720" s="1" t="s">
        <v>43</v>
      </c>
      <c r="C720" s="1" t="s">
        <v>41</v>
      </c>
      <c r="D720" s="1" t="s">
        <v>47</v>
      </c>
      <c r="F720" s="2">
        <f>1871.5+2696</f>
        <v>4567.5</v>
      </c>
      <c r="G720" s="2">
        <f>1871.5+1783.6</f>
        <v>3655.1</v>
      </c>
      <c r="H720" s="2">
        <f t="shared" si="80"/>
        <v>912.4</v>
      </c>
      <c r="I720" s="2">
        <f t="shared" si="81"/>
        <v>912.4</v>
      </c>
      <c r="L720" s="2">
        <f t="shared" si="82"/>
        <v>0</v>
      </c>
      <c r="M720" s="2">
        <f t="shared" si="83"/>
        <v>912.4</v>
      </c>
    </row>
    <row r="721" hidden="1" spans="1:13">
      <c r="A721" s="30">
        <v>45839</v>
      </c>
      <c r="B721" s="1" t="s">
        <v>43</v>
      </c>
      <c r="C721" s="1" t="s">
        <v>41</v>
      </c>
      <c r="D721" s="1" t="s">
        <v>48</v>
      </c>
      <c r="F721" s="2">
        <v>-109.2</v>
      </c>
      <c r="G721" s="2">
        <v>-109.2</v>
      </c>
      <c r="H721" s="2">
        <f t="shared" si="80"/>
        <v>0</v>
      </c>
      <c r="I721" s="2">
        <f t="shared" si="81"/>
        <v>0</v>
      </c>
      <c r="L721" s="2">
        <f t="shared" si="82"/>
        <v>0</v>
      </c>
      <c r="M721" s="2">
        <f t="shared" si="83"/>
        <v>0</v>
      </c>
    </row>
    <row r="722" hidden="1" spans="1:13">
      <c r="A722" s="30">
        <v>45839</v>
      </c>
      <c r="B722" s="1" t="s">
        <v>57</v>
      </c>
      <c r="C722" s="1" t="s">
        <v>43</v>
      </c>
      <c r="D722" s="1" t="s">
        <v>42</v>
      </c>
      <c r="F722" s="2">
        <v>-1.5</v>
      </c>
      <c r="G722" s="2">
        <v>-305.27</v>
      </c>
      <c r="H722" s="2">
        <f t="shared" si="80"/>
        <v>303.77</v>
      </c>
      <c r="I722" s="2">
        <f t="shared" si="81"/>
        <v>303.77</v>
      </c>
      <c r="L722" s="2">
        <f t="shared" si="82"/>
        <v>0</v>
      </c>
      <c r="M722" s="2">
        <f t="shared" si="83"/>
        <v>303.77</v>
      </c>
    </row>
    <row r="723" hidden="1" spans="1:13">
      <c r="A723" s="30">
        <v>45839</v>
      </c>
      <c r="B723" s="1" t="s">
        <v>329</v>
      </c>
      <c r="C723" s="1" t="s">
        <v>41</v>
      </c>
      <c r="D723" s="1" t="s">
        <v>42</v>
      </c>
      <c r="F723" s="2">
        <v>29385.7949999999</v>
      </c>
      <c r="H723" s="2">
        <f t="shared" si="80"/>
        <v>29385.7949999999</v>
      </c>
      <c r="I723" s="2">
        <f t="shared" si="81"/>
        <v>29385.7949999999</v>
      </c>
      <c r="L723" s="2">
        <f t="shared" si="82"/>
        <v>0</v>
      </c>
      <c r="M723" s="2">
        <f t="shared" si="83"/>
        <v>29385.7949999999</v>
      </c>
    </row>
    <row r="724" hidden="1" spans="1:13">
      <c r="A724" s="30">
        <v>45839</v>
      </c>
      <c r="B724" s="1" t="s">
        <v>329</v>
      </c>
      <c r="C724" s="1" t="s">
        <v>92</v>
      </c>
      <c r="D724" s="1" t="s">
        <v>42</v>
      </c>
      <c r="F724" s="2">
        <v>5081896.39999999</v>
      </c>
      <c r="G724" s="2">
        <f>5015107.08+283830.17</f>
        <v>5298937.25</v>
      </c>
      <c r="H724" s="2">
        <f t="shared" si="80"/>
        <v>-217040.85000001</v>
      </c>
      <c r="I724" s="2">
        <f t="shared" si="81"/>
        <v>-217040.85000001</v>
      </c>
      <c r="L724" s="2">
        <f t="shared" si="82"/>
        <v>0</v>
      </c>
      <c r="M724" s="2">
        <f t="shared" si="83"/>
        <v>-217040.85000001</v>
      </c>
    </row>
    <row r="725" hidden="1" spans="1:13">
      <c r="A725" s="30">
        <v>45839</v>
      </c>
      <c r="B725" s="1" t="s">
        <v>329</v>
      </c>
      <c r="C725" s="1" t="s">
        <v>216</v>
      </c>
      <c r="D725" s="1" t="s">
        <v>42</v>
      </c>
      <c r="F725" s="2">
        <v>7.35</v>
      </c>
      <c r="G725" s="2">
        <v>7</v>
      </c>
      <c r="H725" s="2">
        <f t="shared" si="80"/>
        <v>0.35</v>
      </c>
      <c r="I725" s="2">
        <f t="shared" si="81"/>
        <v>0.35</v>
      </c>
      <c r="L725" s="2">
        <f t="shared" si="82"/>
        <v>0</v>
      </c>
      <c r="M725" s="2">
        <f t="shared" si="83"/>
        <v>0.35</v>
      </c>
    </row>
    <row r="726" hidden="1" spans="1:13">
      <c r="A726" s="30">
        <v>45839</v>
      </c>
      <c r="B726" s="1" t="s">
        <v>329</v>
      </c>
      <c r="C726" s="1" t="s">
        <v>49</v>
      </c>
      <c r="D726" s="1" t="s">
        <v>42</v>
      </c>
      <c r="F726" s="2">
        <v>20066746.9734999</v>
      </c>
      <c r="G726" s="2">
        <f>19314696.6+842453.4352-5.06-20</f>
        <v>20157124.9752</v>
      </c>
      <c r="H726" s="2">
        <f t="shared" si="80"/>
        <v>-90378.0017000996</v>
      </c>
      <c r="I726" s="2">
        <f t="shared" si="81"/>
        <v>-90378.0017000996</v>
      </c>
      <c r="L726" s="2">
        <f t="shared" si="82"/>
        <v>0</v>
      </c>
      <c r="M726" s="2">
        <f t="shared" si="83"/>
        <v>-90378.0017000996</v>
      </c>
    </row>
    <row r="727" hidden="1" spans="1:13">
      <c r="A727" s="30">
        <v>45839</v>
      </c>
      <c r="B727" s="1" t="s">
        <v>329</v>
      </c>
      <c r="C727" s="1" t="s">
        <v>43</v>
      </c>
      <c r="D727" s="1" t="s">
        <v>42</v>
      </c>
      <c r="F727" s="2">
        <v>377131.7638</v>
      </c>
      <c r="H727" s="2">
        <f t="shared" si="80"/>
        <v>377131.7638</v>
      </c>
      <c r="I727" s="2">
        <f t="shared" si="81"/>
        <v>377131.7638</v>
      </c>
      <c r="L727" s="2">
        <f t="shared" si="82"/>
        <v>0</v>
      </c>
      <c r="M727" s="2">
        <f t="shared" si="83"/>
        <v>377131.7638</v>
      </c>
    </row>
    <row r="728" hidden="1" spans="1:13">
      <c r="A728" s="31">
        <v>45839</v>
      </c>
      <c r="B728" s="11" t="s">
        <v>330</v>
      </c>
      <c r="C728" s="11" t="s">
        <v>41</v>
      </c>
      <c r="D728" s="11" t="s">
        <v>45</v>
      </c>
      <c r="E728" s="12">
        <v>923752.64</v>
      </c>
      <c r="F728" s="12">
        <f>25634666.32-712262.9</f>
        <v>24922403.42</v>
      </c>
      <c r="G728" s="12">
        <f>25641563-400</f>
        <v>25641163</v>
      </c>
      <c r="H728" s="12">
        <f t="shared" ref="H728:H759" si="84">F728-G728</f>
        <v>-718759.579999998</v>
      </c>
      <c r="I728" s="12">
        <f t="shared" ref="I728:I759" si="85">H728+E728</f>
        <v>204993.060000002</v>
      </c>
      <c r="J728" s="12"/>
      <c r="K728" s="12"/>
      <c r="L728" s="12">
        <f t="shared" si="82"/>
        <v>0</v>
      </c>
      <c r="M728" s="12">
        <f t="shared" si="83"/>
        <v>204993.060000002</v>
      </c>
    </row>
    <row r="729" hidden="1" spans="1:13">
      <c r="A729" s="30">
        <v>45839</v>
      </c>
      <c r="B729" s="1" t="s">
        <v>330</v>
      </c>
      <c r="C729" s="1" t="s">
        <v>43</v>
      </c>
      <c r="D729" s="1" t="s">
        <v>45</v>
      </c>
      <c r="F729" s="2">
        <v>-3544.34</v>
      </c>
      <c r="H729" s="2">
        <f t="shared" si="84"/>
        <v>-3544.34</v>
      </c>
      <c r="I729" s="2">
        <f t="shared" si="85"/>
        <v>-3544.34</v>
      </c>
      <c r="L729" s="2">
        <f t="shared" si="82"/>
        <v>0</v>
      </c>
      <c r="M729" s="2">
        <f t="shared" si="83"/>
        <v>-3544.34</v>
      </c>
    </row>
    <row r="730" hidden="1" spans="1:13">
      <c r="A730" s="30">
        <v>45839</v>
      </c>
      <c r="B730" s="1" t="s">
        <v>331</v>
      </c>
      <c r="C730" s="1" t="s">
        <v>41</v>
      </c>
      <c r="D730" s="1" t="s">
        <v>48</v>
      </c>
      <c r="F730" s="2">
        <v>2478.64</v>
      </c>
      <c r="H730" s="2">
        <f t="shared" si="84"/>
        <v>2478.64</v>
      </c>
      <c r="I730" s="2">
        <f t="shared" si="85"/>
        <v>2478.64</v>
      </c>
      <c r="L730" s="2">
        <f t="shared" si="82"/>
        <v>0</v>
      </c>
      <c r="M730" s="2">
        <f t="shared" si="83"/>
        <v>2478.64</v>
      </c>
    </row>
    <row r="731" hidden="1" spans="1:13">
      <c r="A731" s="30">
        <v>45839</v>
      </c>
      <c r="B731" s="1" t="s">
        <v>331</v>
      </c>
      <c r="C731" s="1" t="s">
        <v>43</v>
      </c>
      <c r="D731" s="1" t="s">
        <v>48</v>
      </c>
      <c r="F731" s="2">
        <v>322579.539999999</v>
      </c>
      <c r="G731" s="2">
        <v>322091.999999999</v>
      </c>
      <c r="H731" s="2">
        <f t="shared" si="84"/>
        <v>487.539999999979</v>
      </c>
      <c r="I731" s="2">
        <f t="shared" si="85"/>
        <v>487.539999999979</v>
      </c>
      <c r="L731" s="2">
        <f t="shared" si="82"/>
        <v>0</v>
      </c>
      <c r="M731" s="2">
        <f t="shared" si="83"/>
        <v>487.539999999979</v>
      </c>
    </row>
    <row r="732" hidden="1" spans="1:13">
      <c r="A732" s="30">
        <v>45839</v>
      </c>
      <c r="B732" s="1" t="s">
        <v>332</v>
      </c>
      <c r="C732" s="1" t="s">
        <v>41</v>
      </c>
      <c r="D732" s="1" t="s">
        <v>42</v>
      </c>
      <c r="F732" s="2">
        <v>312.5</v>
      </c>
      <c r="G732" s="2">
        <v>306.3</v>
      </c>
      <c r="H732" s="2">
        <f t="shared" si="84"/>
        <v>6.19999999999999</v>
      </c>
      <c r="I732" s="2">
        <f t="shared" si="85"/>
        <v>6.19999999999999</v>
      </c>
      <c r="L732" s="2">
        <f t="shared" si="82"/>
        <v>0</v>
      </c>
      <c r="M732" s="2">
        <f t="shared" si="83"/>
        <v>6.19999999999999</v>
      </c>
    </row>
    <row r="733" hidden="1" spans="1:13">
      <c r="A733" s="30">
        <v>45839</v>
      </c>
      <c r="B733" s="1" t="s">
        <v>332</v>
      </c>
      <c r="C733" s="1" t="s">
        <v>55</v>
      </c>
      <c r="D733" s="1" t="s">
        <v>42</v>
      </c>
      <c r="F733" s="2">
        <v>2193.9</v>
      </c>
      <c r="G733" s="2">
        <v>2151.3</v>
      </c>
      <c r="H733" s="2">
        <f t="shared" si="84"/>
        <v>42.5999999999999</v>
      </c>
      <c r="I733" s="2">
        <f t="shared" si="85"/>
        <v>42.5999999999999</v>
      </c>
      <c r="L733" s="2">
        <f t="shared" si="82"/>
        <v>0</v>
      </c>
      <c r="M733" s="2">
        <f t="shared" si="83"/>
        <v>42.5999999999999</v>
      </c>
    </row>
    <row r="734" hidden="1" spans="1:13">
      <c r="A734" s="30">
        <v>45839</v>
      </c>
      <c r="B734" s="1" t="s">
        <v>332</v>
      </c>
      <c r="C734" s="1" t="s">
        <v>43</v>
      </c>
      <c r="D734" s="1" t="s">
        <v>42</v>
      </c>
      <c r="F734" s="2">
        <f>11019.9+422.38447</f>
        <v>11442.28447</v>
      </c>
      <c r="G734" s="2">
        <v>11431.46</v>
      </c>
      <c r="H734" s="2">
        <f t="shared" si="84"/>
        <v>10.8244700000014</v>
      </c>
      <c r="I734" s="2">
        <f t="shared" si="85"/>
        <v>10.8244700000014</v>
      </c>
      <c r="L734" s="2">
        <f t="shared" si="82"/>
        <v>0</v>
      </c>
      <c r="M734" s="2">
        <f t="shared" si="83"/>
        <v>10.8244700000014</v>
      </c>
    </row>
    <row r="735" hidden="1" spans="1:13">
      <c r="A735" s="30">
        <v>45839</v>
      </c>
      <c r="B735" s="1" t="s">
        <v>332</v>
      </c>
      <c r="C735" s="1" t="s">
        <v>41</v>
      </c>
      <c r="D735" s="1" t="s">
        <v>47</v>
      </c>
      <c r="F735" s="2">
        <f>355.6+194.24</f>
        <v>549.84</v>
      </c>
      <c r="G735" s="2">
        <v>457.38</v>
      </c>
      <c r="H735" s="2">
        <f t="shared" si="84"/>
        <v>92.46</v>
      </c>
      <c r="I735" s="2">
        <f t="shared" si="85"/>
        <v>92.46</v>
      </c>
      <c r="L735" s="2">
        <f t="shared" si="82"/>
        <v>0</v>
      </c>
      <c r="M735" s="2">
        <f t="shared" si="83"/>
        <v>92.46</v>
      </c>
    </row>
    <row r="736" hidden="1" spans="1:13">
      <c r="A736" s="30">
        <v>45839</v>
      </c>
      <c r="B736" s="1" t="s">
        <v>332</v>
      </c>
      <c r="C736" s="1" t="s">
        <v>55</v>
      </c>
      <c r="D736" s="1" t="s">
        <v>47</v>
      </c>
      <c r="F736" s="2">
        <v>1495.5</v>
      </c>
      <c r="G736" s="2">
        <v>1263.24</v>
      </c>
      <c r="H736" s="2">
        <f t="shared" si="84"/>
        <v>232.26</v>
      </c>
      <c r="I736" s="2">
        <f t="shared" si="85"/>
        <v>232.26</v>
      </c>
      <c r="L736" s="2">
        <f t="shared" si="82"/>
        <v>0</v>
      </c>
      <c r="M736" s="2">
        <f t="shared" si="83"/>
        <v>232.26</v>
      </c>
    </row>
    <row r="737" hidden="1" spans="1:13">
      <c r="A737" s="30">
        <v>45839</v>
      </c>
      <c r="B737" s="1" t="s">
        <v>332</v>
      </c>
      <c r="C737" s="1" t="s">
        <v>43</v>
      </c>
      <c r="D737" s="1" t="s">
        <v>47</v>
      </c>
      <c r="F737" s="2">
        <v>22865.26</v>
      </c>
      <c r="G737" s="2">
        <v>19972.26</v>
      </c>
      <c r="H737" s="2">
        <f t="shared" si="84"/>
        <v>2893</v>
      </c>
      <c r="I737" s="2">
        <f t="shared" si="85"/>
        <v>2893</v>
      </c>
      <c r="L737" s="2">
        <f t="shared" ref="L737:L775" si="86">J737-K737</f>
        <v>0</v>
      </c>
      <c r="M737" s="2">
        <f t="shared" ref="M737:M775" si="87">I737+L737</f>
        <v>2893</v>
      </c>
    </row>
    <row r="738" hidden="1" spans="1:13">
      <c r="A738" s="30">
        <v>45839</v>
      </c>
      <c r="B738" s="1" t="s">
        <v>333</v>
      </c>
      <c r="C738" s="1" t="s">
        <v>44</v>
      </c>
      <c r="D738" s="1" t="s">
        <v>45</v>
      </c>
      <c r="G738" s="2">
        <v>-51235.58</v>
      </c>
      <c r="H738" s="2">
        <f t="shared" si="84"/>
        <v>51235.58</v>
      </c>
      <c r="I738" s="2">
        <f t="shared" si="85"/>
        <v>51235.58</v>
      </c>
      <c r="L738" s="2">
        <f t="shared" si="86"/>
        <v>0</v>
      </c>
      <c r="M738" s="2">
        <f t="shared" si="87"/>
        <v>51235.58</v>
      </c>
    </row>
    <row r="739" hidden="1" spans="1:13">
      <c r="A739" s="30">
        <v>45839</v>
      </c>
      <c r="B739" s="1" t="s">
        <v>334</v>
      </c>
      <c r="C739" s="1" t="s">
        <v>44</v>
      </c>
      <c r="D739" s="1" t="s">
        <v>45</v>
      </c>
      <c r="F739" s="2">
        <v>981064.689999999</v>
      </c>
      <c r="G739" s="2">
        <v>967316.51</v>
      </c>
      <c r="H739" s="2">
        <f t="shared" si="84"/>
        <v>13748.179999999</v>
      </c>
      <c r="I739" s="2">
        <f t="shared" si="85"/>
        <v>13748.179999999</v>
      </c>
      <c r="L739" s="2">
        <f t="shared" si="86"/>
        <v>0</v>
      </c>
      <c r="M739" s="2">
        <f t="shared" si="87"/>
        <v>13748.179999999</v>
      </c>
    </row>
    <row r="740" hidden="1" spans="1:13">
      <c r="A740" s="30">
        <v>45839</v>
      </c>
      <c r="B740" s="1" t="s">
        <v>334</v>
      </c>
      <c r="C740" s="1" t="s">
        <v>46</v>
      </c>
      <c r="D740" s="1" t="s">
        <v>45</v>
      </c>
      <c r="F740" s="2">
        <v>507693.659999999</v>
      </c>
      <c r="G740" s="2">
        <v>496565.349999999</v>
      </c>
      <c r="H740" s="2">
        <f t="shared" si="84"/>
        <v>11128.31</v>
      </c>
      <c r="I740" s="2">
        <f t="shared" si="85"/>
        <v>11128.31</v>
      </c>
      <c r="L740" s="2">
        <f t="shared" si="86"/>
        <v>0</v>
      </c>
      <c r="M740" s="2">
        <f t="shared" si="87"/>
        <v>11128.31</v>
      </c>
    </row>
    <row r="741" hidden="1" spans="1:13">
      <c r="A741" s="30">
        <v>45839</v>
      </c>
      <c r="B741" s="1" t="s">
        <v>334</v>
      </c>
      <c r="C741" s="1" t="s">
        <v>43</v>
      </c>
      <c r="D741" s="1" t="s">
        <v>45</v>
      </c>
      <c r="F741" s="2">
        <v>31679.15</v>
      </c>
      <c r="G741" s="2">
        <v>31596.6399999999</v>
      </c>
      <c r="H741" s="2">
        <f t="shared" si="84"/>
        <v>82.5100000001003</v>
      </c>
      <c r="I741" s="2">
        <f t="shared" si="85"/>
        <v>82.5100000001003</v>
      </c>
      <c r="L741" s="2">
        <f t="shared" si="86"/>
        <v>0</v>
      </c>
      <c r="M741" s="2">
        <f t="shared" si="87"/>
        <v>82.5100000001003</v>
      </c>
    </row>
    <row r="742" hidden="1" spans="1:13">
      <c r="A742" s="30">
        <v>45839</v>
      </c>
      <c r="B742" s="1" t="s">
        <v>334</v>
      </c>
      <c r="C742" s="1" t="s">
        <v>44</v>
      </c>
      <c r="D742" s="1" t="s">
        <v>47</v>
      </c>
      <c r="F742" s="2">
        <v>120420.109899999</v>
      </c>
      <c r="G742" s="2">
        <v>119158.305699999</v>
      </c>
      <c r="H742" s="2">
        <f t="shared" si="84"/>
        <v>1261.80420000001</v>
      </c>
      <c r="I742" s="2">
        <f t="shared" si="85"/>
        <v>1261.80420000001</v>
      </c>
      <c r="L742" s="2">
        <f t="shared" si="86"/>
        <v>0</v>
      </c>
      <c r="M742" s="2">
        <f t="shared" si="87"/>
        <v>1261.80420000001</v>
      </c>
    </row>
    <row r="743" hidden="1" spans="1:13">
      <c r="A743" s="30">
        <v>45839</v>
      </c>
      <c r="B743" s="1" t="s">
        <v>335</v>
      </c>
      <c r="C743" s="1" t="s">
        <v>121</v>
      </c>
      <c r="D743" s="1" t="s">
        <v>52</v>
      </c>
      <c r="F743" s="2">
        <v>22637.34</v>
      </c>
      <c r="G743" s="2">
        <v>19980</v>
      </c>
      <c r="H743" s="2">
        <f t="shared" si="84"/>
        <v>2657.34</v>
      </c>
      <c r="I743" s="2">
        <f t="shared" si="85"/>
        <v>2657.34</v>
      </c>
      <c r="L743" s="2">
        <f t="shared" si="86"/>
        <v>0</v>
      </c>
      <c r="M743" s="2">
        <f t="shared" si="87"/>
        <v>2657.34</v>
      </c>
    </row>
    <row r="744" hidden="1" spans="1:13">
      <c r="A744" s="30">
        <v>45839</v>
      </c>
      <c r="B744" s="1" t="s">
        <v>336</v>
      </c>
      <c r="C744" s="1" t="s">
        <v>121</v>
      </c>
      <c r="D744" s="1" t="s">
        <v>52</v>
      </c>
      <c r="F744" s="2">
        <v>22637.34</v>
      </c>
      <c r="G744" s="2">
        <v>19980</v>
      </c>
      <c r="H744" s="2">
        <f t="shared" si="84"/>
        <v>2657.34</v>
      </c>
      <c r="I744" s="2">
        <f t="shared" si="85"/>
        <v>2657.34</v>
      </c>
      <c r="L744" s="2">
        <f t="shared" si="86"/>
        <v>0</v>
      </c>
      <c r="M744" s="2">
        <f t="shared" si="87"/>
        <v>2657.34</v>
      </c>
    </row>
    <row r="745" hidden="1" spans="1:13">
      <c r="A745" s="30">
        <v>45839</v>
      </c>
      <c r="B745" s="1" t="s">
        <v>337</v>
      </c>
      <c r="C745" s="1" t="s">
        <v>41</v>
      </c>
      <c r="D745" s="1" t="s">
        <v>42</v>
      </c>
      <c r="F745" s="2">
        <v>68.95</v>
      </c>
      <c r="G745" s="2">
        <v>56</v>
      </c>
      <c r="H745" s="2">
        <f t="shared" si="84"/>
        <v>12.95</v>
      </c>
      <c r="I745" s="2">
        <f t="shared" si="85"/>
        <v>12.95</v>
      </c>
      <c r="L745" s="2">
        <f t="shared" si="86"/>
        <v>0</v>
      </c>
      <c r="M745" s="2">
        <f t="shared" si="87"/>
        <v>12.95</v>
      </c>
    </row>
    <row r="746" hidden="1" spans="1:13">
      <c r="A746" s="30">
        <v>45839</v>
      </c>
      <c r="B746" s="1" t="s">
        <v>337</v>
      </c>
      <c r="C746" s="1" t="s">
        <v>55</v>
      </c>
      <c r="D746" s="1" t="s">
        <v>42</v>
      </c>
      <c r="F746" s="2">
        <v>10</v>
      </c>
      <c r="G746" s="2">
        <v>8</v>
      </c>
      <c r="H746" s="2">
        <f t="shared" si="84"/>
        <v>2</v>
      </c>
      <c r="I746" s="2">
        <f t="shared" si="85"/>
        <v>2</v>
      </c>
      <c r="L746" s="2">
        <f t="shared" si="86"/>
        <v>0</v>
      </c>
      <c r="M746" s="2">
        <f t="shared" si="87"/>
        <v>2</v>
      </c>
    </row>
    <row r="747" hidden="1" spans="1:13">
      <c r="A747" s="30">
        <v>45839</v>
      </c>
      <c r="B747" s="1" t="s">
        <v>337</v>
      </c>
      <c r="C747" s="1" t="s">
        <v>43</v>
      </c>
      <c r="D747" s="1" t="s">
        <v>42</v>
      </c>
      <c r="F747" s="2">
        <v>23976.7</v>
      </c>
      <c r="G747" s="2">
        <v>21170</v>
      </c>
      <c r="H747" s="2">
        <f t="shared" si="84"/>
        <v>2806.7</v>
      </c>
      <c r="I747" s="2">
        <f t="shared" si="85"/>
        <v>2806.7</v>
      </c>
      <c r="L747" s="2">
        <f t="shared" si="86"/>
        <v>0</v>
      </c>
      <c r="M747" s="2">
        <f t="shared" si="87"/>
        <v>2806.7</v>
      </c>
    </row>
    <row r="748" hidden="1" spans="1:13">
      <c r="A748" s="30">
        <v>45839</v>
      </c>
      <c r="B748" s="1" t="s">
        <v>337</v>
      </c>
      <c r="C748" s="1" t="s">
        <v>55</v>
      </c>
      <c r="D748" s="1" t="s">
        <v>47</v>
      </c>
      <c r="F748" s="2">
        <v>249.9</v>
      </c>
      <c r="G748" s="2">
        <v>245.65</v>
      </c>
      <c r="H748" s="2">
        <f t="shared" si="84"/>
        <v>4.25</v>
      </c>
      <c r="I748" s="2">
        <f t="shared" si="85"/>
        <v>4.25</v>
      </c>
      <c r="L748" s="2">
        <f t="shared" si="86"/>
        <v>0</v>
      </c>
      <c r="M748" s="2">
        <f t="shared" si="87"/>
        <v>4.25</v>
      </c>
    </row>
    <row r="749" hidden="1" spans="1:13">
      <c r="A749" s="30">
        <v>45839</v>
      </c>
      <c r="B749" s="1" t="s">
        <v>337</v>
      </c>
      <c r="C749" s="1" t="s">
        <v>43</v>
      </c>
      <c r="D749" s="1" t="s">
        <v>47</v>
      </c>
      <c r="F749" s="2">
        <v>376</v>
      </c>
      <c r="G749" s="2">
        <v>317.7</v>
      </c>
      <c r="H749" s="2">
        <f t="shared" si="84"/>
        <v>58.3</v>
      </c>
      <c r="I749" s="2">
        <f t="shared" si="85"/>
        <v>58.3</v>
      </c>
      <c r="L749" s="2">
        <f t="shared" si="86"/>
        <v>0</v>
      </c>
      <c r="M749" s="2">
        <f t="shared" si="87"/>
        <v>58.3</v>
      </c>
    </row>
    <row r="750" hidden="1" spans="1:13">
      <c r="A750" s="30">
        <v>45839</v>
      </c>
      <c r="B750" s="1" t="s">
        <v>338</v>
      </c>
      <c r="C750" s="1" t="s">
        <v>43</v>
      </c>
      <c r="D750" s="1" t="s">
        <v>47</v>
      </c>
      <c r="F750" s="2">
        <v>211495.22</v>
      </c>
      <c r="G750" s="2">
        <v>210348</v>
      </c>
      <c r="H750" s="2">
        <f t="shared" si="84"/>
        <v>1147.22</v>
      </c>
      <c r="I750" s="2">
        <f t="shared" si="85"/>
        <v>1147.22</v>
      </c>
      <c r="L750" s="2">
        <f t="shared" si="86"/>
        <v>0</v>
      </c>
      <c r="M750" s="2">
        <f t="shared" si="87"/>
        <v>1147.22</v>
      </c>
    </row>
    <row r="751" hidden="1" spans="1:13">
      <c r="A751" s="30">
        <v>45839</v>
      </c>
      <c r="B751" s="1" t="s">
        <v>339</v>
      </c>
      <c r="C751" s="1" t="s">
        <v>41</v>
      </c>
      <c r="D751" s="1" t="s">
        <v>42</v>
      </c>
      <c r="F751" s="2">
        <v>155561</v>
      </c>
      <c r="G751" s="2">
        <v>154080.51</v>
      </c>
      <c r="H751" s="2">
        <f t="shared" si="84"/>
        <v>1480.48999999999</v>
      </c>
      <c r="I751" s="2">
        <f t="shared" si="85"/>
        <v>1480.48999999999</v>
      </c>
      <c r="L751" s="2">
        <f t="shared" si="86"/>
        <v>0</v>
      </c>
      <c r="M751" s="2">
        <f t="shared" si="87"/>
        <v>1480.48999999999</v>
      </c>
    </row>
    <row r="752" hidden="1" spans="1:13">
      <c r="A752" s="30">
        <v>45839</v>
      </c>
      <c r="B752" s="1" t="s">
        <v>339</v>
      </c>
      <c r="C752" s="1" t="s">
        <v>55</v>
      </c>
      <c r="D752" s="1" t="s">
        <v>47</v>
      </c>
      <c r="F752" s="2">
        <v>3005.51</v>
      </c>
      <c r="G752" s="2">
        <v>2996.7</v>
      </c>
      <c r="H752" s="2">
        <f t="shared" si="84"/>
        <v>8.8100000000004</v>
      </c>
      <c r="I752" s="2">
        <f t="shared" si="85"/>
        <v>8.8100000000004</v>
      </c>
      <c r="L752" s="2">
        <f t="shared" si="86"/>
        <v>0</v>
      </c>
      <c r="M752" s="2">
        <f t="shared" si="87"/>
        <v>8.8100000000004</v>
      </c>
    </row>
    <row r="753" hidden="1" spans="1:13">
      <c r="A753" s="30">
        <v>45839</v>
      </c>
      <c r="B753" s="1" t="s">
        <v>339</v>
      </c>
      <c r="C753" s="1" t="s">
        <v>43</v>
      </c>
      <c r="D753" s="1" t="s">
        <v>47</v>
      </c>
      <c r="F753" s="2">
        <v>268.6</v>
      </c>
      <c r="G753" s="2">
        <v>238</v>
      </c>
      <c r="H753" s="2">
        <f t="shared" si="84"/>
        <v>30.6</v>
      </c>
      <c r="I753" s="2">
        <f t="shared" si="85"/>
        <v>30.6</v>
      </c>
      <c r="L753" s="2">
        <f t="shared" si="86"/>
        <v>0</v>
      </c>
      <c r="M753" s="2">
        <f t="shared" si="87"/>
        <v>30.6</v>
      </c>
    </row>
    <row r="754" hidden="1" spans="1:13">
      <c r="A754" s="30">
        <v>45839</v>
      </c>
      <c r="B754" s="1" t="s">
        <v>340</v>
      </c>
      <c r="C754" s="1" t="s">
        <v>77</v>
      </c>
      <c r="D754" s="1" t="s">
        <v>42</v>
      </c>
      <c r="F754" s="2">
        <v>14861.6</v>
      </c>
      <c r="G754" s="2">
        <f>14290+808.87</f>
        <v>15098.87</v>
      </c>
      <c r="H754" s="2">
        <f t="shared" si="84"/>
        <v>-237.27</v>
      </c>
      <c r="I754" s="2">
        <f t="shared" si="85"/>
        <v>-237.27</v>
      </c>
      <c r="L754" s="2">
        <f t="shared" si="86"/>
        <v>0</v>
      </c>
      <c r="M754" s="2">
        <f t="shared" si="87"/>
        <v>-237.27</v>
      </c>
    </row>
    <row r="755" hidden="1" spans="1:13">
      <c r="A755" s="30">
        <v>45839</v>
      </c>
      <c r="B755" s="1" t="s">
        <v>340</v>
      </c>
      <c r="C755" s="1" t="s">
        <v>43</v>
      </c>
      <c r="D755" s="1" t="s">
        <v>42</v>
      </c>
      <c r="F755" s="2">
        <v>2142</v>
      </c>
      <c r="H755" s="2">
        <f t="shared" si="84"/>
        <v>2142</v>
      </c>
      <c r="I755" s="2">
        <f t="shared" si="85"/>
        <v>2142</v>
      </c>
      <c r="L755" s="2">
        <f t="shared" si="86"/>
        <v>0</v>
      </c>
      <c r="M755" s="2">
        <f t="shared" si="87"/>
        <v>2142</v>
      </c>
    </row>
    <row r="756" hidden="1" spans="1:13">
      <c r="A756" s="30">
        <v>45839</v>
      </c>
      <c r="B756" s="1" t="s">
        <v>341</v>
      </c>
      <c r="C756" s="1" t="s">
        <v>41</v>
      </c>
      <c r="D756" s="1" t="s">
        <v>90</v>
      </c>
      <c r="F756" s="2">
        <v>10091.3</v>
      </c>
      <c r="G756" s="2">
        <v>10124.3</v>
      </c>
      <c r="H756" s="2">
        <f t="shared" si="84"/>
        <v>-33</v>
      </c>
      <c r="I756" s="2">
        <f t="shared" si="85"/>
        <v>-33</v>
      </c>
      <c r="L756" s="2">
        <f t="shared" si="86"/>
        <v>0</v>
      </c>
      <c r="M756" s="2">
        <f t="shared" si="87"/>
        <v>-33</v>
      </c>
    </row>
    <row r="757" hidden="1" spans="1:13">
      <c r="A757" s="30">
        <v>45839</v>
      </c>
      <c r="B757" s="1" t="s">
        <v>341</v>
      </c>
      <c r="C757" s="1" t="s">
        <v>43</v>
      </c>
      <c r="D757" s="1" t="s">
        <v>90</v>
      </c>
      <c r="F757" s="2">
        <v>1916.15</v>
      </c>
      <c r="G757" s="2">
        <v>1905.7</v>
      </c>
      <c r="H757" s="2">
        <f t="shared" si="84"/>
        <v>10.45</v>
      </c>
      <c r="I757" s="2">
        <f t="shared" si="85"/>
        <v>10.45</v>
      </c>
      <c r="L757" s="2">
        <f t="shared" si="86"/>
        <v>0</v>
      </c>
      <c r="M757" s="2">
        <f t="shared" si="87"/>
        <v>10.45</v>
      </c>
    </row>
    <row r="758" hidden="1" spans="1:13">
      <c r="A758" s="30">
        <v>45839</v>
      </c>
      <c r="B758" s="1" t="s">
        <v>342</v>
      </c>
      <c r="C758" s="1" t="s">
        <v>92</v>
      </c>
      <c r="D758" s="1" t="s">
        <v>42</v>
      </c>
      <c r="F758" s="2">
        <v>1892.09999999999</v>
      </c>
      <c r="G758" s="2">
        <f>1892.1+107.1</f>
        <v>1999.2</v>
      </c>
      <c r="H758" s="2">
        <f t="shared" si="84"/>
        <v>-107.10000000001</v>
      </c>
      <c r="I758" s="2">
        <f t="shared" si="85"/>
        <v>-107.10000000001</v>
      </c>
      <c r="L758" s="2">
        <f t="shared" si="86"/>
        <v>0</v>
      </c>
      <c r="M758" s="2">
        <f t="shared" si="87"/>
        <v>-107.10000000001</v>
      </c>
    </row>
    <row r="759" hidden="1" spans="1:13">
      <c r="A759" s="30">
        <v>45839</v>
      </c>
      <c r="B759" s="1" t="s">
        <v>342</v>
      </c>
      <c r="C759" s="1" t="s">
        <v>43</v>
      </c>
      <c r="D759" s="1" t="s">
        <v>42</v>
      </c>
      <c r="F759" s="2">
        <v>36.06</v>
      </c>
      <c r="H759" s="2">
        <f t="shared" si="84"/>
        <v>36.06</v>
      </c>
      <c r="I759" s="2">
        <f t="shared" si="85"/>
        <v>36.06</v>
      </c>
      <c r="L759" s="2">
        <f t="shared" si="86"/>
        <v>0</v>
      </c>
      <c r="M759" s="2">
        <f t="shared" si="87"/>
        <v>36.06</v>
      </c>
    </row>
    <row r="760" hidden="1" spans="1:13">
      <c r="A760" s="30">
        <v>45839</v>
      </c>
      <c r="B760" s="1" t="s">
        <v>343</v>
      </c>
      <c r="C760" s="1" t="s">
        <v>41</v>
      </c>
      <c r="D760" s="1" t="s">
        <v>42</v>
      </c>
      <c r="F760" s="2">
        <v>7960.98</v>
      </c>
      <c r="G760" s="2">
        <v>5687.04</v>
      </c>
      <c r="H760" s="2">
        <f t="shared" ref="H760:H818" si="88">F760-G760</f>
        <v>2273.94</v>
      </c>
      <c r="I760" s="2">
        <f t="shared" ref="I760:I818" si="89">H760+E760</f>
        <v>2273.94</v>
      </c>
      <c r="L760" s="2">
        <f t="shared" si="86"/>
        <v>0</v>
      </c>
      <c r="M760" s="2">
        <f t="shared" si="87"/>
        <v>2273.94</v>
      </c>
    </row>
    <row r="761" hidden="1" spans="1:13">
      <c r="A761" s="30">
        <v>45839</v>
      </c>
      <c r="B761" s="1" t="s">
        <v>343</v>
      </c>
      <c r="C761" s="1" t="s">
        <v>55</v>
      </c>
      <c r="D761" s="1" t="s">
        <v>42</v>
      </c>
      <c r="F761" s="2">
        <v>134.75</v>
      </c>
      <c r="G761" s="2">
        <v>128.1</v>
      </c>
      <c r="H761" s="2">
        <f t="shared" si="88"/>
        <v>6.65000000000001</v>
      </c>
      <c r="I761" s="2">
        <f t="shared" si="89"/>
        <v>6.65000000000001</v>
      </c>
      <c r="L761" s="2">
        <f t="shared" si="86"/>
        <v>0</v>
      </c>
      <c r="M761" s="2">
        <f t="shared" si="87"/>
        <v>6.65000000000001</v>
      </c>
    </row>
    <row r="762" hidden="1" spans="1:13">
      <c r="A762" s="30">
        <v>45839</v>
      </c>
      <c r="B762" s="1" t="s">
        <v>343</v>
      </c>
      <c r="C762" s="1" t="s">
        <v>43</v>
      </c>
      <c r="D762" s="1" t="s">
        <v>42</v>
      </c>
      <c r="F762" s="2">
        <v>20367.7999999999</v>
      </c>
      <c r="G762" s="2">
        <v>17752.8044</v>
      </c>
      <c r="H762" s="2">
        <f t="shared" si="88"/>
        <v>2614.9955999999</v>
      </c>
      <c r="I762" s="2">
        <f t="shared" si="89"/>
        <v>2614.9955999999</v>
      </c>
      <c r="L762" s="2">
        <f t="shared" si="86"/>
        <v>0</v>
      </c>
      <c r="M762" s="2">
        <f t="shared" si="87"/>
        <v>2614.9955999999</v>
      </c>
    </row>
    <row r="763" hidden="1" spans="1:13">
      <c r="A763" s="30">
        <v>45839</v>
      </c>
      <c r="B763" s="1" t="s">
        <v>343</v>
      </c>
      <c r="C763" s="1" t="s">
        <v>54</v>
      </c>
      <c r="D763" s="1" t="s">
        <v>47</v>
      </c>
      <c r="F763" s="2">
        <v>75.55</v>
      </c>
      <c r="G763" s="2">
        <v>69</v>
      </c>
      <c r="H763" s="2">
        <f t="shared" si="88"/>
        <v>6.55</v>
      </c>
      <c r="I763" s="2">
        <f t="shared" si="89"/>
        <v>6.55</v>
      </c>
      <c r="L763" s="2">
        <f t="shared" si="86"/>
        <v>0</v>
      </c>
      <c r="M763" s="2">
        <f t="shared" si="87"/>
        <v>6.55</v>
      </c>
    </row>
    <row r="764" hidden="1" spans="1:13">
      <c r="A764" s="30">
        <v>45839</v>
      </c>
      <c r="B764" s="1" t="s">
        <v>343</v>
      </c>
      <c r="C764" s="1" t="s">
        <v>87</v>
      </c>
      <c r="D764" s="1" t="s">
        <v>47</v>
      </c>
      <c r="F764" s="2">
        <v>17.5</v>
      </c>
      <c r="G764" s="2">
        <v>17.5</v>
      </c>
      <c r="H764" s="2">
        <f t="shared" si="88"/>
        <v>0</v>
      </c>
      <c r="I764" s="2">
        <f t="shared" si="89"/>
        <v>0</v>
      </c>
      <c r="L764" s="2">
        <f t="shared" si="86"/>
        <v>0</v>
      </c>
      <c r="M764" s="2">
        <f t="shared" si="87"/>
        <v>0</v>
      </c>
    </row>
    <row r="765" hidden="1" spans="1:13">
      <c r="A765" s="30">
        <v>45839</v>
      </c>
      <c r="B765" s="1" t="s">
        <v>343</v>
      </c>
      <c r="C765" s="1" t="s">
        <v>41</v>
      </c>
      <c r="D765" s="1" t="s">
        <v>47</v>
      </c>
      <c r="F765" s="2">
        <f>16567.6118+14581.6+1086.2</f>
        <v>32235.4118</v>
      </c>
      <c r="G765" s="2">
        <f>28523.53+825.5</f>
        <v>29349.03</v>
      </c>
      <c r="H765" s="2">
        <f t="shared" si="88"/>
        <v>2886.3818</v>
      </c>
      <c r="I765" s="2">
        <f t="shared" si="89"/>
        <v>2886.3818</v>
      </c>
      <c r="L765" s="2">
        <f t="shared" si="86"/>
        <v>0</v>
      </c>
      <c r="M765" s="2">
        <f t="shared" si="87"/>
        <v>2886.3818</v>
      </c>
    </row>
    <row r="766" hidden="1" spans="1:13">
      <c r="A766" s="30">
        <v>45839</v>
      </c>
      <c r="B766" s="1" t="s">
        <v>343</v>
      </c>
      <c r="C766" s="1" t="s">
        <v>55</v>
      </c>
      <c r="D766" s="1" t="s">
        <v>47</v>
      </c>
      <c r="F766" s="2">
        <v>5780.54</v>
      </c>
      <c r="G766" s="2">
        <v>5667</v>
      </c>
      <c r="H766" s="2">
        <f t="shared" si="88"/>
        <v>113.54</v>
      </c>
      <c r="I766" s="2">
        <f t="shared" si="89"/>
        <v>113.54</v>
      </c>
      <c r="L766" s="2">
        <f t="shared" si="86"/>
        <v>0</v>
      </c>
      <c r="M766" s="2">
        <f t="shared" si="87"/>
        <v>113.54</v>
      </c>
    </row>
    <row r="767" hidden="1" spans="1:13">
      <c r="A767" s="30">
        <v>45839</v>
      </c>
      <c r="B767" s="1" t="s">
        <v>343</v>
      </c>
      <c r="C767" s="1" t="s">
        <v>43</v>
      </c>
      <c r="D767" s="1" t="s">
        <v>47</v>
      </c>
      <c r="F767" s="2">
        <v>874474.524</v>
      </c>
      <c r="G767" s="2">
        <v>729341.38</v>
      </c>
      <c r="H767" s="2">
        <f t="shared" si="88"/>
        <v>145133.144</v>
      </c>
      <c r="I767" s="2">
        <f t="shared" si="89"/>
        <v>145133.144</v>
      </c>
      <c r="L767" s="2">
        <f t="shared" si="86"/>
        <v>0</v>
      </c>
      <c r="M767" s="2">
        <f t="shared" si="87"/>
        <v>145133.144</v>
      </c>
    </row>
    <row r="768" hidden="1" spans="1:13">
      <c r="A768" s="30">
        <v>45839</v>
      </c>
      <c r="B768" s="1" t="s">
        <v>343</v>
      </c>
      <c r="C768" s="1" t="s">
        <v>57</v>
      </c>
      <c r="D768" s="1" t="s">
        <v>47</v>
      </c>
      <c r="F768" s="2">
        <f>592+78660</f>
        <v>79252</v>
      </c>
      <c r="G768" s="2">
        <f>436+69427.8</f>
        <v>69863.8</v>
      </c>
      <c r="H768" s="2">
        <f t="shared" si="88"/>
        <v>9388.2</v>
      </c>
      <c r="I768" s="2">
        <f t="shared" si="89"/>
        <v>9388.2</v>
      </c>
      <c r="L768" s="2">
        <f t="shared" si="86"/>
        <v>0</v>
      </c>
      <c r="M768" s="2">
        <f t="shared" si="87"/>
        <v>9388.2</v>
      </c>
    </row>
    <row r="769" hidden="1" spans="1:13">
      <c r="A769" s="30">
        <v>45839</v>
      </c>
      <c r="B769" s="1" t="s">
        <v>343</v>
      </c>
      <c r="C769" s="1" t="s">
        <v>54</v>
      </c>
      <c r="D769" s="1" t="s">
        <v>48</v>
      </c>
      <c r="F769" s="2">
        <v>23.33</v>
      </c>
      <c r="G769" s="2">
        <v>21.75</v>
      </c>
      <c r="H769" s="2">
        <f t="shared" si="88"/>
        <v>1.58</v>
      </c>
      <c r="I769" s="2">
        <f t="shared" si="89"/>
        <v>1.58</v>
      </c>
      <c r="L769" s="2">
        <f t="shared" si="86"/>
        <v>0</v>
      </c>
      <c r="M769" s="2">
        <f t="shared" si="87"/>
        <v>1.58</v>
      </c>
    </row>
    <row r="770" hidden="1" spans="1:13">
      <c r="A770" s="30">
        <v>45839</v>
      </c>
      <c r="B770" s="1" t="s">
        <v>343</v>
      </c>
      <c r="C770" s="1" t="s">
        <v>43</v>
      </c>
      <c r="D770" s="1" t="s">
        <v>48</v>
      </c>
      <c r="F770" s="2">
        <v>3684.8</v>
      </c>
      <c r="G770" s="2">
        <v>3601.67</v>
      </c>
      <c r="H770" s="2">
        <f t="shared" si="88"/>
        <v>83.1300000000001</v>
      </c>
      <c r="I770" s="2">
        <f t="shared" si="89"/>
        <v>83.1300000000001</v>
      </c>
      <c r="L770" s="2">
        <f t="shared" si="86"/>
        <v>0</v>
      </c>
      <c r="M770" s="2">
        <f t="shared" si="87"/>
        <v>83.1300000000001</v>
      </c>
    </row>
    <row r="771" hidden="1" spans="1:13">
      <c r="A771" s="30">
        <v>45839</v>
      </c>
      <c r="B771" s="1" t="s">
        <v>343</v>
      </c>
      <c r="C771" s="1" t="s">
        <v>57</v>
      </c>
      <c r="D771" s="1" t="s">
        <v>48</v>
      </c>
      <c r="F771" s="2">
        <v>162</v>
      </c>
      <c r="G771" s="2">
        <v>158.4</v>
      </c>
      <c r="H771" s="2">
        <f t="shared" si="88"/>
        <v>3.59999999999999</v>
      </c>
      <c r="I771" s="2">
        <f t="shared" si="89"/>
        <v>3.59999999999999</v>
      </c>
      <c r="L771" s="2">
        <f t="shared" si="86"/>
        <v>0</v>
      </c>
      <c r="M771" s="2">
        <f t="shared" si="87"/>
        <v>3.59999999999999</v>
      </c>
    </row>
    <row r="772" hidden="1" spans="1:13">
      <c r="A772" s="30">
        <v>45839</v>
      </c>
      <c r="B772" s="1" t="s">
        <v>344</v>
      </c>
      <c r="C772" s="1" t="s">
        <v>51</v>
      </c>
      <c r="D772" s="1" t="s">
        <v>52</v>
      </c>
      <c r="H772" s="2">
        <f t="shared" si="88"/>
        <v>0</v>
      </c>
      <c r="I772" s="2">
        <f t="shared" si="89"/>
        <v>0</v>
      </c>
      <c r="K772" s="2">
        <v>172453.88</v>
      </c>
      <c r="L772" s="2">
        <f t="shared" si="86"/>
        <v>-172453.88</v>
      </c>
      <c r="M772" s="2">
        <f t="shared" si="87"/>
        <v>-172453.88</v>
      </c>
    </row>
    <row r="773" hidden="1" spans="1:13">
      <c r="A773" s="30">
        <v>45839</v>
      </c>
      <c r="B773" s="1" t="s">
        <v>345</v>
      </c>
      <c r="C773" s="1" t="s">
        <v>87</v>
      </c>
      <c r="D773" s="1" t="s">
        <v>47</v>
      </c>
      <c r="F773" s="2">
        <v>60038.98</v>
      </c>
      <c r="G773" s="2">
        <v>59135.2</v>
      </c>
      <c r="H773" s="2">
        <f t="shared" si="88"/>
        <v>903.780000000006</v>
      </c>
      <c r="I773" s="2">
        <f t="shared" si="89"/>
        <v>903.780000000006</v>
      </c>
      <c r="L773" s="2">
        <f t="shared" si="86"/>
        <v>0</v>
      </c>
      <c r="M773" s="2">
        <f t="shared" si="87"/>
        <v>903.780000000006</v>
      </c>
    </row>
    <row r="774" hidden="1" spans="1:13">
      <c r="A774" s="30">
        <v>45839</v>
      </c>
      <c r="B774" s="1" t="s">
        <v>345</v>
      </c>
      <c r="C774" s="1" t="s">
        <v>43</v>
      </c>
      <c r="D774" s="1" t="s">
        <v>47</v>
      </c>
      <c r="F774" s="2">
        <v>749.3</v>
      </c>
      <c r="G774" s="2">
        <v>767.8</v>
      </c>
      <c r="H774" s="2">
        <f t="shared" si="88"/>
        <v>-18.5</v>
      </c>
      <c r="I774" s="2">
        <f t="shared" si="89"/>
        <v>-18.5</v>
      </c>
      <c r="L774" s="2">
        <f t="shared" si="86"/>
        <v>0</v>
      </c>
      <c r="M774" s="2">
        <f t="shared" si="87"/>
        <v>-18.5</v>
      </c>
    </row>
    <row r="775" hidden="1" spans="1:13">
      <c r="A775" s="30">
        <v>45839</v>
      </c>
      <c r="B775" s="1" t="s">
        <v>345</v>
      </c>
      <c r="C775" s="1" t="s">
        <v>43</v>
      </c>
      <c r="D775" s="1" t="s">
        <v>48</v>
      </c>
      <c r="F775" s="2">
        <v>96.835</v>
      </c>
      <c r="G775" s="2">
        <v>96.3235</v>
      </c>
      <c r="H775" s="2">
        <f t="shared" si="88"/>
        <v>0.511499999999998</v>
      </c>
      <c r="I775" s="2">
        <f t="shared" si="89"/>
        <v>0.511499999999998</v>
      </c>
      <c r="L775" s="2">
        <f t="shared" si="86"/>
        <v>0</v>
      </c>
      <c r="M775" s="2">
        <f t="shared" si="87"/>
        <v>0.511499999999998</v>
      </c>
    </row>
    <row r="776" hidden="1" spans="1:13">
      <c r="A776" s="30">
        <v>45839</v>
      </c>
      <c r="B776" s="1" t="s">
        <v>346</v>
      </c>
      <c r="C776" s="1" t="s">
        <v>121</v>
      </c>
      <c r="D776" s="1" t="s">
        <v>52</v>
      </c>
      <c r="F776" s="2">
        <v>1890</v>
      </c>
      <c r="G776" s="2">
        <v>1891.0836</v>
      </c>
      <c r="H776" s="2">
        <f t="shared" si="88"/>
        <v>-1.08359999999993</v>
      </c>
      <c r="I776" s="2">
        <f t="shared" si="89"/>
        <v>-1.08359999999993</v>
      </c>
      <c r="L776" s="2">
        <f t="shared" ref="L776:L818" si="90">J776-K776</f>
        <v>0</v>
      </c>
      <c r="M776" s="2">
        <f t="shared" ref="M776:M818" si="91">I776+L776</f>
        <v>-1.08359999999993</v>
      </c>
    </row>
    <row r="777" hidden="1" spans="1:13">
      <c r="A777" s="30">
        <v>45839</v>
      </c>
      <c r="B777" s="1" t="s">
        <v>347</v>
      </c>
      <c r="C777" s="1" t="s">
        <v>41</v>
      </c>
      <c r="D777" s="1" t="s">
        <v>42</v>
      </c>
      <c r="F777" s="2">
        <v>195.6274305</v>
      </c>
      <c r="G777" s="2">
        <v>187.5</v>
      </c>
      <c r="H777" s="2">
        <f t="shared" si="88"/>
        <v>8.1274305</v>
      </c>
      <c r="I777" s="2">
        <f t="shared" si="89"/>
        <v>8.1274305</v>
      </c>
      <c r="L777" s="2">
        <f t="shared" si="90"/>
        <v>0</v>
      </c>
      <c r="M777" s="2">
        <f t="shared" si="91"/>
        <v>8.1274305</v>
      </c>
    </row>
    <row r="778" hidden="1" spans="1:13">
      <c r="A778" s="30">
        <v>45839</v>
      </c>
      <c r="B778" s="1" t="s">
        <v>347</v>
      </c>
      <c r="C778" s="1" t="s">
        <v>55</v>
      </c>
      <c r="D778" s="1" t="s">
        <v>42</v>
      </c>
      <c r="F778" s="2">
        <v>19479.6</v>
      </c>
      <c r="G778" s="2">
        <v>17392.5</v>
      </c>
      <c r="H778" s="2">
        <f t="shared" si="88"/>
        <v>2087.1</v>
      </c>
      <c r="I778" s="2">
        <f t="shared" si="89"/>
        <v>2087.1</v>
      </c>
      <c r="L778" s="2">
        <f t="shared" si="90"/>
        <v>0</v>
      </c>
      <c r="M778" s="2">
        <f t="shared" si="91"/>
        <v>2087.1</v>
      </c>
    </row>
    <row r="779" hidden="1" spans="1:13">
      <c r="A779" s="30">
        <v>45839</v>
      </c>
      <c r="B779" s="1" t="s">
        <v>347</v>
      </c>
      <c r="C779" s="1" t="s">
        <v>43</v>
      </c>
      <c r="D779" s="1" t="s">
        <v>42</v>
      </c>
      <c r="F779" s="2">
        <v>444.5</v>
      </c>
      <c r="G779" s="2">
        <v>181.25</v>
      </c>
      <c r="H779" s="2">
        <f t="shared" si="88"/>
        <v>263.25</v>
      </c>
      <c r="I779" s="2">
        <f t="shared" si="89"/>
        <v>263.25</v>
      </c>
      <c r="L779" s="2">
        <f t="shared" si="90"/>
        <v>0</v>
      </c>
      <c r="M779" s="2">
        <f t="shared" si="91"/>
        <v>263.25</v>
      </c>
    </row>
    <row r="780" hidden="1" spans="1:13">
      <c r="A780" s="30">
        <v>45839</v>
      </c>
      <c r="B780" s="1" t="s">
        <v>347</v>
      </c>
      <c r="C780" s="1" t="s">
        <v>54</v>
      </c>
      <c r="D780" s="1" t="s">
        <v>47</v>
      </c>
      <c r="F780" s="2">
        <v>190188.979999999</v>
      </c>
      <c r="G780" s="2">
        <v>167596.5</v>
      </c>
      <c r="H780" s="2">
        <f t="shared" si="88"/>
        <v>22592.479999999</v>
      </c>
      <c r="I780" s="2">
        <f t="shared" si="89"/>
        <v>22592.479999999</v>
      </c>
      <c r="L780" s="2">
        <f t="shared" si="90"/>
        <v>0</v>
      </c>
      <c r="M780" s="2">
        <f t="shared" si="91"/>
        <v>22592.479999999</v>
      </c>
    </row>
    <row r="781" hidden="1" spans="1:13">
      <c r="A781" s="30">
        <v>45839</v>
      </c>
      <c r="B781" s="1" t="s">
        <v>347</v>
      </c>
      <c r="C781" s="1" t="s">
        <v>41</v>
      </c>
      <c r="D781" s="1" t="s">
        <v>47</v>
      </c>
      <c r="F781" s="2">
        <f>6298+1010</f>
        <v>7308</v>
      </c>
      <c r="G781" s="2">
        <f>5597.5+661.5</f>
        <v>6259</v>
      </c>
      <c r="H781" s="2">
        <f t="shared" si="88"/>
        <v>1049</v>
      </c>
      <c r="I781" s="2">
        <f t="shared" si="89"/>
        <v>1049</v>
      </c>
      <c r="L781" s="2">
        <f t="shared" si="90"/>
        <v>0</v>
      </c>
      <c r="M781" s="2">
        <f t="shared" si="91"/>
        <v>1049</v>
      </c>
    </row>
    <row r="782" hidden="1" spans="1:13">
      <c r="A782" s="30">
        <v>45839</v>
      </c>
      <c r="B782" s="1" t="s">
        <v>347</v>
      </c>
      <c r="C782" s="1" t="s">
        <v>43</v>
      </c>
      <c r="D782" s="1" t="s">
        <v>47</v>
      </c>
      <c r="F782" s="2">
        <v>1042659.8</v>
      </c>
      <c r="G782" s="2">
        <v>1041460.9</v>
      </c>
      <c r="H782" s="2">
        <f t="shared" si="88"/>
        <v>1198.90000000002</v>
      </c>
      <c r="I782" s="2">
        <f t="shared" si="89"/>
        <v>1198.90000000002</v>
      </c>
      <c r="L782" s="2">
        <f t="shared" si="90"/>
        <v>0</v>
      </c>
      <c r="M782" s="2">
        <f t="shared" si="91"/>
        <v>1198.90000000002</v>
      </c>
    </row>
    <row r="783" hidden="1" spans="1:13">
      <c r="A783" s="30">
        <v>45839</v>
      </c>
      <c r="B783" s="1" t="s">
        <v>348</v>
      </c>
      <c r="C783" s="1" t="s">
        <v>43</v>
      </c>
      <c r="D783" s="1" t="s">
        <v>42</v>
      </c>
      <c r="F783" s="2">
        <v>3444</v>
      </c>
      <c r="G783" s="2">
        <v>3300</v>
      </c>
      <c r="H783" s="2">
        <f t="shared" si="88"/>
        <v>144</v>
      </c>
      <c r="I783" s="2">
        <f t="shared" si="89"/>
        <v>144</v>
      </c>
      <c r="L783" s="2">
        <f t="shared" si="90"/>
        <v>0</v>
      </c>
      <c r="M783" s="2">
        <f t="shared" si="91"/>
        <v>144</v>
      </c>
    </row>
    <row r="784" hidden="1" spans="1:13">
      <c r="A784" s="30">
        <v>45839</v>
      </c>
      <c r="B784" s="1" t="s">
        <v>349</v>
      </c>
      <c r="C784" s="1" t="s">
        <v>55</v>
      </c>
      <c r="D784" s="1" t="s">
        <v>42</v>
      </c>
      <c r="F784" s="2">
        <v>5.4481</v>
      </c>
      <c r="H784" s="2">
        <f t="shared" si="88"/>
        <v>5.4481</v>
      </c>
      <c r="I784" s="2">
        <f t="shared" si="89"/>
        <v>5.4481</v>
      </c>
      <c r="L784" s="2">
        <f t="shared" si="90"/>
        <v>0</v>
      </c>
      <c r="M784" s="2">
        <f t="shared" si="91"/>
        <v>5.4481</v>
      </c>
    </row>
    <row r="785" hidden="1" spans="1:13">
      <c r="A785" s="30">
        <v>45839</v>
      </c>
      <c r="B785" s="1" t="s">
        <v>349</v>
      </c>
      <c r="C785" s="1" t="s">
        <v>43</v>
      </c>
      <c r="D785" s="1" t="s">
        <v>42</v>
      </c>
      <c r="F785" s="2">
        <v>2099.62</v>
      </c>
      <c r="G785" s="2">
        <v>3089.62</v>
      </c>
      <c r="H785" s="2">
        <f t="shared" si="88"/>
        <v>-990</v>
      </c>
      <c r="I785" s="2">
        <f t="shared" si="89"/>
        <v>-990</v>
      </c>
      <c r="L785" s="2">
        <f t="shared" si="90"/>
        <v>0</v>
      </c>
      <c r="M785" s="2">
        <f t="shared" si="91"/>
        <v>-990</v>
      </c>
    </row>
    <row r="786" hidden="1" spans="1:13">
      <c r="A786" s="30">
        <v>45839</v>
      </c>
      <c r="B786" s="1" t="s">
        <v>350</v>
      </c>
      <c r="C786" s="1" t="s">
        <v>41</v>
      </c>
      <c r="D786" s="1" t="s">
        <v>47</v>
      </c>
      <c r="F786" s="2">
        <f>9168.34+779</f>
        <v>9947.34</v>
      </c>
      <c r="G786" s="2">
        <f>5953.18+462.3</f>
        <v>6415.48</v>
      </c>
      <c r="H786" s="2">
        <f t="shared" si="88"/>
        <v>3531.86</v>
      </c>
      <c r="I786" s="2">
        <f t="shared" si="89"/>
        <v>3531.86</v>
      </c>
      <c r="L786" s="2">
        <f t="shared" si="90"/>
        <v>0</v>
      </c>
      <c r="M786" s="2">
        <f t="shared" si="91"/>
        <v>3531.86</v>
      </c>
    </row>
    <row r="787" hidden="1" spans="1:13">
      <c r="A787" s="30">
        <v>45839</v>
      </c>
      <c r="B787" s="1" t="s">
        <v>350</v>
      </c>
      <c r="C787" s="1" t="s">
        <v>43</v>
      </c>
      <c r="D787" s="1" t="s">
        <v>47</v>
      </c>
      <c r="F787" s="2">
        <v>15087.5</v>
      </c>
      <c r="G787" s="2">
        <v>15075.6</v>
      </c>
      <c r="H787" s="2">
        <f t="shared" si="88"/>
        <v>11.8999999999996</v>
      </c>
      <c r="I787" s="2">
        <f t="shared" si="89"/>
        <v>11.8999999999996</v>
      </c>
      <c r="L787" s="2">
        <f t="shared" si="90"/>
        <v>0</v>
      </c>
      <c r="M787" s="2">
        <f t="shared" si="91"/>
        <v>11.8999999999996</v>
      </c>
    </row>
    <row r="788" hidden="1" spans="1:13">
      <c r="A788" s="30">
        <v>45839</v>
      </c>
      <c r="B788" s="1" t="s">
        <v>350</v>
      </c>
      <c r="C788" s="1" t="s">
        <v>57</v>
      </c>
      <c r="D788" s="1" t="s">
        <v>47</v>
      </c>
      <c r="F788" s="2">
        <v>78</v>
      </c>
      <c r="G788" s="2">
        <v>59.28</v>
      </c>
      <c r="H788" s="2">
        <f t="shared" si="88"/>
        <v>18.72</v>
      </c>
      <c r="I788" s="2">
        <f t="shared" si="89"/>
        <v>18.72</v>
      </c>
      <c r="L788" s="2">
        <f t="shared" si="90"/>
        <v>0</v>
      </c>
      <c r="M788" s="2">
        <f t="shared" si="91"/>
        <v>18.72</v>
      </c>
    </row>
    <row r="789" hidden="1" spans="1:13">
      <c r="A789" s="30">
        <v>45839</v>
      </c>
      <c r="B789" s="1" t="s">
        <v>350</v>
      </c>
      <c r="C789" s="1" t="s">
        <v>41</v>
      </c>
      <c r="D789" s="1" t="s">
        <v>48</v>
      </c>
      <c r="F789" s="2">
        <v>196</v>
      </c>
      <c r="H789" s="2">
        <f t="shared" si="88"/>
        <v>196</v>
      </c>
      <c r="I789" s="2">
        <f t="shared" si="89"/>
        <v>196</v>
      </c>
      <c r="L789" s="2">
        <f t="shared" si="90"/>
        <v>0</v>
      </c>
      <c r="M789" s="2">
        <f t="shared" si="91"/>
        <v>196</v>
      </c>
    </row>
    <row r="790" hidden="1" spans="1:13">
      <c r="A790" s="30">
        <v>45839</v>
      </c>
      <c r="B790" s="1" t="s">
        <v>350</v>
      </c>
      <c r="C790" s="1" t="s">
        <v>57</v>
      </c>
      <c r="D790" s="1" t="s">
        <v>48</v>
      </c>
      <c r="F790" s="2">
        <v>11318.9999999999</v>
      </c>
      <c r="G790" s="2">
        <v>11319</v>
      </c>
      <c r="H790" s="2">
        <f t="shared" si="88"/>
        <v>-1.00044417195022e-10</v>
      </c>
      <c r="I790" s="2">
        <f t="shared" si="89"/>
        <v>-1.00044417195022e-10</v>
      </c>
      <c r="L790" s="2">
        <f t="shared" si="90"/>
        <v>0</v>
      </c>
      <c r="M790" s="2">
        <f t="shared" si="91"/>
        <v>-1.00044417195022e-10</v>
      </c>
    </row>
    <row r="791" hidden="1" spans="1:13">
      <c r="A791" s="30">
        <v>45839</v>
      </c>
      <c r="B791" s="1" t="s">
        <v>351</v>
      </c>
      <c r="C791" s="1" t="s">
        <v>43</v>
      </c>
      <c r="D791" s="1" t="s">
        <v>42</v>
      </c>
      <c r="F791" s="2">
        <v>1187.2</v>
      </c>
      <c r="G791" s="2">
        <v>1065.3</v>
      </c>
      <c r="H791" s="2">
        <f t="shared" si="88"/>
        <v>121.9</v>
      </c>
      <c r="I791" s="2">
        <f t="shared" si="89"/>
        <v>121.9</v>
      </c>
      <c r="L791" s="2">
        <f t="shared" si="90"/>
        <v>0</v>
      </c>
      <c r="M791" s="2">
        <f t="shared" si="91"/>
        <v>121.9</v>
      </c>
    </row>
    <row r="792" hidden="1" spans="1:13">
      <c r="A792" s="30">
        <v>45839</v>
      </c>
      <c r="B792" s="1" t="s">
        <v>351</v>
      </c>
      <c r="C792" s="1" t="s">
        <v>41</v>
      </c>
      <c r="D792" s="1" t="s">
        <v>48</v>
      </c>
      <c r="F792" s="2">
        <v>3507223.7212093</v>
      </c>
      <c r="G792" s="2">
        <v>3288413.52</v>
      </c>
      <c r="H792" s="2">
        <f t="shared" si="88"/>
        <v>218810.2012093</v>
      </c>
      <c r="I792" s="2">
        <f t="shared" si="89"/>
        <v>218810.2012093</v>
      </c>
      <c r="L792" s="2">
        <f t="shared" si="90"/>
        <v>0</v>
      </c>
      <c r="M792" s="2">
        <f t="shared" si="91"/>
        <v>218810.2012093</v>
      </c>
    </row>
    <row r="793" hidden="1" spans="1:13">
      <c r="A793" s="30">
        <v>45839</v>
      </c>
      <c r="B793" s="1" t="s">
        <v>351</v>
      </c>
      <c r="C793" s="1" t="s">
        <v>55</v>
      </c>
      <c r="D793" s="1" t="s">
        <v>48</v>
      </c>
      <c r="F793" s="2">
        <v>3544392.8</v>
      </c>
      <c r="G793" s="2">
        <v>3426512.544</v>
      </c>
      <c r="H793" s="2">
        <f t="shared" si="88"/>
        <v>117880.256</v>
      </c>
      <c r="I793" s="2">
        <f t="shared" si="89"/>
        <v>117880.256</v>
      </c>
      <c r="L793" s="2">
        <f t="shared" si="90"/>
        <v>0</v>
      </c>
      <c r="M793" s="2">
        <f t="shared" si="91"/>
        <v>117880.256</v>
      </c>
    </row>
    <row r="794" hidden="1" spans="1:13">
      <c r="A794" s="30">
        <v>45839</v>
      </c>
      <c r="B794" s="1" t="s">
        <v>351</v>
      </c>
      <c r="C794" s="1" t="s">
        <v>43</v>
      </c>
      <c r="D794" s="1" t="s">
        <v>48</v>
      </c>
      <c r="F794" s="2">
        <v>5457277.15</v>
      </c>
      <c r="G794" s="2">
        <v>5167669.248</v>
      </c>
      <c r="H794" s="2">
        <f t="shared" si="88"/>
        <v>289607.902000001</v>
      </c>
      <c r="I794" s="2">
        <f t="shared" si="89"/>
        <v>289607.902000001</v>
      </c>
      <c r="L794" s="2">
        <f t="shared" si="90"/>
        <v>0</v>
      </c>
      <c r="M794" s="2">
        <f t="shared" si="91"/>
        <v>289607.902000001</v>
      </c>
    </row>
    <row r="795" hidden="1" spans="1:13">
      <c r="A795" s="30">
        <v>45839</v>
      </c>
      <c r="B795" s="1" t="s">
        <v>351</v>
      </c>
      <c r="C795" s="1" t="s">
        <v>43</v>
      </c>
      <c r="D795" s="1" t="s">
        <v>90</v>
      </c>
      <c r="F795" s="2">
        <v>36465.75</v>
      </c>
      <c r="G795" s="2">
        <v>35817.6</v>
      </c>
      <c r="H795" s="2">
        <f t="shared" si="88"/>
        <v>648.150000000001</v>
      </c>
      <c r="I795" s="2">
        <f t="shared" si="89"/>
        <v>648.150000000001</v>
      </c>
      <c r="L795" s="2">
        <f t="shared" si="90"/>
        <v>0</v>
      </c>
      <c r="M795" s="2">
        <f t="shared" si="91"/>
        <v>648.150000000001</v>
      </c>
    </row>
    <row r="796" hidden="1" spans="1:13">
      <c r="A796" s="30">
        <v>45839</v>
      </c>
      <c r="B796" s="1" t="s">
        <v>352</v>
      </c>
      <c r="C796" s="1" t="s">
        <v>50</v>
      </c>
      <c r="D796" s="1" t="s">
        <v>45</v>
      </c>
      <c r="F796" s="2">
        <f>21.44-25742.78</f>
        <v>-25721.34</v>
      </c>
      <c r="G796" s="2">
        <f>14.74-31470.06</f>
        <v>-31455.32</v>
      </c>
      <c r="H796" s="2">
        <f t="shared" si="88"/>
        <v>5733.98</v>
      </c>
      <c r="I796" s="2">
        <f t="shared" si="89"/>
        <v>5733.98</v>
      </c>
      <c r="L796" s="2">
        <f t="shared" si="90"/>
        <v>0</v>
      </c>
      <c r="M796" s="2">
        <f t="shared" si="91"/>
        <v>5733.98</v>
      </c>
    </row>
    <row r="797" hidden="1" spans="1:13">
      <c r="A797" s="30">
        <v>45839</v>
      </c>
      <c r="B797" s="1" t="s">
        <v>353</v>
      </c>
      <c r="C797" s="1" t="s">
        <v>121</v>
      </c>
      <c r="D797" s="1" t="s">
        <v>52</v>
      </c>
      <c r="F797" s="2">
        <v>11318.67</v>
      </c>
      <c r="G797" s="2">
        <v>9990</v>
      </c>
      <c r="H797" s="2">
        <f t="shared" si="88"/>
        <v>1328.67</v>
      </c>
      <c r="I797" s="2">
        <f t="shared" si="89"/>
        <v>1328.67</v>
      </c>
      <c r="L797" s="2">
        <f t="shared" si="90"/>
        <v>0</v>
      </c>
      <c r="M797" s="2">
        <f t="shared" si="91"/>
        <v>1328.67</v>
      </c>
    </row>
    <row r="798" hidden="1" spans="1:13">
      <c r="A798" s="30">
        <v>45839</v>
      </c>
      <c r="B798" s="1" t="s">
        <v>354</v>
      </c>
      <c r="C798" s="1" t="s">
        <v>57</v>
      </c>
      <c r="D798" s="1" t="s">
        <v>42</v>
      </c>
      <c r="F798" s="2">
        <v>58.5</v>
      </c>
      <c r="G798" s="2">
        <v>54</v>
      </c>
      <c r="H798" s="2">
        <f t="shared" si="88"/>
        <v>4.5</v>
      </c>
      <c r="I798" s="2">
        <f t="shared" si="89"/>
        <v>4.5</v>
      </c>
      <c r="L798" s="2">
        <f t="shared" si="90"/>
        <v>0</v>
      </c>
      <c r="M798" s="2">
        <f t="shared" si="91"/>
        <v>4.5</v>
      </c>
    </row>
    <row r="799" hidden="1" spans="1:13">
      <c r="A799" s="30">
        <v>45839</v>
      </c>
      <c r="B799" s="1" t="s">
        <v>355</v>
      </c>
      <c r="C799" s="1" t="s">
        <v>41</v>
      </c>
      <c r="D799" s="1" t="s">
        <v>47</v>
      </c>
      <c r="F799" s="2">
        <v>-97.3</v>
      </c>
      <c r="H799" s="2">
        <f t="shared" si="88"/>
        <v>-97.3</v>
      </c>
      <c r="I799" s="2">
        <f t="shared" si="89"/>
        <v>-97.3</v>
      </c>
      <c r="L799" s="2">
        <f t="shared" si="90"/>
        <v>0</v>
      </c>
      <c r="M799" s="2">
        <f t="shared" si="91"/>
        <v>-97.3</v>
      </c>
    </row>
    <row r="800" hidden="1" spans="1:13">
      <c r="A800" s="30">
        <v>45839</v>
      </c>
      <c r="B800" s="1" t="s">
        <v>355</v>
      </c>
      <c r="C800" s="1" t="s">
        <v>43</v>
      </c>
      <c r="D800" s="1" t="s">
        <v>47</v>
      </c>
      <c r="F800" s="2">
        <v>4693.77</v>
      </c>
      <c r="G800" s="2">
        <f>5008.5+5652.5</f>
        <v>10661</v>
      </c>
      <c r="H800" s="2">
        <f t="shared" si="88"/>
        <v>-5967.23</v>
      </c>
      <c r="I800" s="2">
        <f t="shared" si="89"/>
        <v>-5967.23</v>
      </c>
      <c r="L800" s="2">
        <f t="shared" si="90"/>
        <v>0</v>
      </c>
      <c r="M800" s="2">
        <f t="shared" si="91"/>
        <v>-5967.23</v>
      </c>
    </row>
    <row r="801" hidden="1" spans="1:13">
      <c r="A801" s="30">
        <v>45839</v>
      </c>
      <c r="B801" s="1" t="s">
        <v>356</v>
      </c>
      <c r="C801" s="1" t="s">
        <v>41</v>
      </c>
      <c r="D801" s="1" t="s">
        <v>48</v>
      </c>
      <c r="F801" s="2">
        <v>487398.8</v>
      </c>
      <c r="G801" s="2">
        <v>450707.45</v>
      </c>
      <c r="H801" s="2">
        <f t="shared" si="88"/>
        <v>36691.35</v>
      </c>
      <c r="I801" s="2">
        <f t="shared" si="89"/>
        <v>36691.35</v>
      </c>
      <c r="L801" s="2">
        <f t="shared" si="90"/>
        <v>0</v>
      </c>
      <c r="M801" s="2">
        <f t="shared" si="91"/>
        <v>36691.35</v>
      </c>
    </row>
    <row r="802" hidden="1" spans="1:13">
      <c r="A802" s="30">
        <v>45839</v>
      </c>
      <c r="B802" s="1" t="s">
        <v>356</v>
      </c>
      <c r="C802" s="1" t="s">
        <v>55</v>
      </c>
      <c r="D802" s="1" t="s">
        <v>48</v>
      </c>
      <c r="F802" s="2">
        <v>477978.3</v>
      </c>
      <c r="G802" s="2">
        <v>462236.6</v>
      </c>
      <c r="H802" s="2">
        <f t="shared" si="88"/>
        <v>15741.7</v>
      </c>
      <c r="I802" s="2">
        <f t="shared" si="89"/>
        <v>15741.7</v>
      </c>
      <c r="L802" s="2">
        <f t="shared" si="90"/>
        <v>0</v>
      </c>
      <c r="M802" s="2">
        <f t="shared" si="91"/>
        <v>15741.7</v>
      </c>
    </row>
    <row r="803" hidden="1" spans="1:13">
      <c r="A803" s="30">
        <v>45839</v>
      </c>
      <c r="B803" s="1" t="s">
        <v>356</v>
      </c>
      <c r="C803" s="1" t="s">
        <v>43</v>
      </c>
      <c r="D803" s="1" t="s">
        <v>48</v>
      </c>
      <c r="F803" s="2">
        <v>759464</v>
      </c>
      <c r="G803" s="2">
        <v>709201.8</v>
      </c>
      <c r="H803" s="2">
        <f t="shared" si="88"/>
        <v>50262.2</v>
      </c>
      <c r="I803" s="2">
        <f t="shared" si="89"/>
        <v>50262.2</v>
      </c>
      <c r="L803" s="2">
        <f t="shared" si="90"/>
        <v>0</v>
      </c>
      <c r="M803" s="2">
        <f t="shared" si="91"/>
        <v>50262.2</v>
      </c>
    </row>
    <row r="804" hidden="1" spans="1:13">
      <c r="A804" s="30">
        <v>45839</v>
      </c>
      <c r="B804" s="1" t="s">
        <v>357</v>
      </c>
      <c r="C804" s="1" t="s">
        <v>41</v>
      </c>
      <c r="D804" s="1" t="s">
        <v>90</v>
      </c>
      <c r="F804" s="2">
        <v>1729306.47</v>
      </c>
      <c r="H804" s="2">
        <f t="shared" si="88"/>
        <v>1729306.47</v>
      </c>
      <c r="I804" s="2">
        <f t="shared" si="89"/>
        <v>1729306.47</v>
      </c>
      <c r="L804" s="2">
        <f t="shared" si="90"/>
        <v>0</v>
      </c>
      <c r="M804" s="2">
        <f t="shared" si="91"/>
        <v>1729306.47</v>
      </c>
    </row>
    <row r="805" hidden="1" spans="1:13">
      <c r="A805" s="30">
        <v>45839</v>
      </c>
      <c r="B805" s="1" t="s">
        <v>358</v>
      </c>
      <c r="C805" s="1" t="s">
        <v>49</v>
      </c>
      <c r="D805" s="1" t="s">
        <v>42</v>
      </c>
      <c r="F805" s="2">
        <v>101541.76</v>
      </c>
      <c r="G805" s="2">
        <v>101216.42</v>
      </c>
      <c r="H805" s="2">
        <f t="shared" si="88"/>
        <v>325.339999999997</v>
      </c>
      <c r="I805" s="2">
        <f t="shared" si="89"/>
        <v>325.339999999997</v>
      </c>
      <c r="L805" s="2">
        <f t="shared" si="90"/>
        <v>0</v>
      </c>
      <c r="M805" s="2">
        <f t="shared" si="91"/>
        <v>325.339999999997</v>
      </c>
    </row>
    <row r="806" hidden="1" spans="1:13">
      <c r="A806" s="30">
        <v>45839</v>
      </c>
      <c r="B806" s="1" t="s">
        <v>359</v>
      </c>
      <c r="C806" s="1" t="s">
        <v>50</v>
      </c>
      <c r="D806" s="1" t="s">
        <v>45</v>
      </c>
      <c r="F806" s="2">
        <v>43966.07</v>
      </c>
      <c r="G806" s="2">
        <v>0</v>
      </c>
      <c r="H806" s="2">
        <f t="shared" si="88"/>
        <v>43966.07</v>
      </c>
      <c r="I806" s="2">
        <f t="shared" si="89"/>
        <v>43966.07</v>
      </c>
      <c r="L806" s="2">
        <f t="shared" si="90"/>
        <v>0</v>
      </c>
      <c r="M806" s="2">
        <f t="shared" si="91"/>
        <v>43966.07</v>
      </c>
    </row>
    <row r="807" hidden="1" spans="1:13">
      <c r="A807" s="30">
        <v>45839</v>
      </c>
      <c r="B807" s="7" t="s">
        <v>360</v>
      </c>
      <c r="C807" s="1" t="s">
        <v>51</v>
      </c>
      <c r="D807" s="1" t="s">
        <v>42</v>
      </c>
      <c r="F807" s="2">
        <v>2388212.49</v>
      </c>
      <c r="G807" s="2">
        <v>2405551.23041753</v>
      </c>
      <c r="H807" s="2">
        <f t="shared" si="88"/>
        <v>-17338.7404175298</v>
      </c>
      <c r="I807" s="2">
        <f t="shared" si="89"/>
        <v>-17338.7404175298</v>
      </c>
      <c r="L807" s="2">
        <f t="shared" si="90"/>
        <v>0</v>
      </c>
      <c r="M807" s="2">
        <f t="shared" si="91"/>
        <v>-17338.7404175298</v>
      </c>
    </row>
    <row r="808" hidden="1" spans="1:13">
      <c r="A808" s="30">
        <v>45839</v>
      </c>
      <c r="B808" s="7" t="s">
        <v>81</v>
      </c>
      <c r="C808" s="1" t="s">
        <v>51</v>
      </c>
      <c r="D808" s="1" t="s">
        <v>42</v>
      </c>
      <c r="F808" s="2">
        <v>8098.57</v>
      </c>
      <c r="G808" s="2">
        <v>8269.1</v>
      </c>
      <c r="H808" s="2">
        <f t="shared" si="88"/>
        <v>-170.530000000001</v>
      </c>
      <c r="I808" s="2">
        <f t="shared" si="89"/>
        <v>-170.530000000001</v>
      </c>
      <c r="L808" s="2">
        <f t="shared" si="90"/>
        <v>0</v>
      </c>
      <c r="M808" s="2">
        <f t="shared" si="91"/>
        <v>-170.530000000001</v>
      </c>
    </row>
    <row r="809" hidden="1" spans="1:13">
      <c r="A809" s="30">
        <v>45839</v>
      </c>
      <c r="B809" s="7" t="s">
        <v>261</v>
      </c>
      <c r="C809" s="1" t="s">
        <v>51</v>
      </c>
      <c r="D809" s="1" t="s">
        <v>52</v>
      </c>
      <c r="F809" s="2">
        <v>5909.97</v>
      </c>
      <c r="G809" s="2">
        <v>4951.31</v>
      </c>
      <c r="H809" s="2">
        <f t="shared" si="88"/>
        <v>958.66</v>
      </c>
      <c r="I809" s="2">
        <f t="shared" si="89"/>
        <v>958.66</v>
      </c>
      <c r="L809" s="2">
        <f t="shared" si="90"/>
        <v>0</v>
      </c>
      <c r="M809" s="2">
        <f t="shared" si="91"/>
        <v>958.66</v>
      </c>
    </row>
    <row r="810" hidden="1" spans="1:13">
      <c r="A810" s="30">
        <v>45839</v>
      </c>
      <c r="B810" s="7" t="s">
        <v>294</v>
      </c>
      <c r="C810" s="1" t="s">
        <v>46</v>
      </c>
      <c r="D810" s="1" t="s">
        <v>47</v>
      </c>
      <c r="F810" s="2">
        <v>2768.56</v>
      </c>
      <c r="H810" s="2">
        <f t="shared" si="88"/>
        <v>2768.56</v>
      </c>
      <c r="I810" s="2">
        <f t="shared" si="89"/>
        <v>2768.56</v>
      </c>
      <c r="L810" s="2">
        <f t="shared" si="90"/>
        <v>0</v>
      </c>
      <c r="M810" s="2">
        <f t="shared" si="91"/>
        <v>2768.56</v>
      </c>
    </row>
    <row r="811" hidden="1" spans="1:13">
      <c r="A811" s="30">
        <v>45839</v>
      </c>
      <c r="B811" s="7" t="s">
        <v>361</v>
      </c>
      <c r="C811" s="1" t="s">
        <v>79</v>
      </c>
      <c r="D811" s="1" t="s">
        <v>90</v>
      </c>
      <c r="F811" s="2">
        <v>6835.83682624442</v>
      </c>
      <c r="G811" s="2">
        <v>5435.75</v>
      </c>
      <c r="H811" s="2">
        <f t="shared" si="88"/>
        <v>1400.08682624442</v>
      </c>
      <c r="I811" s="2">
        <f t="shared" si="89"/>
        <v>1400.08682624442</v>
      </c>
      <c r="L811" s="2">
        <f t="shared" si="90"/>
        <v>0</v>
      </c>
      <c r="M811" s="2">
        <f t="shared" si="91"/>
        <v>1400.08682624442</v>
      </c>
    </row>
    <row r="812" hidden="1" spans="1:13">
      <c r="A812" s="30">
        <v>45839</v>
      </c>
      <c r="B812" s="7" t="s">
        <v>362</v>
      </c>
      <c r="C812" s="1" t="s">
        <v>79</v>
      </c>
      <c r="D812" s="1" t="s">
        <v>90</v>
      </c>
      <c r="F812" s="2">
        <v>2033.2</v>
      </c>
      <c r="G812" s="2">
        <v>1305.06</v>
      </c>
      <c r="H812" s="2">
        <f t="shared" si="88"/>
        <v>728.14</v>
      </c>
      <c r="I812" s="2">
        <f t="shared" si="89"/>
        <v>728.14</v>
      </c>
      <c r="L812" s="2">
        <f t="shared" si="90"/>
        <v>0</v>
      </c>
      <c r="M812" s="2">
        <f t="shared" si="91"/>
        <v>728.14</v>
      </c>
    </row>
    <row r="813" hidden="1" spans="1:13">
      <c r="A813" s="30">
        <v>45839</v>
      </c>
      <c r="B813" s="7" t="s">
        <v>363</v>
      </c>
      <c r="C813" s="1" t="s">
        <v>79</v>
      </c>
      <c r="D813" s="1" t="s">
        <v>90</v>
      </c>
      <c r="F813" s="2">
        <v>46830.35</v>
      </c>
      <c r="G813" s="2">
        <v>37453.8987104465</v>
      </c>
      <c r="H813" s="2">
        <f t="shared" si="88"/>
        <v>9376.4512895535</v>
      </c>
      <c r="I813" s="2">
        <f t="shared" si="89"/>
        <v>9376.4512895535</v>
      </c>
      <c r="L813" s="2">
        <f t="shared" si="90"/>
        <v>0</v>
      </c>
      <c r="M813" s="2">
        <f t="shared" si="91"/>
        <v>9376.4512895535</v>
      </c>
    </row>
    <row r="814" hidden="1" spans="1:13">
      <c r="A814" s="30">
        <v>45839</v>
      </c>
      <c r="B814" s="7" t="s">
        <v>364</v>
      </c>
      <c r="C814" s="1" t="s">
        <v>79</v>
      </c>
      <c r="D814" s="1" t="s">
        <v>90</v>
      </c>
      <c r="F814" s="2">
        <v>25185.9731737556</v>
      </c>
      <c r="G814" s="2">
        <v>20027.49</v>
      </c>
      <c r="H814" s="2">
        <f t="shared" si="88"/>
        <v>5158.4831737556</v>
      </c>
      <c r="I814" s="2">
        <f t="shared" si="89"/>
        <v>5158.4831737556</v>
      </c>
      <c r="L814" s="2">
        <f t="shared" si="90"/>
        <v>0</v>
      </c>
      <c r="M814" s="2">
        <f t="shared" si="91"/>
        <v>5158.4831737556</v>
      </c>
    </row>
    <row r="815" hidden="1" spans="1:13">
      <c r="A815" s="30">
        <v>45839</v>
      </c>
      <c r="B815" s="1" t="s">
        <v>365</v>
      </c>
      <c r="C815" s="1" t="s">
        <v>43</v>
      </c>
      <c r="D815" s="1" t="s">
        <v>47</v>
      </c>
      <c r="G815" s="2">
        <v>-151040</v>
      </c>
      <c r="H815" s="2">
        <f t="shared" si="88"/>
        <v>151040</v>
      </c>
      <c r="I815" s="2">
        <f t="shared" si="89"/>
        <v>151040</v>
      </c>
      <c r="L815" s="2">
        <f t="shared" si="90"/>
        <v>0</v>
      </c>
      <c r="M815" s="2">
        <f t="shared" si="91"/>
        <v>151040</v>
      </c>
    </row>
    <row r="816" hidden="1" spans="1:13">
      <c r="A816" s="30">
        <v>45839</v>
      </c>
      <c r="B816" s="1" t="s">
        <v>157</v>
      </c>
      <c r="C816" s="1" t="s">
        <v>51</v>
      </c>
      <c r="D816" s="1" t="s">
        <v>42</v>
      </c>
      <c r="G816" s="2">
        <v>2112</v>
      </c>
      <c r="H816" s="2">
        <f t="shared" si="88"/>
        <v>-2112</v>
      </c>
      <c r="I816" s="2">
        <f t="shared" si="89"/>
        <v>-2112</v>
      </c>
      <c r="L816" s="2">
        <f t="shared" si="90"/>
        <v>0</v>
      </c>
      <c r="M816" s="2">
        <f t="shared" si="91"/>
        <v>-2112</v>
      </c>
    </row>
    <row r="817" hidden="1" spans="1:13">
      <c r="A817" s="30">
        <v>45839</v>
      </c>
      <c r="B817" s="1" t="s">
        <v>366</v>
      </c>
      <c r="C817" s="1" t="s">
        <v>57</v>
      </c>
      <c r="D817" s="1" t="s">
        <v>47</v>
      </c>
      <c r="G817" s="2">
        <v>237160</v>
      </c>
      <c r="H817" s="2">
        <f t="shared" si="88"/>
        <v>-237160</v>
      </c>
      <c r="I817" s="2">
        <f t="shared" si="89"/>
        <v>-237160</v>
      </c>
      <c r="L817" s="2">
        <f t="shared" si="90"/>
        <v>0</v>
      </c>
      <c r="M817" s="2">
        <f t="shared" si="91"/>
        <v>-237160</v>
      </c>
    </row>
    <row r="818" hidden="1" spans="1:13">
      <c r="A818" s="30">
        <v>45839</v>
      </c>
      <c r="B818" s="1" t="s">
        <v>233</v>
      </c>
      <c r="C818" s="1" t="s">
        <v>41</v>
      </c>
      <c r="D818" s="1" t="s">
        <v>47</v>
      </c>
      <c r="F818" s="2">
        <v>199</v>
      </c>
      <c r="G818" s="2">
        <v>166.6</v>
      </c>
      <c r="H818" s="2">
        <f t="shared" si="88"/>
        <v>32.4</v>
      </c>
      <c r="I818" s="2">
        <f t="shared" si="89"/>
        <v>32.4</v>
      </c>
      <c r="L818" s="2">
        <f t="shared" si="90"/>
        <v>0</v>
      </c>
      <c r="M818" s="2">
        <f t="shared" si="91"/>
        <v>32.4</v>
      </c>
    </row>
    <row r="820" spans="1:13">
      <c r="A820" s="29" t="s">
        <v>367</v>
      </c>
      <c r="E820" s="2">
        <f>SUM(E2:E804)</f>
        <v>5025896.49</v>
      </c>
      <c r="F820" s="2">
        <f t="shared" ref="F820:M820" si="92">SUM(F2:F804)</f>
        <v>628755290.495022</v>
      </c>
      <c r="G820" s="2">
        <f t="shared" si="92"/>
        <v>619357292.735242</v>
      </c>
      <c r="H820" s="2">
        <f t="shared" si="92"/>
        <v>9397997.7597798</v>
      </c>
      <c r="I820" s="2">
        <f t="shared" si="92"/>
        <v>14423894.2497798</v>
      </c>
      <c r="J820" s="2">
        <f t="shared" si="92"/>
        <v>6259890.21</v>
      </c>
      <c r="K820" s="2">
        <f t="shared" si="92"/>
        <v>1609983.28</v>
      </c>
      <c r="L820" s="2">
        <f t="shared" si="92"/>
        <v>4649906.93</v>
      </c>
      <c r="M820" s="2">
        <f t="shared" si="92"/>
        <v>19073801.1797798</v>
      </c>
    </row>
    <row r="821" spans="1:11">
      <c r="A821" s="29" t="s">
        <v>368</v>
      </c>
      <c r="E821" s="2">
        <v>5025896.49</v>
      </c>
      <c r="H821" s="2">
        <v>9158314.3643558</v>
      </c>
      <c r="J821" s="2">
        <v>6259890.21</v>
      </c>
      <c r="K821" s="2">
        <v>1609983.28</v>
      </c>
    </row>
    <row r="822" spans="1:11">
      <c r="A822" s="29" t="s">
        <v>369</v>
      </c>
      <c r="E822" s="2">
        <f>E820-E821</f>
        <v>0</v>
      </c>
      <c r="H822" s="2">
        <f>H820-H821</f>
        <v>239683.395423999</v>
      </c>
      <c r="J822" s="2">
        <f>J820-J821</f>
        <v>0</v>
      </c>
      <c r="K822" s="2">
        <f>K820-K821</f>
        <v>0</v>
      </c>
    </row>
    <row r="825" spans="2:4">
      <c r="B825" s="2"/>
      <c r="C825" s="2"/>
      <c r="D825" s="2"/>
    </row>
    <row r="826" spans="3:9">
      <c r="C826" s="1" t="s">
        <v>31</v>
      </c>
      <c r="E826" s="1"/>
      <c r="F826" s="1"/>
      <c r="G826" s="1"/>
      <c r="H826" s="1"/>
      <c r="I826" s="1"/>
    </row>
    <row r="827" spans="2:9">
      <c r="B827" s="1" t="s">
        <v>370</v>
      </c>
      <c r="C827" s="1" t="s">
        <v>42</v>
      </c>
      <c r="D827" s="1" t="s">
        <v>52</v>
      </c>
      <c r="E827" s="1" t="s">
        <v>45</v>
      </c>
      <c r="F827" s="1" t="s">
        <v>90</v>
      </c>
      <c r="G827" s="1" t="s">
        <v>48</v>
      </c>
      <c r="H827" s="1" t="s">
        <v>47</v>
      </c>
      <c r="I827" s="1" t="s">
        <v>16</v>
      </c>
    </row>
    <row r="828" spans="2:9">
      <c r="B828" s="1" t="s">
        <v>1</v>
      </c>
      <c r="C828" s="1">
        <v>462816250.967499</v>
      </c>
      <c r="D828" s="1">
        <v>2107490.242</v>
      </c>
      <c r="E828" s="1">
        <v>48225168.2138</v>
      </c>
      <c r="F828" s="1">
        <v>3001679.305</v>
      </c>
      <c r="G828" s="1">
        <v>40139950.5095426</v>
      </c>
      <c r="H828" s="1">
        <v>75096333.0371811</v>
      </c>
      <c r="I828" s="1">
        <v>631386872.275022</v>
      </c>
    </row>
    <row r="829" spans="2:9">
      <c r="B829" s="1" t="s">
        <v>3</v>
      </c>
      <c r="C829" s="1">
        <v>6197238.37684576</v>
      </c>
      <c r="D829" s="1">
        <v>82707.3851000012</v>
      </c>
      <c r="E829" s="1">
        <v>226439.333000002</v>
      </c>
      <c r="F829" s="1">
        <v>1755859.99628955</v>
      </c>
      <c r="G829" s="1">
        <v>1510871.06104263</v>
      </c>
      <c r="H829" s="1">
        <v>-416145.471626094</v>
      </c>
      <c r="I829" s="1">
        <v>9356970.68065185</v>
      </c>
    </row>
    <row r="830" spans="2:4">
      <c r="B830" s="2"/>
      <c r="C830" s="2"/>
      <c r="D830" s="2"/>
    </row>
    <row r="831" spans="2:4">
      <c r="B831" s="2"/>
      <c r="C831" s="2"/>
      <c r="D831" s="2"/>
    </row>
    <row r="832" spans="2:4">
      <c r="B832" s="2"/>
      <c r="C832" s="2" t="s">
        <v>31</v>
      </c>
      <c r="D832" s="2"/>
    </row>
    <row r="833" spans="2:9">
      <c r="B833" s="2" t="s">
        <v>370</v>
      </c>
      <c r="C833" s="2" t="s">
        <v>42</v>
      </c>
      <c r="D833" s="2" t="s">
        <v>52</v>
      </c>
      <c r="E833" s="2" t="s">
        <v>45</v>
      </c>
      <c r="F833" s="2" t="s">
        <v>90</v>
      </c>
      <c r="G833" s="2" t="s">
        <v>48</v>
      </c>
      <c r="H833" s="2" t="s">
        <v>47</v>
      </c>
      <c r="I833" s="2" t="s">
        <v>16</v>
      </c>
    </row>
    <row r="834" spans="2:9">
      <c r="B834" s="2" t="s">
        <v>1</v>
      </c>
      <c r="C834" s="2">
        <v>462816250.967499</v>
      </c>
      <c r="D834" s="2">
        <v>2107490.242</v>
      </c>
      <c r="E834" s="2">
        <v>48225168.2138</v>
      </c>
      <c r="F834" s="2">
        <v>3001679.305</v>
      </c>
      <c r="G834" s="2">
        <v>40139950.5095426</v>
      </c>
      <c r="H834" s="2">
        <v>75096333.0371811</v>
      </c>
      <c r="I834" s="2">
        <v>631386872.275022</v>
      </c>
    </row>
    <row r="835" spans="2:9">
      <c r="B835" s="2" t="s">
        <v>3</v>
      </c>
      <c r="C835" s="2">
        <v>6197238.37684576</v>
      </c>
      <c r="D835" s="2">
        <v>82707.3851000012</v>
      </c>
      <c r="E835" s="2">
        <v>226439.333000002</v>
      </c>
      <c r="F835" s="2">
        <v>1755859.99628955</v>
      </c>
      <c r="G835" s="2">
        <v>1510871.06104263</v>
      </c>
      <c r="H835" s="2">
        <v>-416145.471626094</v>
      </c>
      <c r="I835" s="2">
        <v>9356970.68065185</v>
      </c>
    </row>
    <row r="836" spans="2:4">
      <c r="B836" s="2"/>
      <c r="C836" s="2"/>
      <c r="D836" s="2"/>
    </row>
    <row r="837" spans="2:4">
      <c r="B837" s="2"/>
      <c r="C837" s="2"/>
      <c r="D837" s="2"/>
    </row>
    <row r="838" spans="1:9">
      <c r="A838" s="29" t="s">
        <v>371</v>
      </c>
      <c r="B838" s="2" t="s">
        <v>370</v>
      </c>
      <c r="C838" s="2" t="s">
        <v>42</v>
      </c>
      <c r="D838" s="2" t="s">
        <v>52</v>
      </c>
      <c r="E838" s="2" t="s">
        <v>45</v>
      </c>
      <c r="F838" s="2" t="s">
        <v>90</v>
      </c>
      <c r="G838" s="2" t="s">
        <v>48</v>
      </c>
      <c r="H838" s="2" t="s">
        <v>47</v>
      </c>
      <c r="I838" s="2" t="s">
        <v>16</v>
      </c>
    </row>
    <row r="839" spans="1:4">
      <c r="A839" s="29" t="s">
        <v>372</v>
      </c>
      <c r="B839" s="2"/>
      <c r="C839" s="2"/>
      <c r="D839" s="2"/>
    </row>
    <row r="840" spans="2:9">
      <c r="B840" s="2" t="s">
        <v>7</v>
      </c>
      <c r="C840" s="2">
        <v>462615231.112004</v>
      </c>
      <c r="D840" s="2">
        <v>2103107.7344</v>
      </c>
      <c r="E840" s="2">
        <v>47381046.3216</v>
      </c>
      <c r="F840" s="2">
        <v>2957178.36960001</v>
      </c>
      <c r="G840" s="2">
        <v>40140016.6619002</v>
      </c>
      <c r="H840" s="2">
        <v>75125964.9877998</v>
      </c>
      <c r="I840" s="2">
        <v>630322545.187304</v>
      </c>
    </row>
    <row r="841" spans="2:9">
      <c r="B841" s="29" t="s">
        <v>373</v>
      </c>
      <c r="C841" s="2">
        <v>6003032.30025594</v>
      </c>
      <c r="D841" s="2">
        <v>80554.6781999998</v>
      </c>
      <c r="E841" s="2">
        <v>226439.44139988</v>
      </c>
      <c r="F841" s="2">
        <v>1755860.0386</v>
      </c>
      <c r="G841" s="2">
        <v>1510870.9861</v>
      </c>
      <c r="H841" s="2">
        <v>-418443.080200021</v>
      </c>
      <c r="I841" s="2">
        <v>9158314.3643558</v>
      </c>
    </row>
    <row r="842" spans="2:4">
      <c r="B842" s="2"/>
      <c r="C842" s="2"/>
      <c r="D842" s="2"/>
    </row>
    <row r="843" spans="2:4">
      <c r="B843" s="2"/>
      <c r="C843" s="2"/>
      <c r="D843" s="2"/>
    </row>
    <row r="844" spans="3:9">
      <c r="C844" s="2" t="s">
        <v>42</v>
      </c>
      <c r="D844" s="2" t="s">
        <v>52</v>
      </c>
      <c r="E844" s="2" t="s">
        <v>45</v>
      </c>
      <c r="F844" s="2" t="s">
        <v>90</v>
      </c>
      <c r="G844" s="2" t="s">
        <v>48</v>
      </c>
      <c r="H844" s="2" t="s">
        <v>47</v>
      </c>
      <c r="I844" s="2" t="s">
        <v>16</v>
      </c>
    </row>
    <row r="845" spans="2:9">
      <c r="B845" s="1" t="s">
        <v>4</v>
      </c>
      <c r="C845" s="2">
        <f>C834-C840</f>
        <v>201019.855495036</v>
      </c>
      <c r="D845" s="2">
        <f t="shared" ref="D845:I845" si="93">D834-D840</f>
        <v>4382.50760000013</v>
      </c>
      <c r="E845" s="2">
        <f t="shared" si="93"/>
        <v>844121.892200001</v>
      </c>
      <c r="F845" s="2">
        <f t="shared" si="93"/>
        <v>44500.9353999901</v>
      </c>
      <c r="G845" s="2">
        <f t="shared" si="93"/>
        <v>-66.1523576006293</v>
      </c>
      <c r="H845" s="2">
        <f t="shared" si="93"/>
        <v>-29631.9506186992</v>
      </c>
      <c r="I845" s="2">
        <f t="shared" si="93"/>
        <v>1064327.08771801</v>
      </c>
    </row>
    <row r="846" spans="2:9">
      <c r="B846" s="1" t="s">
        <v>6</v>
      </c>
      <c r="C846" s="2">
        <f>C835-C841</f>
        <v>194206.07658982</v>
      </c>
      <c r="D846" s="2">
        <f t="shared" ref="D846:I846" si="94">D835-D841</f>
        <v>2152.70690000139</v>
      </c>
      <c r="E846" s="2">
        <f t="shared" si="94"/>
        <v>-0.108399877994088</v>
      </c>
      <c r="F846" s="2">
        <f t="shared" si="94"/>
        <v>-0.0423104499932379</v>
      </c>
      <c r="G846" s="2">
        <f t="shared" si="94"/>
        <v>0.0749426300171763</v>
      </c>
      <c r="H846" s="2">
        <f t="shared" si="94"/>
        <v>2297.60857392696</v>
      </c>
      <c r="I846" s="2">
        <f t="shared" si="94"/>
        <v>198656.316296048</v>
      </c>
    </row>
    <row r="847" spans="3:4">
      <c r="C847" s="2"/>
      <c r="D847" s="2"/>
    </row>
    <row r="848" spans="3:4">
      <c r="C848" s="2"/>
      <c r="D848" s="2"/>
    </row>
    <row r="849" spans="3:4">
      <c r="C849" s="2"/>
      <c r="D849" s="2"/>
    </row>
    <row r="850" spans="3:4">
      <c r="C850" s="2"/>
      <c r="D850" s="2"/>
    </row>
    <row r="851" spans="3:4">
      <c r="C851" s="2"/>
      <c r="D851" s="2"/>
    </row>
    <row r="852" spans="3:4">
      <c r="C852" s="2"/>
      <c r="D852" s="2"/>
    </row>
    <row r="853" spans="3:4">
      <c r="C853" s="2"/>
      <c r="D853" s="2"/>
    </row>
    <row r="854" spans="3:4">
      <c r="C854" s="2"/>
      <c r="D854" s="2"/>
    </row>
    <row r="855" spans="3:4">
      <c r="C855" s="2"/>
      <c r="D855" s="2"/>
    </row>
    <row r="856" spans="3:4">
      <c r="C856" s="2"/>
      <c r="D856" s="2"/>
    </row>
    <row r="857" spans="3:4">
      <c r="C857" s="2"/>
      <c r="D857" s="2"/>
    </row>
  </sheetData>
  <autoFilter xmlns:etc="http://www.wps.cn/officeDocument/2017/etCustomData" ref="A1:M818" etc:filterBottomFollowUsedRange="0">
    <filterColumn colId="1">
      <filters>
        <filter val="上海三快智送科技有限公司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pane ySplit="1" topLeftCell="A2" activePane="bottomLeft" state="frozen"/>
      <selection/>
      <selection pane="bottomLeft" activeCell="O5" sqref="O5:O6"/>
    </sheetView>
  </sheetViews>
  <sheetFormatPr defaultColWidth="9" defaultRowHeight="13.5"/>
  <cols>
    <col min="4" max="4" width="23.625" customWidth="1"/>
    <col min="5" max="5" width="19.75" customWidth="1"/>
    <col min="6" max="6" width="12" customWidth="1"/>
    <col min="7" max="7" width="28.625" customWidth="1"/>
    <col min="15" max="15" width="12.875" customWidth="1"/>
  </cols>
  <sheetData>
    <row r="1" ht="22.5" spans="1:15">
      <c r="A1" s="3" t="s">
        <v>374</v>
      </c>
      <c r="B1" s="4" t="s">
        <v>0</v>
      </c>
      <c r="C1" s="5" t="s">
        <v>375</v>
      </c>
      <c r="D1" s="4" t="s">
        <v>376</v>
      </c>
      <c r="E1" s="4" t="s">
        <v>377</v>
      </c>
      <c r="F1" s="4" t="s">
        <v>378</v>
      </c>
      <c r="G1" s="4" t="s">
        <v>379</v>
      </c>
      <c r="H1" s="4" t="s">
        <v>371</v>
      </c>
      <c r="I1" s="4" t="s">
        <v>31</v>
      </c>
      <c r="J1" s="4" t="s">
        <v>380</v>
      </c>
      <c r="K1" s="4" t="s">
        <v>381</v>
      </c>
      <c r="L1" s="4" t="s">
        <v>382</v>
      </c>
      <c r="M1" s="5" t="s">
        <v>383</v>
      </c>
      <c r="N1" s="4" t="s">
        <v>384</v>
      </c>
      <c r="O1" s="9" t="s">
        <v>385</v>
      </c>
    </row>
    <row r="2" spans="1:15">
      <c r="A2" s="6">
        <v>45869</v>
      </c>
      <c r="B2" s="7" t="s">
        <v>17</v>
      </c>
      <c r="C2" s="8"/>
      <c r="D2" s="7" t="s">
        <v>41</v>
      </c>
      <c r="E2" s="7" t="s">
        <v>386</v>
      </c>
      <c r="F2" s="7" t="s">
        <v>387</v>
      </c>
      <c r="G2" s="7" t="s">
        <v>388</v>
      </c>
      <c r="H2" s="7" t="s">
        <v>372</v>
      </c>
      <c r="I2" s="7" t="s">
        <v>42</v>
      </c>
      <c r="J2" s="7"/>
      <c r="K2" s="7" t="s">
        <v>372</v>
      </c>
      <c r="L2" s="7" t="s">
        <v>389</v>
      </c>
      <c r="M2" s="8" t="s">
        <v>390</v>
      </c>
      <c r="N2" s="27" t="s">
        <v>391</v>
      </c>
      <c r="O2" s="28">
        <v>42691</v>
      </c>
    </row>
    <row r="3" spans="1:15">
      <c r="A3" s="6">
        <v>45869</v>
      </c>
      <c r="B3" s="7" t="s">
        <v>17</v>
      </c>
      <c r="C3" s="8"/>
      <c r="D3" s="7" t="s">
        <v>41</v>
      </c>
      <c r="E3" s="7" t="s">
        <v>392</v>
      </c>
      <c r="F3" s="7" t="s">
        <v>393</v>
      </c>
      <c r="G3" s="7" t="s">
        <v>215</v>
      </c>
      <c r="H3" s="7" t="s">
        <v>372</v>
      </c>
      <c r="I3" s="7" t="s">
        <v>42</v>
      </c>
      <c r="J3" s="7"/>
      <c r="K3" s="7" t="s">
        <v>372</v>
      </c>
      <c r="L3" s="7" t="s">
        <v>394</v>
      </c>
      <c r="M3" s="8">
        <v>6001.02</v>
      </c>
      <c r="N3" s="27" t="s">
        <v>395</v>
      </c>
      <c r="O3" s="28">
        <v>301104.01</v>
      </c>
    </row>
    <row r="4" spans="1:15">
      <c r="A4" s="6">
        <v>45869</v>
      </c>
      <c r="B4" s="7" t="s">
        <v>17</v>
      </c>
      <c r="C4" s="8"/>
      <c r="D4" s="7" t="s">
        <v>41</v>
      </c>
      <c r="E4" s="7" t="s">
        <v>392</v>
      </c>
      <c r="F4" s="7" t="s">
        <v>393</v>
      </c>
      <c r="G4" s="7" t="s">
        <v>215</v>
      </c>
      <c r="H4" s="7" t="s">
        <v>372</v>
      </c>
      <c r="I4" s="7" t="s">
        <v>47</v>
      </c>
      <c r="J4" s="7"/>
      <c r="K4" s="7" t="s">
        <v>372</v>
      </c>
      <c r="L4" s="7" t="s">
        <v>394</v>
      </c>
      <c r="M4" s="8">
        <v>6001.02</v>
      </c>
      <c r="N4" s="27" t="s">
        <v>395</v>
      </c>
      <c r="O4" s="28">
        <v>1509956.28</v>
      </c>
    </row>
    <row r="5" spans="1:15">
      <c r="A5" s="6">
        <v>45869</v>
      </c>
      <c r="B5" s="7" t="s">
        <v>17</v>
      </c>
      <c r="C5" s="8"/>
      <c r="D5" s="7" t="s">
        <v>41</v>
      </c>
      <c r="E5" s="7" t="s">
        <v>392</v>
      </c>
      <c r="F5" s="7" t="s">
        <v>393</v>
      </c>
      <c r="G5" s="7" t="s">
        <v>215</v>
      </c>
      <c r="H5" s="7" t="s">
        <v>372</v>
      </c>
      <c r="I5" s="7" t="s">
        <v>42</v>
      </c>
      <c r="J5" s="7"/>
      <c r="K5" s="7" t="s">
        <v>372</v>
      </c>
      <c r="L5" s="7" t="s">
        <v>394</v>
      </c>
      <c r="M5" s="8">
        <v>6001.02</v>
      </c>
      <c r="N5" s="7" t="s">
        <v>395</v>
      </c>
      <c r="O5" s="10">
        <v>1492.84</v>
      </c>
    </row>
    <row r="6" spans="1:15">
      <c r="A6" s="6">
        <v>45869</v>
      </c>
      <c r="B6" s="7" t="s">
        <v>17</v>
      </c>
      <c r="C6" s="8"/>
      <c r="D6" s="7" t="s">
        <v>41</v>
      </c>
      <c r="E6" s="7" t="s">
        <v>392</v>
      </c>
      <c r="F6" s="7" t="s">
        <v>393</v>
      </c>
      <c r="G6" s="7" t="s">
        <v>215</v>
      </c>
      <c r="H6" s="7" t="s">
        <v>372</v>
      </c>
      <c r="I6" s="7" t="s">
        <v>47</v>
      </c>
      <c r="J6" s="7"/>
      <c r="K6" s="7" t="s">
        <v>372</v>
      </c>
      <c r="L6" s="7" t="s">
        <v>389</v>
      </c>
      <c r="M6" s="8" t="s">
        <v>390</v>
      </c>
      <c r="N6" s="7" t="s">
        <v>391</v>
      </c>
      <c r="O6" s="10">
        <v>218.93</v>
      </c>
    </row>
    <row r="7" spans="1:15">
      <c r="A7" s="6">
        <v>45869</v>
      </c>
      <c r="B7" s="7" t="s">
        <v>17</v>
      </c>
      <c r="C7" s="8"/>
      <c r="D7" s="7" t="s">
        <v>41</v>
      </c>
      <c r="E7" s="7" t="s">
        <v>396</v>
      </c>
      <c r="F7" s="7" t="s">
        <v>393</v>
      </c>
      <c r="G7" s="7" t="s">
        <v>397</v>
      </c>
      <c r="H7" s="7" t="s">
        <v>372</v>
      </c>
      <c r="I7" s="7" t="s">
        <v>42</v>
      </c>
      <c r="J7" s="7"/>
      <c r="K7" s="7" t="s">
        <v>372</v>
      </c>
      <c r="L7" s="7" t="s">
        <v>389</v>
      </c>
      <c r="M7" s="8" t="s">
        <v>390</v>
      </c>
      <c r="N7" s="27" t="s">
        <v>391</v>
      </c>
      <c r="O7" s="28">
        <v>47827.2</v>
      </c>
    </row>
    <row r="8" spans="1:15">
      <c r="A8" s="6">
        <v>45869</v>
      </c>
      <c r="B8" s="7" t="s">
        <v>17</v>
      </c>
      <c r="C8" s="8"/>
      <c r="D8" s="7" t="s">
        <v>43</v>
      </c>
      <c r="E8" s="7" t="s">
        <v>398</v>
      </c>
      <c r="F8" s="7" t="s">
        <v>399</v>
      </c>
      <c r="G8" s="7" t="s">
        <v>400</v>
      </c>
      <c r="H8" s="7" t="s">
        <v>372</v>
      </c>
      <c r="I8" s="7" t="s">
        <v>47</v>
      </c>
      <c r="J8" s="7"/>
      <c r="K8" s="7" t="s">
        <v>372</v>
      </c>
      <c r="L8" s="7" t="s">
        <v>389</v>
      </c>
      <c r="M8" s="8" t="s">
        <v>390</v>
      </c>
      <c r="N8" s="27" t="s">
        <v>391</v>
      </c>
      <c r="O8" s="28">
        <v>48931.92</v>
      </c>
    </row>
    <row r="9" spans="1:15">
      <c r="A9" s="6">
        <v>45869</v>
      </c>
      <c r="B9" s="7" t="s">
        <v>17</v>
      </c>
      <c r="C9" s="8"/>
      <c r="D9" s="7" t="s">
        <v>41</v>
      </c>
      <c r="E9" s="7" t="s">
        <v>401</v>
      </c>
      <c r="F9" s="7" t="s">
        <v>399</v>
      </c>
      <c r="G9" s="7" t="s">
        <v>402</v>
      </c>
      <c r="H9" s="7" t="s">
        <v>372</v>
      </c>
      <c r="I9" s="7" t="s">
        <v>90</v>
      </c>
      <c r="J9" s="7"/>
      <c r="K9" s="7" t="s">
        <v>372</v>
      </c>
      <c r="L9" s="7" t="s">
        <v>394</v>
      </c>
      <c r="M9" s="8">
        <v>6001.02</v>
      </c>
      <c r="N9" s="27" t="s">
        <v>395</v>
      </c>
      <c r="O9" s="28">
        <v>1729306.47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7"/>
  <sheetViews>
    <sheetView topLeftCell="H1" workbookViewId="0">
      <pane ySplit="1" topLeftCell="A41" activePane="bottomLeft" state="frozen"/>
      <selection/>
      <selection pane="bottomLeft" activeCell="U102" sqref="U102:W102"/>
    </sheetView>
  </sheetViews>
  <sheetFormatPr defaultColWidth="9" defaultRowHeight="13.5"/>
  <cols>
    <col min="10" max="10" width="11.375" customWidth="1"/>
    <col min="15" max="15" width="11.125" customWidth="1"/>
    <col min="16" max="16" width="13" customWidth="1"/>
    <col min="17" max="17" width="14.25" customWidth="1"/>
    <col min="19" max="19" width="27.125" style="7" customWidth="1"/>
    <col min="20" max="20" width="10.875" style="7" customWidth="1"/>
    <col min="21" max="21" width="31" style="7" customWidth="1"/>
    <col min="22" max="23" width="20.25" style="10"/>
    <col min="24" max="25" width="9" style="7"/>
  </cols>
  <sheetData>
    <row r="1" ht="22.5" spans="1:23">
      <c r="A1" s="3" t="s">
        <v>374</v>
      </c>
      <c r="B1" s="4" t="s">
        <v>0</v>
      </c>
      <c r="C1" s="5" t="s">
        <v>375</v>
      </c>
      <c r="D1" s="4" t="s">
        <v>376</v>
      </c>
      <c r="E1" s="4" t="s">
        <v>377</v>
      </c>
      <c r="F1" s="4" t="s">
        <v>378</v>
      </c>
      <c r="G1" s="4" t="s">
        <v>379</v>
      </c>
      <c r="H1" s="4" t="s">
        <v>371</v>
      </c>
      <c r="I1" s="4" t="s">
        <v>31</v>
      </c>
      <c r="J1" s="4" t="s">
        <v>380</v>
      </c>
      <c r="K1" s="4" t="s">
        <v>381</v>
      </c>
      <c r="L1" s="4" t="s">
        <v>382</v>
      </c>
      <c r="M1" s="5" t="s">
        <v>383</v>
      </c>
      <c r="N1" s="4" t="s">
        <v>384</v>
      </c>
      <c r="O1" s="9" t="s">
        <v>385</v>
      </c>
      <c r="P1" s="9" t="s">
        <v>403</v>
      </c>
      <c r="Q1" s="9" t="s">
        <v>404</v>
      </c>
      <c r="S1" s="7" t="s">
        <v>376</v>
      </c>
      <c r="T1" s="7" t="s">
        <v>31</v>
      </c>
      <c r="U1" s="7" t="s">
        <v>380</v>
      </c>
      <c r="V1" s="10" t="s">
        <v>7</v>
      </c>
      <c r="W1" s="10" t="s">
        <v>8</v>
      </c>
    </row>
    <row r="2" spans="1:23">
      <c r="A2" s="6">
        <v>45869</v>
      </c>
      <c r="B2" s="7" t="s">
        <v>18</v>
      </c>
      <c r="C2" s="8" t="s">
        <v>405</v>
      </c>
      <c r="D2" s="7" t="s">
        <v>57</v>
      </c>
      <c r="E2" s="7" t="s">
        <v>406</v>
      </c>
      <c r="F2" s="7" t="s">
        <v>406</v>
      </c>
      <c r="G2" s="7" t="s">
        <v>41</v>
      </c>
      <c r="H2" s="7" t="s">
        <v>407</v>
      </c>
      <c r="I2" s="7" t="s">
        <v>47</v>
      </c>
      <c r="J2" s="7" t="s">
        <v>105</v>
      </c>
      <c r="K2" s="7" t="s">
        <v>372</v>
      </c>
      <c r="L2" s="7" t="s">
        <v>389</v>
      </c>
      <c r="M2" s="8" t="s">
        <v>390</v>
      </c>
      <c r="N2" s="7" t="s">
        <v>391</v>
      </c>
      <c r="O2" s="10">
        <v>26380.8</v>
      </c>
      <c r="P2" s="10">
        <v>43968</v>
      </c>
      <c r="Q2" s="10">
        <v>-17587.2</v>
      </c>
      <c r="S2" s="7" t="s">
        <v>49</v>
      </c>
      <c r="V2" s="10">
        <v>101541.76</v>
      </c>
      <c r="W2" s="10">
        <v>946962.2602</v>
      </c>
    </row>
    <row r="3" spans="1:23">
      <c r="A3" s="6">
        <v>45869</v>
      </c>
      <c r="B3" s="7" t="s">
        <v>18</v>
      </c>
      <c r="C3" s="8" t="s">
        <v>405</v>
      </c>
      <c r="D3" s="7" t="s">
        <v>57</v>
      </c>
      <c r="E3" s="7" t="s">
        <v>406</v>
      </c>
      <c r="F3" s="7" t="s">
        <v>406</v>
      </c>
      <c r="G3" s="7" t="s">
        <v>43</v>
      </c>
      <c r="H3" s="7" t="s">
        <v>407</v>
      </c>
      <c r="I3" s="7" t="s">
        <v>47</v>
      </c>
      <c r="J3" s="7" t="s">
        <v>105</v>
      </c>
      <c r="K3" s="7" t="s">
        <v>372</v>
      </c>
      <c r="L3" s="7" t="s">
        <v>394</v>
      </c>
      <c r="M3" s="8">
        <v>6001.02</v>
      </c>
      <c r="N3" s="7" t="s">
        <v>395</v>
      </c>
      <c r="O3" s="10">
        <v>-167580</v>
      </c>
      <c r="P3" s="10">
        <v>-279300</v>
      </c>
      <c r="Q3" s="10">
        <v>111720</v>
      </c>
      <c r="T3" s="7" t="s">
        <v>42</v>
      </c>
      <c r="V3" s="10">
        <v>101541.76</v>
      </c>
      <c r="W3" s="10">
        <v>946962.2602</v>
      </c>
    </row>
    <row r="4" spans="1:23">
      <c r="A4" s="6">
        <v>45869</v>
      </c>
      <c r="B4" s="7" t="s">
        <v>18</v>
      </c>
      <c r="C4" s="8" t="s">
        <v>405</v>
      </c>
      <c r="D4" s="7" t="s">
        <v>57</v>
      </c>
      <c r="E4" s="7" t="s">
        <v>406</v>
      </c>
      <c r="F4" s="7" t="s">
        <v>406</v>
      </c>
      <c r="G4" s="7" t="s">
        <v>71</v>
      </c>
      <c r="H4" s="7" t="s">
        <v>407</v>
      </c>
      <c r="I4" s="7" t="s">
        <v>47</v>
      </c>
      <c r="J4" s="7" t="s">
        <v>105</v>
      </c>
      <c r="K4" s="7" t="s">
        <v>372</v>
      </c>
      <c r="L4" s="7" t="s">
        <v>389</v>
      </c>
      <c r="M4" s="8" t="s">
        <v>390</v>
      </c>
      <c r="N4" s="7" t="s">
        <v>391</v>
      </c>
      <c r="O4" s="10">
        <v>8402.4</v>
      </c>
      <c r="P4" s="10">
        <v>14004</v>
      </c>
      <c r="Q4" s="10">
        <v>-5601.6</v>
      </c>
      <c r="U4" s="7" t="s">
        <v>131</v>
      </c>
      <c r="V4" s="10">
        <v>0</v>
      </c>
      <c r="W4" s="10">
        <v>5660.38</v>
      </c>
    </row>
    <row r="5" spans="1:23">
      <c r="A5" s="6">
        <v>45869</v>
      </c>
      <c r="B5" s="7" t="s">
        <v>18</v>
      </c>
      <c r="C5" s="8" t="s">
        <v>405</v>
      </c>
      <c r="D5" s="7" t="s">
        <v>57</v>
      </c>
      <c r="E5" s="7" t="s">
        <v>406</v>
      </c>
      <c r="F5" s="7" t="s">
        <v>406</v>
      </c>
      <c r="G5" s="7" t="s">
        <v>43</v>
      </c>
      <c r="H5" s="7" t="s">
        <v>407</v>
      </c>
      <c r="I5" s="7" t="s">
        <v>47</v>
      </c>
      <c r="J5" s="7" t="s">
        <v>105</v>
      </c>
      <c r="K5" s="7" t="s">
        <v>372</v>
      </c>
      <c r="L5" s="7" t="s">
        <v>389</v>
      </c>
      <c r="M5" s="8" t="s">
        <v>390</v>
      </c>
      <c r="N5" s="7" t="s">
        <v>391</v>
      </c>
      <c r="O5" s="10">
        <v>167580</v>
      </c>
      <c r="P5" s="10">
        <v>279300</v>
      </c>
      <c r="Q5" s="10">
        <v>-111720</v>
      </c>
      <c r="U5" s="7" t="s">
        <v>329</v>
      </c>
      <c r="V5" s="10">
        <v>0</v>
      </c>
      <c r="W5" s="10">
        <v>842453.4352</v>
      </c>
    </row>
    <row r="6" spans="1:23">
      <c r="A6" s="6">
        <v>45869</v>
      </c>
      <c r="B6" s="7" t="s">
        <v>18</v>
      </c>
      <c r="C6" s="8" t="s">
        <v>405</v>
      </c>
      <c r="D6" s="7" t="s">
        <v>57</v>
      </c>
      <c r="E6" s="7" t="s">
        <v>406</v>
      </c>
      <c r="F6" s="7" t="s">
        <v>406</v>
      </c>
      <c r="G6" s="7" t="s">
        <v>41</v>
      </c>
      <c r="H6" s="7" t="s">
        <v>407</v>
      </c>
      <c r="I6" s="7" t="s">
        <v>47</v>
      </c>
      <c r="J6" s="7" t="s">
        <v>105</v>
      </c>
      <c r="K6" s="7" t="s">
        <v>372</v>
      </c>
      <c r="L6" s="7" t="s">
        <v>394</v>
      </c>
      <c r="M6" s="8">
        <v>6001.02</v>
      </c>
      <c r="N6" s="7" t="s">
        <v>395</v>
      </c>
      <c r="O6" s="10">
        <v>-26380.8</v>
      </c>
      <c r="P6" s="10">
        <v>-43968</v>
      </c>
      <c r="Q6" s="10">
        <v>17587.2</v>
      </c>
      <c r="U6" s="7" t="s">
        <v>161</v>
      </c>
      <c r="V6" s="10">
        <v>0</v>
      </c>
      <c r="W6" s="10">
        <v>312.18</v>
      </c>
    </row>
    <row r="7" spans="1:23">
      <c r="A7" s="6">
        <v>45869</v>
      </c>
      <c r="B7" s="7" t="s">
        <v>18</v>
      </c>
      <c r="C7" s="8" t="s">
        <v>405</v>
      </c>
      <c r="D7" s="7" t="s">
        <v>57</v>
      </c>
      <c r="E7" s="7" t="s">
        <v>406</v>
      </c>
      <c r="F7" s="7" t="s">
        <v>406</v>
      </c>
      <c r="G7" s="7" t="s">
        <v>71</v>
      </c>
      <c r="H7" s="7" t="s">
        <v>407</v>
      </c>
      <c r="I7" s="7" t="s">
        <v>47</v>
      </c>
      <c r="J7" s="7" t="s">
        <v>105</v>
      </c>
      <c r="K7" s="7" t="s">
        <v>372</v>
      </c>
      <c r="L7" s="7" t="s">
        <v>394</v>
      </c>
      <c r="M7" s="8">
        <v>6001.02</v>
      </c>
      <c r="N7" s="7" t="s">
        <v>395</v>
      </c>
      <c r="O7" s="10">
        <v>-8402.4</v>
      </c>
      <c r="P7" s="10">
        <v>-14004</v>
      </c>
      <c r="Q7" s="10">
        <v>5601.6</v>
      </c>
      <c r="U7" s="7" t="s">
        <v>215</v>
      </c>
      <c r="V7" s="10">
        <v>0</v>
      </c>
      <c r="W7" s="10">
        <v>-2680.155</v>
      </c>
    </row>
    <row r="8" spans="1:23">
      <c r="A8" s="6">
        <v>45869</v>
      </c>
      <c r="B8" s="7" t="s">
        <v>18</v>
      </c>
      <c r="C8" s="8" t="s">
        <v>408</v>
      </c>
      <c r="D8" s="7" t="s">
        <v>43</v>
      </c>
      <c r="E8" s="7" t="s">
        <v>409</v>
      </c>
      <c r="F8" s="7" t="s">
        <v>410</v>
      </c>
      <c r="G8" s="7" t="s">
        <v>215</v>
      </c>
      <c r="H8" s="7" t="s">
        <v>372</v>
      </c>
      <c r="I8" s="7" t="s">
        <v>42</v>
      </c>
      <c r="J8" s="7" t="s">
        <v>101</v>
      </c>
      <c r="K8" s="7" t="s">
        <v>372</v>
      </c>
      <c r="L8" s="7" t="s">
        <v>394</v>
      </c>
      <c r="M8" s="8">
        <v>6001.02</v>
      </c>
      <c r="N8" s="7" t="s">
        <v>395</v>
      </c>
      <c r="O8" s="10">
        <v>-790.45</v>
      </c>
      <c r="P8" s="10">
        <v>-1482.35</v>
      </c>
      <c r="Q8" s="10">
        <v>691.9</v>
      </c>
      <c r="U8" s="7" t="s">
        <v>358</v>
      </c>
      <c r="V8" s="10">
        <v>101541.76</v>
      </c>
      <c r="W8" s="10">
        <v>101216.42</v>
      </c>
    </row>
    <row r="9" spans="1:23">
      <c r="A9" s="6">
        <v>45869</v>
      </c>
      <c r="B9" s="7" t="s">
        <v>18</v>
      </c>
      <c r="C9" s="8" t="s">
        <v>408</v>
      </c>
      <c r="D9" s="7" t="s">
        <v>43</v>
      </c>
      <c r="E9" s="7" t="s">
        <v>409</v>
      </c>
      <c r="F9" s="7" t="s">
        <v>410</v>
      </c>
      <c r="G9" s="7" t="s">
        <v>215</v>
      </c>
      <c r="H9" s="7" t="s">
        <v>372</v>
      </c>
      <c r="I9" s="7" t="s">
        <v>42</v>
      </c>
      <c r="J9" s="7" t="s">
        <v>101</v>
      </c>
      <c r="K9" s="7" t="s">
        <v>372</v>
      </c>
      <c r="L9" s="7" t="s">
        <v>389</v>
      </c>
      <c r="M9" s="8" t="s">
        <v>390</v>
      </c>
      <c r="N9" s="7" t="s">
        <v>391</v>
      </c>
      <c r="O9" s="10">
        <v>790.45</v>
      </c>
      <c r="P9" s="10">
        <v>1482.35</v>
      </c>
      <c r="Q9" s="10">
        <v>-691.9</v>
      </c>
      <c r="S9" s="7" t="s">
        <v>146</v>
      </c>
      <c r="V9" s="10">
        <v>6753.7</v>
      </c>
      <c r="W9" s="10">
        <v>6753.7</v>
      </c>
    </row>
    <row r="10" spans="1:23">
      <c r="A10" s="6">
        <v>45869</v>
      </c>
      <c r="B10" s="7" t="s">
        <v>18</v>
      </c>
      <c r="C10" s="8" t="s">
        <v>411</v>
      </c>
      <c r="D10" s="7" t="s">
        <v>51</v>
      </c>
      <c r="E10" s="7" t="s">
        <v>412</v>
      </c>
      <c r="F10" s="7" t="s">
        <v>413</v>
      </c>
      <c r="G10" s="7" t="s">
        <v>329</v>
      </c>
      <c r="H10" s="7" t="s">
        <v>372</v>
      </c>
      <c r="I10" s="7" t="s">
        <v>42</v>
      </c>
      <c r="J10" s="7" t="s">
        <v>360</v>
      </c>
      <c r="K10" s="7" t="s">
        <v>372</v>
      </c>
      <c r="L10" s="7" t="s">
        <v>394</v>
      </c>
      <c r="M10" s="8">
        <v>6001.02</v>
      </c>
      <c r="N10" s="7" t="s">
        <v>395</v>
      </c>
      <c r="O10" s="10">
        <v>312271.01</v>
      </c>
      <c r="P10" s="10">
        <v>314475.124424738</v>
      </c>
      <c r="Q10" s="10">
        <v>-2204.11442473769</v>
      </c>
      <c r="T10" s="7" t="s">
        <v>45</v>
      </c>
      <c r="V10" s="10">
        <v>6753.7</v>
      </c>
      <c r="W10" s="10">
        <v>6753.7</v>
      </c>
    </row>
    <row r="11" spans="1:23">
      <c r="A11" s="6">
        <v>45869</v>
      </c>
      <c r="B11" s="7" t="s">
        <v>18</v>
      </c>
      <c r="C11" s="8" t="s">
        <v>411</v>
      </c>
      <c r="D11" s="7" t="s">
        <v>51</v>
      </c>
      <c r="E11" s="7" t="s">
        <v>406</v>
      </c>
      <c r="F11" s="7" t="s">
        <v>406</v>
      </c>
      <c r="G11" s="7" t="s">
        <v>257</v>
      </c>
      <c r="H11" s="7" t="s">
        <v>372</v>
      </c>
      <c r="I11" s="7" t="s">
        <v>42</v>
      </c>
      <c r="J11" s="7" t="s">
        <v>360</v>
      </c>
      <c r="K11" s="7" t="s">
        <v>372</v>
      </c>
      <c r="L11" s="7" t="s">
        <v>394</v>
      </c>
      <c r="M11" s="8">
        <v>6001.02</v>
      </c>
      <c r="N11" s="7" t="s">
        <v>395</v>
      </c>
      <c r="O11" s="10">
        <v>1169227.66</v>
      </c>
      <c r="P11" s="10">
        <v>1177480.46435481</v>
      </c>
      <c r="Q11" s="10">
        <v>-8252.80435480806</v>
      </c>
      <c r="U11" s="7" t="s">
        <v>296</v>
      </c>
      <c r="V11" s="10">
        <v>492.9</v>
      </c>
      <c r="W11" s="10">
        <v>492.9</v>
      </c>
    </row>
    <row r="12" spans="1:23">
      <c r="A12" s="6">
        <v>45869</v>
      </c>
      <c r="B12" s="7" t="s">
        <v>18</v>
      </c>
      <c r="C12" s="8" t="s">
        <v>411</v>
      </c>
      <c r="D12" s="7" t="s">
        <v>51</v>
      </c>
      <c r="E12" s="7" t="s">
        <v>414</v>
      </c>
      <c r="F12" s="7" t="s">
        <v>415</v>
      </c>
      <c r="G12" s="7" t="s">
        <v>416</v>
      </c>
      <c r="H12" s="7" t="s">
        <v>372</v>
      </c>
      <c r="I12" s="7" t="s">
        <v>42</v>
      </c>
      <c r="J12" s="7" t="s">
        <v>360</v>
      </c>
      <c r="K12" s="7" t="s">
        <v>372</v>
      </c>
      <c r="L12" s="7" t="s">
        <v>394</v>
      </c>
      <c r="M12" s="8">
        <v>6001.02</v>
      </c>
      <c r="N12" s="7" t="s">
        <v>395</v>
      </c>
      <c r="O12" s="10">
        <v>317388.78</v>
      </c>
      <c r="P12" s="10">
        <v>319629.017376655</v>
      </c>
      <c r="Q12" s="10">
        <v>-2240.23737665528</v>
      </c>
      <c r="U12" s="7" t="s">
        <v>295</v>
      </c>
      <c r="V12" s="10">
        <v>6260.8</v>
      </c>
      <c r="W12" s="10">
        <v>6260.8</v>
      </c>
    </row>
    <row r="13" spans="1:23">
      <c r="A13" s="6">
        <v>45869</v>
      </c>
      <c r="B13" s="7" t="s">
        <v>18</v>
      </c>
      <c r="C13" s="8" t="s">
        <v>411</v>
      </c>
      <c r="D13" s="7" t="s">
        <v>51</v>
      </c>
      <c r="E13" s="7" t="s">
        <v>406</v>
      </c>
      <c r="F13" s="7" t="s">
        <v>406</v>
      </c>
      <c r="G13" s="7" t="s">
        <v>322</v>
      </c>
      <c r="H13" s="7" t="s">
        <v>407</v>
      </c>
      <c r="I13" s="7" t="s">
        <v>42</v>
      </c>
      <c r="J13" s="7" t="s">
        <v>360</v>
      </c>
      <c r="K13" s="7" t="s">
        <v>372</v>
      </c>
      <c r="L13" s="7" t="s">
        <v>394</v>
      </c>
      <c r="M13" s="8">
        <v>6001.02</v>
      </c>
      <c r="N13" s="7" t="s">
        <v>395</v>
      </c>
      <c r="O13" s="10">
        <v>172174.76</v>
      </c>
      <c r="P13" s="10">
        <v>173390.03</v>
      </c>
      <c r="Q13" s="10">
        <v>-1215.26999999999</v>
      </c>
      <c r="S13" s="7" t="s">
        <v>64</v>
      </c>
      <c r="V13" s="10">
        <v>0</v>
      </c>
      <c r="W13" s="10">
        <v>793.69</v>
      </c>
    </row>
    <row r="14" spans="1:23">
      <c r="A14" s="6">
        <v>45869</v>
      </c>
      <c r="B14" s="7" t="s">
        <v>18</v>
      </c>
      <c r="C14" s="8" t="s">
        <v>411</v>
      </c>
      <c r="D14" s="7" t="s">
        <v>51</v>
      </c>
      <c r="E14" s="7" t="s">
        <v>406</v>
      </c>
      <c r="F14" s="7" t="s">
        <v>406</v>
      </c>
      <c r="G14" s="7" t="s">
        <v>322</v>
      </c>
      <c r="H14" s="7" t="s">
        <v>407</v>
      </c>
      <c r="I14" s="7" t="s">
        <v>42</v>
      </c>
      <c r="J14" s="7" t="s">
        <v>257</v>
      </c>
      <c r="K14" s="7" t="s">
        <v>372</v>
      </c>
      <c r="L14" s="7" t="s">
        <v>394</v>
      </c>
      <c r="M14" s="8">
        <v>6001.02</v>
      </c>
      <c r="N14" s="7" t="s">
        <v>395</v>
      </c>
      <c r="O14" s="10">
        <v>16940.78</v>
      </c>
      <c r="P14" s="10">
        <v>17060.35</v>
      </c>
      <c r="Q14" s="10">
        <v>-119.57</v>
      </c>
      <c r="T14" s="7" t="s">
        <v>47</v>
      </c>
      <c r="V14" s="10">
        <v>0</v>
      </c>
      <c r="W14" s="10">
        <v>793.69</v>
      </c>
    </row>
    <row r="15" spans="1:23">
      <c r="A15" s="6">
        <v>45869</v>
      </c>
      <c r="B15" s="7" t="s">
        <v>18</v>
      </c>
      <c r="C15" s="8" t="s">
        <v>411</v>
      </c>
      <c r="D15" s="7" t="s">
        <v>51</v>
      </c>
      <c r="E15" s="7" t="s">
        <v>417</v>
      </c>
      <c r="F15" s="7" t="s">
        <v>415</v>
      </c>
      <c r="G15" s="7" t="s">
        <v>416</v>
      </c>
      <c r="H15" s="7" t="s">
        <v>372</v>
      </c>
      <c r="I15" s="7" t="s">
        <v>42</v>
      </c>
      <c r="J15" s="7" t="s">
        <v>360</v>
      </c>
      <c r="K15" s="7" t="s">
        <v>372</v>
      </c>
      <c r="L15" s="7" t="s">
        <v>394</v>
      </c>
      <c r="M15" s="8">
        <v>6001.02</v>
      </c>
      <c r="N15" s="7" t="s">
        <v>395</v>
      </c>
      <c r="O15" s="10">
        <v>382723.83</v>
      </c>
      <c r="P15" s="10">
        <v>385425.22426133</v>
      </c>
      <c r="Q15" s="10">
        <v>-2701.39426133042</v>
      </c>
      <c r="U15" s="7" t="s">
        <v>296</v>
      </c>
      <c r="V15" s="10">
        <v>0</v>
      </c>
      <c r="W15" s="10">
        <v>793.69</v>
      </c>
    </row>
    <row r="16" spans="1:23">
      <c r="A16" s="6">
        <v>45869</v>
      </c>
      <c r="B16" s="7" t="s">
        <v>18</v>
      </c>
      <c r="C16" s="8" t="s">
        <v>411</v>
      </c>
      <c r="D16" s="7" t="s">
        <v>322</v>
      </c>
      <c r="E16" s="7" t="s">
        <v>418</v>
      </c>
      <c r="F16" s="7" t="s">
        <v>419</v>
      </c>
      <c r="G16" s="7" t="s">
        <v>420</v>
      </c>
      <c r="H16" s="7" t="s">
        <v>372</v>
      </c>
      <c r="I16" s="7" t="s">
        <v>42</v>
      </c>
      <c r="J16" s="7" t="s">
        <v>51</v>
      </c>
      <c r="K16" s="7" t="s">
        <v>407</v>
      </c>
      <c r="L16" s="7" t="s">
        <v>394</v>
      </c>
      <c r="M16" s="8">
        <v>6001.02</v>
      </c>
      <c r="N16" s="7" t="s">
        <v>395</v>
      </c>
      <c r="O16" s="10">
        <v>189115.54</v>
      </c>
      <c r="P16" s="10">
        <v>189115.54</v>
      </c>
      <c r="Q16" s="10">
        <v>0</v>
      </c>
      <c r="S16" s="7" t="s">
        <v>50</v>
      </c>
      <c r="V16" s="10">
        <v>-3439.07</v>
      </c>
      <c r="W16" s="10">
        <v>-31470.06</v>
      </c>
    </row>
    <row r="17" spans="1:23">
      <c r="A17" s="6">
        <v>45869</v>
      </c>
      <c r="B17" s="7" t="s">
        <v>18</v>
      </c>
      <c r="C17" s="8" t="s">
        <v>411</v>
      </c>
      <c r="D17" s="7" t="s">
        <v>51</v>
      </c>
      <c r="E17" s="7" t="s">
        <v>406</v>
      </c>
      <c r="F17" s="7" t="s">
        <v>406</v>
      </c>
      <c r="G17" s="7" t="s">
        <v>421</v>
      </c>
      <c r="H17" s="7" t="s">
        <v>372</v>
      </c>
      <c r="I17" s="7" t="s">
        <v>42</v>
      </c>
      <c r="J17" s="7" t="s">
        <v>257</v>
      </c>
      <c r="K17" s="7" t="s">
        <v>372</v>
      </c>
      <c r="L17" s="7" t="s">
        <v>394</v>
      </c>
      <c r="M17" s="8">
        <v>6001.02</v>
      </c>
      <c r="N17" s="7" t="s">
        <v>395</v>
      </c>
      <c r="O17" s="10">
        <v>82850.68</v>
      </c>
      <c r="P17" s="10">
        <v>83435.4681264653</v>
      </c>
      <c r="Q17" s="10">
        <v>-584.788126465297</v>
      </c>
      <c r="T17" s="7" t="s">
        <v>45</v>
      </c>
      <c r="V17" s="10">
        <v>-3439.07</v>
      </c>
      <c r="W17" s="10">
        <v>-31470.06</v>
      </c>
    </row>
    <row r="18" spans="1:23">
      <c r="A18" s="6">
        <v>45869</v>
      </c>
      <c r="B18" s="7" t="s">
        <v>18</v>
      </c>
      <c r="C18" s="8" t="s">
        <v>411</v>
      </c>
      <c r="D18" s="7" t="s">
        <v>322</v>
      </c>
      <c r="E18" s="7" t="s">
        <v>418</v>
      </c>
      <c r="F18" s="7" t="s">
        <v>419</v>
      </c>
      <c r="G18" s="7" t="s">
        <v>420</v>
      </c>
      <c r="H18" s="7" t="s">
        <v>372</v>
      </c>
      <c r="I18" s="7" t="s">
        <v>42</v>
      </c>
      <c r="J18" s="7"/>
      <c r="K18" s="7" t="s">
        <v>372</v>
      </c>
      <c r="L18" s="7" t="s">
        <v>389</v>
      </c>
      <c r="M18" s="8" t="s">
        <v>390</v>
      </c>
      <c r="N18" s="7" t="s">
        <v>391</v>
      </c>
      <c r="O18" s="10">
        <v>693.61</v>
      </c>
      <c r="P18" s="10">
        <v>0</v>
      </c>
      <c r="Q18" s="10">
        <v>693.61</v>
      </c>
      <c r="U18" s="7" t="s">
        <v>359</v>
      </c>
      <c r="V18" s="10">
        <v>43966.07</v>
      </c>
      <c r="W18" s="10">
        <v>0</v>
      </c>
    </row>
    <row r="19" spans="1:23">
      <c r="A19" s="6">
        <v>45869</v>
      </c>
      <c r="B19" s="7" t="s">
        <v>18</v>
      </c>
      <c r="C19" s="8" t="s">
        <v>422</v>
      </c>
      <c r="D19" s="7" t="s">
        <v>51</v>
      </c>
      <c r="E19" s="7" t="s">
        <v>406</v>
      </c>
      <c r="F19" s="7" t="s">
        <v>406</v>
      </c>
      <c r="G19" s="7" t="s">
        <v>421</v>
      </c>
      <c r="H19" s="7" t="s">
        <v>372</v>
      </c>
      <c r="I19" s="7" t="s">
        <v>52</v>
      </c>
      <c r="J19" s="7" t="s">
        <v>261</v>
      </c>
      <c r="K19" s="7" t="s">
        <v>372</v>
      </c>
      <c r="L19" s="7" t="s">
        <v>394</v>
      </c>
      <c r="M19" s="8">
        <v>6001.02</v>
      </c>
      <c r="N19" s="7" t="s">
        <v>395</v>
      </c>
      <c r="O19" s="10">
        <v>5909.97</v>
      </c>
      <c r="P19" s="10">
        <v>4951.31</v>
      </c>
      <c r="Q19" s="10">
        <v>958.66</v>
      </c>
      <c r="U19" s="7" t="s">
        <v>352</v>
      </c>
      <c r="V19" s="10">
        <v>-25742.78</v>
      </c>
      <c r="W19" s="10">
        <v>-31470.06</v>
      </c>
    </row>
    <row r="20" spans="1:23">
      <c r="A20" s="6">
        <v>45869</v>
      </c>
      <c r="B20" s="7" t="s">
        <v>18</v>
      </c>
      <c r="C20" s="8" t="s">
        <v>423</v>
      </c>
      <c r="D20" s="7" t="s">
        <v>51</v>
      </c>
      <c r="E20" s="7" t="s">
        <v>406</v>
      </c>
      <c r="F20" s="7" t="s">
        <v>406</v>
      </c>
      <c r="G20" s="7" t="s">
        <v>314</v>
      </c>
      <c r="H20" s="7" t="s">
        <v>372</v>
      </c>
      <c r="I20" s="7" t="s">
        <v>47</v>
      </c>
      <c r="J20" s="7" t="s">
        <v>296</v>
      </c>
      <c r="K20" s="7" t="s">
        <v>372</v>
      </c>
      <c r="L20" s="7" t="s">
        <v>389</v>
      </c>
      <c r="M20" s="8" t="s">
        <v>390</v>
      </c>
      <c r="N20" s="7" t="s">
        <v>391</v>
      </c>
      <c r="O20" s="10">
        <v>-3936.2</v>
      </c>
      <c r="P20" s="10">
        <v>0</v>
      </c>
      <c r="Q20" s="10">
        <v>-3936.2</v>
      </c>
      <c r="U20" s="7" t="s">
        <v>296</v>
      </c>
      <c r="V20" s="10">
        <v>-12953.84</v>
      </c>
      <c r="W20" s="10">
        <v>0</v>
      </c>
    </row>
    <row r="21" spans="1:23">
      <c r="A21" s="6">
        <v>45869</v>
      </c>
      <c r="B21" s="7" t="s">
        <v>18</v>
      </c>
      <c r="C21" s="8" t="s">
        <v>423</v>
      </c>
      <c r="D21" s="7" t="s">
        <v>51</v>
      </c>
      <c r="E21" s="7" t="s">
        <v>406</v>
      </c>
      <c r="F21" s="7" t="s">
        <v>406</v>
      </c>
      <c r="G21" s="7" t="s">
        <v>314</v>
      </c>
      <c r="H21" s="7" t="s">
        <v>372</v>
      </c>
      <c r="I21" s="7" t="s">
        <v>52</v>
      </c>
      <c r="J21" s="7" t="s">
        <v>257</v>
      </c>
      <c r="K21" s="7" t="s">
        <v>372</v>
      </c>
      <c r="L21" s="7" t="s">
        <v>394</v>
      </c>
      <c r="M21" s="8">
        <v>6001.02</v>
      </c>
      <c r="N21" s="7" t="s">
        <v>395</v>
      </c>
      <c r="O21" s="10">
        <v>-0.26</v>
      </c>
      <c r="P21" s="10">
        <v>0</v>
      </c>
      <c r="Q21" s="10">
        <v>-0.26</v>
      </c>
      <c r="U21" s="7" t="s">
        <v>295</v>
      </c>
      <c r="V21" s="10">
        <v>-8708.52</v>
      </c>
      <c r="W21" s="10">
        <v>0</v>
      </c>
    </row>
    <row r="22" spans="1:23">
      <c r="A22" s="6">
        <v>45869</v>
      </c>
      <c r="B22" s="7" t="s">
        <v>18</v>
      </c>
      <c r="C22" s="8" t="s">
        <v>424</v>
      </c>
      <c r="D22" s="7" t="s">
        <v>55</v>
      </c>
      <c r="E22" s="7" t="s">
        <v>425</v>
      </c>
      <c r="F22" s="7" t="s">
        <v>419</v>
      </c>
      <c r="G22" s="7" t="s">
        <v>426</v>
      </c>
      <c r="H22" s="7" t="s">
        <v>372</v>
      </c>
      <c r="I22" s="7" t="s">
        <v>47</v>
      </c>
      <c r="J22" s="7" t="s">
        <v>59</v>
      </c>
      <c r="K22" s="7" t="s">
        <v>372</v>
      </c>
      <c r="L22" s="7" t="s">
        <v>394</v>
      </c>
      <c r="M22" s="8">
        <v>6001.02</v>
      </c>
      <c r="N22" s="7" t="s">
        <v>395</v>
      </c>
      <c r="O22" s="10">
        <v>-2489.52</v>
      </c>
      <c r="P22" s="10">
        <v>0</v>
      </c>
      <c r="Q22" s="10">
        <v>-2489.52</v>
      </c>
      <c r="S22" s="7" t="s">
        <v>54</v>
      </c>
      <c r="V22" s="10">
        <v>5353.6</v>
      </c>
      <c r="W22" s="10">
        <v>0</v>
      </c>
    </row>
    <row r="23" spans="1:23">
      <c r="A23" s="6">
        <v>45869</v>
      </c>
      <c r="B23" s="7" t="s">
        <v>18</v>
      </c>
      <c r="C23" s="8" t="s">
        <v>427</v>
      </c>
      <c r="D23" s="7" t="s">
        <v>41</v>
      </c>
      <c r="E23" s="7" t="s">
        <v>406</v>
      </c>
      <c r="F23" s="7" t="s">
        <v>406</v>
      </c>
      <c r="G23" s="7" t="s">
        <v>428</v>
      </c>
      <c r="H23" s="7" t="s">
        <v>372</v>
      </c>
      <c r="I23" s="7" t="s">
        <v>42</v>
      </c>
      <c r="J23" s="7" t="s">
        <v>85</v>
      </c>
      <c r="K23" s="7" t="s">
        <v>372</v>
      </c>
      <c r="L23" s="7" t="s">
        <v>389</v>
      </c>
      <c r="M23" s="8" t="s">
        <v>390</v>
      </c>
      <c r="N23" s="7" t="s">
        <v>391</v>
      </c>
      <c r="O23" s="10">
        <v>1981.71</v>
      </c>
      <c r="P23" s="10">
        <v>0</v>
      </c>
      <c r="Q23" s="10">
        <v>1981.71</v>
      </c>
      <c r="T23" s="7" t="s">
        <v>47</v>
      </c>
      <c r="V23" s="10">
        <v>5353.6</v>
      </c>
      <c r="W23" s="10">
        <v>0</v>
      </c>
    </row>
    <row r="24" spans="1:23">
      <c r="A24" s="6">
        <v>45869</v>
      </c>
      <c r="B24" s="7" t="s">
        <v>18</v>
      </c>
      <c r="C24" s="8" t="s">
        <v>427</v>
      </c>
      <c r="D24" s="7" t="s">
        <v>41</v>
      </c>
      <c r="E24" s="7" t="s">
        <v>406</v>
      </c>
      <c r="F24" s="7" t="s">
        <v>406</v>
      </c>
      <c r="G24" s="7" t="s">
        <v>428</v>
      </c>
      <c r="H24" s="7" t="s">
        <v>372</v>
      </c>
      <c r="I24" s="7" t="s">
        <v>47</v>
      </c>
      <c r="J24" s="7" t="s">
        <v>296</v>
      </c>
      <c r="K24" s="7" t="s">
        <v>372</v>
      </c>
      <c r="L24" s="7" t="s">
        <v>389</v>
      </c>
      <c r="M24" s="8" t="s">
        <v>390</v>
      </c>
      <c r="N24" s="7" t="s">
        <v>391</v>
      </c>
      <c r="O24" s="10">
        <v>329449.51</v>
      </c>
      <c r="P24" s="10">
        <v>0</v>
      </c>
      <c r="Q24" s="10">
        <v>329449.51</v>
      </c>
      <c r="U24" s="7" t="s">
        <v>429</v>
      </c>
      <c r="V24" s="10">
        <v>5353.6</v>
      </c>
      <c r="W24" s="10">
        <v>0</v>
      </c>
    </row>
    <row r="25" spans="1:23">
      <c r="A25" s="6">
        <v>45869</v>
      </c>
      <c r="B25" s="7" t="s">
        <v>18</v>
      </c>
      <c r="C25" s="8" t="s">
        <v>430</v>
      </c>
      <c r="D25" s="7" t="s">
        <v>43</v>
      </c>
      <c r="E25" s="7" t="s">
        <v>431</v>
      </c>
      <c r="F25" s="7" t="s">
        <v>432</v>
      </c>
      <c r="G25" s="7" t="s">
        <v>433</v>
      </c>
      <c r="H25" s="7" t="s">
        <v>372</v>
      </c>
      <c r="I25" s="7" t="s">
        <v>47</v>
      </c>
      <c r="J25" s="7" t="s">
        <v>294</v>
      </c>
      <c r="K25" s="7" t="s">
        <v>372</v>
      </c>
      <c r="L25" s="7" t="s">
        <v>394</v>
      </c>
      <c r="M25" s="8">
        <v>6001.02</v>
      </c>
      <c r="N25" s="7" t="s">
        <v>395</v>
      </c>
      <c r="O25" s="10">
        <v>-14690</v>
      </c>
      <c r="P25" s="10">
        <v>0</v>
      </c>
      <c r="Q25" s="10">
        <v>-14690</v>
      </c>
      <c r="S25" s="7" t="s">
        <v>77</v>
      </c>
      <c r="V25" s="10">
        <v>0</v>
      </c>
      <c r="W25" s="10">
        <v>861888.02</v>
      </c>
    </row>
    <row r="26" spans="1:23">
      <c r="A26" s="6">
        <v>45869</v>
      </c>
      <c r="B26" s="7" t="s">
        <v>18</v>
      </c>
      <c r="C26" s="8" t="s">
        <v>434</v>
      </c>
      <c r="D26" s="7" t="s">
        <v>57</v>
      </c>
      <c r="E26" s="7" t="s">
        <v>406</v>
      </c>
      <c r="F26" s="7" t="s">
        <v>406</v>
      </c>
      <c r="G26" s="7" t="s">
        <v>345</v>
      </c>
      <c r="H26" s="7" t="s">
        <v>372</v>
      </c>
      <c r="I26" s="7" t="s">
        <v>42</v>
      </c>
      <c r="J26" s="7"/>
      <c r="K26" s="7" t="s">
        <v>372</v>
      </c>
      <c r="L26" s="7" t="s">
        <v>394</v>
      </c>
      <c r="M26" s="8">
        <v>6001.02</v>
      </c>
      <c r="N26" s="7" t="s">
        <v>395</v>
      </c>
      <c r="O26" s="10">
        <v>-3549.77</v>
      </c>
      <c r="P26" s="10">
        <v>0</v>
      </c>
      <c r="Q26" s="10">
        <v>-3549.77</v>
      </c>
      <c r="T26" s="7" t="s">
        <v>42</v>
      </c>
      <c r="V26" s="10">
        <v>0</v>
      </c>
      <c r="W26" s="10">
        <v>861888.02</v>
      </c>
    </row>
    <row r="27" spans="1:23">
      <c r="A27" s="6">
        <v>45869</v>
      </c>
      <c r="B27" s="7" t="s">
        <v>18</v>
      </c>
      <c r="C27" s="8" t="s">
        <v>435</v>
      </c>
      <c r="D27" s="7" t="s">
        <v>57</v>
      </c>
      <c r="E27" s="7" t="s">
        <v>406</v>
      </c>
      <c r="F27" s="7" t="s">
        <v>406</v>
      </c>
      <c r="G27" s="7"/>
      <c r="H27" s="7" t="s">
        <v>372</v>
      </c>
      <c r="I27" s="7" t="s">
        <v>42</v>
      </c>
      <c r="J27" s="7" t="s">
        <v>147</v>
      </c>
      <c r="K27" s="7" t="s">
        <v>372</v>
      </c>
      <c r="L27" s="7" t="s">
        <v>389</v>
      </c>
      <c r="M27" s="8" t="s">
        <v>436</v>
      </c>
      <c r="N27" s="7" t="s">
        <v>437</v>
      </c>
      <c r="O27" s="10">
        <v>0</v>
      </c>
      <c r="P27" s="10">
        <v>34719.5</v>
      </c>
      <c r="Q27" s="10">
        <v>-34719.5</v>
      </c>
      <c r="U27" s="7" t="s">
        <v>103</v>
      </c>
      <c r="V27" s="10">
        <v>0</v>
      </c>
      <c r="W27" s="10">
        <v>632.55</v>
      </c>
    </row>
    <row r="28" spans="1:23">
      <c r="A28" s="6">
        <v>45869</v>
      </c>
      <c r="B28" s="7" t="s">
        <v>18</v>
      </c>
      <c r="C28" s="8" t="s">
        <v>438</v>
      </c>
      <c r="D28" s="7" t="s">
        <v>57</v>
      </c>
      <c r="E28" s="7" t="s">
        <v>406</v>
      </c>
      <c r="F28" s="7" t="s">
        <v>406</v>
      </c>
      <c r="G28" s="7"/>
      <c r="H28" s="7" t="s">
        <v>372</v>
      </c>
      <c r="I28" s="7" t="s">
        <v>47</v>
      </c>
      <c r="J28" s="7" t="s">
        <v>112</v>
      </c>
      <c r="K28" s="7" t="s">
        <v>372</v>
      </c>
      <c r="L28" s="7" t="s">
        <v>389</v>
      </c>
      <c r="M28" s="8" t="s">
        <v>436</v>
      </c>
      <c r="N28" s="7" t="s">
        <v>437</v>
      </c>
      <c r="O28" s="10">
        <v>0</v>
      </c>
      <c r="P28" s="10">
        <v>131.5</v>
      </c>
      <c r="Q28" s="10">
        <v>-131.5</v>
      </c>
      <c r="U28" s="7" t="s">
        <v>312</v>
      </c>
      <c r="V28" s="10">
        <v>0</v>
      </c>
      <c r="W28" s="10">
        <v>65138.4</v>
      </c>
    </row>
    <row r="29" spans="1:23">
      <c r="A29" s="6">
        <v>45869</v>
      </c>
      <c r="B29" s="7" t="s">
        <v>18</v>
      </c>
      <c r="C29" s="8" t="s">
        <v>439</v>
      </c>
      <c r="D29" s="7" t="s">
        <v>43</v>
      </c>
      <c r="E29" s="7" t="s">
        <v>406</v>
      </c>
      <c r="F29" s="7" t="s">
        <v>406</v>
      </c>
      <c r="G29" s="7"/>
      <c r="H29" s="7" t="s">
        <v>372</v>
      </c>
      <c r="I29" s="7" t="s">
        <v>47</v>
      </c>
      <c r="J29" s="7" t="s">
        <v>298</v>
      </c>
      <c r="K29" s="7" t="s">
        <v>372</v>
      </c>
      <c r="L29" s="7" t="s">
        <v>389</v>
      </c>
      <c r="M29" s="8" t="s">
        <v>436</v>
      </c>
      <c r="N29" s="7" t="s">
        <v>437</v>
      </c>
      <c r="O29" s="10">
        <v>0</v>
      </c>
      <c r="P29" s="10">
        <v>5195.12</v>
      </c>
      <c r="Q29" s="10">
        <v>-5195.12</v>
      </c>
      <c r="U29" s="7" t="s">
        <v>340</v>
      </c>
      <c r="V29" s="10">
        <v>0</v>
      </c>
      <c r="W29" s="10">
        <v>808.87</v>
      </c>
    </row>
    <row r="30" spans="1:23">
      <c r="A30" s="6">
        <v>45869</v>
      </c>
      <c r="B30" s="7" t="s">
        <v>18</v>
      </c>
      <c r="C30" s="8" t="s">
        <v>440</v>
      </c>
      <c r="D30" s="7" t="s">
        <v>57</v>
      </c>
      <c r="E30" s="7" t="s">
        <v>406</v>
      </c>
      <c r="F30" s="7" t="s">
        <v>406</v>
      </c>
      <c r="G30" s="7"/>
      <c r="H30" s="7" t="s">
        <v>372</v>
      </c>
      <c r="I30" s="7" t="s">
        <v>42</v>
      </c>
      <c r="J30" s="7" t="s">
        <v>101</v>
      </c>
      <c r="K30" s="7" t="s">
        <v>372</v>
      </c>
      <c r="L30" s="7" t="s">
        <v>394</v>
      </c>
      <c r="M30" s="8">
        <v>6001.02</v>
      </c>
      <c r="N30" s="7" t="s">
        <v>395</v>
      </c>
      <c r="O30" s="10">
        <v>0</v>
      </c>
      <c r="P30" s="10">
        <v>-140560.2</v>
      </c>
      <c r="Q30" s="10">
        <v>140560.2</v>
      </c>
      <c r="U30" s="7" t="s">
        <v>441</v>
      </c>
      <c r="V30" s="10">
        <v>0</v>
      </c>
      <c r="W30" s="10">
        <v>179</v>
      </c>
    </row>
    <row r="31" spans="1:23">
      <c r="A31" s="6">
        <v>45869</v>
      </c>
      <c r="B31" s="7" t="s">
        <v>18</v>
      </c>
      <c r="C31" s="8" t="s">
        <v>442</v>
      </c>
      <c r="D31" s="7" t="s">
        <v>43</v>
      </c>
      <c r="E31" s="7" t="s">
        <v>406</v>
      </c>
      <c r="F31" s="7" t="s">
        <v>406</v>
      </c>
      <c r="G31" s="7"/>
      <c r="H31" s="7" t="s">
        <v>372</v>
      </c>
      <c r="I31" s="7" t="s">
        <v>42</v>
      </c>
      <c r="J31" s="7" t="s">
        <v>101</v>
      </c>
      <c r="K31" s="7" t="s">
        <v>372</v>
      </c>
      <c r="L31" s="7" t="s">
        <v>394</v>
      </c>
      <c r="M31" s="8">
        <v>6001.02</v>
      </c>
      <c r="N31" s="7" t="s">
        <v>395</v>
      </c>
      <c r="O31" s="10">
        <v>0</v>
      </c>
      <c r="P31" s="10">
        <v>-159336.59</v>
      </c>
      <c r="Q31" s="10">
        <v>159336.59</v>
      </c>
      <c r="U31" s="7" t="s">
        <v>76</v>
      </c>
      <c r="V31" s="10">
        <v>0</v>
      </c>
      <c r="W31" s="10">
        <v>128773.02</v>
      </c>
    </row>
    <row r="32" spans="1:23">
      <c r="A32" s="6">
        <v>45869</v>
      </c>
      <c r="B32" s="7" t="s">
        <v>18</v>
      </c>
      <c r="C32" s="8" t="s">
        <v>443</v>
      </c>
      <c r="D32" s="7" t="s">
        <v>57</v>
      </c>
      <c r="E32" s="7" t="s">
        <v>406</v>
      </c>
      <c r="F32" s="7" t="s">
        <v>406</v>
      </c>
      <c r="G32" s="7"/>
      <c r="H32" s="7" t="s">
        <v>372</v>
      </c>
      <c r="I32" s="7" t="s">
        <v>47</v>
      </c>
      <c r="J32" s="7" t="s">
        <v>152</v>
      </c>
      <c r="K32" s="7" t="s">
        <v>372</v>
      </c>
      <c r="L32" s="7" t="s">
        <v>389</v>
      </c>
      <c r="M32" s="8" t="s">
        <v>436</v>
      </c>
      <c r="N32" s="7" t="s">
        <v>437</v>
      </c>
      <c r="O32" s="10">
        <v>0</v>
      </c>
      <c r="P32" s="10">
        <v>-1396</v>
      </c>
      <c r="Q32" s="10">
        <v>1396</v>
      </c>
      <c r="U32" s="7" t="s">
        <v>300</v>
      </c>
      <c r="V32" s="10">
        <v>0</v>
      </c>
      <c r="W32" s="10">
        <v>19919.63</v>
      </c>
    </row>
    <row r="33" spans="1:23">
      <c r="A33" s="6">
        <v>45869</v>
      </c>
      <c r="B33" s="7" t="s">
        <v>18</v>
      </c>
      <c r="C33" s="8" t="s">
        <v>444</v>
      </c>
      <c r="D33" s="7" t="s">
        <v>43</v>
      </c>
      <c r="E33" s="7" t="s">
        <v>406</v>
      </c>
      <c r="F33" s="7" t="s">
        <v>406</v>
      </c>
      <c r="G33" s="7"/>
      <c r="H33" s="7" t="s">
        <v>372</v>
      </c>
      <c r="I33" s="7" t="s">
        <v>42</v>
      </c>
      <c r="J33" s="7" t="s">
        <v>236</v>
      </c>
      <c r="K33" s="7" t="s">
        <v>372</v>
      </c>
      <c r="L33" s="7" t="s">
        <v>389</v>
      </c>
      <c r="M33" s="8" t="s">
        <v>445</v>
      </c>
      <c r="N33" s="7" t="s">
        <v>446</v>
      </c>
      <c r="O33" s="10">
        <v>0</v>
      </c>
      <c r="P33" s="10">
        <v>-66493.74</v>
      </c>
      <c r="Q33" s="10">
        <v>66493.74</v>
      </c>
      <c r="U33" s="7" t="s">
        <v>288</v>
      </c>
      <c r="V33" s="10">
        <v>0</v>
      </c>
      <c r="W33" s="10">
        <v>20309.43</v>
      </c>
    </row>
    <row r="34" spans="1:23">
      <c r="A34" s="6">
        <v>45869</v>
      </c>
      <c r="B34" s="7" t="s">
        <v>18</v>
      </c>
      <c r="C34" s="8" t="s">
        <v>444</v>
      </c>
      <c r="D34" s="7" t="s">
        <v>43</v>
      </c>
      <c r="E34" s="7" t="s">
        <v>406</v>
      </c>
      <c r="F34" s="7" t="s">
        <v>406</v>
      </c>
      <c r="G34" s="7"/>
      <c r="H34" s="7" t="s">
        <v>372</v>
      </c>
      <c r="I34" s="7" t="s">
        <v>42</v>
      </c>
      <c r="J34" s="7" t="s">
        <v>196</v>
      </c>
      <c r="K34" s="7" t="s">
        <v>372</v>
      </c>
      <c r="L34" s="7" t="s">
        <v>389</v>
      </c>
      <c r="M34" s="8" t="s">
        <v>445</v>
      </c>
      <c r="N34" s="7" t="s">
        <v>446</v>
      </c>
      <c r="O34" s="10">
        <v>0</v>
      </c>
      <c r="P34" s="10">
        <v>50984.64</v>
      </c>
      <c r="Q34" s="10">
        <v>-50984.64</v>
      </c>
      <c r="U34" s="7" t="s">
        <v>161</v>
      </c>
      <c r="V34" s="10">
        <v>0</v>
      </c>
      <c r="W34" s="10">
        <v>14858.27</v>
      </c>
    </row>
    <row r="35" spans="1:23">
      <c r="A35" s="6">
        <v>45869</v>
      </c>
      <c r="B35" s="7" t="s">
        <v>18</v>
      </c>
      <c r="C35" s="8" t="s">
        <v>447</v>
      </c>
      <c r="D35" s="7" t="s">
        <v>57</v>
      </c>
      <c r="E35" s="7" t="s">
        <v>406</v>
      </c>
      <c r="F35" s="7" t="s">
        <v>406</v>
      </c>
      <c r="G35" s="7"/>
      <c r="H35" s="7" t="s">
        <v>372</v>
      </c>
      <c r="I35" s="7" t="s">
        <v>42</v>
      </c>
      <c r="J35" s="7" t="s">
        <v>147</v>
      </c>
      <c r="K35" s="7" t="s">
        <v>372</v>
      </c>
      <c r="L35" s="7" t="s">
        <v>389</v>
      </c>
      <c r="M35" s="8" t="s">
        <v>436</v>
      </c>
      <c r="N35" s="7" t="s">
        <v>437</v>
      </c>
      <c r="O35" s="10">
        <v>0</v>
      </c>
      <c r="P35" s="10">
        <v>-150737.7</v>
      </c>
      <c r="Q35" s="10">
        <v>150737.7</v>
      </c>
      <c r="U35" s="7" t="s">
        <v>238</v>
      </c>
      <c r="V35" s="10">
        <v>0</v>
      </c>
      <c r="W35" s="10">
        <v>611268.85</v>
      </c>
    </row>
    <row r="36" spans="1:23">
      <c r="A36" s="6">
        <v>45869</v>
      </c>
      <c r="B36" s="7" t="s">
        <v>18</v>
      </c>
      <c r="C36" s="8" t="s">
        <v>448</v>
      </c>
      <c r="D36" s="7" t="s">
        <v>41</v>
      </c>
      <c r="E36" s="7" t="s">
        <v>406</v>
      </c>
      <c r="F36" s="7" t="s">
        <v>406</v>
      </c>
      <c r="G36" s="7"/>
      <c r="H36" s="7" t="s">
        <v>372</v>
      </c>
      <c r="I36" s="7" t="s">
        <v>42</v>
      </c>
      <c r="J36" s="7" t="s">
        <v>449</v>
      </c>
      <c r="K36" s="7" t="s">
        <v>372</v>
      </c>
      <c r="L36" s="7" t="s">
        <v>389</v>
      </c>
      <c r="M36" s="8" t="s">
        <v>436</v>
      </c>
      <c r="N36" s="7" t="s">
        <v>437</v>
      </c>
      <c r="O36" s="10">
        <v>0</v>
      </c>
      <c r="P36" s="10">
        <v>-115.5</v>
      </c>
      <c r="Q36" s="10">
        <v>115.5</v>
      </c>
      <c r="S36" s="7" t="s">
        <v>450</v>
      </c>
      <c r="V36" s="10">
        <v>0</v>
      </c>
      <c r="W36" s="10">
        <v>2338844.99</v>
      </c>
    </row>
    <row r="37" spans="1:23">
      <c r="A37" s="6">
        <v>45869</v>
      </c>
      <c r="B37" s="7" t="s">
        <v>18</v>
      </c>
      <c r="C37" s="8" t="s">
        <v>448</v>
      </c>
      <c r="D37" s="7" t="s">
        <v>41</v>
      </c>
      <c r="E37" s="7" t="s">
        <v>406</v>
      </c>
      <c r="F37" s="7" t="s">
        <v>406</v>
      </c>
      <c r="G37" s="7"/>
      <c r="H37" s="7" t="s">
        <v>372</v>
      </c>
      <c r="I37" s="7" t="s">
        <v>42</v>
      </c>
      <c r="J37" s="7" t="s">
        <v>449</v>
      </c>
      <c r="K37" s="7" t="s">
        <v>372</v>
      </c>
      <c r="L37" s="7" t="s">
        <v>394</v>
      </c>
      <c r="M37" s="8">
        <v>6001.02</v>
      </c>
      <c r="N37" s="7" t="s">
        <v>395</v>
      </c>
      <c r="O37" s="10">
        <v>0</v>
      </c>
      <c r="P37" s="10">
        <v>-640</v>
      </c>
      <c r="Q37" s="10">
        <v>640</v>
      </c>
      <c r="T37" s="7" t="s">
        <v>42</v>
      </c>
      <c r="V37" s="10">
        <v>0</v>
      </c>
      <c r="W37" s="10">
        <v>2338844.99</v>
      </c>
    </row>
    <row r="38" spans="1:23">
      <c r="A38" s="6">
        <v>45869</v>
      </c>
      <c r="B38" s="7" t="s">
        <v>18</v>
      </c>
      <c r="C38" s="8" t="s">
        <v>451</v>
      </c>
      <c r="D38" s="7" t="s">
        <v>57</v>
      </c>
      <c r="E38" s="7" t="s">
        <v>452</v>
      </c>
      <c r="F38" s="7" t="s">
        <v>410</v>
      </c>
      <c r="G38" s="7"/>
      <c r="H38" s="7" t="s">
        <v>372</v>
      </c>
      <c r="I38" s="7" t="s">
        <v>42</v>
      </c>
      <c r="J38" s="7" t="s">
        <v>85</v>
      </c>
      <c r="K38" s="7" t="s">
        <v>372</v>
      </c>
      <c r="L38" s="7" t="s">
        <v>394</v>
      </c>
      <c r="M38" s="8">
        <v>6001.02</v>
      </c>
      <c r="N38" s="7" t="s">
        <v>395</v>
      </c>
      <c r="O38" s="10">
        <v>0</v>
      </c>
      <c r="P38" s="10">
        <v>6.8</v>
      </c>
      <c r="Q38" s="10">
        <v>-6.8</v>
      </c>
      <c r="U38" s="7" t="s">
        <v>329</v>
      </c>
      <c r="V38" s="10">
        <v>0</v>
      </c>
      <c r="W38" s="10">
        <v>283830.17</v>
      </c>
    </row>
    <row r="39" spans="1:23">
      <c r="A39" s="6">
        <v>45869</v>
      </c>
      <c r="B39" s="7" t="s">
        <v>18</v>
      </c>
      <c r="C39" s="8" t="s">
        <v>451</v>
      </c>
      <c r="D39" s="7" t="s">
        <v>57</v>
      </c>
      <c r="E39" s="7" t="s">
        <v>406</v>
      </c>
      <c r="F39" s="7" t="s">
        <v>406</v>
      </c>
      <c r="G39" s="7"/>
      <c r="H39" s="7" t="s">
        <v>372</v>
      </c>
      <c r="I39" s="7" t="s">
        <v>42</v>
      </c>
      <c r="J39" s="7" t="s">
        <v>85</v>
      </c>
      <c r="K39" s="7" t="s">
        <v>372</v>
      </c>
      <c r="L39" s="7" t="s">
        <v>394</v>
      </c>
      <c r="M39" s="8">
        <v>6001.02</v>
      </c>
      <c r="N39" s="7" t="s">
        <v>395</v>
      </c>
      <c r="O39" s="10">
        <v>0</v>
      </c>
      <c r="P39" s="10">
        <v>326.4</v>
      </c>
      <c r="Q39" s="10">
        <v>-326.4</v>
      </c>
      <c r="U39" s="7" t="s">
        <v>342</v>
      </c>
      <c r="V39" s="10">
        <v>0</v>
      </c>
      <c r="W39" s="10">
        <v>107.1</v>
      </c>
    </row>
    <row r="40" spans="1:23">
      <c r="A40" s="6">
        <v>45869</v>
      </c>
      <c r="B40" s="7" t="s">
        <v>18</v>
      </c>
      <c r="C40" s="8" t="s">
        <v>451</v>
      </c>
      <c r="D40" s="7" t="s">
        <v>57</v>
      </c>
      <c r="E40" s="7" t="s">
        <v>452</v>
      </c>
      <c r="F40" s="7" t="s">
        <v>410</v>
      </c>
      <c r="G40" s="7"/>
      <c r="H40" s="7" t="s">
        <v>372</v>
      </c>
      <c r="I40" s="7" t="s">
        <v>42</v>
      </c>
      <c r="J40" s="7" t="s">
        <v>253</v>
      </c>
      <c r="K40" s="7" t="s">
        <v>372</v>
      </c>
      <c r="L40" s="7" t="s">
        <v>394</v>
      </c>
      <c r="M40" s="8">
        <v>6001.02</v>
      </c>
      <c r="N40" s="7" t="s">
        <v>395</v>
      </c>
      <c r="O40" s="10">
        <v>0</v>
      </c>
      <c r="P40" s="10">
        <v>-6.8</v>
      </c>
      <c r="Q40" s="10">
        <v>6.8</v>
      </c>
      <c r="U40" s="7" t="s">
        <v>215</v>
      </c>
      <c r="V40" s="10">
        <v>0</v>
      </c>
      <c r="W40" s="10">
        <v>2054800.74</v>
      </c>
    </row>
    <row r="41" spans="1:23">
      <c r="A41" s="6">
        <v>45869</v>
      </c>
      <c r="B41" s="7" t="s">
        <v>18</v>
      </c>
      <c r="C41" s="8" t="s">
        <v>451</v>
      </c>
      <c r="D41" s="7" t="s">
        <v>57</v>
      </c>
      <c r="E41" s="7" t="s">
        <v>452</v>
      </c>
      <c r="F41" s="7" t="s">
        <v>410</v>
      </c>
      <c r="G41" s="7"/>
      <c r="H41" s="7" t="s">
        <v>372</v>
      </c>
      <c r="I41" s="7" t="s">
        <v>42</v>
      </c>
      <c r="J41" s="7" t="s">
        <v>85</v>
      </c>
      <c r="K41" s="7" t="s">
        <v>372</v>
      </c>
      <c r="L41" s="7" t="s">
        <v>394</v>
      </c>
      <c r="M41" s="8">
        <v>6001.02</v>
      </c>
      <c r="N41" s="7" t="s">
        <v>395</v>
      </c>
      <c r="O41" s="10">
        <v>0</v>
      </c>
      <c r="P41" s="10">
        <v>191.1</v>
      </c>
      <c r="Q41" s="10">
        <v>-191.1</v>
      </c>
      <c r="U41" s="7" t="s">
        <v>91</v>
      </c>
      <c r="V41" s="10">
        <v>0</v>
      </c>
      <c r="W41" s="10">
        <v>106.98</v>
      </c>
    </row>
    <row r="42" spans="1:23">
      <c r="A42" s="6">
        <v>45869</v>
      </c>
      <c r="B42" s="7" t="s">
        <v>18</v>
      </c>
      <c r="C42" s="8" t="s">
        <v>451</v>
      </c>
      <c r="D42" s="7" t="s">
        <v>57</v>
      </c>
      <c r="E42" s="7" t="s">
        <v>453</v>
      </c>
      <c r="F42" s="7" t="s">
        <v>432</v>
      </c>
      <c r="G42" s="7"/>
      <c r="H42" s="7" t="s">
        <v>372</v>
      </c>
      <c r="I42" s="7" t="s">
        <v>42</v>
      </c>
      <c r="J42" s="7" t="s">
        <v>85</v>
      </c>
      <c r="K42" s="7" t="s">
        <v>372</v>
      </c>
      <c r="L42" s="7" t="s">
        <v>394</v>
      </c>
      <c r="M42" s="8">
        <v>6001.02</v>
      </c>
      <c r="N42" s="7" t="s">
        <v>395</v>
      </c>
      <c r="O42" s="10">
        <v>0</v>
      </c>
      <c r="P42" s="10">
        <v>28640.3</v>
      </c>
      <c r="Q42" s="10">
        <v>-28640.3</v>
      </c>
      <c r="S42" s="7" t="s">
        <v>51</v>
      </c>
      <c r="V42" s="10">
        <v>2498076.03</v>
      </c>
      <c r="W42" s="10">
        <v>2519677.358544</v>
      </c>
    </row>
    <row r="43" spans="1:23">
      <c r="A43" s="6">
        <v>45869</v>
      </c>
      <c r="B43" s="7" t="s">
        <v>18</v>
      </c>
      <c r="C43" s="8" t="s">
        <v>451</v>
      </c>
      <c r="D43" s="7" t="s">
        <v>57</v>
      </c>
      <c r="E43" s="7" t="s">
        <v>453</v>
      </c>
      <c r="F43" s="7" t="s">
        <v>432</v>
      </c>
      <c r="G43" s="7"/>
      <c r="H43" s="7" t="s">
        <v>372</v>
      </c>
      <c r="I43" s="7" t="s">
        <v>42</v>
      </c>
      <c r="J43" s="7" t="s">
        <v>253</v>
      </c>
      <c r="K43" s="7" t="s">
        <v>372</v>
      </c>
      <c r="L43" s="7" t="s">
        <v>394</v>
      </c>
      <c r="M43" s="8">
        <v>6001.02</v>
      </c>
      <c r="N43" s="7" t="s">
        <v>395</v>
      </c>
      <c r="O43" s="10">
        <v>0</v>
      </c>
      <c r="P43" s="10">
        <v>-475.5</v>
      </c>
      <c r="Q43" s="10">
        <v>475.5</v>
      </c>
      <c r="T43" s="7" t="s">
        <v>42</v>
      </c>
      <c r="V43" s="10">
        <v>2496102.52</v>
      </c>
      <c r="W43" s="10">
        <v>2514316.148544</v>
      </c>
    </row>
    <row r="44" spans="1:23">
      <c r="A44" s="6">
        <v>45869</v>
      </c>
      <c r="B44" s="7" t="s">
        <v>18</v>
      </c>
      <c r="C44" s="8" t="s">
        <v>451</v>
      </c>
      <c r="D44" s="7" t="s">
        <v>57</v>
      </c>
      <c r="E44" s="7" t="s">
        <v>453</v>
      </c>
      <c r="F44" s="7" t="s">
        <v>432</v>
      </c>
      <c r="G44" s="7"/>
      <c r="H44" s="7" t="s">
        <v>372</v>
      </c>
      <c r="I44" s="7" t="s">
        <v>42</v>
      </c>
      <c r="J44" s="7" t="s">
        <v>85</v>
      </c>
      <c r="K44" s="7" t="s">
        <v>372</v>
      </c>
      <c r="L44" s="7" t="s">
        <v>394</v>
      </c>
      <c r="M44" s="8">
        <v>6001.02</v>
      </c>
      <c r="N44" s="7" t="s">
        <v>395</v>
      </c>
      <c r="O44" s="10">
        <v>0</v>
      </c>
      <c r="P44" s="10">
        <v>475.5</v>
      </c>
      <c r="Q44" s="10">
        <v>-475.5</v>
      </c>
      <c r="U44" s="7" t="s">
        <v>360</v>
      </c>
      <c r="V44" s="10">
        <v>2388212.49</v>
      </c>
      <c r="W44" s="10">
        <v>2405551.23041753</v>
      </c>
    </row>
    <row r="45" spans="1:23">
      <c r="A45" s="6">
        <v>45869</v>
      </c>
      <c r="B45" s="7" t="s">
        <v>18</v>
      </c>
      <c r="C45" s="8" t="s">
        <v>454</v>
      </c>
      <c r="D45" s="7" t="s">
        <v>57</v>
      </c>
      <c r="E45" s="7" t="s">
        <v>406</v>
      </c>
      <c r="F45" s="7" t="s">
        <v>406</v>
      </c>
      <c r="G45" s="7"/>
      <c r="H45" s="7" t="s">
        <v>372</v>
      </c>
      <c r="I45" s="7" t="s">
        <v>42</v>
      </c>
      <c r="J45" s="7" t="s">
        <v>101</v>
      </c>
      <c r="K45" s="7" t="s">
        <v>372</v>
      </c>
      <c r="L45" s="7" t="s">
        <v>394</v>
      </c>
      <c r="M45" s="8">
        <v>6001.02</v>
      </c>
      <c r="N45" s="7" t="s">
        <v>395</v>
      </c>
      <c r="O45" s="10">
        <v>0</v>
      </c>
      <c r="P45" s="10">
        <v>-4.5</v>
      </c>
      <c r="Q45" s="10">
        <v>4.5</v>
      </c>
      <c r="U45" s="7" t="s">
        <v>81</v>
      </c>
      <c r="V45" s="10">
        <v>8098.57</v>
      </c>
      <c r="W45" s="10">
        <v>8269.1</v>
      </c>
    </row>
    <row r="46" spans="1:23">
      <c r="A46" s="6">
        <v>45869</v>
      </c>
      <c r="B46" s="7" t="s">
        <v>18</v>
      </c>
      <c r="C46" s="8" t="s">
        <v>455</v>
      </c>
      <c r="D46" s="7" t="s">
        <v>43</v>
      </c>
      <c r="E46" s="7" t="s">
        <v>406</v>
      </c>
      <c r="F46" s="7" t="s">
        <v>406</v>
      </c>
      <c r="G46" s="7"/>
      <c r="H46" s="7" t="s">
        <v>372</v>
      </c>
      <c r="I46" s="7" t="s">
        <v>47</v>
      </c>
      <c r="J46" s="7" t="s">
        <v>190</v>
      </c>
      <c r="K46" s="7" t="s">
        <v>372</v>
      </c>
      <c r="L46" s="7" t="s">
        <v>389</v>
      </c>
      <c r="M46" s="8" t="s">
        <v>436</v>
      </c>
      <c r="N46" s="7" t="s">
        <v>437</v>
      </c>
      <c r="O46" s="10">
        <v>0</v>
      </c>
      <c r="P46" s="10">
        <v>-221.8</v>
      </c>
      <c r="Q46" s="10">
        <v>221.8</v>
      </c>
      <c r="U46" s="7" t="s">
        <v>257</v>
      </c>
      <c r="V46" s="10">
        <v>99791.46</v>
      </c>
      <c r="W46" s="10">
        <v>100495.818126465</v>
      </c>
    </row>
    <row r="47" spans="1:23">
      <c r="A47" s="6">
        <v>45869</v>
      </c>
      <c r="B47" s="7" t="s">
        <v>18</v>
      </c>
      <c r="C47" s="8" t="s">
        <v>456</v>
      </c>
      <c r="D47" s="7" t="s">
        <v>55</v>
      </c>
      <c r="E47" s="7" t="s">
        <v>406</v>
      </c>
      <c r="F47" s="7" t="s">
        <v>406</v>
      </c>
      <c r="G47" s="7"/>
      <c r="H47" s="7" t="s">
        <v>372</v>
      </c>
      <c r="I47" s="7" t="s">
        <v>47</v>
      </c>
      <c r="J47" s="7" t="s">
        <v>63</v>
      </c>
      <c r="K47" s="7" t="s">
        <v>372</v>
      </c>
      <c r="L47" s="7" t="s">
        <v>389</v>
      </c>
      <c r="M47" s="8" t="s">
        <v>436</v>
      </c>
      <c r="N47" s="7" t="s">
        <v>437</v>
      </c>
      <c r="O47" s="10">
        <v>0</v>
      </c>
      <c r="P47" s="10">
        <v>142.8</v>
      </c>
      <c r="Q47" s="10">
        <v>-142.8</v>
      </c>
      <c r="T47" s="7" t="s">
        <v>52</v>
      </c>
      <c r="V47" s="10">
        <v>5909.71</v>
      </c>
      <c r="W47" s="10">
        <v>4951.31</v>
      </c>
    </row>
    <row r="48" spans="1:23">
      <c r="A48" s="6">
        <v>45869</v>
      </c>
      <c r="B48" s="7" t="s">
        <v>18</v>
      </c>
      <c r="C48" s="8" t="s">
        <v>457</v>
      </c>
      <c r="D48" s="7" t="s">
        <v>43</v>
      </c>
      <c r="E48" s="7" t="s">
        <v>406</v>
      </c>
      <c r="F48" s="7" t="s">
        <v>406</v>
      </c>
      <c r="G48" s="7"/>
      <c r="H48" s="7" t="s">
        <v>372</v>
      </c>
      <c r="I48" s="7" t="s">
        <v>42</v>
      </c>
      <c r="J48" s="7" t="s">
        <v>101</v>
      </c>
      <c r="K48" s="7" t="s">
        <v>372</v>
      </c>
      <c r="L48" s="7" t="s">
        <v>394</v>
      </c>
      <c r="M48" s="8">
        <v>6001.02</v>
      </c>
      <c r="N48" s="7" t="s">
        <v>395</v>
      </c>
      <c r="O48" s="10">
        <v>0</v>
      </c>
      <c r="P48" s="10">
        <v>-201400.25</v>
      </c>
      <c r="Q48" s="10">
        <v>201400.25</v>
      </c>
      <c r="U48" s="7" t="s">
        <v>257</v>
      </c>
      <c r="V48" s="10">
        <v>-0.26</v>
      </c>
      <c r="W48" s="10">
        <v>0</v>
      </c>
    </row>
    <row r="49" spans="1:23">
      <c r="A49" s="6">
        <v>45869</v>
      </c>
      <c r="B49" s="7" t="s">
        <v>18</v>
      </c>
      <c r="C49" s="8" t="s">
        <v>411</v>
      </c>
      <c r="D49" s="7" t="s">
        <v>51</v>
      </c>
      <c r="E49" s="7" t="s">
        <v>406</v>
      </c>
      <c r="F49" s="7" t="s">
        <v>406</v>
      </c>
      <c r="G49" s="7" t="s">
        <v>100</v>
      </c>
      <c r="H49" s="7" t="s">
        <v>372</v>
      </c>
      <c r="I49" s="7" t="s">
        <v>42</v>
      </c>
      <c r="J49" s="7" t="s">
        <v>360</v>
      </c>
      <c r="K49" s="7" t="s">
        <v>372</v>
      </c>
      <c r="L49" s="7" t="s">
        <v>389</v>
      </c>
      <c r="M49" s="8" t="s">
        <v>436</v>
      </c>
      <c r="N49" s="7" t="s">
        <v>437</v>
      </c>
      <c r="O49" s="10">
        <v>34426.45</v>
      </c>
      <c r="P49" s="10">
        <v>35151.37</v>
      </c>
      <c r="Q49" s="10">
        <v>-724.920000000006</v>
      </c>
      <c r="U49" s="7" t="s">
        <v>261</v>
      </c>
      <c r="V49" s="10">
        <v>5909.97</v>
      </c>
      <c r="W49" s="10">
        <v>4951.31</v>
      </c>
    </row>
    <row r="50" spans="1:23">
      <c r="A50" s="6">
        <v>45869</v>
      </c>
      <c r="B50" s="7" t="s">
        <v>18</v>
      </c>
      <c r="C50" s="8" t="s">
        <v>411</v>
      </c>
      <c r="D50" s="7" t="s">
        <v>51</v>
      </c>
      <c r="E50" s="7" t="s">
        <v>406</v>
      </c>
      <c r="F50" s="7" t="s">
        <v>406</v>
      </c>
      <c r="G50" s="7" t="s">
        <v>100</v>
      </c>
      <c r="H50" s="7" t="s">
        <v>372</v>
      </c>
      <c r="I50" s="7" t="s">
        <v>42</v>
      </c>
      <c r="J50" s="7" t="s">
        <v>81</v>
      </c>
      <c r="K50" s="7" t="s">
        <v>372</v>
      </c>
      <c r="L50" s="7" t="s">
        <v>389</v>
      </c>
      <c r="M50" s="8" t="s">
        <v>436</v>
      </c>
      <c r="N50" s="7" t="s">
        <v>437</v>
      </c>
      <c r="O50" s="10">
        <v>8098.57</v>
      </c>
      <c r="P50" s="10">
        <v>8269.1</v>
      </c>
      <c r="Q50" s="10">
        <v>-170.530000000001</v>
      </c>
      <c r="T50" s="7" t="s">
        <v>47</v>
      </c>
      <c r="V50" s="10">
        <v>-3936.2</v>
      </c>
      <c r="W50" s="10">
        <v>409.9</v>
      </c>
    </row>
    <row r="51" spans="1:23">
      <c r="A51" s="6">
        <v>45869</v>
      </c>
      <c r="B51" s="7" t="s">
        <v>18</v>
      </c>
      <c r="C51" s="8" t="s">
        <v>458</v>
      </c>
      <c r="D51" s="7" t="s">
        <v>43</v>
      </c>
      <c r="E51" s="7" t="s">
        <v>406</v>
      </c>
      <c r="F51" s="7" t="s">
        <v>406</v>
      </c>
      <c r="G51" s="7"/>
      <c r="H51" s="7" t="s">
        <v>372</v>
      </c>
      <c r="I51" s="7" t="s">
        <v>47</v>
      </c>
      <c r="J51" s="7" t="s">
        <v>80</v>
      </c>
      <c r="K51" s="7" t="s">
        <v>372</v>
      </c>
      <c r="L51" s="7" t="s">
        <v>389</v>
      </c>
      <c r="M51" s="8" t="s">
        <v>436</v>
      </c>
      <c r="N51" s="7" t="s">
        <v>437</v>
      </c>
      <c r="O51" s="10">
        <v>0</v>
      </c>
      <c r="P51" s="10">
        <v>105214.6</v>
      </c>
      <c r="Q51" s="10">
        <v>-105214.6</v>
      </c>
      <c r="U51" s="7" t="s">
        <v>125</v>
      </c>
      <c r="V51" s="10">
        <v>0</v>
      </c>
      <c r="W51" s="10">
        <v>409.9</v>
      </c>
    </row>
    <row r="52" spans="1:23">
      <c r="A52" s="6">
        <v>45869</v>
      </c>
      <c r="B52" s="7" t="s">
        <v>18</v>
      </c>
      <c r="C52" s="8" t="s">
        <v>459</v>
      </c>
      <c r="D52" s="7" t="s">
        <v>43</v>
      </c>
      <c r="E52" s="7" t="s">
        <v>406</v>
      </c>
      <c r="F52" s="7" t="s">
        <v>406</v>
      </c>
      <c r="G52" s="7"/>
      <c r="H52" s="7" t="s">
        <v>372</v>
      </c>
      <c r="I52" s="7" t="s">
        <v>47</v>
      </c>
      <c r="J52" s="7" t="s">
        <v>355</v>
      </c>
      <c r="K52" s="7" t="s">
        <v>372</v>
      </c>
      <c r="L52" s="7" t="s">
        <v>389</v>
      </c>
      <c r="M52" s="8" t="s">
        <v>436</v>
      </c>
      <c r="N52" s="7" t="s">
        <v>437</v>
      </c>
      <c r="O52" s="10">
        <v>0</v>
      </c>
      <c r="P52" s="10">
        <v>5652.5</v>
      </c>
      <c r="Q52" s="10">
        <v>-5652.5</v>
      </c>
      <c r="U52" s="7" t="s">
        <v>296</v>
      </c>
      <c r="V52" s="10">
        <v>-3936.2</v>
      </c>
      <c r="W52" s="10">
        <v>0</v>
      </c>
    </row>
    <row r="53" spans="1:23">
      <c r="A53" s="6">
        <v>45869</v>
      </c>
      <c r="B53" s="7" t="s">
        <v>18</v>
      </c>
      <c r="C53" s="8" t="s">
        <v>460</v>
      </c>
      <c r="D53" s="7" t="s">
        <v>43</v>
      </c>
      <c r="E53" s="7" t="s">
        <v>406</v>
      </c>
      <c r="F53" s="7" t="s">
        <v>406</v>
      </c>
      <c r="G53" s="7"/>
      <c r="H53" s="7" t="s">
        <v>372</v>
      </c>
      <c r="I53" s="7" t="s">
        <v>47</v>
      </c>
      <c r="J53" s="7" t="s">
        <v>134</v>
      </c>
      <c r="K53" s="7" t="s">
        <v>372</v>
      </c>
      <c r="L53" s="7" t="s">
        <v>389</v>
      </c>
      <c r="M53" s="8" t="s">
        <v>436</v>
      </c>
      <c r="N53" s="7" t="s">
        <v>437</v>
      </c>
      <c r="O53" s="10">
        <v>0</v>
      </c>
      <c r="P53" s="10">
        <v>252.41</v>
      </c>
      <c r="Q53" s="10">
        <v>-252.41</v>
      </c>
      <c r="S53" s="7" t="s">
        <v>322</v>
      </c>
      <c r="V53" s="10">
        <v>189809.15</v>
      </c>
      <c r="W53" s="10">
        <v>189115.54</v>
      </c>
    </row>
    <row r="54" spans="1:23">
      <c r="A54" s="6">
        <v>45869</v>
      </c>
      <c r="B54" s="7" t="s">
        <v>18</v>
      </c>
      <c r="C54" s="8" t="s">
        <v>461</v>
      </c>
      <c r="D54" s="7" t="s">
        <v>46</v>
      </c>
      <c r="E54" s="7" t="s">
        <v>462</v>
      </c>
      <c r="F54" s="7" t="s">
        <v>419</v>
      </c>
      <c r="G54" s="7" t="s">
        <v>426</v>
      </c>
      <c r="H54" s="7" t="s">
        <v>372</v>
      </c>
      <c r="I54" s="7" t="s">
        <v>47</v>
      </c>
      <c r="J54" s="7" t="s">
        <v>294</v>
      </c>
      <c r="K54" s="7" t="s">
        <v>372</v>
      </c>
      <c r="L54" s="7" t="s">
        <v>394</v>
      </c>
      <c r="M54" s="8">
        <v>6001.02</v>
      </c>
      <c r="N54" s="7" t="s">
        <v>395</v>
      </c>
      <c r="O54" s="10">
        <v>2768.56</v>
      </c>
      <c r="P54" s="10">
        <v>0</v>
      </c>
      <c r="Q54" s="10">
        <v>2768.56</v>
      </c>
      <c r="T54" s="7" t="s">
        <v>42</v>
      </c>
      <c r="V54" s="10">
        <v>189809.15</v>
      </c>
      <c r="W54" s="10">
        <v>189115.54</v>
      </c>
    </row>
    <row r="55" spans="1:23">
      <c r="A55" s="6">
        <v>45869</v>
      </c>
      <c r="B55" s="7" t="s">
        <v>18</v>
      </c>
      <c r="C55" s="8" t="s">
        <v>463</v>
      </c>
      <c r="D55" s="7" t="s">
        <v>49</v>
      </c>
      <c r="E55" s="7" t="s">
        <v>406</v>
      </c>
      <c r="F55" s="7" t="s">
        <v>406</v>
      </c>
      <c r="G55" s="7" t="s">
        <v>43</v>
      </c>
      <c r="H55" s="7" t="s">
        <v>407</v>
      </c>
      <c r="I55" s="7" t="s">
        <v>42</v>
      </c>
      <c r="J55" s="7" t="s">
        <v>358</v>
      </c>
      <c r="K55" s="7" t="s">
        <v>372</v>
      </c>
      <c r="L55" s="7" t="s">
        <v>389</v>
      </c>
      <c r="M55" s="8" t="s">
        <v>390</v>
      </c>
      <c r="N55" s="7" t="s">
        <v>391</v>
      </c>
      <c r="O55" s="10">
        <v>51549.2</v>
      </c>
      <c r="P55" s="10">
        <v>48631.32</v>
      </c>
      <c r="Q55" s="10">
        <v>2917.88</v>
      </c>
      <c r="U55" s="7" t="s">
        <v>51</v>
      </c>
      <c r="V55" s="10">
        <v>189115.54</v>
      </c>
      <c r="W55" s="10">
        <v>189115.54</v>
      </c>
    </row>
    <row r="56" spans="1:23">
      <c r="A56" s="6">
        <v>45869</v>
      </c>
      <c r="B56" s="7" t="s">
        <v>18</v>
      </c>
      <c r="C56" s="8" t="s">
        <v>463</v>
      </c>
      <c r="D56" s="7" t="s">
        <v>43</v>
      </c>
      <c r="E56" s="7" t="s">
        <v>406</v>
      </c>
      <c r="F56" s="7" t="s">
        <v>406</v>
      </c>
      <c r="G56" s="7" t="s">
        <v>358</v>
      </c>
      <c r="H56" s="7" t="s">
        <v>372</v>
      </c>
      <c r="I56" s="7" t="s">
        <v>42</v>
      </c>
      <c r="J56" s="7" t="s">
        <v>49</v>
      </c>
      <c r="K56" s="7" t="s">
        <v>407</v>
      </c>
      <c r="L56" s="7" t="s">
        <v>389</v>
      </c>
      <c r="M56" s="8" t="s">
        <v>390</v>
      </c>
      <c r="N56" s="7" t="s">
        <v>391</v>
      </c>
      <c r="O56" s="10">
        <v>52064.69</v>
      </c>
      <c r="P56" s="10">
        <v>51549.2</v>
      </c>
      <c r="Q56" s="10">
        <v>515.490000000005</v>
      </c>
      <c r="U56" s="7" t="s">
        <v>429</v>
      </c>
      <c r="V56" s="10">
        <v>693.61</v>
      </c>
      <c r="W56" s="10">
        <v>0</v>
      </c>
    </row>
    <row r="57" spans="1:23">
      <c r="A57" s="6">
        <v>45869</v>
      </c>
      <c r="B57" s="7" t="s">
        <v>18</v>
      </c>
      <c r="C57" s="8" t="s">
        <v>464</v>
      </c>
      <c r="D57" s="7" t="s">
        <v>43</v>
      </c>
      <c r="E57" s="7" t="s">
        <v>406</v>
      </c>
      <c r="F57" s="7" t="s">
        <v>406</v>
      </c>
      <c r="G57" s="7" t="s">
        <v>358</v>
      </c>
      <c r="H57" s="7" t="s">
        <v>372</v>
      </c>
      <c r="I57" s="7" t="s">
        <v>42</v>
      </c>
      <c r="J57" s="7" t="s">
        <v>49</v>
      </c>
      <c r="K57" s="7" t="s">
        <v>407</v>
      </c>
      <c r="L57" s="7" t="s">
        <v>389</v>
      </c>
      <c r="M57" s="8" t="s">
        <v>390</v>
      </c>
      <c r="N57" s="7" t="s">
        <v>391</v>
      </c>
      <c r="O57" s="10">
        <v>50492.48</v>
      </c>
      <c r="P57" s="10">
        <v>49992.56</v>
      </c>
      <c r="Q57" s="10">
        <v>499.920000000006</v>
      </c>
      <c r="S57" s="7" t="s">
        <v>41</v>
      </c>
      <c r="V57" s="10">
        <v>329521.22</v>
      </c>
      <c r="W57" s="10">
        <v>-35805.83</v>
      </c>
    </row>
    <row r="58" spans="1:23">
      <c r="A58" s="6">
        <v>45869</v>
      </c>
      <c r="B58" s="7" t="s">
        <v>18</v>
      </c>
      <c r="C58" s="8" t="s">
        <v>464</v>
      </c>
      <c r="D58" s="7" t="s">
        <v>49</v>
      </c>
      <c r="E58" s="7" t="s">
        <v>406</v>
      </c>
      <c r="F58" s="7" t="s">
        <v>406</v>
      </c>
      <c r="G58" s="7" t="s">
        <v>43</v>
      </c>
      <c r="H58" s="7" t="s">
        <v>407</v>
      </c>
      <c r="I58" s="7" t="s">
        <v>42</v>
      </c>
      <c r="J58" s="7" t="s">
        <v>358</v>
      </c>
      <c r="K58" s="7" t="s">
        <v>372</v>
      </c>
      <c r="L58" s="7" t="s">
        <v>389</v>
      </c>
      <c r="M58" s="8" t="s">
        <v>390</v>
      </c>
      <c r="N58" s="7" t="s">
        <v>391</v>
      </c>
      <c r="O58" s="10">
        <v>49992.56</v>
      </c>
      <c r="P58" s="10">
        <v>47162.79</v>
      </c>
      <c r="Q58" s="10">
        <v>2829.77</v>
      </c>
      <c r="T58" s="7" t="s">
        <v>42</v>
      </c>
      <c r="V58" s="10">
        <v>1981.71</v>
      </c>
      <c r="W58" s="10">
        <v>-35805.83</v>
      </c>
    </row>
    <row r="59" spans="1:23">
      <c r="A59" s="6">
        <v>45869</v>
      </c>
      <c r="B59" s="7" t="s">
        <v>18</v>
      </c>
      <c r="C59" s="8" t="s">
        <v>465</v>
      </c>
      <c r="D59" s="7" t="s">
        <v>43</v>
      </c>
      <c r="E59" s="7" t="s">
        <v>406</v>
      </c>
      <c r="F59" s="7" t="s">
        <v>406</v>
      </c>
      <c r="G59" s="7" t="s">
        <v>466</v>
      </c>
      <c r="H59" s="7" t="s">
        <v>372</v>
      </c>
      <c r="I59" s="7" t="s">
        <v>47</v>
      </c>
      <c r="J59" s="7"/>
      <c r="K59" s="7" t="s">
        <v>372</v>
      </c>
      <c r="L59" s="7" t="s">
        <v>389</v>
      </c>
      <c r="M59" s="8" t="s">
        <v>390</v>
      </c>
      <c r="N59" s="7" t="s">
        <v>391</v>
      </c>
      <c r="O59" s="10">
        <v>3287.06</v>
      </c>
      <c r="P59" s="10">
        <v>0</v>
      </c>
      <c r="Q59" s="10">
        <v>3287.06</v>
      </c>
      <c r="U59" s="7" t="s">
        <v>85</v>
      </c>
      <c r="V59" s="10">
        <v>1981.71</v>
      </c>
      <c r="W59" s="10">
        <v>0</v>
      </c>
    </row>
    <row r="60" spans="1:23">
      <c r="A60" s="6">
        <v>45869</v>
      </c>
      <c r="B60" s="7" t="s">
        <v>18</v>
      </c>
      <c r="C60" s="8" t="s">
        <v>467</v>
      </c>
      <c r="D60" s="7" t="s">
        <v>43</v>
      </c>
      <c r="E60" s="7" t="s">
        <v>468</v>
      </c>
      <c r="F60" s="7" t="s">
        <v>399</v>
      </c>
      <c r="G60" s="7" t="s">
        <v>469</v>
      </c>
      <c r="H60" s="7" t="s">
        <v>372</v>
      </c>
      <c r="I60" s="7" t="s">
        <v>42</v>
      </c>
      <c r="J60" s="7" t="s">
        <v>173</v>
      </c>
      <c r="K60" s="7" t="s">
        <v>372</v>
      </c>
      <c r="L60" s="7" t="s">
        <v>389</v>
      </c>
      <c r="M60" s="8" t="s">
        <v>390</v>
      </c>
      <c r="N60" s="7" t="s">
        <v>391</v>
      </c>
      <c r="O60" s="10">
        <v>240</v>
      </c>
      <c r="P60" s="10">
        <v>0</v>
      </c>
      <c r="Q60" s="10">
        <v>240</v>
      </c>
      <c r="U60" s="7" t="s">
        <v>449</v>
      </c>
      <c r="V60" s="10">
        <v>0</v>
      </c>
      <c r="W60" s="10">
        <v>-755.5</v>
      </c>
    </row>
    <row r="61" spans="1:23">
      <c r="A61" s="14">
        <v>45869</v>
      </c>
      <c r="B61" s="15" t="s">
        <v>18</v>
      </c>
      <c r="C61" s="16" t="s">
        <v>470</v>
      </c>
      <c r="D61" s="15" t="s">
        <v>43</v>
      </c>
      <c r="E61" s="15" t="s">
        <v>471</v>
      </c>
      <c r="F61" s="15" t="s">
        <v>399</v>
      </c>
      <c r="G61" s="15" t="s">
        <v>472</v>
      </c>
      <c r="H61" s="15" t="s">
        <v>372</v>
      </c>
      <c r="I61" s="15" t="s">
        <v>42</v>
      </c>
      <c r="J61" s="15"/>
      <c r="K61" s="15" t="s">
        <v>372</v>
      </c>
      <c r="L61" s="15" t="s">
        <v>389</v>
      </c>
      <c r="M61" s="16" t="s">
        <v>390</v>
      </c>
      <c r="N61" s="15" t="s">
        <v>391</v>
      </c>
      <c r="O61" s="17">
        <v>31379.47</v>
      </c>
      <c r="P61" s="17">
        <v>0</v>
      </c>
      <c r="Q61" s="10">
        <v>31379.47</v>
      </c>
      <c r="U61" s="7" t="s">
        <v>272</v>
      </c>
      <c r="V61" s="10">
        <v>0</v>
      </c>
      <c r="W61" s="10">
        <v>-35050.33</v>
      </c>
    </row>
    <row r="62" spans="1:23">
      <c r="A62" s="6">
        <v>45869</v>
      </c>
      <c r="B62" s="7" t="s">
        <v>18</v>
      </c>
      <c r="C62" s="8" t="s">
        <v>473</v>
      </c>
      <c r="D62" s="7" t="s">
        <v>54</v>
      </c>
      <c r="E62" s="7" t="s">
        <v>406</v>
      </c>
      <c r="F62" s="7" t="s">
        <v>406</v>
      </c>
      <c r="G62" s="7" t="s">
        <v>474</v>
      </c>
      <c r="H62" s="7" t="s">
        <v>372</v>
      </c>
      <c r="I62" s="7" t="s">
        <v>47</v>
      </c>
      <c r="J62" s="7"/>
      <c r="K62" s="7" t="s">
        <v>372</v>
      </c>
      <c r="L62" s="7" t="s">
        <v>389</v>
      </c>
      <c r="M62" s="8" t="s">
        <v>390</v>
      </c>
      <c r="N62" s="7" t="s">
        <v>391</v>
      </c>
      <c r="O62" s="10">
        <v>5353.6</v>
      </c>
      <c r="P62" s="10">
        <v>0</v>
      </c>
      <c r="Q62" s="10">
        <v>5353.6</v>
      </c>
      <c r="T62" s="7" t="s">
        <v>47</v>
      </c>
      <c r="V62" s="10">
        <v>327539.51</v>
      </c>
      <c r="W62" s="10">
        <v>0</v>
      </c>
    </row>
    <row r="63" spans="1:23">
      <c r="A63" s="6">
        <v>45869</v>
      </c>
      <c r="B63" s="7" t="s">
        <v>18</v>
      </c>
      <c r="C63" s="8" t="s">
        <v>475</v>
      </c>
      <c r="D63" s="7" t="s">
        <v>41</v>
      </c>
      <c r="E63" s="7" t="s">
        <v>476</v>
      </c>
      <c r="F63" s="7" t="s">
        <v>393</v>
      </c>
      <c r="G63" s="7" t="s">
        <v>215</v>
      </c>
      <c r="H63" s="7" t="s">
        <v>372</v>
      </c>
      <c r="I63" s="7" t="s">
        <v>47</v>
      </c>
      <c r="J63" s="7"/>
      <c r="K63" s="7" t="s">
        <v>372</v>
      </c>
      <c r="L63" s="7" t="s">
        <v>389</v>
      </c>
      <c r="M63" s="8" t="s">
        <v>390</v>
      </c>
      <c r="N63" s="7" t="s">
        <v>391</v>
      </c>
      <c r="O63" s="10">
        <v>-1910</v>
      </c>
      <c r="P63" s="10">
        <v>0</v>
      </c>
      <c r="Q63" s="10">
        <v>-1910</v>
      </c>
      <c r="U63" s="7" t="s">
        <v>296</v>
      </c>
      <c r="V63" s="10">
        <v>329449.51</v>
      </c>
      <c r="W63" s="10">
        <v>0</v>
      </c>
    </row>
    <row r="64" spans="1:23">
      <c r="A64" s="6">
        <v>45869</v>
      </c>
      <c r="B64" s="7" t="s">
        <v>18</v>
      </c>
      <c r="C64" s="8" t="s">
        <v>477</v>
      </c>
      <c r="D64" s="7" t="s">
        <v>43</v>
      </c>
      <c r="E64" s="7" t="s">
        <v>406</v>
      </c>
      <c r="F64" s="7" t="s">
        <v>406</v>
      </c>
      <c r="G64" s="7"/>
      <c r="H64" s="7" t="s">
        <v>372</v>
      </c>
      <c r="I64" s="7" t="s">
        <v>47</v>
      </c>
      <c r="J64" s="7" t="s">
        <v>125</v>
      </c>
      <c r="K64" s="7" t="s">
        <v>372</v>
      </c>
      <c r="L64" s="7" t="s">
        <v>389</v>
      </c>
      <c r="M64" s="8" t="s">
        <v>436</v>
      </c>
      <c r="N64" s="7" t="s">
        <v>437</v>
      </c>
      <c r="O64" s="10">
        <v>0</v>
      </c>
      <c r="P64" s="10">
        <v>13239.58</v>
      </c>
      <c r="Q64" s="10">
        <v>-13239.58</v>
      </c>
      <c r="U64" s="7" t="s">
        <v>429</v>
      </c>
      <c r="V64" s="10">
        <v>-1910</v>
      </c>
      <c r="W64" s="10">
        <v>0</v>
      </c>
    </row>
    <row r="65" spans="1:23">
      <c r="A65" s="6">
        <v>45869</v>
      </c>
      <c r="B65" s="7" t="s">
        <v>18</v>
      </c>
      <c r="C65" s="8" t="s">
        <v>478</v>
      </c>
      <c r="D65" s="7" t="s">
        <v>51</v>
      </c>
      <c r="E65" s="7" t="s">
        <v>406</v>
      </c>
      <c r="F65" s="7" t="s">
        <v>406</v>
      </c>
      <c r="G65" s="7"/>
      <c r="H65" s="7" t="s">
        <v>372</v>
      </c>
      <c r="I65" s="7" t="s">
        <v>47</v>
      </c>
      <c r="J65" s="7" t="s">
        <v>125</v>
      </c>
      <c r="K65" s="7" t="s">
        <v>372</v>
      </c>
      <c r="L65" s="7" t="s">
        <v>389</v>
      </c>
      <c r="M65" s="8" t="s">
        <v>436</v>
      </c>
      <c r="N65" s="7" t="s">
        <v>437</v>
      </c>
      <c r="O65" s="10">
        <v>0</v>
      </c>
      <c r="P65" s="10">
        <v>409.9</v>
      </c>
      <c r="Q65" s="10">
        <v>-409.9</v>
      </c>
      <c r="S65" s="7" t="s">
        <v>55</v>
      </c>
      <c r="V65" s="10">
        <v>-2489.52</v>
      </c>
      <c r="W65" s="10">
        <v>142.8</v>
      </c>
    </row>
    <row r="66" spans="1:23">
      <c r="A66" s="6">
        <v>45869</v>
      </c>
      <c r="B66" s="7" t="s">
        <v>18</v>
      </c>
      <c r="C66" s="8" t="s">
        <v>479</v>
      </c>
      <c r="D66" s="7" t="s">
        <v>64</v>
      </c>
      <c r="E66" s="7" t="s">
        <v>406</v>
      </c>
      <c r="F66" s="7" t="s">
        <v>406</v>
      </c>
      <c r="G66" s="7"/>
      <c r="H66" s="7" t="s">
        <v>372</v>
      </c>
      <c r="I66" s="7" t="s">
        <v>47</v>
      </c>
      <c r="J66" s="7" t="s">
        <v>296</v>
      </c>
      <c r="K66" s="7" t="s">
        <v>372</v>
      </c>
      <c r="L66" s="7" t="s">
        <v>389</v>
      </c>
      <c r="M66" s="8" t="s">
        <v>436</v>
      </c>
      <c r="N66" s="7" t="s">
        <v>437</v>
      </c>
      <c r="O66" s="10">
        <v>0</v>
      </c>
      <c r="P66" s="10">
        <v>793.69</v>
      </c>
      <c r="Q66" s="10">
        <v>-793.69</v>
      </c>
      <c r="T66" s="7" t="s">
        <v>47</v>
      </c>
      <c r="V66" s="10">
        <v>-2489.52</v>
      </c>
      <c r="W66" s="10">
        <v>142.8</v>
      </c>
    </row>
    <row r="67" spans="1:23">
      <c r="A67" s="6">
        <v>45869</v>
      </c>
      <c r="B67" s="7" t="s">
        <v>18</v>
      </c>
      <c r="C67" s="8" t="s">
        <v>463</v>
      </c>
      <c r="D67" s="7" t="s">
        <v>49</v>
      </c>
      <c r="E67" s="7" t="s">
        <v>406</v>
      </c>
      <c r="F67" s="7" t="s">
        <v>406</v>
      </c>
      <c r="G67" s="7"/>
      <c r="H67" s="7" t="s">
        <v>372</v>
      </c>
      <c r="I67" s="7" t="s">
        <v>42</v>
      </c>
      <c r="J67" s="7" t="s">
        <v>358</v>
      </c>
      <c r="K67" s="7" t="s">
        <v>372</v>
      </c>
      <c r="L67" s="7" t="s">
        <v>389</v>
      </c>
      <c r="M67" s="8" t="s">
        <v>436</v>
      </c>
      <c r="N67" s="7" t="s">
        <v>437</v>
      </c>
      <c r="O67" s="10">
        <v>0</v>
      </c>
      <c r="P67" s="10">
        <v>2752.72</v>
      </c>
      <c r="Q67" s="10">
        <v>-2752.72</v>
      </c>
      <c r="U67" s="7" t="s">
        <v>63</v>
      </c>
      <c r="V67" s="10">
        <v>0</v>
      </c>
      <c r="W67" s="10">
        <v>142.8</v>
      </c>
    </row>
    <row r="68" spans="1:23">
      <c r="A68" s="6">
        <v>45869</v>
      </c>
      <c r="B68" s="7" t="s">
        <v>18</v>
      </c>
      <c r="C68" s="8" t="s">
        <v>480</v>
      </c>
      <c r="D68" s="7" t="s">
        <v>41</v>
      </c>
      <c r="E68" s="7" t="s">
        <v>406</v>
      </c>
      <c r="F68" s="7" t="s">
        <v>406</v>
      </c>
      <c r="G68" s="7"/>
      <c r="H68" s="7" t="s">
        <v>372</v>
      </c>
      <c r="I68" s="7" t="s">
        <v>42</v>
      </c>
      <c r="J68" s="7" t="s">
        <v>272</v>
      </c>
      <c r="K68" s="7" t="s">
        <v>372</v>
      </c>
      <c r="L68" s="7" t="s">
        <v>389</v>
      </c>
      <c r="M68" s="8" t="s">
        <v>436</v>
      </c>
      <c r="N68" s="7" t="s">
        <v>437</v>
      </c>
      <c r="O68" s="10">
        <v>0</v>
      </c>
      <c r="P68" s="10">
        <v>-35050.33</v>
      </c>
      <c r="Q68" s="10">
        <v>35050.33</v>
      </c>
      <c r="U68" s="7" t="s">
        <v>59</v>
      </c>
      <c r="V68" s="10">
        <v>-2489.52</v>
      </c>
      <c r="W68" s="10">
        <v>0</v>
      </c>
    </row>
    <row r="69" spans="1:23">
      <c r="A69" s="6">
        <v>45869</v>
      </c>
      <c r="B69" s="7" t="s">
        <v>18</v>
      </c>
      <c r="C69" s="8" t="s">
        <v>480</v>
      </c>
      <c r="D69" s="7" t="s">
        <v>43</v>
      </c>
      <c r="E69" s="7" t="s">
        <v>406</v>
      </c>
      <c r="F69" s="7" t="s">
        <v>406</v>
      </c>
      <c r="G69" s="7"/>
      <c r="H69" s="7" t="s">
        <v>372</v>
      </c>
      <c r="I69" s="7" t="s">
        <v>42</v>
      </c>
      <c r="J69" s="7" t="s">
        <v>272</v>
      </c>
      <c r="K69" s="7" t="s">
        <v>372</v>
      </c>
      <c r="L69" s="7" t="s">
        <v>389</v>
      </c>
      <c r="M69" s="8" t="s">
        <v>436</v>
      </c>
      <c r="N69" s="7" t="s">
        <v>437</v>
      </c>
      <c r="O69" s="10">
        <v>0</v>
      </c>
      <c r="P69" s="10">
        <v>-1626465.33</v>
      </c>
      <c r="Q69" s="10">
        <v>1626465.33</v>
      </c>
      <c r="S69" s="7" t="s">
        <v>46</v>
      </c>
      <c r="V69" s="10">
        <v>2768.56</v>
      </c>
      <c r="W69" s="10">
        <v>0</v>
      </c>
    </row>
    <row r="70" spans="1:23">
      <c r="A70" s="6">
        <v>45869</v>
      </c>
      <c r="B70" s="7" t="s">
        <v>18</v>
      </c>
      <c r="C70" s="8" t="s">
        <v>464</v>
      </c>
      <c r="D70" s="7" t="s">
        <v>49</v>
      </c>
      <c r="E70" s="7" t="s">
        <v>406</v>
      </c>
      <c r="F70" s="7" t="s">
        <v>406</v>
      </c>
      <c r="G70" s="7"/>
      <c r="H70" s="7" t="s">
        <v>372</v>
      </c>
      <c r="I70" s="7" t="s">
        <v>42</v>
      </c>
      <c r="J70" s="7" t="s">
        <v>358</v>
      </c>
      <c r="K70" s="7" t="s">
        <v>372</v>
      </c>
      <c r="L70" s="7" t="s">
        <v>389</v>
      </c>
      <c r="M70" s="8" t="s">
        <v>436</v>
      </c>
      <c r="N70" s="7" t="s">
        <v>437</v>
      </c>
      <c r="O70" s="10">
        <v>0</v>
      </c>
      <c r="P70" s="10">
        <v>2669.59</v>
      </c>
      <c r="Q70" s="10">
        <v>-2669.59</v>
      </c>
      <c r="T70" s="7" t="s">
        <v>47</v>
      </c>
      <c r="V70" s="10">
        <v>2768.56</v>
      </c>
      <c r="W70" s="10">
        <v>0</v>
      </c>
    </row>
    <row r="71" spans="1:23">
      <c r="A71" s="6">
        <v>45869</v>
      </c>
      <c r="B71" s="7" t="s">
        <v>18</v>
      </c>
      <c r="C71" s="8" t="s">
        <v>481</v>
      </c>
      <c r="D71" s="7" t="s">
        <v>43</v>
      </c>
      <c r="E71" s="7" t="s">
        <v>406</v>
      </c>
      <c r="F71" s="7" t="s">
        <v>406</v>
      </c>
      <c r="G71" s="7"/>
      <c r="H71" s="7" t="s">
        <v>372</v>
      </c>
      <c r="I71" s="7" t="s">
        <v>42</v>
      </c>
      <c r="J71" s="7" t="s">
        <v>147</v>
      </c>
      <c r="K71" s="7" t="s">
        <v>372</v>
      </c>
      <c r="L71" s="7" t="s">
        <v>389</v>
      </c>
      <c r="M71" s="8" t="s">
        <v>436</v>
      </c>
      <c r="N71" s="7" t="s">
        <v>437</v>
      </c>
      <c r="O71" s="10">
        <v>0</v>
      </c>
      <c r="P71" s="10">
        <v>30987</v>
      </c>
      <c r="Q71" s="10">
        <v>-30987</v>
      </c>
      <c r="U71" s="7" t="s">
        <v>294</v>
      </c>
      <c r="V71" s="10">
        <v>2768.56</v>
      </c>
      <c r="W71" s="10">
        <v>0</v>
      </c>
    </row>
    <row r="72" spans="1:23">
      <c r="A72" s="6">
        <v>45869</v>
      </c>
      <c r="B72" s="7" t="s">
        <v>18</v>
      </c>
      <c r="C72" s="8" t="s">
        <v>482</v>
      </c>
      <c r="D72" s="7" t="s">
        <v>43</v>
      </c>
      <c r="E72" s="7" t="s">
        <v>406</v>
      </c>
      <c r="F72" s="7" t="s">
        <v>406</v>
      </c>
      <c r="G72" s="7"/>
      <c r="H72" s="7" t="s">
        <v>372</v>
      </c>
      <c r="I72" s="7" t="s">
        <v>42</v>
      </c>
      <c r="J72" s="7" t="s">
        <v>310</v>
      </c>
      <c r="K72" s="7" t="s">
        <v>372</v>
      </c>
      <c r="L72" s="7" t="s">
        <v>389</v>
      </c>
      <c r="M72" s="8" t="s">
        <v>436</v>
      </c>
      <c r="N72" s="7" t="s">
        <v>437</v>
      </c>
      <c r="O72" s="10">
        <v>0</v>
      </c>
      <c r="P72" s="10">
        <v>-4237.76</v>
      </c>
      <c r="Q72" s="10">
        <v>4237.76</v>
      </c>
      <c r="S72" s="7" t="s">
        <v>79</v>
      </c>
      <c r="V72" s="10">
        <v>80885.36</v>
      </c>
      <c r="W72" s="10">
        <v>64222.1987104465</v>
      </c>
    </row>
    <row r="73" spans="1:23">
      <c r="A73" s="6">
        <v>45869</v>
      </c>
      <c r="B73" s="7" t="s">
        <v>18</v>
      </c>
      <c r="C73" s="8" t="s">
        <v>483</v>
      </c>
      <c r="D73" s="7" t="s">
        <v>49</v>
      </c>
      <c r="E73" s="7" t="s">
        <v>406</v>
      </c>
      <c r="F73" s="7" t="s">
        <v>406</v>
      </c>
      <c r="G73" s="7"/>
      <c r="H73" s="7" t="s">
        <v>372</v>
      </c>
      <c r="I73" s="7" t="s">
        <v>42</v>
      </c>
      <c r="J73" s="7" t="s">
        <v>329</v>
      </c>
      <c r="K73" s="7" t="s">
        <v>372</v>
      </c>
      <c r="L73" s="7" t="s">
        <v>389</v>
      </c>
      <c r="M73" s="8" t="s">
        <v>436</v>
      </c>
      <c r="N73" s="7" t="s">
        <v>437</v>
      </c>
      <c r="O73" s="10">
        <v>0</v>
      </c>
      <c r="P73" s="10">
        <v>-685.9048</v>
      </c>
      <c r="Q73" s="10">
        <v>647.08</v>
      </c>
      <c r="T73" s="7" t="s">
        <v>90</v>
      </c>
      <c r="V73" s="10">
        <v>80885.36</v>
      </c>
      <c r="W73" s="10">
        <v>64222.1987104465</v>
      </c>
    </row>
    <row r="74" spans="1:23">
      <c r="A74" s="6">
        <v>45869</v>
      </c>
      <c r="B74" s="7" t="s">
        <v>18</v>
      </c>
      <c r="C74" s="8" t="s">
        <v>483</v>
      </c>
      <c r="D74" s="7" t="s">
        <v>49</v>
      </c>
      <c r="E74" s="7" t="s">
        <v>406</v>
      </c>
      <c r="F74" s="7" t="s">
        <v>406</v>
      </c>
      <c r="G74" s="7"/>
      <c r="H74" s="7" t="s">
        <v>372</v>
      </c>
      <c r="I74" s="7" t="s">
        <v>42</v>
      </c>
      <c r="J74" s="7" t="s">
        <v>215</v>
      </c>
      <c r="K74" s="7" t="s">
        <v>372</v>
      </c>
      <c r="L74" s="7" t="s">
        <v>389</v>
      </c>
      <c r="M74" s="8" t="s">
        <v>436</v>
      </c>
      <c r="N74" s="7" t="s">
        <v>437</v>
      </c>
      <c r="O74" s="10">
        <v>0</v>
      </c>
      <c r="P74" s="10">
        <v>-2766.335</v>
      </c>
      <c r="Q74" s="10">
        <v>2609.75</v>
      </c>
      <c r="U74" s="7" t="s">
        <v>361</v>
      </c>
      <c r="V74" s="10">
        <v>6835.83682624442</v>
      </c>
      <c r="W74" s="10">
        <v>5435.75</v>
      </c>
    </row>
    <row r="75" spans="1:23">
      <c r="A75" s="6">
        <v>45869</v>
      </c>
      <c r="B75" s="7" t="s">
        <v>18</v>
      </c>
      <c r="C75" s="8" t="s">
        <v>484</v>
      </c>
      <c r="D75" s="7" t="s">
        <v>450</v>
      </c>
      <c r="E75" s="7" t="s">
        <v>406</v>
      </c>
      <c r="F75" s="7" t="s">
        <v>406</v>
      </c>
      <c r="G75" s="7"/>
      <c r="H75" s="7" t="s">
        <v>372</v>
      </c>
      <c r="I75" s="7" t="s">
        <v>42</v>
      </c>
      <c r="J75" s="7" t="s">
        <v>329</v>
      </c>
      <c r="K75" s="7" t="s">
        <v>372</v>
      </c>
      <c r="L75" s="7" t="s">
        <v>389</v>
      </c>
      <c r="M75" s="8" t="s">
        <v>436</v>
      </c>
      <c r="N75" s="7" t="s">
        <v>437</v>
      </c>
      <c r="O75" s="10">
        <v>0</v>
      </c>
      <c r="P75" s="10">
        <v>211113.73</v>
      </c>
      <c r="Q75" s="10">
        <v>-211113.73</v>
      </c>
      <c r="U75" s="7" t="s">
        <v>362</v>
      </c>
      <c r="V75" s="10">
        <v>2033.2</v>
      </c>
      <c r="W75" s="10">
        <v>1305.06</v>
      </c>
    </row>
    <row r="76" spans="1:23">
      <c r="A76" s="6">
        <v>45869</v>
      </c>
      <c r="B76" s="7" t="s">
        <v>18</v>
      </c>
      <c r="C76" s="8" t="s">
        <v>484</v>
      </c>
      <c r="D76" s="7" t="s">
        <v>450</v>
      </c>
      <c r="E76" s="7" t="s">
        <v>406</v>
      </c>
      <c r="F76" s="7" t="s">
        <v>406</v>
      </c>
      <c r="G76" s="7"/>
      <c r="H76" s="7" t="s">
        <v>372</v>
      </c>
      <c r="I76" s="7" t="s">
        <v>42</v>
      </c>
      <c r="J76" s="7" t="s">
        <v>342</v>
      </c>
      <c r="K76" s="7" t="s">
        <v>372</v>
      </c>
      <c r="L76" s="7" t="s">
        <v>389</v>
      </c>
      <c r="M76" s="8" t="s">
        <v>436</v>
      </c>
      <c r="N76" s="7" t="s">
        <v>437</v>
      </c>
      <c r="O76" s="10">
        <v>0</v>
      </c>
      <c r="P76" s="10">
        <v>107.1</v>
      </c>
      <c r="Q76" s="10">
        <v>-107.1</v>
      </c>
      <c r="U76" s="7" t="s">
        <v>363</v>
      </c>
      <c r="V76" s="10">
        <v>46830.35</v>
      </c>
      <c r="W76" s="10">
        <v>37453.8987104465</v>
      </c>
    </row>
    <row r="77" spans="1:23">
      <c r="A77" s="6">
        <v>45869</v>
      </c>
      <c r="B77" s="7" t="s">
        <v>18</v>
      </c>
      <c r="C77" s="8" t="s">
        <v>484</v>
      </c>
      <c r="D77" s="7" t="s">
        <v>450</v>
      </c>
      <c r="E77" s="7" t="s">
        <v>406</v>
      </c>
      <c r="F77" s="7" t="s">
        <v>406</v>
      </c>
      <c r="G77" s="7"/>
      <c r="H77" s="7" t="s">
        <v>372</v>
      </c>
      <c r="I77" s="7" t="s">
        <v>42</v>
      </c>
      <c r="J77" s="7" t="s">
        <v>329</v>
      </c>
      <c r="K77" s="7" t="s">
        <v>372</v>
      </c>
      <c r="L77" s="7" t="s">
        <v>389</v>
      </c>
      <c r="M77" s="8" t="s">
        <v>436</v>
      </c>
      <c r="N77" s="7" t="s">
        <v>437</v>
      </c>
      <c r="O77" s="10">
        <v>0</v>
      </c>
      <c r="P77" s="10">
        <v>72716.44</v>
      </c>
      <c r="Q77" s="10">
        <v>-72716.44</v>
      </c>
      <c r="U77" s="7" t="s">
        <v>364</v>
      </c>
      <c r="V77" s="10">
        <v>25185.9731737556</v>
      </c>
      <c r="W77" s="10">
        <v>20027.49</v>
      </c>
    </row>
    <row r="78" spans="1:23">
      <c r="A78" s="6">
        <v>45869</v>
      </c>
      <c r="B78" s="7" t="s">
        <v>18</v>
      </c>
      <c r="C78" s="8" t="s">
        <v>484</v>
      </c>
      <c r="D78" s="7" t="s">
        <v>450</v>
      </c>
      <c r="E78" s="7" t="s">
        <v>406</v>
      </c>
      <c r="F78" s="7" t="s">
        <v>406</v>
      </c>
      <c r="G78" s="7"/>
      <c r="H78" s="7" t="s">
        <v>372</v>
      </c>
      <c r="I78" s="7" t="s">
        <v>42</v>
      </c>
      <c r="J78" s="7" t="s">
        <v>91</v>
      </c>
      <c r="K78" s="7" t="s">
        <v>372</v>
      </c>
      <c r="L78" s="7" t="s">
        <v>389</v>
      </c>
      <c r="M78" s="8" t="s">
        <v>436</v>
      </c>
      <c r="N78" s="7" t="s">
        <v>437</v>
      </c>
      <c r="O78" s="10">
        <v>0</v>
      </c>
      <c r="P78" s="10">
        <v>106.98</v>
      </c>
      <c r="Q78" s="10">
        <v>-106.98</v>
      </c>
      <c r="S78" s="7" t="s">
        <v>43</v>
      </c>
      <c r="V78" s="10">
        <v>255374.64</v>
      </c>
      <c r="W78" s="10">
        <v>-1809976.38</v>
      </c>
    </row>
    <row r="79" spans="1:23">
      <c r="A79" s="6">
        <v>45869</v>
      </c>
      <c r="B79" s="7" t="s">
        <v>18</v>
      </c>
      <c r="C79" s="8" t="s">
        <v>484</v>
      </c>
      <c r="D79" s="7" t="s">
        <v>450</v>
      </c>
      <c r="E79" s="7" t="s">
        <v>406</v>
      </c>
      <c r="F79" s="7" t="s">
        <v>406</v>
      </c>
      <c r="G79" s="7"/>
      <c r="H79" s="7" t="s">
        <v>372</v>
      </c>
      <c r="I79" s="7" t="s">
        <v>42</v>
      </c>
      <c r="J79" s="7" t="s">
        <v>215</v>
      </c>
      <c r="K79" s="7" t="s">
        <v>372</v>
      </c>
      <c r="L79" s="7" t="s">
        <v>389</v>
      </c>
      <c r="M79" s="8" t="s">
        <v>436</v>
      </c>
      <c r="N79" s="7" t="s">
        <v>437</v>
      </c>
      <c r="O79" s="10">
        <v>0</v>
      </c>
      <c r="P79" s="10">
        <v>2054800.74</v>
      </c>
      <c r="Q79" s="10">
        <v>-2054800.74</v>
      </c>
      <c r="T79" s="7" t="s">
        <v>42</v>
      </c>
      <c r="V79" s="10">
        <v>209276.64</v>
      </c>
      <c r="W79" s="10">
        <v>-1825687.72</v>
      </c>
    </row>
    <row r="80" spans="1:23">
      <c r="A80" s="6">
        <v>45869</v>
      </c>
      <c r="B80" s="7" t="s">
        <v>18</v>
      </c>
      <c r="C80" s="8" t="s">
        <v>485</v>
      </c>
      <c r="D80" s="7" t="s">
        <v>77</v>
      </c>
      <c r="E80" s="7" t="s">
        <v>406</v>
      </c>
      <c r="F80" s="7" t="s">
        <v>406</v>
      </c>
      <c r="G80" s="7"/>
      <c r="H80" s="7" t="s">
        <v>372</v>
      </c>
      <c r="I80" s="7" t="s">
        <v>42</v>
      </c>
      <c r="J80" s="7" t="s">
        <v>441</v>
      </c>
      <c r="K80" s="7" t="s">
        <v>372</v>
      </c>
      <c r="L80" s="7" t="s">
        <v>389</v>
      </c>
      <c r="M80" s="8" t="s">
        <v>436</v>
      </c>
      <c r="N80" s="7" t="s">
        <v>437</v>
      </c>
      <c r="O80" s="10">
        <v>0</v>
      </c>
      <c r="P80" s="10">
        <v>179</v>
      </c>
      <c r="Q80" s="10">
        <v>-179</v>
      </c>
      <c r="U80" s="7" t="s">
        <v>103</v>
      </c>
      <c r="V80" s="10">
        <v>0</v>
      </c>
      <c r="W80" s="10">
        <v>11</v>
      </c>
    </row>
    <row r="81" spans="1:23">
      <c r="A81" s="6">
        <v>45869</v>
      </c>
      <c r="B81" s="7" t="s">
        <v>18</v>
      </c>
      <c r="C81" s="8" t="s">
        <v>486</v>
      </c>
      <c r="D81" s="7" t="s">
        <v>43</v>
      </c>
      <c r="E81" s="7" t="s">
        <v>406</v>
      </c>
      <c r="F81" s="7" t="s">
        <v>406</v>
      </c>
      <c r="G81" s="7"/>
      <c r="H81" s="7" t="s">
        <v>372</v>
      </c>
      <c r="I81" s="7" t="s">
        <v>47</v>
      </c>
      <c r="J81" s="7" t="s">
        <v>74</v>
      </c>
      <c r="K81" s="7" t="s">
        <v>372</v>
      </c>
      <c r="L81" s="7" t="s">
        <v>389</v>
      </c>
      <c r="M81" s="8" t="s">
        <v>436</v>
      </c>
      <c r="N81" s="7" t="s">
        <v>437</v>
      </c>
      <c r="O81" s="10">
        <v>0</v>
      </c>
      <c r="P81" s="10">
        <v>2227.42</v>
      </c>
      <c r="Q81" s="10">
        <v>-2227.42</v>
      </c>
      <c r="U81" s="7" t="s">
        <v>101</v>
      </c>
      <c r="V81" s="10">
        <v>0</v>
      </c>
      <c r="W81" s="10">
        <v>-360736.84</v>
      </c>
    </row>
    <row r="82" spans="1:23">
      <c r="A82" s="6">
        <v>45869</v>
      </c>
      <c r="B82" s="7" t="s">
        <v>18</v>
      </c>
      <c r="C82" s="8" t="s">
        <v>487</v>
      </c>
      <c r="D82" s="7" t="s">
        <v>43</v>
      </c>
      <c r="E82" s="7" t="s">
        <v>406</v>
      </c>
      <c r="F82" s="7" t="s">
        <v>406</v>
      </c>
      <c r="G82" s="7"/>
      <c r="H82" s="7" t="s">
        <v>372</v>
      </c>
      <c r="I82" s="7" t="s">
        <v>42</v>
      </c>
      <c r="J82" s="7" t="s">
        <v>103</v>
      </c>
      <c r="K82" s="7" t="s">
        <v>372</v>
      </c>
      <c r="L82" s="7" t="s">
        <v>394</v>
      </c>
      <c r="M82" s="8">
        <v>6001.02</v>
      </c>
      <c r="N82" s="7" t="s">
        <v>395</v>
      </c>
      <c r="O82" s="10">
        <v>0</v>
      </c>
      <c r="P82" s="10">
        <v>11</v>
      </c>
      <c r="Q82" s="10">
        <v>-11</v>
      </c>
      <c r="U82" s="7" t="s">
        <v>310</v>
      </c>
      <c r="V82" s="10">
        <v>0</v>
      </c>
      <c r="W82" s="10">
        <v>-4237.76</v>
      </c>
    </row>
    <row r="83" spans="1:23">
      <c r="A83" s="6">
        <v>45869</v>
      </c>
      <c r="B83" s="7" t="s">
        <v>18</v>
      </c>
      <c r="C83" s="8" t="s">
        <v>488</v>
      </c>
      <c r="D83" s="7" t="s">
        <v>49</v>
      </c>
      <c r="E83" s="7" t="s">
        <v>406</v>
      </c>
      <c r="F83" s="7" t="s">
        <v>406</v>
      </c>
      <c r="G83" s="7"/>
      <c r="H83" s="7" t="s">
        <v>372</v>
      </c>
      <c r="I83" s="7" t="s">
        <v>42</v>
      </c>
      <c r="J83" s="7" t="s">
        <v>161</v>
      </c>
      <c r="K83" s="7" t="s">
        <v>372</v>
      </c>
      <c r="L83" s="7" t="s">
        <v>389</v>
      </c>
      <c r="M83" s="8" t="s">
        <v>436</v>
      </c>
      <c r="N83" s="7" t="s">
        <v>437</v>
      </c>
      <c r="O83" s="10">
        <v>0</v>
      </c>
      <c r="P83" s="10">
        <v>312.18</v>
      </c>
      <c r="Q83" s="10">
        <v>-312.18</v>
      </c>
      <c r="U83" s="21" t="s">
        <v>49</v>
      </c>
      <c r="V83" s="22">
        <v>102557.17</v>
      </c>
      <c r="W83" s="22">
        <v>101541.76</v>
      </c>
    </row>
    <row r="84" spans="1:23">
      <c r="A84" s="6">
        <v>45869</v>
      </c>
      <c r="B84" s="7" t="s">
        <v>18</v>
      </c>
      <c r="C84" s="8" t="s">
        <v>488</v>
      </c>
      <c r="D84" s="7" t="s">
        <v>49</v>
      </c>
      <c r="E84" s="7" t="s">
        <v>406</v>
      </c>
      <c r="F84" s="7" t="s">
        <v>406</v>
      </c>
      <c r="G84" s="7"/>
      <c r="H84" s="7" t="s">
        <v>372</v>
      </c>
      <c r="I84" s="7" t="s">
        <v>42</v>
      </c>
      <c r="J84" s="7" t="s">
        <v>215</v>
      </c>
      <c r="K84" s="7" t="s">
        <v>372</v>
      </c>
      <c r="L84" s="7" t="s">
        <v>389</v>
      </c>
      <c r="M84" s="8" t="s">
        <v>436</v>
      </c>
      <c r="N84" s="7" t="s">
        <v>437</v>
      </c>
      <c r="O84" s="10">
        <v>0</v>
      </c>
      <c r="P84" s="10">
        <v>86.18</v>
      </c>
      <c r="Q84" s="10">
        <v>-86.18</v>
      </c>
      <c r="U84" s="7" t="s">
        <v>317</v>
      </c>
      <c r="V84" s="10">
        <v>166.306</v>
      </c>
      <c r="W84" s="10">
        <v>0</v>
      </c>
    </row>
    <row r="85" spans="1:23">
      <c r="A85" s="6">
        <v>45869</v>
      </c>
      <c r="B85" s="7" t="s">
        <v>18</v>
      </c>
      <c r="C85" s="8" t="s">
        <v>488</v>
      </c>
      <c r="D85" s="7" t="s">
        <v>49</v>
      </c>
      <c r="E85" s="7" t="s">
        <v>406</v>
      </c>
      <c r="F85" s="7" t="s">
        <v>406</v>
      </c>
      <c r="G85" s="7"/>
      <c r="H85" s="7" t="s">
        <v>372</v>
      </c>
      <c r="I85" s="7" t="s">
        <v>42</v>
      </c>
      <c r="J85" s="7" t="s">
        <v>131</v>
      </c>
      <c r="K85" s="7" t="s">
        <v>372</v>
      </c>
      <c r="L85" s="7" t="s">
        <v>389</v>
      </c>
      <c r="M85" s="8" t="s">
        <v>436</v>
      </c>
      <c r="N85" s="7" t="s">
        <v>437</v>
      </c>
      <c r="O85" s="10">
        <v>0</v>
      </c>
      <c r="P85" s="10">
        <v>5660.38</v>
      </c>
      <c r="Q85" s="10">
        <v>-5660.38</v>
      </c>
      <c r="U85" s="7" t="s">
        <v>315</v>
      </c>
      <c r="V85" s="10">
        <v>30270.32</v>
      </c>
      <c r="W85" s="10">
        <v>0</v>
      </c>
    </row>
    <row r="86" spans="1:23">
      <c r="A86" s="6">
        <v>45869</v>
      </c>
      <c r="B86" s="7" t="s">
        <v>18</v>
      </c>
      <c r="C86" s="8" t="s">
        <v>488</v>
      </c>
      <c r="D86" s="7" t="s">
        <v>49</v>
      </c>
      <c r="E86" s="7" t="s">
        <v>406</v>
      </c>
      <c r="F86" s="7" t="s">
        <v>406</v>
      </c>
      <c r="G86" s="7"/>
      <c r="H86" s="7" t="s">
        <v>372</v>
      </c>
      <c r="I86" s="7" t="s">
        <v>42</v>
      </c>
      <c r="J86" s="7" t="s">
        <v>329</v>
      </c>
      <c r="K86" s="7" t="s">
        <v>372</v>
      </c>
      <c r="L86" s="7" t="s">
        <v>389</v>
      </c>
      <c r="M86" s="8" t="s">
        <v>436</v>
      </c>
      <c r="N86" s="7" t="s">
        <v>437</v>
      </c>
      <c r="O86" s="10">
        <v>0</v>
      </c>
      <c r="P86" s="10">
        <v>843139.34</v>
      </c>
      <c r="Q86" s="10">
        <v>-843139.34</v>
      </c>
      <c r="U86" s="7" t="s">
        <v>147</v>
      </c>
      <c r="V86" s="10">
        <v>0</v>
      </c>
      <c r="W86" s="10">
        <v>30987</v>
      </c>
    </row>
    <row r="87" spans="1:23">
      <c r="A87" s="6">
        <v>45869</v>
      </c>
      <c r="B87" s="7" t="s">
        <v>18</v>
      </c>
      <c r="C87" s="8" t="s">
        <v>489</v>
      </c>
      <c r="D87" s="7" t="s">
        <v>43</v>
      </c>
      <c r="E87" s="7" t="s">
        <v>490</v>
      </c>
      <c r="F87" s="7" t="s">
        <v>399</v>
      </c>
      <c r="G87" s="7" t="s">
        <v>491</v>
      </c>
      <c r="H87" s="7" t="s">
        <v>372</v>
      </c>
      <c r="I87" s="7" t="s">
        <v>42</v>
      </c>
      <c r="J87" s="7" t="s">
        <v>189</v>
      </c>
      <c r="K87" s="7" t="s">
        <v>372</v>
      </c>
      <c r="L87" s="7" t="s">
        <v>394</v>
      </c>
      <c r="M87" s="8">
        <v>6001.02</v>
      </c>
      <c r="N87" s="7" t="s">
        <v>395</v>
      </c>
      <c r="O87" s="10">
        <v>748.04</v>
      </c>
      <c r="P87" s="10">
        <v>0</v>
      </c>
      <c r="Q87" s="10">
        <v>748.04</v>
      </c>
      <c r="U87" s="7" t="s">
        <v>196</v>
      </c>
      <c r="V87" s="10">
        <v>0</v>
      </c>
      <c r="W87" s="10">
        <v>50984.64</v>
      </c>
    </row>
    <row r="88" spans="1:23">
      <c r="A88" s="6">
        <v>45869</v>
      </c>
      <c r="B88" s="7" t="s">
        <v>18</v>
      </c>
      <c r="C88" s="8" t="s">
        <v>492</v>
      </c>
      <c r="D88" s="7" t="s">
        <v>43</v>
      </c>
      <c r="E88" s="7" t="s">
        <v>493</v>
      </c>
      <c r="F88" s="7" t="s">
        <v>399</v>
      </c>
      <c r="G88" s="7" t="s">
        <v>494</v>
      </c>
      <c r="H88" s="7" t="s">
        <v>372</v>
      </c>
      <c r="I88" s="7" t="s">
        <v>47</v>
      </c>
      <c r="J88" s="7" t="s">
        <v>125</v>
      </c>
      <c r="K88" s="7" t="s">
        <v>372</v>
      </c>
      <c r="L88" s="7" t="s">
        <v>389</v>
      </c>
      <c r="M88" s="8" t="s">
        <v>390</v>
      </c>
      <c r="N88" s="7" t="s">
        <v>391</v>
      </c>
      <c r="O88" s="10">
        <v>809.1</v>
      </c>
      <c r="P88" s="10">
        <v>0</v>
      </c>
      <c r="Q88" s="10">
        <v>809.1</v>
      </c>
      <c r="U88" s="7" t="s">
        <v>189</v>
      </c>
      <c r="V88" s="10">
        <v>748.04</v>
      </c>
      <c r="W88" s="10">
        <v>0</v>
      </c>
    </row>
    <row r="89" spans="1:23">
      <c r="A89" s="6">
        <v>45869</v>
      </c>
      <c r="B89" s="7" t="s">
        <v>18</v>
      </c>
      <c r="C89" s="8" t="s">
        <v>492</v>
      </c>
      <c r="D89" s="7" t="s">
        <v>43</v>
      </c>
      <c r="E89" s="7" t="s">
        <v>493</v>
      </c>
      <c r="F89" s="7" t="s">
        <v>399</v>
      </c>
      <c r="G89" s="7" t="s">
        <v>494</v>
      </c>
      <c r="H89" s="7" t="s">
        <v>372</v>
      </c>
      <c r="I89" s="7" t="s">
        <v>47</v>
      </c>
      <c r="J89" s="7" t="s">
        <v>296</v>
      </c>
      <c r="K89" s="7" t="s">
        <v>372</v>
      </c>
      <c r="L89" s="7" t="s">
        <v>389</v>
      </c>
      <c r="M89" s="8" t="s">
        <v>390</v>
      </c>
      <c r="N89" s="7" t="s">
        <v>391</v>
      </c>
      <c r="O89" s="18">
        <v>446.4</v>
      </c>
      <c r="P89" s="10">
        <v>0</v>
      </c>
      <c r="Q89" s="10">
        <v>446.4</v>
      </c>
      <c r="U89" s="7" t="s">
        <v>236</v>
      </c>
      <c r="V89" s="10">
        <v>0</v>
      </c>
      <c r="W89" s="10">
        <v>-66493.74</v>
      </c>
    </row>
    <row r="90" spans="1:23">
      <c r="A90" s="6">
        <v>45869</v>
      </c>
      <c r="B90" s="7" t="s">
        <v>18</v>
      </c>
      <c r="C90" s="8" t="s">
        <v>492</v>
      </c>
      <c r="D90" s="7" t="s">
        <v>43</v>
      </c>
      <c r="E90" s="7" t="s">
        <v>493</v>
      </c>
      <c r="F90" s="7" t="s">
        <v>399</v>
      </c>
      <c r="G90" s="7" t="s">
        <v>494</v>
      </c>
      <c r="H90" s="7" t="s">
        <v>372</v>
      </c>
      <c r="I90" s="7" t="s">
        <v>42</v>
      </c>
      <c r="J90" s="19" t="s">
        <v>288</v>
      </c>
      <c r="K90" s="7" t="s">
        <v>372</v>
      </c>
      <c r="L90" s="7" t="s">
        <v>394</v>
      </c>
      <c r="M90" s="8">
        <v>6001.02</v>
      </c>
      <c r="N90" s="7" t="s">
        <v>395</v>
      </c>
      <c r="O90" s="10">
        <v>13761.4</v>
      </c>
      <c r="P90" s="10">
        <v>0</v>
      </c>
      <c r="Q90" s="10">
        <v>13761.4</v>
      </c>
      <c r="U90" s="7" t="s">
        <v>212</v>
      </c>
      <c r="V90" s="10">
        <v>0</v>
      </c>
      <c r="W90" s="10">
        <v>48721.55</v>
      </c>
    </row>
    <row r="91" spans="1:23">
      <c r="A91" s="6">
        <v>45869</v>
      </c>
      <c r="B91" s="7" t="s">
        <v>18</v>
      </c>
      <c r="C91" s="8" t="s">
        <v>495</v>
      </c>
      <c r="D91" s="7" t="s">
        <v>43</v>
      </c>
      <c r="E91" s="7" t="s">
        <v>406</v>
      </c>
      <c r="F91" s="7" t="s">
        <v>406</v>
      </c>
      <c r="G91" s="7" t="s">
        <v>496</v>
      </c>
      <c r="H91" s="7" t="s">
        <v>372</v>
      </c>
      <c r="I91" s="7" t="s">
        <v>47</v>
      </c>
      <c r="J91" s="7"/>
      <c r="K91" s="7" t="s">
        <v>372</v>
      </c>
      <c r="L91" s="7" t="s">
        <v>389</v>
      </c>
      <c r="M91" s="8" t="s">
        <v>390</v>
      </c>
      <c r="N91" s="7" t="s">
        <v>391</v>
      </c>
      <c r="O91" s="10">
        <v>53.4</v>
      </c>
      <c r="P91" s="10">
        <v>0</v>
      </c>
      <c r="Q91" s="10">
        <v>53.4</v>
      </c>
      <c r="U91" s="7" t="s">
        <v>332</v>
      </c>
      <c r="V91" s="10">
        <v>422.38447</v>
      </c>
      <c r="W91" s="10">
        <v>0</v>
      </c>
    </row>
    <row r="92" spans="1:23">
      <c r="A92" s="6">
        <v>45869</v>
      </c>
      <c r="B92" s="7" t="s">
        <v>18</v>
      </c>
      <c r="C92" s="8" t="s">
        <v>497</v>
      </c>
      <c r="D92" s="7" t="s">
        <v>43</v>
      </c>
      <c r="E92" s="7" t="s">
        <v>498</v>
      </c>
      <c r="F92" s="7" t="s">
        <v>399</v>
      </c>
      <c r="G92" s="7" t="s">
        <v>499</v>
      </c>
      <c r="H92" s="7" t="s">
        <v>372</v>
      </c>
      <c r="I92" s="7" t="s">
        <v>47</v>
      </c>
      <c r="J92" s="7" t="s">
        <v>296</v>
      </c>
      <c r="K92" s="7" t="s">
        <v>372</v>
      </c>
      <c r="L92" s="7" t="s">
        <v>394</v>
      </c>
      <c r="M92" s="8">
        <v>6001.02</v>
      </c>
      <c r="N92" s="7" t="s">
        <v>395</v>
      </c>
      <c r="O92" s="10">
        <v>8639.64</v>
      </c>
      <c r="P92" s="10">
        <v>0</v>
      </c>
      <c r="Q92" s="10">
        <v>8639.64</v>
      </c>
      <c r="U92" s="7" t="s">
        <v>80</v>
      </c>
      <c r="V92" s="10">
        <v>13926.359</v>
      </c>
      <c r="W92" s="10">
        <v>0</v>
      </c>
    </row>
    <row r="93" spans="1:23">
      <c r="A93" s="6">
        <v>45869</v>
      </c>
      <c r="B93" s="7" t="s">
        <v>18</v>
      </c>
      <c r="C93" s="8" t="s">
        <v>497</v>
      </c>
      <c r="D93" s="7" t="s">
        <v>43</v>
      </c>
      <c r="E93" s="7" t="s">
        <v>500</v>
      </c>
      <c r="F93" s="7" t="s">
        <v>399</v>
      </c>
      <c r="G93" s="7" t="s">
        <v>499</v>
      </c>
      <c r="H93" s="7" t="s">
        <v>372</v>
      </c>
      <c r="I93" s="7" t="s">
        <v>42</v>
      </c>
      <c r="J93" s="7" t="s">
        <v>317</v>
      </c>
      <c r="K93" s="7" t="s">
        <v>372</v>
      </c>
      <c r="L93" s="7" t="s">
        <v>394</v>
      </c>
      <c r="M93" s="8">
        <v>6001.02</v>
      </c>
      <c r="N93" s="7" t="s">
        <v>395</v>
      </c>
      <c r="O93" s="10">
        <v>166.306128460181</v>
      </c>
      <c r="P93" s="10">
        <v>0</v>
      </c>
      <c r="Q93" s="10">
        <v>166.306128460181</v>
      </c>
      <c r="U93" s="7" t="s">
        <v>292</v>
      </c>
      <c r="V93" s="10">
        <v>84.89</v>
      </c>
      <c r="W93" s="10">
        <v>0</v>
      </c>
    </row>
    <row r="94" spans="1:23">
      <c r="A94" s="6">
        <v>45869</v>
      </c>
      <c r="B94" s="7" t="s">
        <v>18</v>
      </c>
      <c r="C94" s="8" t="s">
        <v>497</v>
      </c>
      <c r="D94" s="7" t="s">
        <v>43</v>
      </c>
      <c r="E94" s="7" t="s">
        <v>500</v>
      </c>
      <c r="F94" s="7" t="s">
        <v>399</v>
      </c>
      <c r="G94" s="7" t="s">
        <v>499</v>
      </c>
      <c r="H94" s="7" t="s">
        <v>372</v>
      </c>
      <c r="I94" s="7" t="s">
        <v>42</v>
      </c>
      <c r="J94" s="7" t="s">
        <v>315</v>
      </c>
      <c r="K94" s="7" t="s">
        <v>372</v>
      </c>
      <c r="L94" s="7" t="s">
        <v>394</v>
      </c>
      <c r="M94" s="8">
        <v>6001.02</v>
      </c>
      <c r="N94" s="7" t="s">
        <v>395</v>
      </c>
      <c r="O94" s="10">
        <v>30270.3216698259</v>
      </c>
      <c r="P94" s="10">
        <v>0</v>
      </c>
      <c r="Q94" s="10">
        <v>30270.3216698259</v>
      </c>
      <c r="U94" s="7" t="s">
        <v>288</v>
      </c>
      <c r="V94" s="10">
        <v>13761.4</v>
      </c>
      <c r="W94" s="10">
        <v>0</v>
      </c>
    </row>
    <row r="95" spans="1:23">
      <c r="A95" s="6">
        <v>45869</v>
      </c>
      <c r="B95" s="7" t="s">
        <v>18</v>
      </c>
      <c r="C95" s="8" t="s">
        <v>497</v>
      </c>
      <c r="D95" s="7" t="s">
        <v>43</v>
      </c>
      <c r="E95" s="7" t="s">
        <v>500</v>
      </c>
      <c r="F95" s="7" t="s">
        <v>399</v>
      </c>
      <c r="G95" s="7" t="s">
        <v>499</v>
      </c>
      <c r="H95" s="7" t="s">
        <v>372</v>
      </c>
      <c r="I95" s="7" t="s">
        <v>42</v>
      </c>
      <c r="J95" s="7" t="s">
        <v>332</v>
      </c>
      <c r="K95" s="7" t="s">
        <v>372</v>
      </c>
      <c r="L95" s="7" t="s">
        <v>394</v>
      </c>
      <c r="M95" s="8">
        <v>6001.02</v>
      </c>
      <c r="N95" s="7" t="s">
        <v>395</v>
      </c>
      <c r="O95" s="10">
        <v>422.384470541903</v>
      </c>
      <c r="P95" s="10">
        <v>0</v>
      </c>
      <c r="Q95" s="10">
        <v>422.384470541903</v>
      </c>
      <c r="U95" s="7" t="s">
        <v>77</v>
      </c>
      <c r="V95" s="10">
        <v>11937.6607492903</v>
      </c>
      <c r="W95" s="10">
        <v>0</v>
      </c>
    </row>
    <row r="96" spans="1:23">
      <c r="A96" s="6">
        <v>45869</v>
      </c>
      <c r="B96" s="7" t="s">
        <v>18</v>
      </c>
      <c r="C96" s="8" t="s">
        <v>497</v>
      </c>
      <c r="D96" s="7" t="s">
        <v>43</v>
      </c>
      <c r="E96" s="7" t="s">
        <v>500</v>
      </c>
      <c r="F96" s="7" t="s">
        <v>399</v>
      </c>
      <c r="G96" s="7" t="s">
        <v>499</v>
      </c>
      <c r="H96" s="7" t="s">
        <v>372</v>
      </c>
      <c r="I96" s="7" t="s">
        <v>42</v>
      </c>
      <c r="J96" s="7" t="s">
        <v>80</v>
      </c>
      <c r="K96" s="7" t="s">
        <v>372</v>
      </c>
      <c r="L96" s="7" t="s">
        <v>394</v>
      </c>
      <c r="M96" s="8">
        <v>6001.02</v>
      </c>
      <c r="N96" s="7" t="s">
        <v>395</v>
      </c>
      <c r="O96" s="10">
        <v>13926.3593621412</v>
      </c>
      <c r="P96" s="10">
        <v>0</v>
      </c>
      <c r="Q96" s="10">
        <v>13926.3593621412</v>
      </c>
      <c r="U96" s="7" t="s">
        <v>272</v>
      </c>
      <c r="V96" s="10">
        <v>0</v>
      </c>
      <c r="W96" s="10">
        <v>-1626465.33</v>
      </c>
    </row>
    <row r="97" spans="1:23">
      <c r="A97" s="6">
        <v>45869</v>
      </c>
      <c r="B97" s="7" t="s">
        <v>18</v>
      </c>
      <c r="C97" s="8" t="s">
        <v>497</v>
      </c>
      <c r="D97" s="7" t="s">
        <v>43</v>
      </c>
      <c r="E97" s="7" t="s">
        <v>500</v>
      </c>
      <c r="F97" s="7" t="s">
        <v>399</v>
      </c>
      <c r="G97" s="7" t="s">
        <v>499</v>
      </c>
      <c r="H97" s="7" t="s">
        <v>372</v>
      </c>
      <c r="I97" s="7" t="s">
        <v>42</v>
      </c>
      <c r="J97" s="7" t="s">
        <v>292</v>
      </c>
      <c r="K97" s="7" t="s">
        <v>372</v>
      </c>
      <c r="L97" s="7" t="s">
        <v>394</v>
      </c>
      <c r="M97" s="8">
        <v>6001.02</v>
      </c>
      <c r="N97" s="7" t="s">
        <v>395</v>
      </c>
      <c r="O97" s="10">
        <v>84.8905909453462</v>
      </c>
      <c r="P97" s="10">
        <v>0</v>
      </c>
      <c r="Q97" s="10">
        <v>84.8905909453462</v>
      </c>
      <c r="U97" s="7" t="s">
        <v>173</v>
      </c>
      <c r="V97" s="10">
        <v>240</v>
      </c>
      <c r="W97" s="10">
        <v>0</v>
      </c>
    </row>
    <row r="98" spans="1:23">
      <c r="A98" s="6">
        <v>45869</v>
      </c>
      <c r="B98" s="7" t="s">
        <v>18</v>
      </c>
      <c r="C98" s="8" t="s">
        <v>497</v>
      </c>
      <c r="D98" s="7" t="s">
        <v>43</v>
      </c>
      <c r="E98" s="7" t="s">
        <v>500</v>
      </c>
      <c r="F98" s="7" t="s">
        <v>399</v>
      </c>
      <c r="G98" s="7" t="s">
        <v>499</v>
      </c>
      <c r="H98" s="7" t="s">
        <v>372</v>
      </c>
      <c r="I98" s="7" t="s">
        <v>42</v>
      </c>
      <c r="J98" s="7" t="s">
        <v>77</v>
      </c>
      <c r="K98" s="7" t="s">
        <v>407</v>
      </c>
      <c r="L98" s="7" t="s">
        <v>394</v>
      </c>
      <c r="M98" s="8">
        <v>6001.02</v>
      </c>
      <c r="N98" s="7" t="s">
        <v>395</v>
      </c>
      <c r="O98" s="10">
        <v>11937.6607492903</v>
      </c>
      <c r="P98" s="10">
        <v>0</v>
      </c>
      <c r="Q98" s="10">
        <v>11937.6607492903</v>
      </c>
      <c r="U98" s="7" t="s">
        <v>41</v>
      </c>
      <c r="V98" s="10">
        <v>412.290267719942</v>
      </c>
      <c r="W98" s="10">
        <v>0</v>
      </c>
    </row>
    <row r="99" spans="1:23">
      <c r="A99" s="6">
        <v>45869</v>
      </c>
      <c r="B99" s="7" t="s">
        <v>18</v>
      </c>
      <c r="C99" s="8" t="s">
        <v>497</v>
      </c>
      <c r="D99" s="7" t="s">
        <v>43</v>
      </c>
      <c r="E99" s="7" t="s">
        <v>500</v>
      </c>
      <c r="F99" s="7" t="s">
        <v>399</v>
      </c>
      <c r="G99" s="7" t="s">
        <v>499</v>
      </c>
      <c r="H99" s="7" t="s">
        <v>372</v>
      </c>
      <c r="I99" s="7" t="s">
        <v>42</v>
      </c>
      <c r="J99" s="7" t="s">
        <v>41</v>
      </c>
      <c r="K99" s="7" t="s">
        <v>407</v>
      </c>
      <c r="L99" s="7" t="s">
        <v>394</v>
      </c>
      <c r="M99" s="8">
        <v>6001.02</v>
      </c>
      <c r="N99" s="7" t="s">
        <v>395</v>
      </c>
      <c r="O99" s="10">
        <v>412.290267719942</v>
      </c>
      <c r="P99" s="10">
        <v>0</v>
      </c>
      <c r="Q99" s="10">
        <v>412.290267719942</v>
      </c>
      <c r="U99" s="7" t="s">
        <v>243</v>
      </c>
      <c r="V99" s="10">
        <v>3257.94533047169</v>
      </c>
      <c r="W99" s="10">
        <v>0</v>
      </c>
    </row>
    <row r="100" spans="1:23">
      <c r="A100" s="6">
        <v>45869</v>
      </c>
      <c r="B100" s="7" t="s">
        <v>18</v>
      </c>
      <c r="C100" s="8" t="s">
        <v>497</v>
      </c>
      <c r="D100" s="7" t="s">
        <v>43</v>
      </c>
      <c r="E100" s="7" t="s">
        <v>500</v>
      </c>
      <c r="F100" s="7" t="s">
        <v>399</v>
      </c>
      <c r="G100" s="7" t="s">
        <v>499</v>
      </c>
      <c r="H100" s="7" t="s">
        <v>372</v>
      </c>
      <c r="I100" s="7" t="s">
        <v>42</v>
      </c>
      <c r="J100" s="7" t="s">
        <v>243</v>
      </c>
      <c r="K100" s="7" t="s">
        <v>372</v>
      </c>
      <c r="L100" s="7" t="s">
        <v>394</v>
      </c>
      <c r="M100" s="8">
        <v>6001.02</v>
      </c>
      <c r="N100" s="7" t="s">
        <v>395</v>
      </c>
      <c r="O100" s="10">
        <v>3257.94533047169</v>
      </c>
      <c r="P100" s="10">
        <v>0</v>
      </c>
      <c r="Q100" s="10">
        <v>3257.94533047169</v>
      </c>
      <c r="U100" s="7" t="s">
        <v>55</v>
      </c>
      <c r="V100" s="10">
        <v>52.4567589272412</v>
      </c>
      <c r="W100" s="10">
        <v>0</v>
      </c>
    </row>
    <row r="101" spans="1:23">
      <c r="A101" s="6">
        <v>45869</v>
      </c>
      <c r="B101" s="7" t="s">
        <v>18</v>
      </c>
      <c r="C101" s="8" t="s">
        <v>497</v>
      </c>
      <c r="D101" s="7" t="s">
        <v>43</v>
      </c>
      <c r="E101" s="7" t="s">
        <v>500</v>
      </c>
      <c r="F101" s="7" t="s">
        <v>399</v>
      </c>
      <c r="G101" s="7" t="s">
        <v>499</v>
      </c>
      <c r="H101" s="7" t="s">
        <v>372</v>
      </c>
      <c r="I101" s="7" t="s">
        <v>42</v>
      </c>
      <c r="J101" s="7" t="s">
        <v>55</v>
      </c>
      <c r="K101" s="7" t="s">
        <v>407</v>
      </c>
      <c r="L101" s="7" t="s">
        <v>394</v>
      </c>
      <c r="M101" s="8">
        <v>6001.02</v>
      </c>
      <c r="N101" s="7" t="s">
        <v>395</v>
      </c>
      <c r="O101" s="10">
        <v>52.4567589272412</v>
      </c>
      <c r="P101" s="10">
        <v>0</v>
      </c>
      <c r="Q101" s="10">
        <v>52.4567589272412</v>
      </c>
      <c r="U101" s="7" t="s">
        <v>58</v>
      </c>
      <c r="V101" s="10">
        <v>59.944671676319</v>
      </c>
      <c r="W101" s="10">
        <v>0</v>
      </c>
    </row>
    <row r="102" spans="1:23">
      <c r="A102" s="6">
        <v>45869</v>
      </c>
      <c r="B102" s="7" t="s">
        <v>18</v>
      </c>
      <c r="C102" s="8" t="s">
        <v>497</v>
      </c>
      <c r="D102" s="7" t="s">
        <v>43</v>
      </c>
      <c r="E102" s="7" t="s">
        <v>500</v>
      </c>
      <c r="F102" s="7" t="s">
        <v>399</v>
      </c>
      <c r="G102" s="7" t="s">
        <v>499</v>
      </c>
      <c r="H102" s="7" t="s">
        <v>372</v>
      </c>
      <c r="I102" s="7" t="s">
        <v>42</v>
      </c>
      <c r="J102" s="7" t="s">
        <v>58</v>
      </c>
      <c r="K102" s="7" t="s">
        <v>372</v>
      </c>
      <c r="L102" s="7" t="s">
        <v>394</v>
      </c>
      <c r="M102" s="8">
        <v>6001.02</v>
      </c>
      <c r="N102" s="7" t="s">
        <v>395</v>
      </c>
      <c r="O102" s="10">
        <v>59.944671676319</v>
      </c>
      <c r="P102" s="10">
        <v>0</v>
      </c>
      <c r="Q102" s="10">
        <v>59.944671676319</v>
      </c>
      <c r="U102" s="7" t="s">
        <v>429</v>
      </c>
      <c r="V102" s="10">
        <v>31379.47</v>
      </c>
      <c r="W102" s="10">
        <v>0</v>
      </c>
    </row>
    <row r="103" spans="1:23">
      <c r="A103" s="6">
        <v>45869</v>
      </c>
      <c r="B103" s="7" t="s">
        <v>18</v>
      </c>
      <c r="C103" s="8" t="s">
        <v>497</v>
      </c>
      <c r="D103" s="7" t="s">
        <v>43</v>
      </c>
      <c r="E103" s="7" t="s">
        <v>500</v>
      </c>
      <c r="F103" s="7" t="s">
        <v>399</v>
      </c>
      <c r="G103" s="7" t="s">
        <v>499</v>
      </c>
      <c r="H103" s="7" t="s">
        <v>372</v>
      </c>
      <c r="I103" s="7" t="s">
        <v>47</v>
      </c>
      <c r="J103" s="7" t="s">
        <v>296</v>
      </c>
      <c r="K103" s="7" t="s">
        <v>372</v>
      </c>
      <c r="L103" s="7" t="s">
        <v>394</v>
      </c>
      <c r="M103" s="8">
        <v>6001.02</v>
      </c>
      <c r="N103" s="7" t="s">
        <v>395</v>
      </c>
      <c r="O103" s="10">
        <v>12708.3</v>
      </c>
      <c r="P103" s="10">
        <v>0</v>
      </c>
      <c r="Q103" s="10">
        <v>12708.3</v>
      </c>
      <c r="T103" s="7" t="s">
        <v>45</v>
      </c>
      <c r="V103" s="10">
        <v>34844.1</v>
      </c>
      <c r="W103" s="10">
        <v>35172.1</v>
      </c>
    </row>
    <row r="104" spans="1:23">
      <c r="A104" s="6">
        <v>45869</v>
      </c>
      <c r="B104" s="7" t="s">
        <v>18</v>
      </c>
      <c r="C104" s="8" t="s">
        <v>501</v>
      </c>
      <c r="D104" s="7" t="s">
        <v>79</v>
      </c>
      <c r="E104" s="7" t="s">
        <v>406</v>
      </c>
      <c r="F104" s="7" t="s">
        <v>406</v>
      </c>
      <c r="G104" s="7" t="s">
        <v>502</v>
      </c>
      <c r="H104" s="7" t="s">
        <v>372</v>
      </c>
      <c r="I104" s="7" t="s">
        <v>90</v>
      </c>
      <c r="J104" s="7" t="s">
        <v>363</v>
      </c>
      <c r="K104" s="7" t="s">
        <v>372</v>
      </c>
      <c r="L104" s="7" t="s">
        <v>389</v>
      </c>
      <c r="M104" s="8" t="s">
        <v>390</v>
      </c>
      <c r="N104" s="7" t="s">
        <v>391</v>
      </c>
      <c r="O104" s="10">
        <v>31.54</v>
      </c>
      <c r="P104" s="20">
        <v>25.0424574731447</v>
      </c>
      <c r="Q104" s="10">
        <v>6.49754252685529</v>
      </c>
      <c r="U104" s="7" t="s">
        <v>296</v>
      </c>
      <c r="V104" s="10">
        <v>3525.9</v>
      </c>
      <c r="W104" s="10">
        <v>3853.9</v>
      </c>
    </row>
    <row r="105" spans="1:23">
      <c r="A105" s="6">
        <v>45869</v>
      </c>
      <c r="B105" s="7" t="s">
        <v>18</v>
      </c>
      <c r="C105" s="8" t="s">
        <v>501</v>
      </c>
      <c r="D105" s="7" t="s">
        <v>79</v>
      </c>
      <c r="E105" s="7" t="s">
        <v>406</v>
      </c>
      <c r="F105" s="7" t="s">
        <v>406</v>
      </c>
      <c r="G105" s="7" t="s">
        <v>503</v>
      </c>
      <c r="H105" s="7" t="s">
        <v>372</v>
      </c>
      <c r="I105" s="7" t="s">
        <v>90</v>
      </c>
      <c r="J105" s="7" t="s">
        <v>363</v>
      </c>
      <c r="K105" s="7" t="s">
        <v>372</v>
      </c>
      <c r="L105" s="7" t="s">
        <v>389</v>
      </c>
      <c r="M105" s="8" t="s">
        <v>390</v>
      </c>
      <c r="N105" s="7" t="s">
        <v>391</v>
      </c>
      <c r="O105" s="10">
        <v>6.65</v>
      </c>
      <c r="P105" s="20">
        <v>5.28003621421726</v>
      </c>
      <c r="Q105" s="10">
        <v>1.36996378578274</v>
      </c>
      <c r="U105" s="7" t="s">
        <v>295</v>
      </c>
      <c r="V105" s="10">
        <v>31318.2</v>
      </c>
      <c r="W105" s="10">
        <v>31318.2</v>
      </c>
    </row>
    <row r="106" spans="1:23">
      <c r="A106" s="6">
        <v>45869</v>
      </c>
      <c r="B106" s="7" t="s">
        <v>18</v>
      </c>
      <c r="C106" s="8" t="s">
        <v>501</v>
      </c>
      <c r="D106" s="7" t="s">
        <v>79</v>
      </c>
      <c r="E106" s="7" t="s">
        <v>406</v>
      </c>
      <c r="F106" s="7" t="s">
        <v>406</v>
      </c>
      <c r="G106" s="7" t="s">
        <v>87</v>
      </c>
      <c r="H106" s="7" t="s">
        <v>407</v>
      </c>
      <c r="I106" s="7" t="s">
        <v>90</v>
      </c>
      <c r="J106" s="7" t="s">
        <v>363</v>
      </c>
      <c r="K106" s="7" t="s">
        <v>372</v>
      </c>
      <c r="L106" s="7" t="s">
        <v>389</v>
      </c>
      <c r="M106" s="8" t="s">
        <v>390</v>
      </c>
      <c r="N106" s="7" t="s">
        <v>391</v>
      </c>
      <c r="O106" s="10">
        <v>14576.98</v>
      </c>
      <c r="P106" s="20">
        <v>11573.9822998377</v>
      </c>
      <c r="Q106" s="10">
        <v>3002.9977001623</v>
      </c>
      <c r="T106" s="7" t="s">
        <v>47</v>
      </c>
      <c r="V106" s="10">
        <v>11253.9</v>
      </c>
      <c r="W106" s="10">
        <v>-19460.76</v>
      </c>
    </row>
    <row r="107" spans="1:23">
      <c r="A107" s="6">
        <v>45869</v>
      </c>
      <c r="B107" s="7" t="s">
        <v>18</v>
      </c>
      <c r="C107" s="8" t="s">
        <v>501</v>
      </c>
      <c r="D107" s="7" t="s">
        <v>79</v>
      </c>
      <c r="E107" s="7" t="s">
        <v>406</v>
      </c>
      <c r="F107" s="7" t="s">
        <v>406</v>
      </c>
      <c r="G107" s="7" t="s">
        <v>504</v>
      </c>
      <c r="H107" s="7" t="s">
        <v>372</v>
      </c>
      <c r="I107" s="7" t="s">
        <v>90</v>
      </c>
      <c r="J107" s="7" t="s">
        <v>363</v>
      </c>
      <c r="K107" s="7" t="s">
        <v>372</v>
      </c>
      <c r="L107" s="7" t="s">
        <v>389</v>
      </c>
      <c r="M107" s="8" t="s">
        <v>390</v>
      </c>
      <c r="N107" s="7" t="s">
        <v>391</v>
      </c>
      <c r="O107" s="10">
        <v>0.18</v>
      </c>
      <c r="P107" s="20">
        <v>0.142918273467535</v>
      </c>
      <c r="Q107" s="10">
        <v>0.0370817265324652</v>
      </c>
      <c r="U107" s="7" t="s">
        <v>125</v>
      </c>
      <c r="V107" s="10">
        <v>809.1</v>
      </c>
      <c r="W107" s="10">
        <v>13239.58</v>
      </c>
    </row>
    <row r="108" spans="1:23">
      <c r="A108" s="6">
        <v>45869</v>
      </c>
      <c r="B108" s="7" t="s">
        <v>18</v>
      </c>
      <c r="C108" s="8" t="s">
        <v>501</v>
      </c>
      <c r="D108" s="7" t="s">
        <v>79</v>
      </c>
      <c r="E108" s="7" t="s">
        <v>406</v>
      </c>
      <c r="F108" s="7" t="s">
        <v>406</v>
      </c>
      <c r="G108" s="7" t="s">
        <v>505</v>
      </c>
      <c r="H108" s="7" t="s">
        <v>372</v>
      </c>
      <c r="I108" s="7" t="s">
        <v>90</v>
      </c>
      <c r="J108" s="7" t="s">
        <v>363</v>
      </c>
      <c r="K108" s="7" t="s">
        <v>372</v>
      </c>
      <c r="L108" s="7" t="s">
        <v>389</v>
      </c>
      <c r="M108" s="8" t="s">
        <v>390</v>
      </c>
      <c r="N108" s="7" t="s">
        <v>391</v>
      </c>
      <c r="O108" s="10">
        <v>5.15</v>
      </c>
      <c r="P108" s="20">
        <v>4.0890506019878</v>
      </c>
      <c r="Q108" s="10">
        <v>1.0609493980122</v>
      </c>
      <c r="U108" s="7" t="s">
        <v>355</v>
      </c>
      <c r="V108" s="10">
        <v>0</v>
      </c>
      <c r="W108" s="10">
        <v>5652.5</v>
      </c>
    </row>
    <row r="109" spans="1:23">
      <c r="A109" s="6">
        <v>45869</v>
      </c>
      <c r="B109" s="7" t="s">
        <v>18</v>
      </c>
      <c r="C109" s="8" t="s">
        <v>501</v>
      </c>
      <c r="D109" s="7" t="s">
        <v>79</v>
      </c>
      <c r="E109" s="7" t="s">
        <v>406</v>
      </c>
      <c r="F109" s="7" t="s">
        <v>406</v>
      </c>
      <c r="G109" s="7" t="s">
        <v>506</v>
      </c>
      <c r="H109" s="7" t="s">
        <v>372</v>
      </c>
      <c r="I109" s="7" t="s">
        <v>90</v>
      </c>
      <c r="J109" s="7" t="s">
        <v>363</v>
      </c>
      <c r="K109" s="7" t="s">
        <v>372</v>
      </c>
      <c r="L109" s="7" t="s">
        <v>389</v>
      </c>
      <c r="M109" s="8" t="s">
        <v>390</v>
      </c>
      <c r="N109" s="7" t="s">
        <v>391</v>
      </c>
      <c r="O109" s="10">
        <v>15.58</v>
      </c>
      <c r="P109" s="20">
        <v>12.3703705590233</v>
      </c>
      <c r="Q109" s="10">
        <v>3.20962944097671</v>
      </c>
      <c r="U109" s="7" t="s">
        <v>190</v>
      </c>
      <c r="V109" s="10">
        <v>0</v>
      </c>
      <c r="W109" s="10">
        <v>-221.8</v>
      </c>
    </row>
    <row r="110" spans="1:23">
      <c r="A110" s="6">
        <v>45869</v>
      </c>
      <c r="B110" s="7" t="s">
        <v>18</v>
      </c>
      <c r="C110" s="8" t="s">
        <v>501</v>
      </c>
      <c r="D110" s="7" t="s">
        <v>79</v>
      </c>
      <c r="E110" s="7" t="s">
        <v>406</v>
      </c>
      <c r="F110" s="7" t="s">
        <v>406</v>
      </c>
      <c r="G110" s="7" t="s">
        <v>43</v>
      </c>
      <c r="H110" s="7" t="s">
        <v>407</v>
      </c>
      <c r="I110" s="7" t="s">
        <v>90</v>
      </c>
      <c r="J110" s="7" t="s">
        <v>363</v>
      </c>
      <c r="K110" s="7" t="s">
        <v>372</v>
      </c>
      <c r="L110" s="7" t="s">
        <v>389</v>
      </c>
      <c r="M110" s="8" t="s">
        <v>390</v>
      </c>
      <c r="N110" s="7" t="s">
        <v>391</v>
      </c>
      <c r="O110" s="10">
        <v>27890.87</v>
      </c>
      <c r="P110" s="20">
        <v>22416.1332550415</v>
      </c>
      <c r="Q110" s="10">
        <v>5474.7367449585</v>
      </c>
      <c r="U110" s="7" t="s">
        <v>219</v>
      </c>
      <c r="V110" s="10">
        <v>0</v>
      </c>
      <c r="W110" s="10">
        <v>19.41</v>
      </c>
    </row>
    <row r="111" spans="1:23">
      <c r="A111" s="6">
        <v>45869</v>
      </c>
      <c r="B111" s="7" t="s">
        <v>18</v>
      </c>
      <c r="C111" s="8" t="s">
        <v>501</v>
      </c>
      <c r="D111" s="7" t="s">
        <v>79</v>
      </c>
      <c r="E111" s="7" t="s">
        <v>406</v>
      </c>
      <c r="F111" s="7" t="s">
        <v>406</v>
      </c>
      <c r="G111" s="7" t="s">
        <v>261</v>
      </c>
      <c r="H111" s="7" t="s">
        <v>372</v>
      </c>
      <c r="I111" s="7" t="s">
        <v>90</v>
      </c>
      <c r="J111" s="7" t="s">
        <v>363</v>
      </c>
      <c r="K111" s="7" t="s">
        <v>372</v>
      </c>
      <c r="L111" s="7" t="s">
        <v>389</v>
      </c>
      <c r="M111" s="8" t="s">
        <v>390</v>
      </c>
      <c r="N111" s="7" t="s">
        <v>391</v>
      </c>
      <c r="O111" s="10">
        <v>4303.4</v>
      </c>
      <c r="P111" s="20">
        <v>3416.8583224455</v>
      </c>
      <c r="Q111" s="10">
        <v>886.541677554504</v>
      </c>
      <c r="U111" s="7" t="s">
        <v>134</v>
      </c>
      <c r="V111" s="10">
        <v>0</v>
      </c>
      <c r="W111" s="10">
        <v>252.41</v>
      </c>
    </row>
    <row r="112" spans="1:23">
      <c r="A112" s="6">
        <v>45869</v>
      </c>
      <c r="B112" s="7" t="s">
        <v>18</v>
      </c>
      <c r="C112" s="8" t="s">
        <v>501</v>
      </c>
      <c r="D112" s="7" t="s">
        <v>79</v>
      </c>
      <c r="E112" s="7" t="s">
        <v>406</v>
      </c>
      <c r="F112" s="7" t="s">
        <v>406</v>
      </c>
      <c r="G112" s="7" t="s">
        <v>51</v>
      </c>
      <c r="H112" s="7" t="s">
        <v>407</v>
      </c>
      <c r="I112" s="7" t="s">
        <v>90</v>
      </c>
      <c r="J112" s="7" t="s">
        <v>362</v>
      </c>
      <c r="K112" s="7" t="s">
        <v>372</v>
      </c>
      <c r="L112" s="7" t="s">
        <v>389</v>
      </c>
      <c r="M112" s="8" t="s">
        <v>390</v>
      </c>
      <c r="N112" s="7" t="s">
        <v>391</v>
      </c>
      <c r="O112" s="10">
        <v>2033.2</v>
      </c>
      <c r="P112" s="20">
        <v>1305.06</v>
      </c>
      <c r="Q112" s="10">
        <v>728.14</v>
      </c>
      <c r="U112" s="7" t="s">
        <v>74</v>
      </c>
      <c r="V112" s="10">
        <v>0</v>
      </c>
      <c r="W112" s="10">
        <v>2227.42</v>
      </c>
    </row>
    <row r="113" spans="1:23">
      <c r="A113" s="6">
        <v>45869</v>
      </c>
      <c r="B113" s="7" t="s">
        <v>18</v>
      </c>
      <c r="C113" s="8" t="s">
        <v>507</v>
      </c>
      <c r="D113" s="7" t="s">
        <v>50</v>
      </c>
      <c r="E113" s="7" t="s">
        <v>406</v>
      </c>
      <c r="F113" s="7" t="s">
        <v>406</v>
      </c>
      <c r="G113" s="7" t="s">
        <v>508</v>
      </c>
      <c r="H113" s="7" t="s">
        <v>372</v>
      </c>
      <c r="I113" s="7" t="s">
        <v>45</v>
      </c>
      <c r="J113" s="7" t="s">
        <v>352</v>
      </c>
      <c r="K113" s="7" t="s">
        <v>372</v>
      </c>
      <c r="L113" s="7" t="s">
        <v>389</v>
      </c>
      <c r="M113" s="8" t="s">
        <v>390</v>
      </c>
      <c r="N113" s="7" t="s">
        <v>391</v>
      </c>
      <c r="O113" s="10">
        <v>-31470.06</v>
      </c>
      <c r="P113" s="10">
        <v>-31470.06</v>
      </c>
      <c r="Q113" s="10">
        <v>0</v>
      </c>
      <c r="U113" s="7" t="s">
        <v>80</v>
      </c>
      <c r="V113" s="10">
        <v>0</v>
      </c>
      <c r="W113" s="10">
        <v>105214.6</v>
      </c>
    </row>
    <row r="114" spans="1:23">
      <c r="A114" s="6">
        <v>45869</v>
      </c>
      <c r="B114" s="7" t="s">
        <v>18</v>
      </c>
      <c r="C114" s="8" t="s">
        <v>509</v>
      </c>
      <c r="D114" s="7" t="s">
        <v>50</v>
      </c>
      <c r="E114" s="7" t="s">
        <v>510</v>
      </c>
      <c r="F114" s="7" t="s">
        <v>419</v>
      </c>
      <c r="G114" s="7" t="s">
        <v>426</v>
      </c>
      <c r="H114" s="7" t="s">
        <v>372</v>
      </c>
      <c r="I114" s="7" t="s">
        <v>45</v>
      </c>
      <c r="J114" s="7" t="s">
        <v>352</v>
      </c>
      <c r="K114" s="7" t="s">
        <v>372</v>
      </c>
      <c r="L114" s="7" t="s">
        <v>394</v>
      </c>
      <c r="M114" s="8">
        <v>6001.02</v>
      </c>
      <c r="N114" s="7" t="s">
        <v>395</v>
      </c>
      <c r="O114" s="10">
        <v>5727.28</v>
      </c>
      <c r="P114" s="10">
        <v>0</v>
      </c>
      <c r="Q114" s="10">
        <v>5727.28</v>
      </c>
      <c r="U114" s="7" t="s">
        <v>294</v>
      </c>
      <c r="V114" s="10">
        <v>-14690</v>
      </c>
      <c r="W114" s="10">
        <v>0</v>
      </c>
    </row>
    <row r="115" spans="1:23">
      <c r="A115" s="6">
        <v>45869</v>
      </c>
      <c r="B115" s="7" t="s">
        <v>18</v>
      </c>
      <c r="C115" s="8" t="s">
        <v>511</v>
      </c>
      <c r="D115" s="7" t="s">
        <v>50</v>
      </c>
      <c r="E115" s="7" t="s">
        <v>512</v>
      </c>
      <c r="F115" s="7" t="s">
        <v>415</v>
      </c>
      <c r="G115" s="7" t="s">
        <v>416</v>
      </c>
      <c r="H115" s="7" t="s">
        <v>372</v>
      </c>
      <c r="I115" s="7" t="s">
        <v>45</v>
      </c>
      <c r="J115" s="7" t="s">
        <v>295</v>
      </c>
      <c r="K115" s="7" t="s">
        <v>372</v>
      </c>
      <c r="L115" s="7" t="s">
        <v>394</v>
      </c>
      <c r="M115" s="8">
        <v>6001.02</v>
      </c>
      <c r="N115" s="7" t="s">
        <v>395</v>
      </c>
      <c r="O115" s="10">
        <v>-8708.52</v>
      </c>
      <c r="P115" s="10">
        <v>0</v>
      </c>
      <c r="Q115" s="10">
        <v>-8708.52</v>
      </c>
      <c r="U115" s="7" t="s">
        <v>296</v>
      </c>
      <c r="V115" s="10">
        <v>21794.34</v>
      </c>
      <c r="W115" s="10">
        <v>0</v>
      </c>
    </row>
    <row r="116" spans="1:23">
      <c r="A116" s="6">
        <v>45869</v>
      </c>
      <c r="B116" s="7" t="s">
        <v>18</v>
      </c>
      <c r="C116" s="8" t="s">
        <v>513</v>
      </c>
      <c r="D116" s="7" t="s">
        <v>50</v>
      </c>
      <c r="E116" s="7" t="s">
        <v>514</v>
      </c>
      <c r="F116" s="7" t="s">
        <v>419</v>
      </c>
      <c r="G116" s="7" t="s">
        <v>426</v>
      </c>
      <c r="H116" s="7" t="s">
        <v>372</v>
      </c>
      <c r="I116" s="7" t="s">
        <v>45</v>
      </c>
      <c r="J116" s="7" t="s">
        <v>359</v>
      </c>
      <c r="K116" s="7" t="s">
        <v>372</v>
      </c>
      <c r="L116" s="7" t="s">
        <v>394</v>
      </c>
      <c r="M116" s="8">
        <v>6001.02</v>
      </c>
      <c r="N116" s="7" t="s">
        <v>395</v>
      </c>
      <c r="O116" s="10">
        <v>2726.84</v>
      </c>
      <c r="P116" s="10">
        <v>0</v>
      </c>
      <c r="Q116" s="10">
        <v>2726.84</v>
      </c>
      <c r="U116" s="7" t="s">
        <v>298</v>
      </c>
      <c r="V116" s="10">
        <v>0</v>
      </c>
      <c r="W116" s="10">
        <v>5195.12</v>
      </c>
    </row>
    <row r="117" spans="1:23">
      <c r="A117" s="6">
        <v>45869</v>
      </c>
      <c r="B117" s="7" t="s">
        <v>18</v>
      </c>
      <c r="C117" s="8" t="s">
        <v>515</v>
      </c>
      <c r="D117" s="7" t="s">
        <v>50</v>
      </c>
      <c r="E117" s="7" t="s">
        <v>512</v>
      </c>
      <c r="F117" s="7" t="s">
        <v>415</v>
      </c>
      <c r="G117" s="7" t="s">
        <v>416</v>
      </c>
      <c r="H117" s="7" t="s">
        <v>372</v>
      </c>
      <c r="I117" s="7" t="s">
        <v>45</v>
      </c>
      <c r="J117" s="7" t="s">
        <v>296</v>
      </c>
      <c r="K117" s="7" t="s">
        <v>372</v>
      </c>
      <c r="L117" s="7" t="s">
        <v>394</v>
      </c>
      <c r="M117" s="8">
        <v>6001.02</v>
      </c>
      <c r="N117" s="7" t="s">
        <v>395</v>
      </c>
      <c r="O117" s="10">
        <v>-12953.84</v>
      </c>
      <c r="P117" s="10">
        <v>0</v>
      </c>
      <c r="Q117" s="10">
        <v>-12953.84</v>
      </c>
      <c r="U117" s="7" t="s">
        <v>365</v>
      </c>
      <c r="V117" s="10">
        <v>0</v>
      </c>
      <c r="W117" s="10">
        <v>-151040</v>
      </c>
    </row>
    <row r="118" spans="1:23">
      <c r="A118" s="6">
        <v>45869</v>
      </c>
      <c r="B118" s="7" t="s">
        <v>18</v>
      </c>
      <c r="C118" s="8" t="s">
        <v>516</v>
      </c>
      <c r="D118" s="7" t="s">
        <v>50</v>
      </c>
      <c r="E118" s="7" t="s">
        <v>514</v>
      </c>
      <c r="F118" s="7" t="s">
        <v>419</v>
      </c>
      <c r="G118" s="7" t="s">
        <v>426</v>
      </c>
      <c r="H118" s="7" t="s">
        <v>372</v>
      </c>
      <c r="I118" s="7" t="s">
        <v>45</v>
      </c>
      <c r="J118" s="7" t="s">
        <v>359</v>
      </c>
      <c r="K118" s="7" t="s">
        <v>372</v>
      </c>
      <c r="L118" s="7" t="s">
        <v>394</v>
      </c>
      <c r="M118" s="8">
        <v>6001.02</v>
      </c>
      <c r="N118" s="7" t="s">
        <v>395</v>
      </c>
      <c r="O118" s="10">
        <v>41239.23</v>
      </c>
      <c r="P118" s="10">
        <v>0</v>
      </c>
      <c r="Q118" s="10">
        <v>41239.23</v>
      </c>
      <c r="U118" s="7" t="s">
        <v>429</v>
      </c>
      <c r="V118" s="10">
        <v>3340.46</v>
      </c>
      <c r="W118" s="10">
        <v>0</v>
      </c>
    </row>
    <row r="119" spans="1:23">
      <c r="A119" s="6">
        <v>45869</v>
      </c>
      <c r="B119" s="7" t="s">
        <v>18</v>
      </c>
      <c r="C119" s="8" t="s">
        <v>517</v>
      </c>
      <c r="D119" s="7" t="s">
        <v>77</v>
      </c>
      <c r="E119" s="7" t="s">
        <v>406</v>
      </c>
      <c r="F119" s="7" t="s">
        <v>406</v>
      </c>
      <c r="G119" s="7"/>
      <c r="H119" s="7" t="s">
        <v>372</v>
      </c>
      <c r="I119" s="7" t="s">
        <v>42</v>
      </c>
      <c r="J119" s="7" t="s">
        <v>161</v>
      </c>
      <c r="K119" s="7" t="s">
        <v>372</v>
      </c>
      <c r="L119" s="7" t="s">
        <v>389</v>
      </c>
      <c r="M119" s="8" t="s">
        <v>436</v>
      </c>
      <c r="N119" s="7" t="s">
        <v>437</v>
      </c>
      <c r="O119" s="10">
        <v>0</v>
      </c>
      <c r="P119" s="10">
        <v>14371.48</v>
      </c>
      <c r="Q119" s="10">
        <v>-14371.48</v>
      </c>
      <c r="S119" s="7" t="s">
        <v>57</v>
      </c>
      <c r="V119" s="10">
        <v>-3549.77000000002</v>
      </c>
      <c r="W119" s="10">
        <v>-228689.6</v>
      </c>
    </row>
    <row r="120" spans="1:23">
      <c r="A120" s="6">
        <v>45869</v>
      </c>
      <c r="B120" s="7" t="s">
        <v>18</v>
      </c>
      <c r="C120" s="8" t="s">
        <v>517</v>
      </c>
      <c r="D120" s="7" t="s">
        <v>77</v>
      </c>
      <c r="E120" s="7" t="s">
        <v>406</v>
      </c>
      <c r="F120" s="7" t="s">
        <v>406</v>
      </c>
      <c r="G120" s="7"/>
      <c r="H120" s="7" t="s">
        <v>372</v>
      </c>
      <c r="I120" s="7" t="s">
        <v>42</v>
      </c>
      <c r="J120" s="7" t="s">
        <v>103</v>
      </c>
      <c r="K120" s="7" t="s">
        <v>372</v>
      </c>
      <c r="L120" s="7" t="s">
        <v>389</v>
      </c>
      <c r="M120" s="8" t="s">
        <v>436</v>
      </c>
      <c r="N120" s="7" t="s">
        <v>437</v>
      </c>
      <c r="O120" s="10">
        <v>0</v>
      </c>
      <c r="P120" s="10">
        <v>632.55</v>
      </c>
      <c r="Q120" s="10">
        <v>-632.55</v>
      </c>
      <c r="T120" s="7" t="s">
        <v>42</v>
      </c>
      <c r="V120" s="10">
        <v>-3549.77</v>
      </c>
      <c r="W120" s="10">
        <v>-227425.1</v>
      </c>
    </row>
    <row r="121" spans="1:23">
      <c r="A121" s="6">
        <v>45869</v>
      </c>
      <c r="B121" s="7" t="s">
        <v>18</v>
      </c>
      <c r="C121" s="8" t="s">
        <v>517</v>
      </c>
      <c r="D121" s="7" t="s">
        <v>77</v>
      </c>
      <c r="E121" s="7" t="s">
        <v>406</v>
      </c>
      <c r="F121" s="7" t="s">
        <v>406</v>
      </c>
      <c r="G121" s="7"/>
      <c r="H121" s="7" t="s">
        <v>372</v>
      </c>
      <c r="I121" s="7" t="s">
        <v>42</v>
      </c>
      <c r="J121" s="7" t="s">
        <v>238</v>
      </c>
      <c r="K121" s="7" t="s">
        <v>372</v>
      </c>
      <c r="L121" s="7" t="s">
        <v>389</v>
      </c>
      <c r="M121" s="8" t="s">
        <v>436</v>
      </c>
      <c r="N121" s="7" t="s">
        <v>437</v>
      </c>
      <c r="O121" s="10">
        <v>0</v>
      </c>
      <c r="P121" s="10">
        <v>384643.53</v>
      </c>
      <c r="Q121" s="10">
        <v>-384643.53</v>
      </c>
      <c r="U121" s="7" t="s">
        <v>101</v>
      </c>
      <c r="V121" s="10">
        <v>0</v>
      </c>
      <c r="W121" s="10">
        <v>-140564.7</v>
      </c>
    </row>
    <row r="122" spans="1:23">
      <c r="A122" s="6">
        <v>45869</v>
      </c>
      <c r="B122" s="7" t="s">
        <v>18</v>
      </c>
      <c r="C122" s="8" t="s">
        <v>517</v>
      </c>
      <c r="D122" s="7" t="s">
        <v>77</v>
      </c>
      <c r="E122" s="7" t="s">
        <v>406</v>
      </c>
      <c r="F122" s="7" t="s">
        <v>406</v>
      </c>
      <c r="G122" s="7"/>
      <c r="H122" s="7" t="s">
        <v>372</v>
      </c>
      <c r="I122" s="7" t="s">
        <v>42</v>
      </c>
      <c r="J122" s="7" t="s">
        <v>312</v>
      </c>
      <c r="K122" s="7" t="s">
        <v>372</v>
      </c>
      <c r="L122" s="7" t="s">
        <v>389</v>
      </c>
      <c r="M122" s="8" t="s">
        <v>436</v>
      </c>
      <c r="N122" s="7" t="s">
        <v>437</v>
      </c>
      <c r="O122" s="10">
        <v>0</v>
      </c>
      <c r="P122" s="10">
        <v>51070.52</v>
      </c>
      <c r="Q122" s="10">
        <v>-51070.52</v>
      </c>
      <c r="U122" s="7" t="s">
        <v>147</v>
      </c>
      <c r="V122" s="10">
        <v>0</v>
      </c>
      <c r="W122" s="10">
        <v>-116018.2</v>
      </c>
    </row>
    <row r="123" spans="1:23">
      <c r="A123" s="6">
        <v>45869</v>
      </c>
      <c r="B123" s="7" t="s">
        <v>18</v>
      </c>
      <c r="C123" s="8" t="s">
        <v>517</v>
      </c>
      <c r="D123" s="7" t="s">
        <v>77</v>
      </c>
      <c r="E123" s="7" t="s">
        <v>406</v>
      </c>
      <c r="F123" s="7" t="s">
        <v>406</v>
      </c>
      <c r="G123" s="7"/>
      <c r="H123" s="7" t="s">
        <v>372</v>
      </c>
      <c r="I123" s="7" t="s">
        <v>42</v>
      </c>
      <c r="J123" s="7" t="s">
        <v>300</v>
      </c>
      <c r="K123" s="7" t="s">
        <v>372</v>
      </c>
      <c r="L123" s="7" t="s">
        <v>389</v>
      </c>
      <c r="M123" s="8" t="s">
        <v>436</v>
      </c>
      <c r="N123" s="7" t="s">
        <v>437</v>
      </c>
      <c r="O123" s="10">
        <v>0</v>
      </c>
      <c r="P123" s="10">
        <v>16297.05</v>
      </c>
      <c r="Q123" s="10">
        <v>-16297.05</v>
      </c>
      <c r="U123" s="7" t="s">
        <v>85</v>
      </c>
      <c r="V123" s="10">
        <v>0</v>
      </c>
      <c r="W123" s="10">
        <v>29640.1</v>
      </c>
    </row>
    <row r="124" spans="1:23">
      <c r="A124" s="6">
        <v>45869</v>
      </c>
      <c r="B124" s="7" t="s">
        <v>18</v>
      </c>
      <c r="C124" s="8" t="s">
        <v>517</v>
      </c>
      <c r="D124" s="7" t="s">
        <v>77</v>
      </c>
      <c r="E124" s="7" t="s">
        <v>406</v>
      </c>
      <c r="F124" s="7" t="s">
        <v>406</v>
      </c>
      <c r="G124" s="7"/>
      <c r="H124" s="7" t="s">
        <v>372</v>
      </c>
      <c r="I124" s="7" t="s">
        <v>42</v>
      </c>
      <c r="J124" s="7" t="s">
        <v>161</v>
      </c>
      <c r="K124" s="7" t="s">
        <v>372</v>
      </c>
      <c r="L124" s="7" t="s">
        <v>389</v>
      </c>
      <c r="M124" s="8" t="s">
        <v>436</v>
      </c>
      <c r="N124" s="7" t="s">
        <v>437</v>
      </c>
      <c r="O124" s="10">
        <v>0</v>
      </c>
      <c r="P124" s="10">
        <v>486.79</v>
      </c>
      <c r="Q124" s="10">
        <v>-486.79</v>
      </c>
      <c r="U124" s="7" t="s">
        <v>253</v>
      </c>
      <c r="V124" s="10">
        <v>0</v>
      </c>
      <c r="W124" s="10">
        <v>-482.3</v>
      </c>
    </row>
    <row r="125" spans="1:23">
      <c r="A125" s="6">
        <v>45869</v>
      </c>
      <c r="B125" s="7" t="s">
        <v>18</v>
      </c>
      <c r="C125" s="8" t="s">
        <v>517</v>
      </c>
      <c r="D125" s="7" t="s">
        <v>77</v>
      </c>
      <c r="E125" s="7" t="s">
        <v>406</v>
      </c>
      <c r="F125" s="7" t="s">
        <v>406</v>
      </c>
      <c r="G125" s="7"/>
      <c r="H125" s="7" t="s">
        <v>372</v>
      </c>
      <c r="I125" s="7" t="s">
        <v>42</v>
      </c>
      <c r="J125" s="7" t="s">
        <v>340</v>
      </c>
      <c r="K125" s="7" t="s">
        <v>372</v>
      </c>
      <c r="L125" s="7" t="s">
        <v>389</v>
      </c>
      <c r="M125" s="8" t="s">
        <v>436</v>
      </c>
      <c r="N125" s="7" t="s">
        <v>437</v>
      </c>
      <c r="O125" s="10">
        <v>0</v>
      </c>
      <c r="P125" s="10">
        <v>808.87</v>
      </c>
      <c r="Q125" s="10">
        <v>-808.87</v>
      </c>
      <c r="U125" s="7" t="s">
        <v>429</v>
      </c>
      <c r="V125" s="10">
        <v>-3549.77</v>
      </c>
      <c r="W125" s="10">
        <v>0</v>
      </c>
    </row>
    <row r="126" spans="1:23">
      <c r="A126" s="6">
        <v>45869</v>
      </c>
      <c r="B126" s="7" t="s">
        <v>18</v>
      </c>
      <c r="C126" s="8" t="s">
        <v>517</v>
      </c>
      <c r="D126" s="7" t="s">
        <v>77</v>
      </c>
      <c r="E126" s="7" t="s">
        <v>406</v>
      </c>
      <c r="F126" s="7" t="s">
        <v>406</v>
      </c>
      <c r="G126" s="7"/>
      <c r="H126" s="7" t="s">
        <v>372</v>
      </c>
      <c r="I126" s="7" t="s">
        <v>42</v>
      </c>
      <c r="J126" s="7" t="s">
        <v>238</v>
      </c>
      <c r="K126" s="7" t="s">
        <v>372</v>
      </c>
      <c r="L126" s="7" t="s">
        <v>389</v>
      </c>
      <c r="M126" s="8" t="s">
        <v>436</v>
      </c>
      <c r="N126" s="7" t="s">
        <v>437</v>
      </c>
      <c r="O126" s="10">
        <v>0</v>
      </c>
      <c r="P126" s="10">
        <v>226625.32</v>
      </c>
      <c r="Q126" s="10">
        <v>-226625.32</v>
      </c>
      <c r="T126" s="7" t="s">
        <v>47</v>
      </c>
      <c r="V126" s="10">
        <v>-1.63709046319127e-11</v>
      </c>
      <c r="W126" s="10">
        <v>-1264.5</v>
      </c>
    </row>
    <row r="127" spans="1:23">
      <c r="A127" s="6">
        <v>45869</v>
      </c>
      <c r="B127" s="7" t="s">
        <v>18</v>
      </c>
      <c r="C127" s="8" t="s">
        <v>517</v>
      </c>
      <c r="D127" s="7" t="s">
        <v>77</v>
      </c>
      <c r="E127" s="7" t="s">
        <v>406</v>
      </c>
      <c r="F127" s="7" t="s">
        <v>406</v>
      </c>
      <c r="G127" s="7"/>
      <c r="H127" s="7" t="s">
        <v>372</v>
      </c>
      <c r="I127" s="7" t="s">
        <v>42</v>
      </c>
      <c r="J127" s="7" t="s">
        <v>300</v>
      </c>
      <c r="K127" s="7" t="s">
        <v>372</v>
      </c>
      <c r="L127" s="7" t="s">
        <v>389</v>
      </c>
      <c r="M127" s="8" t="s">
        <v>436</v>
      </c>
      <c r="N127" s="7" t="s">
        <v>437</v>
      </c>
      <c r="O127" s="10">
        <v>0</v>
      </c>
      <c r="P127" s="10">
        <v>3622.58</v>
      </c>
      <c r="Q127" s="10">
        <v>-3622.58</v>
      </c>
      <c r="U127" s="7" t="s">
        <v>112</v>
      </c>
      <c r="V127" s="10">
        <v>0</v>
      </c>
      <c r="W127" s="10">
        <v>131.5</v>
      </c>
    </row>
    <row r="128" spans="1:23">
      <c r="A128" s="6">
        <v>45869</v>
      </c>
      <c r="B128" s="7" t="s">
        <v>18</v>
      </c>
      <c r="C128" s="8" t="s">
        <v>517</v>
      </c>
      <c r="D128" s="7" t="s">
        <v>77</v>
      </c>
      <c r="E128" s="7" t="s">
        <v>406</v>
      </c>
      <c r="F128" s="7" t="s">
        <v>406</v>
      </c>
      <c r="G128" s="7"/>
      <c r="H128" s="7" t="s">
        <v>372</v>
      </c>
      <c r="I128" s="7" t="s">
        <v>42</v>
      </c>
      <c r="J128" s="7" t="s">
        <v>288</v>
      </c>
      <c r="K128" s="7" t="s">
        <v>372</v>
      </c>
      <c r="L128" s="7" t="s">
        <v>389</v>
      </c>
      <c r="M128" s="8" t="s">
        <v>436</v>
      </c>
      <c r="N128" s="7" t="s">
        <v>437</v>
      </c>
      <c r="O128" s="10">
        <v>0</v>
      </c>
      <c r="P128" s="10">
        <v>4286.94</v>
      </c>
      <c r="Q128" s="10">
        <v>-4286.94</v>
      </c>
      <c r="U128" s="7" t="s">
        <v>105</v>
      </c>
      <c r="V128" s="10">
        <v>-1.63709046319127e-11</v>
      </c>
      <c r="W128" s="10">
        <v>0</v>
      </c>
    </row>
    <row r="129" spans="1:23">
      <c r="A129" s="6">
        <v>45869</v>
      </c>
      <c r="B129" s="7" t="s">
        <v>18</v>
      </c>
      <c r="C129" s="8" t="s">
        <v>517</v>
      </c>
      <c r="D129" s="7" t="s">
        <v>77</v>
      </c>
      <c r="E129" s="7" t="s">
        <v>406</v>
      </c>
      <c r="F129" s="7" t="s">
        <v>406</v>
      </c>
      <c r="G129" s="7"/>
      <c r="H129" s="7" t="s">
        <v>372</v>
      </c>
      <c r="I129" s="7" t="s">
        <v>42</v>
      </c>
      <c r="J129" s="7" t="s">
        <v>312</v>
      </c>
      <c r="K129" s="7" t="s">
        <v>372</v>
      </c>
      <c r="L129" s="7" t="s">
        <v>389</v>
      </c>
      <c r="M129" s="8" t="s">
        <v>436</v>
      </c>
      <c r="N129" s="7" t="s">
        <v>437</v>
      </c>
      <c r="O129" s="10">
        <v>0</v>
      </c>
      <c r="P129" s="10">
        <v>23053.61</v>
      </c>
      <c r="Q129" s="10">
        <v>-23053.61</v>
      </c>
      <c r="U129" s="7" t="s">
        <v>152</v>
      </c>
      <c r="V129" s="10">
        <v>0</v>
      </c>
      <c r="W129" s="10">
        <v>-1396</v>
      </c>
    </row>
    <row r="130" spans="1:23">
      <c r="A130" s="6">
        <v>45869</v>
      </c>
      <c r="B130" s="7" t="s">
        <v>18</v>
      </c>
      <c r="C130" s="8" t="s">
        <v>517</v>
      </c>
      <c r="D130" s="7" t="s">
        <v>77</v>
      </c>
      <c r="E130" s="7" t="s">
        <v>406</v>
      </c>
      <c r="F130" s="7" t="s">
        <v>406</v>
      </c>
      <c r="G130" s="7"/>
      <c r="H130" s="7" t="s">
        <v>372</v>
      </c>
      <c r="I130" s="7" t="s">
        <v>42</v>
      </c>
      <c r="J130" s="7" t="s">
        <v>76</v>
      </c>
      <c r="K130" s="7" t="s">
        <v>372</v>
      </c>
      <c r="L130" s="7" t="s">
        <v>389</v>
      </c>
      <c r="M130" s="8" t="s">
        <v>436</v>
      </c>
      <c r="N130" s="7" t="s">
        <v>437</v>
      </c>
      <c r="O130" s="10">
        <v>0</v>
      </c>
      <c r="P130" s="10">
        <v>128773.02</v>
      </c>
      <c r="Q130" s="10">
        <v>-128773.02</v>
      </c>
      <c r="S130" s="7" t="s">
        <v>16</v>
      </c>
      <c r="V130" s="10">
        <v>3460605.66</v>
      </c>
      <c r="W130" s="10">
        <v>4822458.68745445</v>
      </c>
    </row>
    <row r="131" spans="1:17">
      <c r="A131" s="6">
        <v>45869</v>
      </c>
      <c r="B131" s="7" t="s">
        <v>18</v>
      </c>
      <c r="C131" s="8" t="s">
        <v>517</v>
      </c>
      <c r="D131" s="7" t="s">
        <v>77</v>
      </c>
      <c r="E131" s="7" t="s">
        <v>406</v>
      </c>
      <c r="F131" s="7" t="s">
        <v>406</v>
      </c>
      <c r="G131" s="7"/>
      <c r="H131" s="7" t="s">
        <v>372</v>
      </c>
      <c r="I131" s="7" t="s">
        <v>42</v>
      </c>
      <c r="J131" s="7" t="s">
        <v>288</v>
      </c>
      <c r="K131" s="7" t="s">
        <v>372</v>
      </c>
      <c r="L131" s="7" t="s">
        <v>389</v>
      </c>
      <c r="M131" s="8" t="s">
        <v>436</v>
      </c>
      <c r="N131" s="7" t="s">
        <v>437</v>
      </c>
      <c r="O131" s="10">
        <v>0</v>
      </c>
      <c r="P131" s="10">
        <v>16022.49</v>
      </c>
      <c r="Q131" s="10">
        <v>-16022.49</v>
      </c>
    </row>
    <row r="132" spans="1:17">
      <c r="A132" s="6">
        <v>45869</v>
      </c>
      <c r="B132" s="7" t="s">
        <v>18</v>
      </c>
      <c r="C132" s="8" t="s">
        <v>518</v>
      </c>
      <c r="D132" s="7" t="s">
        <v>43</v>
      </c>
      <c r="E132" s="7" t="s">
        <v>406</v>
      </c>
      <c r="F132" s="7" t="s">
        <v>406</v>
      </c>
      <c r="G132" s="7"/>
      <c r="H132" s="7" t="s">
        <v>372</v>
      </c>
      <c r="I132" s="7" t="s">
        <v>47</v>
      </c>
      <c r="J132" s="7" t="s">
        <v>219</v>
      </c>
      <c r="K132" s="7" t="s">
        <v>372</v>
      </c>
      <c r="L132" s="7" t="s">
        <v>389</v>
      </c>
      <c r="M132" s="8" t="s">
        <v>436</v>
      </c>
      <c r="N132" s="7" t="s">
        <v>437</v>
      </c>
      <c r="O132" s="10">
        <v>0</v>
      </c>
      <c r="P132" s="10">
        <v>19.41</v>
      </c>
      <c r="Q132" s="10">
        <v>-19.41</v>
      </c>
    </row>
    <row r="133" spans="1:17">
      <c r="A133" s="6">
        <v>45869</v>
      </c>
      <c r="B133" s="7" t="s">
        <v>18</v>
      </c>
      <c r="C133" s="8" t="s">
        <v>519</v>
      </c>
      <c r="D133" s="7" t="s">
        <v>77</v>
      </c>
      <c r="E133" s="7" t="s">
        <v>406</v>
      </c>
      <c r="F133" s="7" t="s">
        <v>406</v>
      </c>
      <c r="G133" s="7"/>
      <c r="H133" s="7" t="s">
        <v>372</v>
      </c>
      <c r="I133" s="7" t="s">
        <v>42</v>
      </c>
      <c r="J133" s="7" t="s">
        <v>312</v>
      </c>
      <c r="K133" s="7" t="s">
        <v>372</v>
      </c>
      <c r="L133" s="7" t="s">
        <v>389</v>
      </c>
      <c r="M133" s="8" t="s">
        <v>436</v>
      </c>
      <c r="N133" s="7" t="s">
        <v>437</v>
      </c>
      <c r="O133" s="10">
        <v>0</v>
      </c>
      <c r="P133" s="10">
        <v>-8985.73</v>
      </c>
      <c r="Q133" s="10">
        <v>8985.73</v>
      </c>
    </row>
    <row r="134" spans="1:17">
      <c r="A134" s="6">
        <v>45869</v>
      </c>
      <c r="B134" s="7" t="s">
        <v>18</v>
      </c>
      <c r="C134" s="8" t="s">
        <v>520</v>
      </c>
      <c r="D134" s="7" t="s">
        <v>43</v>
      </c>
      <c r="E134" s="7" t="s">
        <v>406</v>
      </c>
      <c r="F134" s="7" t="s">
        <v>406</v>
      </c>
      <c r="G134" s="7"/>
      <c r="H134" s="7" t="s">
        <v>372</v>
      </c>
      <c r="I134" s="7" t="s">
        <v>47</v>
      </c>
      <c r="J134" s="7" t="s">
        <v>365</v>
      </c>
      <c r="K134" s="7" t="s">
        <v>372</v>
      </c>
      <c r="L134" s="7" t="s">
        <v>389</v>
      </c>
      <c r="M134" s="8" t="s">
        <v>436</v>
      </c>
      <c r="N134" s="7" t="s">
        <v>437</v>
      </c>
      <c r="O134" s="10">
        <v>0</v>
      </c>
      <c r="P134" s="10">
        <v>-151040</v>
      </c>
      <c r="Q134" s="10">
        <v>151040</v>
      </c>
    </row>
    <row r="135" spans="1:17">
      <c r="A135" s="6">
        <v>45869</v>
      </c>
      <c r="B135" s="7" t="s">
        <v>18</v>
      </c>
      <c r="C135" s="8" t="s">
        <v>521</v>
      </c>
      <c r="D135" s="7" t="s">
        <v>43</v>
      </c>
      <c r="E135" s="7" t="s">
        <v>406</v>
      </c>
      <c r="F135" s="7" t="s">
        <v>406</v>
      </c>
      <c r="G135" s="7"/>
      <c r="H135" s="7" t="s">
        <v>372</v>
      </c>
      <c r="I135" s="7" t="s">
        <v>42</v>
      </c>
      <c r="J135" s="7" t="s">
        <v>212</v>
      </c>
      <c r="K135" s="7" t="s">
        <v>372</v>
      </c>
      <c r="L135" s="7" t="s">
        <v>394</v>
      </c>
      <c r="M135" s="8">
        <v>6001.02</v>
      </c>
      <c r="N135" s="7" t="s">
        <v>395</v>
      </c>
      <c r="O135" s="10">
        <v>0</v>
      </c>
      <c r="P135" s="10">
        <v>48721.55</v>
      </c>
      <c r="Q135" s="10">
        <v>-48721.55</v>
      </c>
    </row>
    <row r="136" spans="1:17">
      <c r="A136" s="6">
        <v>45869</v>
      </c>
      <c r="B136" s="7" t="s">
        <v>18</v>
      </c>
      <c r="C136" s="8" t="s">
        <v>501</v>
      </c>
      <c r="D136" s="7" t="s">
        <v>79</v>
      </c>
      <c r="E136" s="7" t="s">
        <v>406</v>
      </c>
      <c r="F136" s="7" t="s">
        <v>406</v>
      </c>
      <c r="G136" s="7" t="s">
        <v>522</v>
      </c>
      <c r="H136" s="7" t="s">
        <v>372</v>
      </c>
      <c r="I136" s="7" t="s">
        <v>90</v>
      </c>
      <c r="J136" s="7" t="s">
        <v>364</v>
      </c>
      <c r="K136" s="7" t="s">
        <v>372</v>
      </c>
      <c r="L136" s="7" t="s">
        <v>389</v>
      </c>
      <c r="M136" s="8" t="s">
        <v>436</v>
      </c>
      <c r="N136" s="7" t="s">
        <v>437</v>
      </c>
      <c r="O136" s="10">
        <v>25185.9731737556</v>
      </c>
      <c r="P136" s="10">
        <v>20027.49</v>
      </c>
      <c r="Q136" s="10">
        <v>5158.48317375558</v>
      </c>
    </row>
    <row r="137" spans="1:17">
      <c r="A137" s="6">
        <v>45869</v>
      </c>
      <c r="B137" s="7" t="s">
        <v>18</v>
      </c>
      <c r="C137" s="8" t="s">
        <v>501</v>
      </c>
      <c r="D137" s="7" t="s">
        <v>79</v>
      </c>
      <c r="E137" s="7" t="s">
        <v>406</v>
      </c>
      <c r="F137" s="7" t="s">
        <v>406</v>
      </c>
      <c r="G137" s="7" t="s">
        <v>522</v>
      </c>
      <c r="H137" s="7" t="s">
        <v>372</v>
      </c>
      <c r="I137" s="7" t="s">
        <v>90</v>
      </c>
      <c r="J137" s="7" t="s">
        <v>361</v>
      </c>
      <c r="K137" s="7" t="s">
        <v>372</v>
      </c>
      <c r="L137" s="7" t="s">
        <v>389</v>
      </c>
      <c r="M137" s="8" t="s">
        <v>436</v>
      </c>
      <c r="N137" s="7" t="s">
        <v>437</v>
      </c>
      <c r="O137" s="10">
        <v>6835.83682624442</v>
      </c>
      <c r="P137" s="10">
        <v>5435.75</v>
      </c>
      <c r="Q137" s="10">
        <v>1400.08682624442</v>
      </c>
    </row>
    <row r="138" spans="1:17">
      <c r="A138" s="6">
        <v>45869</v>
      </c>
      <c r="B138" s="7" t="s">
        <v>18</v>
      </c>
      <c r="C138" s="8" t="s">
        <v>523</v>
      </c>
      <c r="D138" s="7" t="s">
        <v>146</v>
      </c>
      <c r="E138" s="7" t="s">
        <v>524</v>
      </c>
      <c r="F138" s="7" t="s">
        <v>432</v>
      </c>
      <c r="G138" s="7" t="s">
        <v>433</v>
      </c>
      <c r="H138" s="7" t="s">
        <v>372</v>
      </c>
      <c r="I138" s="7" t="s">
        <v>45</v>
      </c>
      <c r="J138" s="7" t="s">
        <v>295</v>
      </c>
      <c r="K138" s="7" t="s">
        <v>372</v>
      </c>
      <c r="L138" s="7" t="s">
        <v>394</v>
      </c>
      <c r="M138" s="8">
        <v>6001.02</v>
      </c>
      <c r="N138" s="7" t="s">
        <v>395</v>
      </c>
      <c r="O138" s="10">
        <v>6260.8</v>
      </c>
      <c r="P138" s="10">
        <v>6260.8</v>
      </c>
      <c r="Q138" s="10">
        <v>0</v>
      </c>
    </row>
    <row r="139" spans="1:17">
      <c r="A139" s="6">
        <v>45869</v>
      </c>
      <c r="B139" s="7" t="s">
        <v>18</v>
      </c>
      <c r="C139" s="8" t="s">
        <v>523</v>
      </c>
      <c r="D139" s="7" t="s">
        <v>146</v>
      </c>
      <c r="E139" s="7" t="s">
        <v>524</v>
      </c>
      <c r="F139" s="7" t="s">
        <v>432</v>
      </c>
      <c r="G139" s="7" t="s">
        <v>433</v>
      </c>
      <c r="H139" s="7" t="s">
        <v>372</v>
      </c>
      <c r="I139" s="7" t="s">
        <v>45</v>
      </c>
      <c r="J139" s="7" t="s">
        <v>296</v>
      </c>
      <c r="K139" s="7" t="s">
        <v>372</v>
      </c>
      <c r="L139" s="7" t="s">
        <v>394</v>
      </c>
      <c r="M139" s="8">
        <v>6001.02</v>
      </c>
      <c r="N139" s="7" t="s">
        <v>395</v>
      </c>
      <c r="O139" s="10">
        <v>492.9</v>
      </c>
      <c r="P139" s="10">
        <v>492.9</v>
      </c>
      <c r="Q139" s="10">
        <v>0</v>
      </c>
    </row>
    <row r="140" spans="1:17">
      <c r="A140" s="6">
        <v>45869</v>
      </c>
      <c r="B140" s="7" t="s">
        <v>18</v>
      </c>
      <c r="C140" s="8" t="s">
        <v>525</v>
      </c>
      <c r="D140" s="7" t="s">
        <v>43</v>
      </c>
      <c r="E140" s="7" t="s">
        <v>526</v>
      </c>
      <c r="F140" s="7" t="s">
        <v>410</v>
      </c>
      <c r="G140" s="7"/>
      <c r="H140" s="7" t="s">
        <v>372</v>
      </c>
      <c r="I140" s="7" t="s">
        <v>45</v>
      </c>
      <c r="J140" s="7" t="s">
        <v>296</v>
      </c>
      <c r="K140" s="7" t="s">
        <v>372</v>
      </c>
      <c r="L140" s="7" t="s">
        <v>394</v>
      </c>
      <c r="M140" s="8">
        <v>6001.02</v>
      </c>
      <c r="N140" s="7" t="s">
        <v>395</v>
      </c>
      <c r="O140" s="10">
        <v>0</v>
      </c>
      <c r="P140" s="10">
        <v>328</v>
      </c>
      <c r="Q140" s="10">
        <v>-328</v>
      </c>
    </row>
    <row r="141" spans="1:17">
      <c r="A141" s="6">
        <v>45869</v>
      </c>
      <c r="B141" s="7" t="s">
        <v>18</v>
      </c>
      <c r="C141" s="8" t="s">
        <v>527</v>
      </c>
      <c r="D141" s="7" t="s">
        <v>43</v>
      </c>
      <c r="E141" s="7" t="s">
        <v>528</v>
      </c>
      <c r="F141" s="7" t="s">
        <v>432</v>
      </c>
      <c r="G141" s="7" t="s">
        <v>433</v>
      </c>
      <c r="H141" s="7" t="s">
        <v>372</v>
      </c>
      <c r="I141" s="7" t="s">
        <v>45</v>
      </c>
      <c r="J141" s="7" t="s">
        <v>295</v>
      </c>
      <c r="K141" s="7" t="s">
        <v>372</v>
      </c>
      <c r="L141" s="7" t="s">
        <v>394</v>
      </c>
      <c r="M141" s="8">
        <v>6001.02</v>
      </c>
      <c r="N141" s="7" t="s">
        <v>395</v>
      </c>
      <c r="O141" s="10">
        <v>31318.2</v>
      </c>
      <c r="P141" s="10">
        <v>31318.2</v>
      </c>
      <c r="Q141" s="10">
        <v>0</v>
      </c>
    </row>
    <row r="142" spans="1:17">
      <c r="A142" s="6">
        <v>45869</v>
      </c>
      <c r="B142" s="7" t="s">
        <v>18</v>
      </c>
      <c r="C142" s="8" t="s">
        <v>527</v>
      </c>
      <c r="D142" s="7" t="s">
        <v>43</v>
      </c>
      <c r="E142" s="7" t="s">
        <v>528</v>
      </c>
      <c r="F142" s="7" t="s">
        <v>432</v>
      </c>
      <c r="G142" s="7" t="s">
        <v>433</v>
      </c>
      <c r="H142" s="7" t="s">
        <v>372</v>
      </c>
      <c r="I142" s="7" t="s">
        <v>45</v>
      </c>
      <c r="J142" s="7" t="s">
        <v>296</v>
      </c>
      <c r="K142" s="7" t="s">
        <v>372</v>
      </c>
      <c r="L142" s="7" t="s">
        <v>394</v>
      </c>
      <c r="M142" s="8">
        <v>6001.02</v>
      </c>
      <c r="N142" s="7" t="s">
        <v>395</v>
      </c>
      <c r="O142" s="10">
        <v>3525.9</v>
      </c>
      <c r="P142" s="10">
        <v>3525.9</v>
      </c>
      <c r="Q142" s="10">
        <v>0</v>
      </c>
    </row>
    <row r="143" spans="1:17">
      <c r="A143" s="6">
        <v>45869</v>
      </c>
      <c r="B143" s="7" t="s">
        <v>18</v>
      </c>
      <c r="C143" s="8" t="s">
        <v>529</v>
      </c>
      <c r="D143" s="7" t="s">
        <v>43</v>
      </c>
      <c r="E143" s="7" t="s">
        <v>406</v>
      </c>
      <c r="F143" s="7" t="s">
        <v>406</v>
      </c>
      <c r="G143" s="7"/>
      <c r="H143" s="7" t="s">
        <v>372</v>
      </c>
      <c r="I143" s="7" t="s">
        <v>45</v>
      </c>
      <c r="J143" s="7" t="s">
        <v>296</v>
      </c>
      <c r="K143" s="7" t="s">
        <v>372</v>
      </c>
      <c r="L143" s="7" t="s">
        <v>389</v>
      </c>
      <c r="M143" s="8" t="s">
        <v>445</v>
      </c>
      <c r="N143" s="7" t="s">
        <v>446</v>
      </c>
      <c r="O143" s="10">
        <v>0</v>
      </c>
      <c r="P143" s="10">
        <v>22780</v>
      </c>
      <c r="Q143" s="10">
        <v>-22780</v>
      </c>
    </row>
    <row r="144" spans="1:17">
      <c r="A144" s="6">
        <v>45869</v>
      </c>
      <c r="B144" s="7" t="s">
        <v>18</v>
      </c>
      <c r="C144" s="8" t="s">
        <v>529</v>
      </c>
      <c r="D144" s="7" t="s">
        <v>43</v>
      </c>
      <c r="E144" s="7" t="s">
        <v>406</v>
      </c>
      <c r="F144" s="7" t="s">
        <v>406</v>
      </c>
      <c r="G144" s="7"/>
      <c r="H144" s="7" t="s">
        <v>372</v>
      </c>
      <c r="I144" s="7" t="s">
        <v>45</v>
      </c>
      <c r="J144" s="7" t="s">
        <v>296</v>
      </c>
      <c r="K144" s="7" t="s">
        <v>372</v>
      </c>
      <c r="L144" s="7" t="s">
        <v>389</v>
      </c>
      <c r="M144" s="8" t="s">
        <v>436</v>
      </c>
      <c r="N144" s="7" t="s">
        <v>437</v>
      </c>
      <c r="O144" s="10">
        <v>0</v>
      </c>
      <c r="P144" s="10">
        <v>-22780</v>
      </c>
      <c r="Q144" s="10">
        <v>22780</v>
      </c>
    </row>
    <row r="146" spans="1:17">
      <c r="A146" s="23">
        <v>45869</v>
      </c>
      <c r="B146" s="24" t="s">
        <v>18</v>
      </c>
      <c r="C146" s="25" t="s">
        <v>530</v>
      </c>
      <c r="D146" s="24" t="s">
        <v>41</v>
      </c>
      <c r="E146" s="24" t="s">
        <v>406</v>
      </c>
      <c r="F146" s="24" t="s">
        <v>406</v>
      </c>
      <c r="G146" s="24" t="s">
        <v>71</v>
      </c>
      <c r="H146" s="24" t="s">
        <v>407</v>
      </c>
      <c r="I146" s="24" t="s">
        <v>45</v>
      </c>
      <c r="J146" s="24" t="s">
        <v>330</v>
      </c>
      <c r="K146" s="24" t="s">
        <v>372</v>
      </c>
      <c r="L146" s="24" t="s">
        <v>394</v>
      </c>
      <c r="M146" s="25">
        <v>6001.02</v>
      </c>
      <c r="N146" s="24" t="s">
        <v>395</v>
      </c>
      <c r="O146" s="26">
        <v>-712262.9</v>
      </c>
      <c r="P146" s="26">
        <v>0</v>
      </c>
      <c r="Q146" s="26">
        <v>-712262.9</v>
      </c>
    </row>
    <row r="147" spans="1:17">
      <c r="A147" s="23">
        <v>45869</v>
      </c>
      <c r="B147" s="24" t="s">
        <v>18</v>
      </c>
      <c r="C147" s="25" t="s">
        <v>530</v>
      </c>
      <c r="D147" s="24" t="s">
        <v>71</v>
      </c>
      <c r="E147" s="24" t="s">
        <v>406</v>
      </c>
      <c r="F147" s="24" t="s">
        <v>406</v>
      </c>
      <c r="G147" s="24"/>
      <c r="H147" s="24" t="s">
        <v>372</v>
      </c>
      <c r="I147" s="24" t="s">
        <v>45</v>
      </c>
      <c r="J147" s="24" t="s">
        <v>41</v>
      </c>
      <c r="K147" s="24" t="s">
        <v>407</v>
      </c>
      <c r="L147" s="24" t="s">
        <v>394</v>
      </c>
      <c r="M147" s="25">
        <v>6001.02</v>
      </c>
      <c r="N147" s="24" t="s">
        <v>395</v>
      </c>
      <c r="O147" s="26">
        <v>0</v>
      </c>
      <c r="P147" s="26">
        <v>-712262.9</v>
      </c>
      <c r="Q147" s="26">
        <v>712262.9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workbookViewId="0">
      <pane ySplit="1" topLeftCell="A2" activePane="bottomLeft" state="frozen"/>
      <selection/>
      <selection pane="bottomLeft" activeCell="I31" sqref="I31"/>
    </sheetView>
  </sheetViews>
  <sheetFormatPr defaultColWidth="9" defaultRowHeight="13.5"/>
  <cols>
    <col min="19" max="19" width="27.5" style="1"/>
    <col min="20" max="20" width="12.875" style="1" customWidth="1"/>
    <col min="21" max="21" width="24.375" style="1" customWidth="1"/>
    <col min="22" max="23" width="13.375" style="2" customWidth="1"/>
    <col min="24" max="24" width="9" style="1"/>
  </cols>
  <sheetData>
    <row r="1" ht="22.5" spans="1:23">
      <c r="A1" s="3" t="s">
        <v>374</v>
      </c>
      <c r="B1" s="4" t="s">
        <v>0</v>
      </c>
      <c r="C1" s="5" t="s">
        <v>375</v>
      </c>
      <c r="D1" s="4" t="s">
        <v>376</v>
      </c>
      <c r="E1" s="4" t="s">
        <v>377</v>
      </c>
      <c r="F1" s="4" t="s">
        <v>378</v>
      </c>
      <c r="G1" s="4" t="s">
        <v>379</v>
      </c>
      <c r="H1" s="4" t="s">
        <v>371</v>
      </c>
      <c r="I1" s="4" t="s">
        <v>31</v>
      </c>
      <c r="J1" s="4" t="s">
        <v>380</v>
      </c>
      <c r="K1" s="4" t="s">
        <v>381</v>
      </c>
      <c r="L1" s="4" t="s">
        <v>382</v>
      </c>
      <c r="M1" s="5" t="s">
        <v>383</v>
      </c>
      <c r="N1" s="4" t="s">
        <v>384</v>
      </c>
      <c r="O1" s="9" t="s">
        <v>385</v>
      </c>
      <c r="P1" s="9" t="s">
        <v>403</v>
      </c>
      <c r="Q1" s="9" t="s">
        <v>404</v>
      </c>
      <c r="S1" s="1" t="s">
        <v>376</v>
      </c>
      <c r="T1" s="1" t="s">
        <v>31</v>
      </c>
      <c r="U1" s="1" t="s">
        <v>380</v>
      </c>
      <c r="V1" s="2" t="s">
        <v>7</v>
      </c>
      <c r="W1" s="2" t="s">
        <v>8</v>
      </c>
    </row>
    <row r="2" spans="1:23">
      <c r="A2" s="6">
        <v>45864</v>
      </c>
      <c r="B2" s="7" t="s">
        <v>21</v>
      </c>
      <c r="C2" s="8" t="s">
        <v>531</v>
      </c>
      <c r="D2" s="7" t="s">
        <v>41</v>
      </c>
      <c r="E2" s="7" t="s">
        <v>406</v>
      </c>
      <c r="F2" s="7" t="s">
        <v>406</v>
      </c>
      <c r="G2" s="7"/>
      <c r="H2" s="7" t="s">
        <v>372</v>
      </c>
      <c r="I2" s="7" t="s">
        <v>42</v>
      </c>
      <c r="J2" s="7" t="s">
        <v>238</v>
      </c>
      <c r="K2" s="7" t="s">
        <v>372</v>
      </c>
      <c r="L2" s="7" t="s">
        <v>394</v>
      </c>
      <c r="M2" s="8">
        <v>6001.02</v>
      </c>
      <c r="N2" s="7" t="s">
        <v>395</v>
      </c>
      <c r="O2" s="10">
        <v>0</v>
      </c>
      <c r="P2" s="10">
        <v>100</v>
      </c>
      <c r="Q2" s="10">
        <v>-100</v>
      </c>
      <c r="S2" s="1" t="s">
        <v>49</v>
      </c>
      <c r="T2" s="1" t="s">
        <v>42</v>
      </c>
      <c r="U2" s="1" t="s">
        <v>329</v>
      </c>
      <c r="V2" s="2">
        <v>0</v>
      </c>
      <c r="W2" s="2">
        <v>-20</v>
      </c>
    </row>
    <row r="3" spans="1:23">
      <c r="A3" s="6">
        <v>45868</v>
      </c>
      <c r="B3" s="7" t="s">
        <v>22</v>
      </c>
      <c r="C3" s="8" t="s">
        <v>531</v>
      </c>
      <c r="D3" s="7" t="s">
        <v>41</v>
      </c>
      <c r="E3" s="7" t="s">
        <v>406</v>
      </c>
      <c r="F3" s="7" t="s">
        <v>406</v>
      </c>
      <c r="G3" s="7"/>
      <c r="H3" s="7" t="s">
        <v>372</v>
      </c>
      <c r="I3" s="7" t="s">
        <v>42</v>
      </c>
      <c r="J3" s="7" t="s">
        <v>238</v>
      </c>
      <c r="K3" s="7" t="s">
        <v>372</v>
      </c>
      <c r="L3" s="7" t="s">
        <v>394</v>
      </c>
      <c r="M3" s="8">
        <v>6001.02</v>
      </c>
      <c r="N3" s="7" t="s">
        <v>395</v>
      </c>
      <c r="O3" s="10">
        <v>200</v>
      </c>
      <c r="P3" s="10">
        <v>200</v>
      </c>
      <c r="Q3" s="10">
        <v>0</v>
      </c>
      <c r="S3" s="1" t="s">
        <v>50</v>
      </c>
      <c r="T3" s="1" t="s">
        <v>45</v>
      </c>
      <c r="U3" s="1" t="s">
        <v>508</v>
      </c>
      <c r="V3" s="2">
        <v>0</v>
      </c>
      <c r="W3" s="2">
        <v>1.65</v>
      </c>
    </row>
    <row r="4" spans="1:23">
      <c r="A4" s="6">
        <v>45868</v>
      </c>
      <c r="B4" s="7" t="s">
        <v>22</v>
      </c>
      <c r="C4" s="8" t="s">
        <v>531</v>
      </c>
      <c r="D4" s="7" t="s">
        <v>41</v>
      </c>
      <c r="E4" s="7" t="s">
        <v>406</v>
      </c>
      <c r="F4" s="7" t="s">
        <v>406</v>
      </c>
      <c r="G4" s="7"/>
      <c r="H4" s="7" t="s">
        <v>372</v>
      </c>
      <c r="I4" s="7" t="s">
        <v>42</v>
      </c>
      <c r="J4" s="7" t="s">
        <v>238</v>
      </c>
      <c r="K4" s="7" t="s">
        <v>372</v>
      </c>
      <c r="L4" s="7" t="s">
        <v>394</v>
      </c>
      <c r="M4" s="8">
        <v>6001.02</v>
      </c>
      <c r="N4" s="7" t="s">
        <v>395</v>
      </c>
      <c r="O4" s="10">
        <v>91000</v>
      </c>
      <c r="P4" s="10">
        <v>91000</v>
      </c>
      <c r="Q4" s="10">
        <v>0</v>
      </c>
      <c r="S4" s="1" t="s">
        <v>77</v>
      </c>
      <c r="T4" s="1" t="s">
        <v>42</v>
      </c>
      <c r="U4" s="1" t="s">
        <v>312</v>
      </c>
      <c r="V4" s="2">
        <v>0</v>
      </c>
      <c r="W4" s="2">
        <v>28.5</v>
      </c>
    </row>
    <row r="5" spans="1:23">
      <c r="A5" s="6">
        <v>45869</v>
      </c>
      <c r="B5" s="7" t="s">
        <v>19</v>
      </c>
      <c r="C5" s="8"/>
      <c r="D5" s="7" t="s">
        <v>49</v>
      </c>
      <c r="E5" s="7" t="s">
        <v>406</v>
      </c>
      <c r="F5" s="7" t="s">
        <v>406</v>
      </c>
      <c r="G5" s="7"/>
      <c r="H5" s="7" t="s">
        <v>372</v>
      </c>
      <c r="I5" s="7" t="s">
        <v>42</v>
      </c>
      <c r="J5" s="7" t="s">
        <v>329</v>
      </c>
      <c r="K5" s="7" t="s">
        <v>372</v>
      </c>
      <c r="L5" s="7" t="s">
        <v>389</v>
      </c>
      <c r="M5" s="8" t="s">
        <v>390</v>
      </c>
      <c r="N5" s="7" t="s">
        <v>391</v>
      </c>
      <c r="O5" s="10">
        <v>0</v>
      </c>
      <c r="P5" s="10">
        <v>-20</v>
      </c>
      <c r="Q5" s="10">
        <v>20</v>
      </c>
      <c r="S5" s="1" t="s">
        <v>41</v>
      </c>
      <c r="T5" s="1" t="s">
        <v>42</v>
      </c>
      <c r="U5" s="1" t="s">
        <v>238</v>
      </c>
      <c r="V5" s="2">
        <v>91200</v>
      </c>
      <c r="W5" s="2">
        <v>91300</v>
      </c>
    </row>
    <row r="6" spans="1:23">
      <c r="A6" s="6">
        <v>45869</v>
      </c>
      <c r="B6" s="7" t="s">
        <v>19</v>
      </c>
      <c r="C6" s="8"/>
      <c r="D6" s="7" t="s">
        <v>77</v>
      </c>
      <c r="E6" s="7" t="s">
        <v>406</v>
      </c>
      <c r="F6" s="7" t="s">
        <v>406</v>
      </c>
      <c r="G6" s="7"/>
      <c r="H6" s="7" t="s">
        <v>372</v>
      </c>
      <c r="I6" s="7" t="s">
        <v>42</v>
      </c>
      <c r="J6" s="7" t="s">
        <v>312</v>
      </c>
      <c r="K6" s="7" t="s">
        <v>372</v>
      </c>
      <c r="L6" s="7" t="s">
        <v>389</v>
      </c>
      <c r="M6" s="8" t="s">
        <v>390</v>
      </c>
      <c r="N6" s="7" t="s">
        <v>391</v>
      </c>
      <c r="O6" s="10">
        <v>0</v>
      </c>
      <c r="P6" s="10">
        <v>28.5</v>
      </c>
      <c r="Q6" s="10">
        <v>-28.5</v>
      </c>
      <c r="S6" s="1" t="s">
        <v>55</v>
      </c>
      <c r="T6" s="1" t="s">
        <v>42</v>
      </c>
      <c r="U6" s="1" t="s">
        <v>101</v>
      </c>
      <c r="V6" s="2">
        <v>0</v>
      </c>
      <c r="W6" s="2">
        <v>40.52</v>
      </c>
    </row>
    <row r="7" spans="1:23">
      <c r="A7" s="6">
        <v>45869</v>
      </c>
      <c r="B7" s="7" t="s">
        <v>19</v>
      </c>
      <c r="C7" s="8"/>
      <c r="D7" s="7" t="s">
        <v>50</v>
      </c>
      <c r="E7" s="7" t="s">
        <v>406</v>
      </c>
      <c r="F7" s="7" t="s">
        <v>406</v>
      </c>
      <c r="G7" s="7"/>
      <c r="H7" s="7" t="s">
        <v>372</v>
      </c>
      <c r="I7" s="7" t="s">
        <v>45</v>
      </c>
      <c r="J7" s="7" t="s">
        <v>508</v>
      </c>
      <c r="K7" s="7" t="s">
        <v>372</v>
      </c>
      <c r="L7" s="7" t="s">
        <v>389</v>
      </c>
      <c r="M7" s="8" t="s">
        <v>390</v>
      </c>
      <c r="N7" s="7" t="s">
        <v>391</v>
      </c>
      <c r="O7" s="10">
        <v>0</v>
      </c>
      <c r="P7" s="10">
        <v>1.65</v>
      </c>
      <c r="Q7" s="10">
        <v>-1.65</v>
      </c>
      <c r="S7" s="1" t="s">
        <v>57</v>
      </c>
      <c r="T7" s="1" t="s">
        <v>47</v>
      </c>
      <c r="U7" s="1" t="s">
        <v>193</v>
      </c>
      <c r="V7" s="2">
        <v>0</v>
      </c>
      <c r="W7" s="2">
        <v>220</v>
      </c>
    </row>
    <row r="8" spans="1:23">
      <c r="A8" s="6">
        <v>45869</v>
      </c>
      <c r="B8" s="7" t="s">
        <v>20</v>
      </c>
      <c r="C8" s="8" t="s">
        <v>532</v>
      </c>
      <c r="D8" s="7" t="s">
        <v>55</v>
      </c>
      <c r="E8" s="7" t="s">
        <v>406</v>
      </c>
      <c r="F8" s="7" t="s">
        <v>406</v>
      </c>
      <c r="G8" s="7"/>
      <c r="H8" s="7" t="s">
        <v>372</v>
      </c>
      <c r="I8" s="7" t="s">
        <v>42</v>
      </c>
      <c r="J8" s="7" t="s">
        <v>101</v>
      </c>
      <c r="K8" s="7" t="s">
        <v>372</v>
      </c>
      <c r="L8" s="7" t="s">
        <v>389</v>
      </c>
      <c r="M8" s="8" t="s">
        <v>436</v>
      </c>
      <c r="N8" s="7" t="s">
        <v>437</v>
      </c>
      <c r="O8" s="10">
        <v>0</v>
      </c>
      <c r="P8" s="10">
        <v>40.52</v>
      </c>
      <c r="Q8" s="10">
        <v>-40.52</v>
      </c>
      <c r="S8" s="1" t="s">
        <v>16</v>
      </c>
      <c r="V8" s="2">
        <v>91200</v>
      </c>
      <c r="W8" s="2">
        <v>91570.67</v>
      </c>
    </row>
    <row r="9" spans="1:17">
      <c r="A9" s="6">
        <v>45869</v>
      </c>
      <c r="B9" s="7" t="s">
        <v>20</v>
      </c>
      <c r="C9" s="8" t="s">
        <v>532</v>
      </c>
      <c r="D9" s="7" t="s">
        <v>57</v>
      </c>
      <c r="E9" s="7" t="s">
        <v>406</v>
      </c>
      <c r="F9" s="7" t="s">
        <v>406</v>
      </c>
      <c r="G9" s="7"/>
      <c r="H9" s="7" t="s">
        <v>372</v>
      </c>
      <c r="I9" s="7" t="s">
        <v>47</v>
      </c>
      <c r="J9" s="7" t="s">
        <v>193</v>
      </c>
      <c r="K9" s="7" t="s">
        <v>372</v>
      </c>
      <c r="L9" s="7" t="s">
        <v>389</v>
      </c>
      <c r="M9" s="8" t="s">
        <v>436</v>
      </c>
      <c r="N9" s="7" t="s">
        <v>437</v>
      </c>
      <c r="O9" s="10">
        <v>0</v>
      </c>
      <c r="P9" s="10">
        <v>220</v>
      </c>
      <c r="Q9" s="10">
        <v>-220</v>
      </c>
    </row>
  </sheetData>
  <autoFilter xmlns:etc="http://www.wps.cn/officeDocument/2017/etCustomData" ref="A1:X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3"/>
  <sheetViews>
    <sheetView topLeftCell="H1" workbookViewId="0">
      <pane ySplit="1" topLeftCell="A2" activePane="bottomLeft" state="frozen"/>
      <selection/>
      <selection pane="bottomLeft" activeCell="T39" sqref="T39"/>
    </sheetView>
  </sheetViews>
  <sheetFormatPr defaultColWidth="9" defaultRowHeight="13.5"/>
  <cols>
    <col min="2" max="2" width="14.125" customWidth="1"/>
    <col min="3" max="3" width="12.375" customWidth="1"/>
    <col min="15" max="15" width="12.25" customWidth="1"/>
    <col min="17" max="17" width="11.25" customWidth="1"/>
    <col min="19" max="19" width="27.5" style="1"/>
    <col min="20" max="20" width="11.375" style="1"/>
    <col min="21" max="21" width="31.125" style="1"/>
    <col min="22" max="23" width="17.625" style="2"/>
    <col min="24" max="24" width="9" style="2"/>
  </cols>
  <sheetData>
    <row r="1" ht="22.5" spans="1:23">
      <c r="A1" s="3" t="s">
        <v>374</v>
      </c>
      <c r="B1" s="4" t="s">
        <v>0</v>
      </c>
      <c r="C1" s="5" t="s">
        <v>375</v>
      </c>
      <c r="D1" s="4" t="s">
        <v>376</v>
      </c>
      <c r="E1" s="4" t="s">
        <v>377</v>
      </c>
      <c r="F1" s="4" t="s">
        <v>378</v>
      </c>
      <c r="G1" s="4" t="s">
        <v>379</v>
      </c>
      <c r="H1" s="4" t="s">
        <v>371</v>
      </c>
      <c r="I1" s="4" t="s">
        <v>31</v>
      </c>
      <c r="J1" s="4" t="s">
        <v>380</v>
      </c>
      <c r="K1" s="4" t="s">
        <v>381</v>
      </c>
      <c r="L1" s="4" t="s">
        <v>382</v>
      </c>
      <c r="M1" s="5" t="s">
        <v>383</v>
      </c>
      <c r="N1" s="4" t="s">
        <v>384</v>
      </c>
      <c r="O1" s="9" t="s">
        <v>385</v>
      </c>
      <c r="P1" s="9" t="s">
        <v>403</v>
      </c>
      <c r="Q1" s="9" t="s">
        <v>404</v>
      </c>
      <c r="S1" s="1" t="s">
        <v>376</v>
      </c>
      <c r="T1" s="1" t="s">
        <v>31</v>
      </c>
      <c r="U1" s="1" t="s">
        <v>380</v>
      </c>
      <c r="V1" s="2" t="s">
        <v>7</v>
      </c>
      <c r="W1" s="2" t="s">
        <v>8</v>
      </c>
    </row>
    <row r="2" spans="1:19">
      <c r="A2" s="6">
        <v>45865</v>
      </c>
      <c r="B2" s="7" t="s">
        <v>24</v>
      </c>
      <c r="C2" s="8" t="s">
        <v>24</v>
      </c>
      <c r="D2" s="7" t="s">
        <v>51</v>
      </c>
      <c r="E2" s="7" t="s">
        <v>406</v>
      </c>
      <c r="F2" s="7" t="s">
        <v>406</v>
      </c>
      <c r="G2" s="7" t="s">
        <v>121</v>
      </c>
      <c r="H2" s="7" t="s">
        <v>407</v>
      </c>
      <c r="I2" s="7" t="s">
        <v>52</v>
      </c>
      <c r="J2" s="7" t="s">
        <v>121</v>
      </c>
      <c r="K2" s="7" t="s">
        <v>407</v>
      </c>
      <c r="L2" s="7" t="s">
        <v>394</v>
      </c>
      <c r="M2" s="8">
        <v>6001.02</v>
      </c>
      <c r="N2" s="7" t="s">
        <v>395</v>
      </c>
      <c r="O2" s="10">
        <v>0</v>
      </c>
      <c r="P2" s="10">
        <v>450</v>
      </c>
      <c r="Q2" s="10">
        <v>-450</v>
      </c>
      <c r="S2" s="1" t="s">
        <v>77</v>
      </c>
    </row>
    <row r="3" spans="1:23">
      <c r="A3" s="6">
        <v>45869</v>
      </c>
      <c r="B3" s="7" t="s">
        <v>24</v>
      </c>
      <c r="C3" s="8" t="s">
        <v>24</v>
      </c>
      <c r="D3" s="7" t="s">
        <v>51</v>
      </c>
      <c r="E3" s="7" t="s">
        <v>406</v>
      </c>
      <c r="F3" s="7" t="s">
        <v>406</v>
      </c>
      <c r="G3" s="7" t="s">
        <v>121</v>
      </c>
      <c r="H3" s="7" t="s">
        <v>407</v>
      </c>
      <c r="I3" s="7" t="s">
        <v>52</v>
      </c>
      <c r="J3" s="7" t="s">
        <v>121</v>
      </c>
      <c r="K3" s="7" t="s">
        <v>407</v>
      </c>
      <c r="L3" s="7" t="s">
        <v>394</v>
      </c>
      <c r="M3" s="8">
        <v>6001.02</v>
      </c>
      <c r="N3" s="7" t="s">
        <v>395</v>
      </c>
      <c r="O3" s="10">
        <v>0</v>
      </c>
      <c r="P3" s="10">
        <v>450</v>
      </c>
      <c r="Q3" s="10">
        <v>-450</v>
      </c>
      <c r="T3" s="1" t="s">
        <v>47</v>
      </c>
      <c r="U3" s="1" t="s">
        <v>429</v>
      </c>
      <c r="V3" s="2">
        <v>-605.29</v>
      </c>
      <c r="W3" s="2">
        <v>0</v>
      </c>
    </row>
    <row r="4" spans="1:19">
      <c r="A4" s="6">
        <v>45869</v>
      </c>
      <c r="B4" s="7" t="s">
        <v>24</v>
      </c>
      <c r="C4" s="8" t="s">
        <v>24</v>
      </c>
      <c r="D4" s="7" t="s">
        <v>51</v>
      </c>
      <c r="E4" s="7" t="s">
        <v>406</v>
      </c>
      <c r="F4" s="7" t="s">
        <v>406</v>
      </c>
      <c r="G4" s="7" t="s">
        <v>121</v>
      </c>
      <c r="H4" s="7" t="s">
        <v>407</v>
      </c>
      <c r="I4" s="7" t="s">
        <v>52</v>
      </c>
      <c r="J4" s="7" t="s">
        <v>121</v>
      </c>
      <c r="K4" s="7" t="s">
        <v>407</v>
      </c>
      <c r="L4" s="7" t="s">
        <v>394</v>
      </c>
      <c r="M4" s="8">
        <v>6001.02</v>
      </c>
      <c r="N4" s="7" t="s">
        <v>395</v>
      </c>
      <c r="O4" s="10">
        <v>0</v>
      </c>
      <c r="P4" s="10">
        <v>341</v>
      </c>
      <c r="Q4" s="10">
        <v>-341</v>
      </c>
      <c r="S4" s="1" t="s">
        <v>51</v>
      </c>
    </row>
    <row r="5" spans="1:23">
      <c r="A5" s="6">
        <v>45857</v>
      </c>
      <c r="B5" s="7" t="s">
        <v>24</v>
      </c>
      <c r="C5" s="8" t="s">
        <v>24</v>
      </c>
      <c r="D5" s="7" t="s">
        <v>51</v>
      </c>
      <c r="E5" s="7" t="s">
        <v>406</v>
      </c>
      <c r="F5" s="7" t="s">
        <v>406</v>
      </c>
      <c r="G5" s="7" t="s">
        <v>143</v>
      </c>
      <c r="H5" s="7" t="s">
        <v>372</v>
      </c>
      <c r="I5" s="7" t="s">
        <v>42</v>
      </c>
      <c r="J5" s="7" t="s">
        <v>143</v>
      </c>
      <c r="K5" s="7" t="s">
        <v>372</v>
      </c>
      <c r="L5" s="7" t="s">
        <v>389</v>
      </c>
      <c r="M5" s="8" t="s">
        <v>436</v>
      </c>
      <c r="N5" s="7" t="s">
        <v>437</v>
      </c>
      <c r="O5" s="10">
        <v>0</v>
      </c>
      <c r="P5" s="10">
        <v>70</v>
      </c>
      <c r="Q5" s="10">
        <v>-70</v>
      </c>
      <c r="T5" s="1" t="s">
        <v>42</v>
      </c>
      <c r="U5" s="1" t="s">
        <v>143</v>
      </c>
      <c r="V5" s="2">
        <v>0</v>
      </c>
      <c r="W5" s="2">
        <v>3185</v>
      </c>
    </row>
    <row r="6" spans="1:23">
      <c r="A6" s="6">
        <v>45868</v>
      </c>
      <c r="B6" s="7" t="s">
        <v>24</v>
      </c>
      <c r="C6" s="8" t="s">
        <v>24</v>
      </c>
      <c r="D6" s="7" t="s">
        <v>51</v>
      </c>
      <c r="E6" s="7" t="s">
        <v>406</v>
      </c>
      <c r="F6" s="7" t="s">
        <v>406</v>
      </c>
      <c r="G6" s="7" t="s">
        <v>121</v>
      </c>
      <c r="H6" s="7" t="s">
        <v>407</v>
      </c>
      <c r="I6" s="7" t="s">
        <v>52</v>
      </c>
      <c r="J6" s="7" t="s">
        <v>121</v>
      </c>
      <c r="K6" s="7" t="s">
        <v>407</v>
      </c>
      <c r="L6" s="7" t="s">
        <v>394</v>
      </c>
      <c r="M6" s="8">
        <v>6001.02</v>
      </c>
      <c r="N6" s="7" t="s">
        <v>395</v>
      </c>
      <c r="O6" s="10">
        <v>0</v>
      </c>
      <c r="P6" s="10">
        <v>120</v>
      </c>
      <c r="Q6" s="10">
        <v>-120</v>
      </c>
      <c r="T6" s="1" t="s">
        <v>42</v>
      </c>
      <c r="U6" s="1" t="s">
        <v>157</v>
      </c>
      <c r="V6" s="2">
        <v>0</v>
      </c>
      <c r="W6" s="2">
        <v>2112</v>
      </c>
    </row>
    <row r="7" spans="1:23">
      <c r="A7" s="6">
        <v>45846</v>
      </c>
      <c r="B7" s="7" t="s">
        <v>24</v>
      </c>
      <c r="C7" s="8" t="s">
        <v>24</v>
      </c>
      <c r="D7" s="7" t="s">
        <v>51</v>
      </c>
      <c r="E7" s="7" t="s">
        <v>406</v>
      </c>
      <c r="F7" s="7" t="s">
        <v>406</v>
      </c>
      <c r="G7" s="7" t="s">
        <v>157</v>
      </c>
      <c r="H7" s="7" t="s">
        <v>372</v>
      </c>
      <c r="I7" s="7" t="s">
        <v>42</v>
      </c>
      <c r="J7" s="7" t="s">
        <v>157</v>
      </c>
      <c r="K7" s="7" t="s">
        <v>372</v>
      </c>
      <c r="L7" s="7" t="s">
        <v>394</v>
      </c>
      <c r="M7" s="8">
        <v>6001.02</v>
      </c>
      <c r="N7" s="7" t="s">
        <v>395</v>
      </c>
      <c r="O7" s="10">
        <v>0</v>
      </c>
      <c r="P7" s="10">
        <v>66</v>
      </c>
      <c r="Q7" s="10">
        <v>-66</v>
      </c>
      <c r="T7" s="1" t="s">
        <v>52</v>
      </c>
      <c r="U7" s="11" t="s">
        <v>121</v>
      </c>
      <c r="V7" s="12">
        <v>0</v>
      </c>
      <c r="W7" s="12">
        <v>2231</v>
      </c>
    </row>
    <row r="8" spans="1:19">
      <c r="A8" s="6">
        <v>45866</v>
      </c>
      <c r="B8" s="7" t="s">
        <v>24</v>
      </c>
      <c r="C8" s="8" t="s">
        <v>24</v>
      </c>
      <c r="D8" s="7" t="s">
        <v>51</v>
      </c>
      <c r="E8" s="7" t="s">
        <v>406</v>
      </c>
      <c r="F8" s="7" t="s">
        <v>406</v>
      </c>
      <c r="G8" s="7" t="s">
        <v>157</v>
      </c>
      <c r="H8" s="7" t="s">
        <v>372</v>
      </c>
      <c r="I8" s="7" t="s">
        <v>42</v>
      </c>
      <c r="J8" s="7" t="s">
        <v>157</v>
      </c>
      <c r="K8" s="7" t="s">
        <v>372</v>
      </c>
      <c r="L8" s="7" t="s">
        <v>394</v>
      </c>
      <c r="M8" s="8">
        <v>6001.02</v>
      </c>
      <c r="N8" s="7" t="s">
        <v>395</v>
      </c>
      <c r="O8" s="10">
        <v>0</v>
      </c>
      <c r="P8" s="10">
        <v>363</v>
      </c>
      <c r="Q8" s="10">
        <v>-363</v>
      </c>
      <c r="S8" s="1" t="s">
        <v>41</v>
      </c>
    </row>
    <row r="9" spans="1:23">
      <c r="A9" s="6">
        <v>45869</v>
      </c>
      <c r="B9" s="7" t="s">
        <v>24</v>
      </c>
      <c r="C9" s="8" t="s">
        <v>24</v>
      </c>
      <c r="D9" s="7" t="s">
        <v>51</v>
      </c>
      <c r="E9" s="7" t="s">
        <v>406</v>
      </c>
      <c r="F9" s="7" t="s">
        <v>406</v>
      </c>
      <c r="G9" s="7" t="s">
        <v>157</v>
      </c>
      <c r="H9" s="7" t="s">
        <v>372</v>
      </c>
      <c r="I9" s="7" t="s">
        <v>42</v>
      </c>
      <c r="J9" s="7" t="s">
        <v>157</v>
      </c>
      <c r="K9" s="7" t="s">
        <v>372</v>
      </c>
      <c r="L9" s="7" t="s">
        <v>394</v>
      </c>
      <c r="M9" s="8">
        <v>6001.02</v>
      </c>
      <c r="N9" s="7" t="s">
        <v>395</v>
      </c>
      <c r="O9" s="10">
        <v>0</v>
      </c>
      <c r="P9" s="10">
        <v>132</v>
      </c>
      <c r="Q9" s="10">
        <v>-132</v>
      </c>
      <c r="T9" s="1" t="s">
        <v>42</v>
      </c>
      <c r="U9" s="1" t="s">
        <v>55</v>
      </c>
      <c r="V9" s="2">
        <v>0</v>
      </c>
      <c r="W9" s="2">
        <v>0.1</v>
      </c>
    </row>
    <row r="10" spans="1:23">
      <c r="A10" s="6">
        <v>45865</v>
      </c>
      <c r="B10" s="7" t="s">
        <v>24</v>
      </c>
      <c r="C10" s="8" t="s">
        <v>24</v>
      </c>
      <c r="D10" s="7" t="s">
        <v>51</v>
      </c>
      <c r="E10" s="7" t="s">
        <v>406</v>
      </c>
      <c r="F10" s="7" t="s">
        <v>406</v>
      </c>
      <c r="G10" s="7" t="s">
        <v>143</v>
      </c>
      <c r="H10" s="7" t="s">
        <v>372</v>
      </c>
      <c r="I10" s="7" t="s">
        <v>42</v>
      </c>
      <c r="J10" s="7" t="s">
        <v>143</v>
      </c>
      <c r="K10" s="7" t="s">
        <v>372</v>
      </c>
      <c r="L10" s="7" t="s">
        <v>389</v>
      </c>
      <c r="M10" s="8" t="s">
        <v>436</v>
      </c>
      <c r="N10" s="7" t="s">
        <v>437</v>
      </c>
      <c r="O10" s="10">
        <v>0</v>
      </c>
      <c r="P10" s="10">
        <v>420</v>
      </c>
      <c r="Q10" s="10">
        <v>-420</v>
      </c>
      <c r="T10" s="1" t="s">
        <v>45</v>
      </c>
      <c r="U10" s="1" t="s">
        <v>330</v>
      </c>
      <c r="V10" s="2">
        <v>0</v>
      </c>
      <c r="W10" s="2">
        <v>-400</v>
      </c>
    </row>
    <row r="11" spans="1:23">
      <c r="A11" s="6">
        <v>45850</v>
      </c>
      <c r="B11" s="7" t="s">
        <v>24</v>
      </c>
      <c r="C11" s="8" t="s">
        <v>24</v>
      </c>
      <c r="D11" s="7" t="s">
        <v>51</v>
      </c>
      <c r="E11" s="7" t="s">
        <v>406</v>
      </c>
      <c r="F11" s="7" t="s">
        <v>406</v>
      </c>
      <c r="G11" s="7" t="s">
        <v>143</v>
      </c>
      <c r="H11" s="7" t="s">
        <v>372</v>
      </c>
      <c r="I11" s="7" t="s">
        <v>42</v>
      </c>
      <c r="J11" s="7" t="s">
        <v>143</v>
      </c>
      <c r="K11" s="7" t="s">
        <v>372</v>
      </c>
      <c r="L11" s="7" t="s">
        <v>389</v>
      </c>
      <c r="M11" s="8" t="s">
        <v>436</v>
      </c>
      <c r="N11" s="7" t="s">
        <v>437</v>
      </c>
      <c r="O11" s="10">
        <v>0</v>
      </c>
      <c r="P11" s="10">
        <v>245</v>
      </c>
      <c r="Q11" s="10">
        <v>-245</v>
      </c>
      <c r="T11" s="1" t="s">
        <v>47</v>
      </c>
      <c r="U11" s="1" t="s">
        <v>429</v>
      </c>
      <c r="V11" s="2">
        <v>-20787755.77</v>
      </c>
      <c r="W11" s="2">
        <v>0</v>
      </c>
    </row>
    <row r="12" spans="1:19">
      <c r="A12" s="6">
        <v>45867</v>
      </c>
      <c r="B12" s="7" t="s">
        <v>24</v>
      </c>
      <c r="C12" s="8" t="s">
        <v>24</v>
      </c>
      <c r="D12" s="7" t="s">
        <v>51</v>
      </c>
      <c r="E12" s="7" t="s">
        <v>406</v>
      </c>
      <c r="F12" s="7" t="s">
        <v>406</v>
      </c>
      <c r="G12" s="7" t="s">
        <v>121</v>
      </c>
      <c r="H12" s="7" t="s">
        <v>407</v>
      </c>
      <c r="I12" s="7" t="s">
        <v>52</v>
      </c>
      <c r="J12" s="7" t="s">
        <v>121</v>
      </c>
      <c r="K12" s="7" t="s">
        <v>407</v>
      </c>
      <c r="L12" s="7" t="s">
        <v>394</v>
      </c>
      <c r="M12" s="8">
        <v>6001.02</v>
      </c>
      <c r="N12" s="7" t="s">
        <v>395</v>
      </c>
      <c r="O12" s="10">
        <v>0</v>
      </c>
      <c r="P12" s="10">
        <v>300</v>
      </c>
      <c r="Q12" s="10">
        <v>-300</v>
      </c>
      <c r="S12" s="1" t="s">
        <v>160</v>
      </c>
    </row>
    <row r="13" spans="1:23">
      <c r="A13" s="6">
        <v>45866</v>
      </c>
      <c r="B13" s="7" t="s">
        <v>24</v>
      </c>
      <c r="C13" s="8" t="s">
        <v>24</v>
      </c>
      <c r="D13" s="7" t="s">
        <v>51</v>
      </c>
      <c r="E13" s="7" t="s">
        <v>406</v>
      </c>
      <c r="F13" s="7" t="s">
        <v>406</v>
      </c>
      <c r="G13" s="7" t="s">
        <v>121</v>
      </c>
      <c r="H13" s="7" t="s">
        <v>407</v>
      </c>
      <c r="I13" s="7" t="s">
        <v>52</v>
      </c>
      <c r="J13" s="7" t="s">
        <v>121</v>
      </c>
      <c r="K13" s="7" t="s">
        <v>407</v>
      </c>
      <c r="L13" s="7" t="s">
        <v>394</v>
      </c>
      <c r="M13" s="8">
        <v>6001.02</v>
      </c>
      <c r="N13" s="7" t="s">
        <v>395</v>
      </c>
      <c r="O13" s="10">
        <v>0</v>
      </c>
      <c r="P13" s="10">
        <v>120</v>
      </c>
      <c r="Q13" s="10">
        <v>-120</v>
      </c>
      <c r="T13" s="1" t="s">
        <v>47</v>
      </c>
      <c r="U13" s="1" t="s">
        <v>429</v>
      </c>
      <c r="V13" s="2">
        <v>-1401</v>
      </c>
      <c r="W13" s="2">
        <v>0</v>
      </c>
    </row>
    <row r="14" spans="1:19">
      <c r="A14" s="6">
        <v>45863</v>
      </c>
      <c r="B14" s="7" t="s">
        <v>24</v>
      </c>
      <c r="C14" s="8" t="s">
        <v>24</v>
      </c>
      <c r="D14" s="7" t="s">
        <v>51</v>
      </c>
      <c r="E14" s="7" t="s">
        <v>406</v>
      </c>
      <c r="F14" s="7" t="s">
        <v>406</v>
      </c>
      <c r="G14" s="7" t="s">
        <v>143</v>
      </c>
      <c r="H14" s="7" t="s">
        <v>372</v>
      </c>
      <c r="I14" s="7" t="s">
        <v>42</v>
      </c>
      <c r="J14" s="7" t="s">
        <v>143</v>
      </c>
      <c r="K14" s="7" t="s">
        <v>372</v>
      </c>
      <c r="L14" s="7" t="s">
        <v>389</v>
      </c>
      <c r="M14" s="8" t="s">
        <v>436</v>
      </c>
      <c r="N14" s="7" t="s">
        <v>437</v>
      </c>
      <c r="O14" s="10">
        <v>0</v>
      </c>
      <c r="P14" s="10">
        <v>245</v>
      </c>
      <c r="Q14" s="10">
        <v>-245</v>
      </c>
      <c r="S14" s="1" t="s">
        <v>55</v>
      </c>
    </row>
    <row r="15" spans="1:23">
      <c r="A15" s="6">
        <v>45849</v>
      </c>
      <c r="B15" s="7" t="s">
        <v>24</v>
      </c>
      <c r="C15" s="8" t="s">
        <v>24</v>
      </c>
      <c r="D15" s="7" t="s">
        <v>51</v>
      </c>
      <c r="E15" s="7" t="s">
        <v>406</v>
      </c>
      <c r="F15" s="7" t="s">
        <v>406</v>
      </c>
      <c r="G15" s="7" t="s">
        <v>143</v>
      </c>
      <c r="H15" s="7" t="s">
        <v>372</v>
      </c>
      <c r="I15" s="7" t="s">
        <v>42</v>
      </c>
      <c r="J15" s="7" t="s">
        <v>143</v>
      </c>
      <c r="K15" s="7" t="s">
        <v>372</v>
      </c>
      <c r="L15" s="7" t="s">
        <v>389</v>
      </c>
      <c r="M15" s="8" t="s">
        <v>436</v>
      </c>
      <c r="N15" s="7" t="s">
        <v>437</v>
      </c>
      <c r="O15" s="10">
        <v>0</v>
      </c>
      <c r="P15" s="10">
        <v>140</v>
      </c>
      <c r="Q15" s="10">
        <v>-140</v>
      </c>
      <c r="T15" s="1" t="s">
        <v>42</v>
      </c>
      <c r="U15" s="1" t="s">
        <v>41</v>
      </c>
      <c r="V15" s="2">
        <v>0</v>
      </c>
      <c r="W15" s="2">
        <v>60.08</v>
      </c>
    </row>
    <row r="16" spans="1:23">
      <c r="A16" s="6">
        <v>45843</v>
      </c>
      <c r="B16" s="7" t="s">
        <v>24</v>
      </c>
      <c r="C16" s="8" t="s">
        <v>24</v>
      </c>
      <c r="D16" s="7" t="s">
        <v>51</v>
      </c>
      <c r="E16" s="7" t="s">
        <v>406</v>
      </c>
      <c r="F16" s="7" t="s">
        <v>406</v>
      </c>
      <c r="G16" s="7" t="s">
        <v>143</v>
      </c>
      <c r="H16" s="7" t="s">
        <v>372</v>
      </c>
      <c r="I16" s="7" t="s">
        <v>42</v>
      </c>
      <c r="J16" s="7" t="s">
        <v>143</v>
      </c>
      <c r="K16" s="7" t="s">
        <v>372</v>
      </c>
      <c r="L16" s="7" t="s">
        <v>389</v>
      </c>
      <c r="M16" s="8" t="s">
        <v>436</v>
      </c>
      <c r="N16" s="7" t="s">
        <v>437</v>
      </c>
      <c r="O16" s="10">
        <v>0</v>
      </c>
      <c r="P16" s="10">
        <v>175</v>
      </c>
      <c r="Q16" s="10">
        <v>-175</v>
      </c>
      <c r="T16" s="1" t="s">
        <v>47</v>
      </c>
      <c r="U16" s="1" t="s">
        <v>429</v>
      </c>
      <c r="V16" s="2">
        <v>60.08</v>
      </c>
      <c r="W16" s="2">
        <v>0</v>
      </c>
    </row>
    <row r="17" spans="1:19">
      <c r="A17" s="6">
        <v>45863</v>
      </c>
      <c r="B17" s="7" t="s">
        <v>24</v>
      </c>
      <c r="C17" s="8" t="s">
        <v>24</v>
      </c>
      <c r="D17" s="7" t="s">
        <v>51</v>
      </c>
      <c r="E17" s="7" t="s">
        <v>406</v>
      </c>
      <c r="F17" s="7" t="s">
        <v>406</v>
      </c>
      <c r="G17" s="7" t="s">
        <v>121</v>
      </c>
      <c r="H17" s="7" t="s">
        <v>407</v>
      </c>
      <c r="I17" s="7" t="s">
        <v>52</v>
      </c>
      <c r="J17" s="7" t="s">
        <v>121</v>
      </c>
      <c r="K17" s="7" t="s">
        <v>407</v>
      </c>
      <c r="L17" s="7" t="s">
        <v>394</v>
      </c>
      <c r="M17" s="8">
        <v>6001.02</v>
      </c>
      <c r="N17" s="7" t="s">
        <v>395</v>
      </c>
      <c r="O17" s="10">
        <v>0</v>
      </c>
      <c r="P17" s="10">
        <v>240</v>
      </c>
      <c r="Q17" s="10">
        <v>-240</v>
      </c>
      <c r="S17" s="1" t="s">
        <v>46</v>
      </c>
    </row>
    <row r="18" spans="1:23">
      <c r="A18" s="6">
        <v>45864</v>
      </c>
      <c r="B18" s="7" t="s">
        <v>24</v>
      </c>
      <c r="C18" s="8" t="s">
        <v>24</v>
      </c>
      <c r="D18" s="7" t="s">
        <v>51</v>
      </c>
      <c r="E18" s="7" t="s">
        <v>406</v>
      </c>
      <c r="F18" s="7" t="s">
        <v>406</v>
      </c>
      <c r="G18" s="7" t="s">
        <v>121</v>
      </c>
      <c r="H18" s="7" t="s">
        <v>407</v>
      </c>
      <c r="I18" s="7" t="s">
        <v>52</v>
      </c>
      <c r="J18" s="7" t="s">
        <v>121</v>
      </c>
      <c r="K18" s="7" t="s">
        <v>407</v>
      </c>
      <c r="L18" s="7" t="s">
        <v>394</v>
      </c>
      <c r="M18" s="8">
        <v>6001.02</v>
      </c>
      <c r="N18" s="7" t="s">
        <v>395</v>
      </c>
      <c r="O18" s="10">
        <v>0</v>
      </c>
      <c r="P18" s="10">
        <v>210</v>
      </c>
      <c r="Q18" s="10">
        <v>-210</v>
      </c>
      <c r="T18" s="1" t="s">
        <v>47</v>
      </c>
      <c r="U18" s="1" t="s">
        <v>429</v>
      </c>
      <c r="V18" s="2">
        <v>-753501</v>
      </c>
      <c r="W18" s="2">
        <v>0</v>
      </c>
    </row>
    <row r="19" spans="1:19">
      <c r="A19" s="6">
        <v>45844</v>
      </c>
      <c r="B19" s="7" t="s">
        <v>24</v>
      </c>
      <c r="C19" s="8" t="s">
        <v>24</v>
      </c>
      <c r="D19" s="7" t="s">
        <v>51</v>
      </c>
      <c r="E19" s="7" t="s">
        <v>406</v>
      </c>
      <c r="F19" s="7" t="s">
        <v>406</v>
      </c>
      <c r="G19" s="7" t="s">
        <v>143</v>
      </c>
      <c r="H19" s="7" t="s">
        <v>372</v>
      </c>
      <c r="I19" s="7" t="s">
        <v>42</v>
      </c>
      <c r="J19" s="7" t="s">
        <v>143</v>
      </c>
      <c r="K19" s="7" t="s">
        <v>372</v>
      </c>
      <c r="L19" s="7" t="s">
        <v>389</v>
      </c>
      <c r="M19" s="8" t="s">
        <v>436</v>
      </c>
      <c r="N19" s="7" t="s">
        <v>437</v>
      </c>
      <c r="O19" s="10">
        <v>0</v>
      </c>
      <c r="P19" s="10">
        <v>140</v>
      </c>
      <c r="Q19" s="10">
        <v>-140</v>
      </c>
      <c r="S19" s="1" t="s">
        <v>79</v>
      </c>
    </row>
    <row r="20" spans="1:23">
      <c r="A20" s="6">
        <v>45864</v>
      </c>
      <c r="B20" s="7" t="s">
        <v>24</v>
      </c>
      <c r="C20" s="8" t="s">
        <v>24</v>
      </c>
      <c r="D20" s="7" t="s">
        <v>51</v>
      </c>
      <c r="E20" s="7" t="s">
        <v>406</v>
      </c>
      <c r="F20" s="7" t="s">
        <v>406</v>
      </c>
      <c r="G20" s="7" t="s">
        <v>143</v>
      </c>
      <c r="H20" s="7" t="s">
        <v>372</v>
      </c>
      <c r="I20" s="7" t="s">
        <v>42</v>
      </c>
      <c r="J20" s="7" t="s">
        <v>143</v>
      </c>
      <c r="K20" s="7" t="s">
        <v>372</v>
      </c>
      <c r="L20" s="7" t="s">
        <v>389</v>
      </c>
      <c r="M20" s="8" t="s">
        <v>436</v>
      </c>
      <c r="N20" s="7" t="s">
        <v>437</v>
      </c>
      <c r="O20" s="10">
        <v>0</v>
      </c>
      <c r="P20" s="10">
        <v>105</v>
      </c>
      <c r="Q20" s="10">
        <v>-105</v>
      </c>
      <c r="T20" s="1" t="s">
        <v>47</v>
      </c>
      <c r="U20" s="1" t="s">
        <v>429</v>
      </c>
      <c r="V20" s="2">
        <v>113.05</v>
      </c>
      <c r="W20" s="2">
        <v>0</v>
      </c>
    </row>
    <row r="21" spans="1:19">
      <c r="A21" s="6">
        <v>45867</v>
      </c>
      <c r="B21" s="7" t="s">
        <v>24</v>
      </c>
      <c r="C21" s="8" t="s">
        <v>24</v>
      </c>
      <c r="D21" s="7" t="s">
        <v>51</v>
      </c>
      <c r="E21" s="7" t="s">
        <v>406</v>
      </c>
      <c r="F21" s="7" t="s">
        <v>406</v>
      </c>
      <c r="G21" s="7" t="s">
        <v>143</v>
      </c>
      <c r="H21" s="7" t="s">
        <v>372</v>
      </c>
      <c r="I21" s="7" t="s">
        <v>42</v>
      </c>
      <c r="J21" s="7" t="s">
        <v>143</v>
      </c>
      <c r="K21" s="7" t="s">
        <v>372</v>
      </c>
      <c r="L21" s="7" t="s">
        <v>389</v>
      </c>
      <c r="M21" s="8" t="s">
        <v>436</v>
      </c>
      <c r="N21" s="7" t="s">
        <v>437</v>
      </c>
      <c r="O21" s="10">
        <v>0</v>
      </c>
      <c r="P21" s="10">
        <v>70</v>
      </c>
      <c r="Q21" s="10">
        <v>-70</v>
      </c>
      <c r="S21" s="1" t="s">
        <v>43</v>
      </c>
    </row>
    <row r="22" spans="1:23">
      <c r="A22" s="6">
        <v>45858</v>
      </c>
      <c r="B22" s="7" t="s">
        <v>24</v>
      </c>
      <c r="C22" s="8" t="s">
        <v>24</v>
      </c>
      <c r="D22" s="7" t="s">
        <v>51</v>
      </c>
      <c r="E22" s="7" t="s">
        <v>406</v>
      </c>
      <c r="F22" s="7" t="s">
        <v>406</v>
      </c>
      <c r="G22" s="7" t="s">
        <v>143</v>
      </c>
      <c r="H22" s="7" t="s">
        <v>372</v>
      </c>
      <c r="I22" s="7" t="s">
        <v>42</v>
      </c>
      <c r="J22" s="7" t="s">
        <v>143</v>
      </c>
      <c r="K22" s="7" t="s">
        <v>372</v>
      </c>
      <c r="L22" s="7" t="s">
        <v>389</v>
      </c>
      <c r="M22" s="8" t="s">
        <v>436</v>
      </c>
      <c r="N22" s="7" t="s">
        <v>437</v>
      </c>
      <c r="O22" s="10">
        <v>0</v>
      </c>
      <c r="P22" s="10">
        <v>35</v>
      </c>
      <c r="Q22" s="10">
        <v>-35</v>
      </c>
      <c r="T22" s="1" t="s">
        <v>42</v>
      </c>
      <c r="U22" s="1" t="s">
        <v>41</v>
      </c>
      <c r="V22" s="2">
        <v>0</v>
      </c>
      <c r="W22" s="2">
        <v>0.199999999999999</v>
      </c>
    </row>
    <row r="23" spans="1:23">
      <c r="A23" s="6">
        <v>45868</v>
      </c>
      <c r="B23" s="7" t="s">
        <v>24</v>
      </c>
      <c r="C23" s="8" t="s">
        <v>24</v>
      </c>
      <c r="D23" s="7" t="s">
        <v>51</v>
      </c>
      <c r="E23" s="7" t="s">
        <v>406</v>
      </c>
      <c r="F23" s="7" t="s">
        <v>406</v>
      </c>
      <c r="G23" s="7" t="s">
        <v>143</v>
      </c>
      <c r="H23" s="7" t="s">
        <v>372</v>
      </c>
      <c r="I23" s="7" t="s">
        <v>42</v>
      </c>
      <c r="J23" s="7" t="s">
        <v>143</v>
      </c>
      <c r="K23" s="7" t="s">
        <v>372</v>
      </c>
      <c r="L23" s="7" t="s">
        <v>389</v>
      </c>
      <c r="M23" s="8" t="s">
        <v>436</v>
      </c>
      <c r="N23" s="7" t="s">
        <v>437</v>
      </c>
      <c r="O23" s="10">
        <v>0</v>
      </c>
      <c r="P23" s="10">
        <v>105</v>
      </c>
      <c r="Q23" s="10">
        <v>-105</v>
      </c>
      <c r="T23" s="1" t="s">
        <v>42</v>
      </c>
      <c r="U23" s="1" t="s">
        <v>55</v>
      </c>
      <c r="V23" s="2">
        <v>0</v>
      </c>
      <c r="W23" s="2">
        <v>2.36</v>
      </c>
    </row>
    <row r="24" spans="1:23">
      <c r="A24" s="6">
        <v>45867</v>
      </c>
      <c r="B24" s="7" t="s">
        <v>24</v>
      </c>
      <c r="C24" s="8" t="s">
        <v>24</v>
      </c>
      <c r="D24" s="7" t="s">
        <v>51</v>
      </c>
      <c r="E24" s="7" t="s">
        <v>406</v>
      </c>
      <c r="F24" s="7" t="s">
        <v>406</v>
      </c>
      <c r="G24" s="7" t="s">
        <v>157</v>
      </c>
      <c r="H24" s="7" t="s">
        <v>372</v>
      </c>
      <c r="I24" s="7" t="s">
        <v>42</v>
      </c>
      <c r="J24" s="7" t="s">
        <v>157</v>
      </c>
      <c r="K24" s="7" t="s">
        <v>372</v>
      </c>
      <c r="L24" s="7" t="s">
        <v>394</v>
      </c>
      <c r="M24" s="8">
        <v>6001.02</v>
      </c>
      <c r="N24" s="7" t="s">
        <v>395</v>
      </c>
      <c r="O24" s="10">
        <v>0</v>
      </c>
      <c r="P24" s="10">
        <v>462</v>
      </c>
      <c r="Q24" s="10">
        <v>-462</v>
      </c>
      <c r="T24" s="1" t="s">
        <v>47</v>
      </c>
      <c r="U24" s="1" t="s">
        <v>429</v>
      </c>
      <c r="V24" s="2">
        <v>-1884.64</v>
      </c>
      <c r="W24" s="2">
        <v>0</v>
      </c>
    </row>
    <row r="25" spans="1:19">
      <c r="A25" s="6">
        <v>45859</v>
      </c>
      <c r="B25" s="7" t="s">
        <v>24</v>
      </c>
      <c r="C25" s="8" t="s">
        <v>24</v>
      </c>
      <c r="D25" s="7" t="s">
        <v>51</v>
      </c>
      <c r="E25" s="7" t="s">
        <v>406</v>
      </c>
      <c r="F25" s="7" t="s">
        <v>406</v>
      </c>
      <c r="G25" s="7" t="s">
        <v>143</v>
      </c>
      <c r="H25" s="7" t="s">
        <v>372</v>
      </c>
      <c r="I25" s="7" t="s">
        <v>42</v>
      </c>
      <c r="J25" s="7" t="s">
        <v>143</v>
      </c>
      <c r="K25" s="7" t="s">
        <v>372</v>
      </c>
      <c r="L25" s="7" t="s">
        <v>389</v>
      </c>
      <c r="M25" s="8" t="s">
        <v>436</v>
      </c>
      <c r="N25" s="7" t="s">
        <v>437</v>
      </c>
      <c r="O25" s="10">
        <v>0</v>
      </c>
      <c r="P25" s="10">
        <v>105</v>
      </c>
      <c r="Q25" s="10">
        <v>-105</v>
      </c>
      <c r="S25" s="1" t="s">
        <v>57</v>
      </c>
    </row>
    <row r="26" spans="1:23">
      <c r="A26" s="6">
        <v>45850</v>
      </c>
      <c r="B26" s="7" t="s">
        <v>24</v>
      </c>
      <c r="C26" s="8" t="s">
        <v>24</v>
      </c>
      <c r="D26" s="7" t="s">
        <v>51</v>
      </c>
      <c r="E26" s="7" t="s">
        <v>406</v>
      </c>
      <c r="F26" s="7" t="s">
        <v>406</v>
      </c>
      <c r="G26" s="7" t="s">
        <v>157</v>
      </c>
      <c r="H26" s="7" t="s">
        <v>372</v>
      </c>
      <c r="I26" s="7" t="s">
        <v>42</v>
      </c>
      <c r="J26" s="7" t="s">
        <v>157</v>
      </c>
      <c r="K26" s="7" t="s">
        <v>372</v>
      </c>
      <c r="L26" s="7" t="s">
        <v>394</v>
      </c>
      <c r="M26" s="8">
        <v>6001.02</v>
      </c>
      <c r="N26" s="7" t="s">
        <v>395</v>
      </c>
      <c r="O26" s="10">
        <v>0</v>
      </c>
      <c r="P26" s="10">
        <v>33</v>
      </c>
      <c r="Q26" s="10">
        <v>-33</v>
      </c>
      <c r="T26" s="1" t="s">
        <v>42</v>
      </c>
      <c r="U26" s="1" t="s">
        <v>201</v>
      </c>
      <c r="V26" s="2">
        <v>0</v>
      </c>
      <c r="W26" s="2">
        <v>7616.6</v>
      </c>
    </row>
    <row r="27" spans="1:23">
      <c r="A27" s="6">
        <v>45861</v>
      </c>
      <c r="B27" s="7" t="s">
        <v>24</v>
      </c>
      <c r="C27" s="8" t="s">
        <v>24</v>
      </c>
      <c r="D27" s="7" t="s">
        <v>51</v>
      </c>
      <c r="E27" s="7" t="s">
        <v>406</v>
      </c>
      <c r="F27" s="7" t="s">
        <v>406</v>
      </c>
      <c r="G27" s="7" t="s">
        <v>143</v>
      </c>
      <c r="H27" s="7" t="s">
        <v>372</v>
      </c>
      <c r="I27" s="7" t="s">
        <v>42</v>
      </c>
      <c r="J27" s="7" t="s">
        <v>143</v>
      </c>
      <c r="K27" s="7" t="s">
        <v>372</v>
      </c>
      <c r="L27" s="7" t="s">
        <v>389</v>
      </c>
      <c r="M27" s="8" t="s">
        <v>436</v>
      </c>
      <c r="N27" s="7" t="s">
        <v>437</v>
      </c>
      <c r="O27" s="10">
        <v>0</v>
      </c>
      <c r="P27" s="10">
        <v>105</v>
      </c>
      <c r="Q27" s="10">
        <v>-105</v>
      </c>
      <c r="T27" s="1" t="s">
        <v>42</v>
      </c>
      <c r="U27" s="1" t="s">
        <v>77</v>
      </c>
      <c r="V27" s="2">
        <v>0</v>
      </c>
      <c r="W27" s="2">
        <v>4781.92</v>
      </c>
    </row>
    <row r="28" spans="1:23">
      <c r="A28" s="6">
        <v>45865</v>
      </c>
      <c r="B28" s="7" t="s">
        <v>24</v>
      </c>
      <c r="C28" s="8" t="s">
        <v>24</v>
      </c>
      <c r="D28" s="7" t="s">
        <v>51</v>
      </c>
      <c r="E28" s="7" t="s">
        <v>406</v>
      </c>
      <c r="F28" s="7" t="s">
        <v>406</v>
      </c>
      <c r="G28" s="7" t="s">
        <v>157</v>
      </c>
      <c r="H28" s="7" t="s">
        <v>372</v>
      </c>
      <c r="I28" s="7" t="s">
        <v>42</v>
      </c>
      <c r="J28" s="7" t="s">
        <v>157</v>
      </c>
      <c r="K28" s="7" t="s">
        <v>372</v>
      </c>
      <c r="L28" s="7" t="s">
        <v>394</v>
      </c>
      <c r="M28" s="8">
        <v>6001.02</v>
      </c>
      <c r="N28" s="7" t="s">
        <v>395</v>
      </c>
      <c r="O28" s="10">
        <v>0</v>
      </c>
      <c r="P28" s="10">
        <v>528</v>
      </c>
      <c r="Q28" s="10">
        <v>-528</v>
      </c>
      <c r="T28" s="1" t="s">
        <v>47</v>
      </c>
      <c r="U28" s="1" t="s">
        <v>201</v>
      </c>
      <c r="V28" s="2">
        <v>0</v>
      </c>
      <c r="W28" s="2">
        <v>25000</v>
      </c>
    </row>
    <row r="29" spans="1:23">
      <c r="A29" s="6">
        <v>45856</v>
      </c>
      <c r="B29" s="7" t="s">
        <v>24</v>
      </c>
      <c r="C29" s="8" t="s">
        <v>24</v>
      </c>
      <c r="D29" s="7" t="s">
        <v>51</v>
      </c>
      <c r="E29" s="7" t="s">
        <v>406</v>
      </c>
      <c r="F29" s="7" t="s">
        <v>406</v>
      </c>
      <c r="G29" s="7" t="s">
        <v>143</v>
      </c>
      <c r="H29" s="7" t="s">
        <v>372</v>
      </c>
      <c r="I29" s="7" t="s">
        <v>42</v>
      </c>
      <c r="J29" s="7" t="s">
        <v>143</v>
      </c>
      <c r="K29" s="7" t="s">
        <v>372</v>
      </c>
      <c r="L29" s="7" t="s">
        <v>389</v>
      </c>
      <c r="M29" s="8" t="s">
        <v>436</v>
      </c>
      <c r="N29" s="7" t="s">
        <v>437</v>
      </c>
      <c r="O29" s="10">
        <v>0</v>
      </c>
      <c r="P29" s="10">
        <v>70</v>
      </c>
      <c r="Q29" s="10">
        <v>-70</v>
      </c>
      <c r="T29" s="1" t="s">
        <v>47</v>
      </c>
      <c r="U29" s="1" t="s">
        <v>63</v>
      </c>
      <c r="V29" s="2">
        <v>0</v>
      </c>
      <c r="W29" s="2">
        <v>5928</v>
      </c>
    </row>
    <row r="30" spans="1:23">
      <c r="A30" s="6">
        <v>45868</v>
      </c>
      <c r="B30" s="7" t="s">
        <v>24</v>
      </c>
      <c r="C30" s="8" t="s">
        <v>24</v>
      </c>
      <c r="D30" s="7" t="s">
        <v>51</v>
      </c>
      <c r="E30" s="7" t="s">
        <v>406</v>
      </c>
      <c r="F30" s="7" t="s">
        <v>406</v>
      </c>
      <c r="G30" s="7" t="s">
        <v>157</v>
      </c>
      <c r="H30" s="7" t="s">
        <v>372</v>
      </c>
      <c r="I30" s="7" t="s">
        <v>42</v>
      </c>
      <c r="J30" s="7" t="s">
        <v>157</v>
      </c>
      <c r="K30" s="7" t="s">
        <v>372</v>
      </c>
      <c r="L30" s="7" t="s">
        <v>394</v>
      </c>
      <c r="M30" s="8">
        <v>6001.02</v>
      </c>
      <c r="N30" s="7" t="s">
        <v>395</v>
      </c>
      <c r="O30" s="10">
        <v>0</v>
      </c>
      <c r="P30" s="10">
        <v>165</v>
      </c>
      <c r="Q30" s="10">
        <v>-165</v>
      </c>
      <c r="T30" s="1" t="s">
        <v>47</v>
      </c>
      <c r="U30" s="1" t="s">
        <v>366</v>
      </c>
      <c r="V30" s="2">
        <v>0</v>
      </c>
      <c r="W30" s="2">
        <v>237160</v>
      </c>
    </row>
    <row r="31" spans="1:23">
      <c r="A31" s="6">
        <v>45853</v>
      </c>
      <c r="B31" s="7" t="s">
        <v>24</v>
      </c>
      <c r="C31" s="8" t="s">
        <v>24</v>
      </c>
      <c r="D31" s="7" t="s">
        <v>51</v>
      </c>
      <c r="E31" s="7" t="s">
        <v>406</v>
      </c>
      <c r="F31" s="7" t="s">
        <v>406</v>
      </c>
      <c r="G31" s="7" t="s">
        <v>143</v>
      </c>
      <c r="H31" s="7" t="s">
        <v>372</v>
      </c>
      <c r="I31" s="7" t="s">
        <v>42</v>
      </c>
      <c r="J31" s="7" t="s">
        <v>143</v>
      </c>
      <c r="K31" s="7" t="s">
        <v>372</v>
      </c>
      <c r="L31" s="7" t="s">
        <v>389</v>
      </c>
      <c r="M31" s="8" t="s">
        <v>436</v>
      </c>
      <c r="N31" s="7" t="s">
        <v>437</v>
      </c>
      <c r="O31" s="10">
        <v>0</v>
      </c>
      <c r="P31" s="10">
        <v>210</v>
      </c>
      <c r="Q31" s="10">
        <v>-210</v>
      </c>
      <c r="T31" s="1" t="s">
        <v>47</v>
      </c>
      <c r="U31" s="1" t="s">
        <v>43</v>
      </c>
      <c r="V31" s="2">
        <v>0</v>
      </c>
      <c r="W31" s="2">
        <v>13500</v>
      </c>
    </row>
    <row r="32" spans="1:23">
      <c r="A32" s="6">
        <v>45851</v>
      </c>
      <c r="B32" s="7" t="s">
        <v>24</v>
      </c>
      <c r="C32" s="8" t="s">
        <v>24</v>
      </c>
      <c r="D32" s="7" t="s">
        <v>51</v>
      </c>
      <c r="E32" s="7" t="s">
        <v>406</v>
      </c>
      <c r="F32" s="7" t="s">
        <v>406</v>
      </c>
      <c r="G32" s="7" t="s">
        <v>143</v>
      </c>
      <c r="H32" s="7" t="s">
        <v>372</v>
      </c>
      <c r="I32" s="7" t="s">
        <v>42</v>
      </c>
      <c r="J32" s="7" t="s">
        <v>143</v>
      </c>
      <c r="K32" s="7" t="s">
        <v>372</v>
      </c>
      <c r="L32" s="7" t="s">
        <v>389</v>
      </c>
      <c r="M32" s="8" t="s">
        <v>436</v>
      </c>
      <c r="N32" s="7" t="s">
        <v>437</v>
      </c>
      <c r="O32" s="10">
        <v>0</v>
      </c>
      <c r="P32" s="10">
        <v>70</v>
      </c>
      <c r="Q32" s="10">
        <v>-70</v>
      </c>
      <c r="T32" s="1" t="s">
        <v>47</v>
      </c>
      <c r="U32" s="1" t="s">
        <v>282</v>
      </c>
      <c r="V32" s="2">
        <v>0</v>
      </c>
      <c r="W32" s="2">
        <v>49700</v>
      </c>
    </row>
    <row r="33" spans="1:23">
      <c r="A33" s="6">
        <v>45864</v>
      </c>
      <c r="B33" s="7" t="s">
        <v>24</v>
      </c>
      <c r="C33" s="8" t="s">
        <v>24</v>
      </c>
      <c r="D33" s="7" t="s">
        <v>51</v>
      </c>
      <c r="E33" s="7" t="s">
        <v>406</v>
      </c>
      <c r="F33" s="7" t="s">
        <v>406</v>
      </c>
      <c r="G33" s="7" t="s">
        <v>157</v>
      </c>
      <c r="H33" s="7" t="s">
        <v>372</v>
      </c>
      <c r="I33" s="7" t="s">
        <v>42</v>
      </c>
      <c r="J33" s="7" t="s">
        <v>157</v>
      </c>
      <c r="K33" s="7" t="s">
        <v>372</v>
      </c>
      <c r="L33" s="7" t="s">
        <v>394</v>
      </c>
      <c r="M33" s="8">
        <v>6001.02</v>
      </c>
      <c r="N33" s="7" t="s">
        <v>395</v>
      </c>
      <c r="O33" s="10">
        <v>0</v>
      </c>
      <c r="P33" s="10">
        <v>132</v>
      </c>
      <c r="Q33" s="10">
        <v>-132</v>
      </c>
      <c r="T33" s="1" t="s">
        <v>47</v>
      </c>
      <c r="U33" s="1" t="s">
        <v>429</v>
      </c>
      <c r="V33" s="2">
        <v>-85.05</v>
      </c>
      <c r="W33" s="2">
        <v>0</v>
      </c>
    </row>
    <row r="34" spans="1:23">
      <c r="A34" s="6">
        <v>45843</v>
      </c>
      <c r="B34" s="7" t="s">
        <v>24</v>
      </c>
      <c r="C34" s="8" t="s">
        <v>24</v>
      </c>
      <c r="D34" s="7" t="s">
        <v>51</v>
      </c>
      <c r="E34" s="7" t="s">
        <v>406</v>
      </c>
      <c r="F34" s="7" t="s">
        <v>406</v>
      </c>
      <c r="G34" s="7" t="s">
        <v>157</v>
      </c>
      <c r="H34" s="7" t="s">
        <v>372</v>
      </c>
      <c r="I34" s="7" t="s">
        <v>42</v>
      </c>
      <c r="J34" s="7" t="s">
        <v>157</v>
      </c>
      <c r="K34" s="7" t="s">
        <v>372</v>
      </c>
      <c r="L34" s="7" t="s">
        <v>394</v>
      </c>
      <c r="M34" s="8">
        <v>6001.02</v>
      </c>
      <c r="N34" s="7" t="s">
        <v>395</v>
      </c>
      <c r="O34" s="10">
        <v>0</v>
      </c>
      <c r="P34" s="10">
        <v>165</v>
      </c>
      <c r="Q34" s="10">
        <v>-165</v>
      </c>
      <c r="S34" s="1" t="s">
        <v>16</v>
      </c>
      <c r="V34" s="2">
        <v>-21545059.65</v>
      </c>
      <c r="W34" s="2">
        <v>350877.26</v>
      </c>
    </row>
    <row r="35" spans="1:23">
      <c r="A35" s="6">
        <v>45869</v>
      </c>
      <c r="B35" s="7" t="s">
        <v>24</v>
      </c>
      <c r="C35" s="8" t="s">
        <v>24</v>
      </c>
      <c r="D35" s="7" t="s">
        <v>51</v>
      </c>
      <c r="E35" s="7" t="s">
        <v>406</v>
      </c>
      <c r="F35" s="7" t="s">
        <v>406</v>
      </c>
      <c r="G35" s="7" t="s">
        <v>143</v>
      </c>
      <c r="H35" s="7" t="s">
        <v>372</v>
      </c>
      <c r="I35" s="7" t="s">
        <v>42</v>
      </c>
      <c r="J35" s="7" t="s">
        <v>143</v>
      </c>
      <c r="K35" s="7" t="s">
        <v>372</v>
      </c>
      <c r="L35" s="7" t="s">
        <v>389</v>
      </c>
      <c r="M35" s="8" t="s">
        <v>436</v>
      </c>
      <c r="N35" s="7" t="s">
        <v>437</v>
      </c>
      <c r="O35" s="10">
        <v>0</v>
      </c>
      <c r="P35" s="10">
        <v>490</v>
      </c>
      <c r="Q35" s="10">
        <v>-490</v>
      </c>
      <c r="S35"/>
      <c r="T35"/>
      <c r="U35"/>
      <c r="V35" s="13"/>
      <c r="W35" s="13"/>
    </row>
    <row r="36" spans="1:23">
      <c r="A36" s="6">
        <v>45866</v>
      </c>
      <c r="B36" s="7" t="s">
        <v>24</v>
      </c>
      <c r="C36" s="8" t="s">
        <v>24</v>
      </c>
      <c r="D36" s="7" t="s">
        <v>51</v>
      </c>
      <c r="E36" s="7" t="s">
        <v>406</v>
      </c>
      <c r="F36" s="7" t="s">
        <v>406</v>
      </c>
      <c r="G36" s="7" t="s">
        <v>143</v>
      </c>
      <c r="H36" s="7" t="s">
        <v>372</v>
      </c>
      <c r="I36" s="7" t="s">
        <v>42</v>
      </c>
      <c r="J36" s="7" t="s">
        <v>143</v>
      </c>
      <c r="K36" s="7" t="s">
        <v>372</v>
      </c>
      <c r="L36" s="7" t="s">
        <v>389</v>
      </c>
      <c r="M36" s="8" t="s">
        <v>436</v>
      </c>
      <c r="N36" s="7" t="s">
        <v>437</v>
      </c>
      <c r="O36" s="10">
        <v>0</v>
      </c>
      <c r="P36" s="10">
        <v>385</v>
      </c>
      <c r="Q36" s="10">
        <v>-385</v>
      </c>
      <c r="S36"/>
      <c r="T36"/>
      <c r="U36"/>
      <c r="V36" s="13"/>
      <c r="W36" s="13"/>
    </row>
    <row r="37" spans="1:23">
      <c r="A37" s="6">
        <v>45842</v>
      </c>
      <c r="B37" s="7" t="s">
        <v>24</v>
      </c>
      <c r="C37" s="8" t="s">
        <v>24</v>
      </c>
      <c r="D37" s="7" t="s">
        <v>51</v>
      </c>
      <c r="E37" s="7" t="s">
        <v>406</v>
      </c>
      <c r="F37" s="7" t="s">
        <v>406</v>
      </c>
      <c r="G37" s="7" t="s">
        <v>157</v>
      </c>
      <c r="H37" s="7" t="s">
        <v>372</v>
      </c>
      <c r="I37" s="7" t="s">
        <v>42</v>
      </c>
      <c r="J37" s="7" t="s">
        <v>157</v>
      </c>
      <c r="K37" s="7" t="s">
        <v>372</v>
      </c>
      <c r="L37" s="7" t="s">
        <v>394</v>
      </c>
      <c r="M37" s="8">
        <v>6001.02</v>
      </c>
      <c r="N37" s="7" t="s">
        <v>395</v>
      </c>
      <c r="O37" s="10">
        <v>0</v>
      </c>
      <c r="P37" s="10">
        <v>66</v>
      </c>
      <c r="Q37" s="10">
        <v>-66</v>
      </c>
      <c r="S37"/>
      <c r="T37"/>
      <c r="U37"/>
      <c r="V37" s="13"/>
      <c r="W37" s="13"/>
    </row>
    <row r="38" spans="1:23">
      <c r="A38" s="6">
        <v>45842</v>
      </c>
      <c r="B38" s="7" t="s">
        <v>24</v>
      </c>
      <c r="C38" s="8" t="s">
        <v>24</v>
      </c>
      <c r="D38" s="7" t="s">
        <v>57</v>
      </c>
      <c r="E38" s="7" t="s">
        <v>406</v>
      </c>
      <c r="F38" s="7" t="s">
        <v>406</v>
      </c>
      <c r="G38" s="7" t="s">
        <v>366</v>
      </c>
      <c r="H38" s="7" t="s">
        <v>372</v>
      </c>
      <c r="I38" s="7" t="s">
        <v>47</v>
      </c>
      <c r="J38" s="7" t="s">
        <v>366</v>
      </c>
      <c r="K38" s="7" t="s">
        <v>372</v>
      </c>
      <c r="L38" s="7" t="s">
        <v>389</v>
      </c>
      <c r="M38" s="8" t="s">
        <v>436</v>
      </c>
      <c r="N38" s="7" t="s">
        <v>437</v>
      </c>
      <c r="O38" s="10">
        <v>0</v>
      </c>
      <c r="P38" s="10">
        <v>18960</v>
      </c>
      <c r="Q38" s="10">
        <v>-18960</v>
      </c>
      <c r="S38"/>
      <c r="T38"/>
      <c r="U38"/>
      <c r="V38" s="13"/>
      <c r="W38" s="13"/>
    </row>
    <row r="39" spans="1:23">
      <c r="A39" s="6">
        <v>45852</v>
      </c>
      <c r="B39" s="7" t="s">
        <v>24</v>
      </c>
      <c r="C39" s="8" t="s">
        <v>24</v>
      </c>
      <c r="D39" s="7" t="s">
        <v>57</v>
      </c>
      <c r="E39" s="7" t="s">
        <v>406</v>
      </c>
      <c r="F39" s="7" t="s">
        <v>406</v>
      </c>
      <c r="G39" s="7" t="s">
        <v>43</v>
      </c>
      <c r="H39" s="7" t="s">
        <v>407</v>
      </c>
      <c r="I39" s="7" t="s">
        <v>47</v>
      </c>
      <c r="J39" s="7" t="s">
        <v>43</v>
      </c>
      <c r="K39" s="7" t="s">
        <v>407</v>
      </c>
      <c r="L39" s="7" t="s">
        <v>394</v>
      </c>
      <c r="M39" s="8">
        <v>6001.02</v>
      </c>
      <c r="N39" s="7" t="s">
        <v>395</v>
      </c>
      <c r="O39" s="10">
        <v>0</v>
      </c>
      <c r="P39" s="10">
        <v>13500</v>
      </c>
      <c r="Q39" s="10">
        <v>-13500</v>
      </c>
      <c r="S39"/>
      <c r="T39"/>
      <c r="U39"/>
      <c r="V39" s="13"/>
      <c r="W39" s="13"/>
    </row>
    <row r="40" spans="1:23">
      <c r="A40" s="6">
        <v>45847</v>
      </c>
      <c r="B40" s="7" t="s">
        <v>24</v>
      </c>
      <c r="C40" s="8" t="s">
        <v>24</v>
      </c>
      <c r="D40" s="7" t="s">
        <v>57</v>
      </c>
      <c r="E40" s="7" t="s">
        <v>406</v>
      </c>
      <c r="F40" s="7" t="s">
        <v>406</v>
      </c>
      <c r="G40" s="7" t="s">
        <v>282</v>
      </c>
      <c r="H40" s="7" t="s">
        <v>372</v>
      </c>
      <c r="I40" s="7" t="s">
        <v>47</v>
      </c>
      <c r="J40" s="7" t="s">
        <v>282</v>
      </c>
      <c r="K40" s="7" t="s">
        <v>372</v>
      </c>
      <c r="L40" s="7" t="s">
        <v>389</v>
      </c>
      <c r="M40" s="8" t="s">
        <v>436</v>
      </c>
      <c r="N40" s="7" t="s">
        <v>437</v>
      </c>
      <c r="O40" s="10">
        <v>0</v>
      </c>
      <c r="P40" s="10">
        <v>36400</v>
      </c>
      <c r="Q40" s="10">
        <v>-36400</v>
      </c>
      <c r="S40"/>
      <c r="T40"/>
      <c r="U40"/>
      <c r="V40" s="13"/>
      <c r="W40" s="13"/>
    </row>
    <row r="41" spans="1:23">
      <c r="A41" s="6">
        <v>45847</v>
      </c>
      <c r="B41" s="7" t="s">
        <v>24</v>
      </c>
      <c r="C41" s="8" t="s">
        <v>24</v>
      </c>
      <c r="D41" s="7" t="s">
        <v>57</v>
      </c>
      <c r="E41" s="7" t="s">
        <v>406</v>
      </c>
      <c r="F41" s="7" t="s">
        <v>406</v>
      </c>
      <c r="G41" s="7" t="s">
        <v>282</v>
      </c>
      <c r="H41" s="7" t="s">
        <v>372</v>
      </c>
      <c r="I41" s="7" t="s">
        <v>47</v>
      </c>
      <c r="J41" s="7" t="s">
        <v>282</v>
      </c>
      <c r="K41" s="7" t="s">
        <v>372</v>
      </c>
      <c r="L41" s="7" t="s">
        <v>389</v>
      </c>
      <c r="M41" s="8" t="s">
        <v>436</v>
      </c>
      <c r="N41" s="7" t="s">
        <v>437</v>
      </c>
      <c r="O41" s="10">
        <v>0</v>
      </c>
      <c r="P41" s="10">
        <v>13300</v>
      </c>
      <c r="Q41" s="10">
        <v>-13300</v>
      </c>
      <c r="S41"/>
      <c r="T41"/>
      <c r="U41"/>
      <c r="V41" s="13"/>
      <c r="W41" s="13"/>
    </row>
    <row r="42" spans="1:23">
      <c r="A42" s="6">
        <v>45840</v>
      </c>
      <c r="B42" s="7" t="s">
        <v>24</v>
      </c>
      <c r="C42" s="8" t="s">
        <v>24</v>
      </c>
      <c r="D42" s="7" t="s">
        <v>57</v>
      </c>
      <c r="E42" s="7" t="s">
        <v>406</v>
      </c>
      <c r="F42" s="7" t="s">
        <v>406</v>
      </c>
      <c r="G42" s="7" t="s">
        <v>63</v>
      </c>
      <c r="H42" s="7" t="s">
        <v>372</v>
      </c>
      <c r="I42" s="7" t="s">
        <v>47</v>
      </c>
      <c r="J42" s="7" t="s">
        <v>63</v>
      </c>
      <c r="K42" s="7" t="s">
        <v>372</v>
      </c>
      <c r="L42" s="7" t="s">
        <v>389</v>
      </c>
      <c r="M42" s="8" t="s">
        <v>436</v>
      </c>
      <c r="N42" s="7" t="s">
        <v>437</v>
      </c>
      <c r="O42" s="10">
        <v>0</v>
      </c>
      <c r="P42" s="10">
        <v>4500</v>
      </c>
      <c r="Q42" s="10">
        <v>-4500</v>
      </c>
      <c r="S42"/>
      <c r="T42"/>
      <c r="U42"/>
      <c r="V42" s="13"/>
      <c r="W42" s="13"/>
    </row>
    <row r="43" spans="1:23">
      <c r="A43" s="6">
        <v>45840</v>
      </c>
      <c r="B43" s="7" t="s">
        <v>24</v>
      </c>
      <c r="C43" s="8" t="s">
        <v>24</v>
      </c>
      <c r="D43" s="7" t="s">
        <v>57</v>
      </c>
      <c r="E43" s="7" t="s">
        <v>406</v>
      </c>
      <c r="F43" s="7" t="s">
        <v>406</v>
      </c>
      <c r="G43" s="7" t="s">
        <v>63</v>
      </c>
      <c r="H43" s="7" t="s">
        <v>372</v>
      </c>
      <c r="I43" s="7" t="s">
        <v>47</v>
      </c>
      <c r="J43" s="7" t="s">
        <v>63</v>
      </c>
      <c r="K43" s="7" t="s">
        <v>372</v>
      </c>
      <c r="L43" s="7" t="s">
        <v>389</v>
      </c>
      <c r="M43" s="8" t="s">
        <v>436</v>
      </c>
      <c r="N43" s="7" t="s">
        <v>437</v>
      </c>
      <c r="O43" s="10">
        <v>0</v>
      </c>
      <c r="P43" s="10">
        <v>1428</v>
      </c>
      <c r="Q43" s="10">
        <v>-1428</v>
      </c>
      <c r="S43"/>
      <c r="T43"/>
      <c r="U43"/>
      <c r="V43" s="13"/>
      <c r="W43" s="13"/>
    </row>
    <row r="44" spans="1:23">
      <c r="A44" s="6">
        <v>45855</v>
      </c>
      <c r="B44" s="7" t="s">
        <v>24</v>
      </c>
      <c r="C44" s="8" t="s">
        <v>24</v>
      </c>
      <c r="D44" s="7" t="s">
        <v>57</v>
      </c>
      <c r="E44" s="7" t="s">
        <v>406</v>
      </c>
      <c r="F44" s="7" t="s">
        <v>406</v>
      </c>
      <c r="G44" s="7" t="s">
        <v>77</v>
      </c>
      <c r="H44" s="7" t="s">
        <v>407</v>
      </c>
      <c r="I44" s="7" t="s">
        <v>42</v>
      </c>
      <c r="J44" s="7" t="s">
        <v>77</v>
      </c>
      <c r="K44" s="7" t="s">
        <v>407</v>
      </c>
      <c r="L44" s="7" t="s">
        <v>394</v>
      </c>
      <c r="M44" s="8">
        <v>6001.02</v>
      </c>
      <c r="N44" s="7" t="s">
        <v>395</v>
      </c>
      <c r="O44" s="10">
        <v>0</v>
      </c>
      <c r="P44" s="10">
        <v>4781.92</v>
      </c>
      <c r="Q44" s="10">
        <v>-4781.92</v>
      </c>
      <c r="S44"/>
      <c r="T44"/>
      <c r="U44"/>
      <c r="V44" s="13"/>
      <c r="W44" s="13"/>
    </row>
    <row r="45" spans="1:23">
      <c r="A45" s="6">
        <v>45856</v>
      </c>
      <c r="B45" s="7" t="s">
        <v>24</v>
      </c>
      <c r="C45" s="8" t="s">
        <v>24</v>
      </c>
      <c r="D45" s="7" t="s">
        <v>57</v>
      </c>
      <c r="E45" s="7" t="s">
        <v>406</v>
      </c>
      <c r="F45" s="7" t="s">
        <v>406</v>
      </c>
      <c r="G45" s="7" t="s">
        <v>366</v>
      </c>
      <c r="H45" s="7" t="s">
        <v>372</v>
      </c>
      <c r="I45" s="7" t="s">
        <v>47</v>
      </c>
      <c r="J45" s="7" t="s">
        <v>366</v>
      </c>
      <c r="K45" s="7" t="s">
        <v>372</v>
      </c>
      <c r="L45" s="7" t="s">
        <v>389</v>
      </c>
      <c r="M45" s="8" t="s">
        <v>436</v>
      </c>
      <c r="N45" s="7" t="s">
        <v>437</v>
      </c>
      <c r="O45" s="10">
        <v>0</v>
      </c>
      <c r="P45" s="10">
        <v>23800</v>
      </c>
      <c r="Q45" s="10">
        <v>-23800</v>
      </c>
      <c r="S45"/>
      <c r="T45"/>
      <c r="U45"/>
      <c r="V45" s="13"/>
      <c r="W45" s="13"/>
    </row>
    <row r="46" spans="1:23">
      <c r="A46" s="6">
        <v>45847</v>
      </c>
      <c r="B46" s="7" t="s">
        <v>24</v>
      </c>
      <c r="C46" s="8" t="s">
        <v>24</v>
      </c>
      <c r="D46" s="7" t="s">
        <v>57</v>
      </c>
      <c r="E46" s="7" t="s">
        <v>406</v>
      </c>
      <c r="F46" s="7" t="s">
        <v>406</v>
      </c>
      <c r="G46" s="7" t="s">
        <v>201</v>
      </c>
      <c r="H46" s="7" t="s">
        <v>372</v>
      </c>
      <c r="I46" s="7" t="s">
        <v>47</v>
      </c>
      <c r="J46" s="7" t="s">
        <v>201</v>
      </c>
      <c r="K46" s="7" t="s">
        <v>372</v>
      </c>
      <c r="L46" s="7" t="s">
        <v>389</v>
      </c>
      <c r="M46" s="8" t="s">
        <v>436</v>
      </c>
      <c r="N46" s="7" t="s">
        <v>437</v>
      </c>
      <c r="O46" s="10">
        <v>0</v>
      </c>
      <c r="P46" s="10">
        <v>11500</v>
      </c>
      <c r="Q46" s="10">
        <v>-11500</v>
      </c>
      <c r="S46"/>
      <c r="T46"/>
      <c r="U46"/>
      <c r="V46" s="13"/>
      <c r="W46" s="13"/>
    </row>
    <row r="47" spans="1:23">
      <c r="A47" s="6">
        <v>45856</v>
      </c>
      <c r="B47" s="7" t="s">
        <v>24</v>
      </c>
      <c r="C47" s="8" t="s">
        <v>24</v>
      </c>
      <c r="D47" s="7" t="s">
        <v>57</v>
      </c>
      <c r="E47" s="7" t="s">
        <v>406</v>
      </c>
      <c r="F47" s="7" t="s">
        <v>406</v>
      </c>
      <c r="G47" s="7" t="s">
        <v>366</v>
      </c>
      <c r="H47" s="7" t="s">
        <v>372</v>
      </c>
      <c r="I47" s="7" t="s">
        <v>47</v>
      </c>
      <c r="J47" s="7" t="s">
        <v>366</v>
      </c>
      <c r="K47" s="7" t="s">
        <v>372</v>
      </c>
      <c r="L47" s="7" t="s">
        <v>389</v>
      </c>
      <c r="M47" s="8" t="s">
        <v>436</v>
      </c>
      <c r="N47" s="7" t="s">
        <v>437</v>
      </c>
      <c r="O47" s="10">
        <v>0</v>
      </c>
      <c r="P47" s="10">
        <v>24000</v>
      </c>
      <c r="Q47" s="10">
        <v>-24000</v>
      </c>
      <c r="S47"/>
      <c r="T47"/>
      <c r="U47"/>
      <c r="V47" s="13"/>
      <c r="W47" s="13"/>
    </row>
    <row r="48" spans="1:23">
      <c r="A48" s="6">
        <v>45854</v>
      </c>
      <c r="B48" s="7" t="s">
        <v>24</v>
      </c>
      <c r="C48" s="8" t="s">
        <v>24</v>
      </c>
      <c r="D48" s="7" t="s">
        <v>57</v>
      </c>
      <c r="E48" s="7" t="s">
        <v>406</v>
      </c>
      <c r="F48" s="7" t="s">
        <v>406</v>
      </c>
      <c r="G48" s="7" t="s">
        <v>201</v>
      </c>
      <c r="H48" s="7" t="s">
        <v>372</v>
      </c>
      <c r="I48" s="7" t="s">
        <v>42</v>
      </c>
      <c r="J48" s="7" t="s">
        <v>201</v>
      </c>
      <c r="K48" s="7" t="s">
        <v>372</v>
      </c>
      <c r="L48" s="7" t="s">
        <v>394</v>
      </c>
      <c r="M48" s="8">
        <v>6001.02</v>
      </c>
      <c r="N48" s="7" t="s">
        <v>395</v>
      </c>
      <c r="O48" s="10">
        <v>0</v>
      </c>
      <c r="P48" s="10">
        <v>1950</v>
      </c>
      <c r="Q48" s="10">
        <v>-1950</v>
      </c>
      <c r="S48"/>
      <c r="T48"/>
      <c r="U48"/>
      <c r="V48" s="13"/>
      <c r="W48" s="13"/>
    </row>
    <row r="49" spans="1:23">
      <c r="A49" s="6">
        <v>45847</v>
      </c>
      <c r="B49" s="7" t="s">
        <v>24</v>
      </c>
      <c r="C49" s="8" t="s">
        <v>24</v>
      </c>
      <c r="D49" s="7" t="s">
        <v>57</v>
      </c>
      <c r="E49" s="7" t="s">
        <v>406</v>
      </c>
      <c r="F49" s="7" t="s">
        <v>406</v>
      </c>
      <c r="G49" s="7" t="s">
        <v>201</v>
      </c>
      <c r="H49" s="7" t="s">
        <v>372</v>
      </c>
      <c r="I49" s="7" t="s">
        <v>47</v>
      </c>
      <c r="J49" s="7" t="s">
        <v>201</v>
      </c>
      <c r="K49" s="7" t="s">
        <v>372</v>
      </c>
      <c r="L49" s="7" t="s">
        <v>389</v>
      </c>
      <c r="M49" s="8" t="s">
        <v>436</v>
      </c>
      <c r="N49" s="7" t="s">
        <v>437</v>
      </c>
      <c r="O49" s="10">
        <v>0</v>
      </c>
      <c r="P49" s="10">
        <v>13500</v>
      </c>
      <c r="Q49" s="10">
        <v>-13500</v>
      </c>
      <c r="S49"/>
      <c r="T49"/>
      <c r="U49"/>
      <c r="V49" s="13"/>
      <c r="W49" s="13"/>
    </row>
    <row r="50" spans="1:23">
      <c r="A50" s="6">
        <v>45856</v>
      </c>
      <c r="B50" s="7" t="s">
        <v>24</v>
      </c>
      <c r="C50" s="8" t="s">
        <v>24</v>
      </c>
      <c r="D50" s="7" t="s">
        <v>57</v>
      </c>
      <c r="E50" s="7" t="s">
        <v>406</v>
      </c>
      <c r="F50" s="7" t="s">
        <v>406</v>
      </c>
      <c r="G50" s="7" t="s">
        <v>366</v>
      </c>
      <c r="H50" s="7" t="s">
        <v>372</v>
      </c>
      <c r="I50" s="7" t="s">
        <v>47</v>
      </c>
      <c r="J50" s="7" t="s">
        <v>366</v>
      </c>
      <c r="K50" s="7" t="s">
        <v>372</v>
      </c>
      <c r="L50" s="7" t="s">
        <v>389</v>
      </c>
      <c r="M50" s="8" t="s">
        <v>436</v>
      </c>
      <c r="N50" s="7" t="s">
        <v>437</v>
      </c>
      <c r="O50" s="10">
        <v>0</v>
      </c>
      <c r="P50" s="10">
        <v>31500</v>
      </c>
      <c r="Q50" s="10">
        <v>-31500</v>
      </c>
      <c r="S50"/>
      <c r="T50"/>
      <c r="U50"/>
      <c r="V50" s="13"/>
      <c r="W50" s="13"/>
    </row>
    <row r="51" spans="1:23">
      <c r="A51" s="6">
        <v>45842</v>
      </c>
      <c r="B51" s="7" t="s">
        <v>24</v>
      </c>
      <c r="C51" s="8" t="s">
        <v>24</v>
      </c>
      <c r="D51" s="7" t="s">
        <v>57</v>
      </c>
      <c r="E51" s="7" t="s">
        <v>406</v>
      </c>
      <c r="F51" s="7" t="s">
        <v>406</v>
      </c>
      <c r="G51" s="7" t="s">
        <v>366</v>
      </c>
      <c r="H51" s="7" t="s">
        <v>372</v>
      </c>
      <c r="I51" s="7" t="s">
        <v>47</v>
      </c>
      <c r="J51" s="7" t="s">
        <v>366</v>
      </c>
      <c r="K51" s="7" t="s">
        <v>372</v>
      </c>
      <c r="L51" s="7" t="s">
        <v>389</v>
      </c>
      <c r="M51" s="8" t="s">
        <v>436</v>
      </c>
      <c r="N51" s="7" t="s">
        <v>437</v>
      </c>
      <c r="O51" s="10">
        <v>0</v>
      </c>
      <c r="P51" s="10">
        <v>24000</v>
      </c>
      <c r="Q51" s="10">
        <v>-24000</v>
      </c>
      <c r="S51"/>
      <c r="T51"/>
      <c r="U51"/>
      <c r="V51" s="13"/>
      <c r="W51" s="13"/>
    </row>
    <row r="52" spans="1:17">
      <c r="A52" s="6">
        <v>45856</v>
      </c>
      <c r="B52" s="7" t="s">
        <v>24</v>
      </c>
      <c r="C52" s="8" t="s">
        <v>24</v>
      </c>
      <c r="D52" s="7" t="s">
        <v>57</v>
      </c>
      <c r="E52" s="7" t="s">
        <v>406</v>
      </c>
      <c r="F52" s="7" t="s">
        <v>406</v>
      </c>
      <c r="G52" s="7" t="s">
        <v>366</v>
      </c>
      <c r="H52" s="7" t="s">
        <v>372</v>
      </c>
      <c r="I52" s="7" t="s">
        <v>47</v>
      </c>
      <c r="J52" s="7" t="s">
        <v>366</v>
      </c>
      <c r="K52" s="7" t="s">
        <v>372</v>
      </c>
      <c r="L52" s="7" t="s">
        <v>389</v>
      </c>
      <c r="M52" s="8" t="s">
        <v>436</v>
      </c>
      <c r="N52" s="7" t="s">
        <v>437</v>
      </c>
      <c r="O52" s="10">
        <v>0</v>
      </c>
      <c r="P52" s="10">
        <v>47400</v>
      </c>
      <c r="Q52" s="10">
        <v>-47400</v>
      </c>
    </row>
    <row r="53" spans="1:17">
      <c r="A53" s="6">
        <v>45856</v>
      </c>
      <c r="B53" s="7" t="s">
        <v>24</v>
      </c>
      <c r="C53" s="8" t="s">
        <v>24</v>
      </c>
      <c r="D53" s="7" t="s">
        <v>57</v>
      </c>
      <c r="E53" s="7" t="s">
        <v>406</v>
      </c>
      <c r="F53" s="7" t="s">
        <v>406</v>
      </c>
      <c r="G53" s="7" t="s">
        <v>366</v>
      </c>
      <c r="H53" s="7" t="s">
        <v>372</v>
      </c>
      <c r="I53" s="7" t="s">
        <v>47</v>
      </c>
      <c r="J53" s="7" t="s">
        <v>366</v>
      </c>
      <c r="K53" s="7" t="s">
        <v>372</v>
      </c>
      <c r="L53" s="7" t="s">
        <v>389</v>
      </c>
      <c r="M53" s="8" t="s">
        <v>436</v>
      </c>
      <c r="N53" s="7" t="s">
        <v>437</v>
      </c>
      <c r="O53" s="10">
        <v>0</v>
      </c>
      <c r="P53" s="10">
        <v>7500</v>
      </c>
      <c r="Q53" s="10">
        <v>-7500</v>
      </c>
    </row>
    <row r="54" spans="1:17">
      <c r="A54" s="6">
        <v>45840</v>
      </c>
      <c r="B54" s="7" t="s">
        <v>24</v>
      </c>
      <c r="C54" s="8" t="s">
        <v>24</v>
      </c>
      <c r="D54" s="7" t="s">
        <v>57</v>
      </c>
      <c r="E54" s="7" t="s">
        <v>406</v>
      </c>
      <c r="F54" s="7" t="s">
        <v>406</v>
      </c>
      <c r="G54" s="7" t="s">
        <v>201</v>
      </c>
      <c r="H54" s="7" t="s">
        <v>372</v>
      </c>
      <c r="I54" s="7" t="s">
        <v>42</v>
      </c>
      <c r="J54" s="7" t="s">
        <v>201</v>
      </c>
      <c r="K54" s="7" t="s">
        <v>372</v>
      </c>
      <c r="L54" s="7" t="s">
        <v>394</v>
      </c>
      <c r="M54" s="8">
        <v>6001.02</v>
      </c>
      <c r="N54" s="7" t="s">
        <v>395</v>
      </c>
      <c r="O54" s="10">
        <v>0</v>
      </c>
      <c r="P54" s="10">
        <v>5666.6</v>
      </c>
      <c r="Q54" s="10">
        <v>-5666.6</v>
      </c>
    </row>
    <row r="55" spans="1:17">
      <c r="A55" s="6">
        <v>45856</v>
      </c>
      <c r="B55" s="7" t="s">
        <v>24</v>
      </c>
      <c r="C55" s="8" t="s">
        <v>24</v>
      </c>
      <c r="D55" s="7" t="s">
        <v>57</v>
      </c>
      <c r="E55" s="7" t="s">
        <v>406</v>
      </c>
      <c r="F55" s="7" t="s">
        <v>406</v>
      </c>
      <c r="G55" s="7" t="s">
        <v>366</v>
      </c>
      <c r="H55" s="7" t="s">
        <v>372</v>
      </c>
      <c r="I55" s="7" t="s">
        <v>47</v>
      </c>
      <c r="J55" s="7" t="s">
        <v>366</v>
      </c>
      <c r="K55" s="7" t="s">
        <v>372</v>
      </c>
      <c r="L55" s="7" t="s">
        <v>389</v>
      </c>
      <c r="M55" s="8" t="s">
        <v>436</v>
      </c>
      <c r="N55" s="7" t="s">
        <v>437</v>
      </c>
      <c r="O55" s="10">
        <v>0</v>
      </c>
      <c r="P55" s="10">
        <v>60000</v>
      </c>
      <c r="Q55" s="10">
        <v>-60000</v>
      </c>
    </row>
    <row r="56" spans="1:17">
      <c r="A56" s="6">
        <v>45859</v>
      </c>
      <c r="B56" s="7" t="s">
        <v>24</v>
      </c>
      <c r="C56" s="8" t="s">
        <v>24</v>
      </c>
      <c r="D56" s="7" t="s">
        <v>41</v>
      </c>
      <c r="E56" s="7" t="s">
        <v>406</v>
      </c>
      <c r="F56" s="7" t="s">
        <v>406</v>
      </c>
      <c r="G56" s="7" t="s">
        <v>55</v>
      </c>
      <c r="H56" s="7" t="s">
        <v>407</v>
      </c>
      <c r="I56" s="7" t="s">
        <v>42</v>
      </c>
      <c r="J56" s="7" t="s">
        <v>55</v>
      </c>
      <c r="K56" s="7" t="s">
        <v>407</v>
      </c>
      <c r="L56" s="7" t="s">
        <v>394</v>
      </c>
      <c r="M56" s="8">
        <v>6001.02</v>
      </c>
      <c r="N56" s="7" t="s">
        <v>395</v>
      </c>
      <c r="O56" s="10">
        <v>0</v>
      </c>
      <c r="P56" s="10">
        <v>0.05</v>
      </c>
      <c r="Q56" s="10">
        <v>-0.05</v>
      </c>
    </row>
    <row r="57" spans="1:17">
      <c r="A57" s="6">
        <v>45859</v>
      </c>
      <c r="B57" s="7" t="s">
        <v>24</v>
      </c>
      <c r="C57" s="8" t="s">
        <v>24</v>
      </c>
      <c r="D57" s="7" t="s">
        <v>41</v>
      </c>
      <c r="E57" s="7" t="s">
        <v>406</v>
      </c>
      <c r="F57" s="7" t="s">
        <v>406</v>
      </c>
      <c r="G57" s="7" t="s">
        <v>55</v>
      </c>
      <c r="H57" s="7" t="s">
        <v>407</v>
      </c>
      <c r="I57" s="7" t="s">
        <v>42</v>
      </c>
      <c r="J57" s="7" t="s">
        <v>55</v>
      </c>
      <c r="K57" s="7" t="s">
        <v>407</v>
      </c>
      <c r="L57" s="7" t="s">
        <v>394</v>
      </c>
      <c r="M57" s="8">
        <v>6001.02</v>
      </c>
      <c r="N57" s="7" t="s">
        <v>395</v>
      </c>
      <c r="O57" s="10">
        <v>0</v>
      </c>
      <c r="P57" s="10">
        <v>0.05</v>
      </c>
      <c r="Q57" s="10">
        <v>-0.05</v>
      </c>
    </row>
    <row r="58" spans="1:17">
      <c r="A58" s="6">
        <v>45845</v>
      </c>
      <c r="B58" s="7" t="s">
        <v>24</v>
      </c>
      <c r="C58" s="8" t="s">
        <v>24</v>
      </c>
      <c r="D58" s="7" t="s">
        <v>55</v>
      </c>
      <c r="E58" s="7" t="s">
        <v>406</v>
      </c>
      <c r="F58" s="7" t="s">
        <v>406</v>
      </c>
      <c r="G58" s="7" t="s">
        <v>41</v>
      </c>
      <c r="H58" s="7" t="s">
        <v>407</v>
      </c>
      <c r="I58" s="7" t="s">
        <v>42</v>
      </c>
      <c r="J58" s="7" t="s">
        <v>41</v>
      </c>
      <c r="K58" s="7" t="s">
        <v>407</v>
      </c>
      <c r="L58" s="7" t="s">
        <v>394</v>
      </c>
      <c r="M58" s="8">
        <v>6001.02</v>
      </c>
      <c r="N58" s="7" t="s">
        <v>395</v>
      </c>
      <c r="O58" s="10">
        <v>0</v>
      </c>
      <c r="P58" s="10">
        <v>1</v>
      </c>
      <c r="Q58" s="10">
        <v>-1</v>
      </c>
    </row>
    <row r="59" spans="1:17">
      <c r="A59" s="6">
        <v>45863</v>
      </c>
      <c r="B59" s="7" t="s">
        <v>24</v>
      </c>
      <c r="C59" s="8" t="s">
        <v>24</v>
      </c>
      <c r="D59" s="7" t="s">
        <v>55</v>
      </c>
      <c r="E59" s="7" t="s">
        <v>406</v>
      </c>
      <c r="F59" s="7" t="s">
        <v>406</v>
      </c>
      <c r="G59" s="7" t="s">
        <v>41</v>
      </c>
      <c r="H59" s="7" t="s">
        <v>407</v>
      </c>
      <c r="I59" s="7" t="s">
        <v>42</v>
      </c>
      <c r="J59" s="7" t="s">
        <v>41</v>
      </c>
      <c r="K59" s="7" t="s">
        <v>407</v>
      </c>
      <c r="L59" s="7" t="s">
        <v>394</v>
      </c>
      <c r="M59" s="8">
        <v>6001.02</v>
      </c>
      <c r="N59" s="7" t="s">
        <v>395</v>
      </c>
      <c r="O59" s="10">
        <v>0</v>
      </c>
      <c r="P59" s="10">
        <v>1</v>
      </c>
      <c r="Q59" s="10">
        <v>-1</v>
      </c>
    </row>
    <row r="60" spans="1:17">
      <c r="A60" s="6">
        <v>45854</v>
      </c>
      <c r="B60" s="7" t="s">
        <v>24</v>
      </c>
      <c r="C60" s="8" t="s">
        <v>24</v>
      </c>
      <c r="D60" s="7" t="s">
        <v>55</v>
      </c>
      <c r="E60" s="7" t="s">
        <v>406</v>
      </c>
      <c r="F60" s="7" t="s">
        <v>406</v>
      </c>
      <c r="G60" s="7" t="s">
        <v>41</v>
      </c>
      <c r="H60" s="7" t="s">
        <v>407</v>
      </c>
      <c r="I60" s="7" t="s">
        <v>42</v>
      </c>
      <c r="J60" s="7" t="s">
        <v>41</v>
      </c>
      <c r="K60" s="7" t="s">
        <v>407</v>
      </c>
      <c r="L60" s="7" t="s">
        <v>394</v>
      </c>
      <c r="M60" s="8">
        <v>6001.02</v>
      </c>
      <c r="N60" s="7" t="s">
        <v>395</v>
      </c>
      <c r="O60" s="10">
        <v>0</v>
      </c>
      <c r="P60" s="10">
        <v>1</v>
      </c>
      <c r="Q60" s="10">
        <v>-1</v>
      </c>
    </row>
    <row r="61" spans="1:17">
      <c r="A61" s="6">
        <v>45841</v>
      </c>
      <c r="B61" s="7" t="s">
        <v>24</v>
      </c>
      <c r="C61" s="8" t="s">
        <v>24</v>
      </c>
      <c r="D61" s="7" t="s">
        <v>55</v>
      </c>
      <c r="E61" s="7" t="s">
        <v>406</v>
      </c>
      <c r="F61" s="7" t="s">
        <v>406</v>
      </c>
      <c r="G61" s="7" t="s">
        <v>41</v>
      </c>
      <c r="H61" s="7" t="s">
        <v>407</v>
      </c>
      <c r="I61" s="7" t="s">
        <v>42</v>
      </c>
      <c r="J61" s="7" t="s">
        <v>41</v>
      </c>
      <c r="K61" s="7" t="s">
        <v>407</v>
      </c>
      <c r="L61" s="7" t="s">
        <v>394</v>
      </c>
      <c r="M61" s="8">
        <v>6001.02</v>
      </c>
      <c r="N61" s="7" t="s">
        <v>395</v>
      </c>
      <c r="O61" s="10">
        <v>0</v>
      </c>
      <c r="P61" s="10">
        <v>0.51</v>
      </c>
      <c r="Q61" s="10">
        <v>-0.51</v>
      </c>
    </row>
    <row r="62" spans="1:17">
      <c r="A62" s="6">
        <v>45859</v>
      </c>
      <c r="B62" s="7" t="s">
        <v>24</v>
      </c>
      <c r="C62" s="8" t="s">
        <v>24</v>
      </c>
      <c r="D62" s="7" t="s">
        <v>55</v>
      </c>
      <c r="E62" s="7" t="s">
        <v>406</v>
      </c>
      <c r="F62" s="7" t="s">
        <v>406</v>
      </c>
      <c r="G62" s="7" t="s">
        <v>41</v>
      </c>
      <c r="H62" s="7" t="s">
        <v>407</v>
      </c>
      <c r="I62" s="7" t="s">
        <v>42</v>
      </c>
      <c r="J62" s="7" t="s">
        <v>41</v>
      </c>
      <c r="K62" s="7" t="s">
        <v>407</v>
      </c>
      <c r="L62" s="7" t="s">
        <v>394</v>
      </c>
      <c r="M62" s="8">
        <v>6001.02</v>
      </c>
      <c r="N62" s="7" t="s">
        <v>395</v>
      </c>
      <c r="O62" s="10">
        <v>0</v>
      </c>
      <c r="P62" s="10">
        <v>0.5</v>
      </c>
      <c r="Q62" s="10">
        <v>-0.5</v>
      </c>
    </row>
    <row r="63" spans="1:17">
      <c r="A63" s="6">
        <v>45857</v>
      </c>
      <c r="B63" s="7" t="s">
        <v>24</v>
      </c>
      <c r="C63" s="8" t="s">
        <v>24</v>
      </c>
      <c r="D63" s="7" t="s">
        <v>55</v>
      </c>
      <c r="E63" s="7" t="s">
        <v>406</v>
      </c>
      <c r="F63" s="7" t="s">
        <v>406</v>
      </c>
      <c r="G63" s="7" t="s">
        <v>41</v>
      </c>
      <c r="H63" s="7" t="s">
        <v>407</v>
      </c>
      <c r="I63" s="7" t="s">
        <v>42</v>
      </c>
      <c r="J63" s="7" t="s">
        <v>41</v>
      </c>
      <c r="K63" s="7" t="s">
        <v>407</v>
      </c>
      <c r="L63" s="7" t="s">
        <v>394</v>
      </c>
      <c r="M63" s="8">
        <v>6001.02</v>
      </c>
      <c r="N63" s="7" t="s">
        <v>395</v>
      </c>
      <c r="O63" s="10">
        <v>0</v>
      </c>
      <c r="P63" s="10">
        <v>1</v>
      </c>
      <c r="Q63" s="10">
        <v>-1</v>
      </c>
    </row>
    <row r="64" spans="1:17">
      <c r="A64" s="6">
        <v>45869</v>
      </c>
      <c r="B64" s="7" t="s">
        <v>24</v>
      </c>
      <c r="C64" s="8" t="s">
        <v>24</v>
      </c>
      <c r="D64" s="7" t="s">
        <v>55</v>
      </c>
      <c r="E64" s="7" t="s">
        <v>406</v>
      </c>
      <c r="F64" s="7" t="s">
        <v>406</v>
      </c>
      <c r="G64" s="7" t="s">
        <v>41</v>
      </c>
      <c r="H64" s="7" t="s">
        <v>407</v>
      </c>
      <c r="I64" s="7" t="s">
        <v>42</v>
      </c>
      <c r="J64" s="7" t="s">
        <v>41</v>
      </c>
      <c r="K64" s="7" t="s">
        <v>407</v>
      </c>
      <c r="L64" s="7" t="s">
        <v>394</v>
      </c>
      <c r="M64" s="8">
        <v>6001.02</v>
      </c>
      <c r="N64" s="7" t="s">
        <v>395</v>
      </c>
      <c r="O64" s="10">
        <v>0</v>
      </c>
      <c r="P64" s="10">
        <v>1</v>
      </c>
      <c r="Q64" s="10">
        <v>-1</v>
      </c>
    </row>
    <row r="65" spans="1:17">
      <c r="A65" s="6">
        <v>45867</v>
      </c>
      <c r="B65" s="7" t="s">
        <v>24</v>
      </c>
      <c r="C65" s="8" t="s">
        <v>24</v>
      </c>
      <c r="D65" s="7" t="s">
        <v>55</v>
      </c>
      <c r="E65" s="7" t="s">
        <v>406</v>
      </c>
      <c r="F65" s="7" t="s">
        <v>406</v>
      </c>
      <c r="G65" s="7" t="s">
        <v>41</v>
      </c>
      <c r="H65" s="7" t="s">
        <v>407</v>
      </c>
      <c r="I65" s="7" t="s">
        <v>42</v>
      </c>
      <c r="J65" s="7" t="s">
        <v>41</v>
      </c>
      <c r="K65" s="7" t="s">
        <v>407</v>
      </c>
      <c r="L65" s="7" t="s">
        <v>394</v>
      </c>
      <c r="M65" s="8">
        <v>6001.02</v>
      </c>
      <c r="N65" s="7" t="s">
        <v>395</v>
      </c>
      <c r="O65" s="10">
        <v>0</v>
      </c>
      <c r="P65" s="10">
        <v>0.1</v>
      </c>
      <c r="Q65" s="10">
        <v>-0.1</v>
      </c>
    </row>
    <row r="66" spans="1:17">
      <c r="A66" s="6">
        <v>45840</v>
      </c>
      <c r="B66" s="7" t="s">
        <v>24</v>
      </c>
      <c r="C66" s="8" t="s">
        <v>24</v>
      </c>
      <c r="D66" s="7" t="s">
        <v>55</v>
      </c>
      <c r="E66" s="7" t="s">
        <v>406</v>
      </c>
      <c r="F66" s="7" t="s">
        <v>406</v>
      </c>
      <c r="G66" s="7" t="s">
        <v>41</v>
      </c>
      <c r="H66" s="7" t="s">
        <v>407</v>
      </c>
      <c r="I66" s="7" t="s">
        <v>42</v>
      </c>
      <c r="J66" s="7" t="s">
        <v>41</v>
      </c>
      <c r="K66" s="7" t="s">
        <v>407</v>
      </c>
      <c r="L66" s="7" t="s">
        <v>394</v>
      </c>
      <c r="M66" s="8">
        <v>6001.02</v>
      </c>
      <c r="N66" s="7" t="s">
        <v>395</v>
      </c>
      <c r="O66" s="10">
        <v>0</v>
      </c>
      <c r="P66" s="10">
        <v>1</v>
      </c>
      <c r="Q66" s="10">
        <v>-1</v>
      </c>
    </row>
    <row r="67" spans="1:17">
      <c r="A67" s="6">
        <v>45857</v>
      </c>
      <c r="B67" s="7" t="s">
        <v>24</v>
      </c>
      <c r="C67" s="8" t="s">
        <v>24</v>
      </c>
      <c r="D67" s="7" t="s">
        <v>55</v>
      </c>
      <c r="E67" s="7" t="s">
        <v>406</v>
      </c>
      <c r="F67" s="7" t="s">
        <v>406</v>
      </c>
      <c r="G67" s="7" t="s">
        <v>41</v>
      </c>
      <c r="H67" s="7" t="s">
        <v>407</v>
      </c>
      <c r="I67" s="7" t="s">
        <v>42</v>
      </c>
      <c r="J67" s="7" t="s">
        <v>41</v>
      </c>
      <c r="K67" s="7" t="s">
        <v>407</v>
      </c>
      <c r="L67" s="7" t="s">
        <v>394</v>
      </c>
      <c r="M67" s="8">
        <v>6001.02</v>
      </c>
      <c r="N67" s="7" t="s">
        <v>395</v>
      </c>
      <c r="O67" s="10">
        <v>0</v>
      </c>
      <c r="P67" s="10">
        <v>1</v>
      </c>
      <c r="Q67" s="10">
        <v>-1</v>
      </c>
    </row>
    <row r="68" spans="1:17">
      <c r="A68" s="6">
        <v>45846</v>
      </c>
      <c r="B68" s="7" t="s">
        <v>24</v>
      </c>
      <c r="C68" s="8" t="s">
        <v>24</v>
      </c>
      <c r="D68" s="7" t="s">
        <v>55</v>
      </c>
      <c r="E68" s="7" t="s">
        <v>406</v>
      </c>
      <c r="F68" s="7" t="s">
        <v>406</v>
      </c>
      <c r="G68" s="7" t="s">
        <v>41</v>
      </c>
      <c r="H68" s="7" t="s">
        <v>407</v>
      </c>
      <c r="I68" s="7" t="s">
        <v>42</v>
      </c>
      <c r="J68" s="7" t="s">
        <v>41</v>
      </c>
      <c r="K68" s="7" t="s">
        <v>407</v>
      </c>
      <c r="L68" s="7" t="s">
        <v>394</v>
      </c>
      <c r="M68" s="8">
        <v>6001.02</v>
      </c>
      <c r="N68" s="7" t="s">
        <v>395</v>
      </c>
      <c r="O68" s="10">
        <v>0</v>
      </c>
      <c r="P68" s="10">
        <v>1</v>
      </c>
      <c r="Q68" s="10">
        <v>-1</v>
      </c>
    </row>
    <row r="69" spans="1:17">
      <c r="A69" s="6">
        <v>45867</v>
      </c>
      <c r="B69" s="7" t="s">
        <v>24</v>
      </c>
      <c r="C69" s="8" t="s">
        <v>24</v>
      </c>
      <c r="D69" s="7" t="s">
        <v>55</v>
      </c>
      <c r="E69" s="7" t="s">
        <v>406</v>
      </c>
      <c r="F69" s="7" t="s">
        <v>406</v>
      </c>
      <c r="G69" s="7" t="s">
        <v>41</v>
      </c>
      <c r="H69" s="7" t="s">
        <v>407</v>
      </c>
      <c r="I69" s="7" t="s">
        <v>42</v>
      </c>
      <c r="J69" s="7" t="s">
        <v>41</v>
      </c>
      <c r="K69" s="7" t="s">
        <v>407</v>
      </c>
      <c r="L69" s="7" t="s">
        <v>394</v>
      </c>
      <c r="M69" s="8">
        <v>6001.02</v>
      </c>
      <c r="N69" s="7" t="s">
        <v>395</v>
      </c>
      <c r="O69" s="10">
        <v>0</v>
      </c>
      <c r="P69" s="10">
        <v>1</v>
      </c>
      <c r="Q69" s="10">
        <v>-1</v>
      </c>
    </row>
    <row r="70" spans="1:17">
      <c r="A70" s="6">
        <v>45845</v>
      </c>
      <c r="B70" s="7" t="s">
        <v>24</v>
      </c>
      <c r="C70" s="8" t="s">
        <v>24</v>
      </c>
      <c r="D70" s="7" t="s">
        <v>55</v>
      </c>
      <c r="E70" s="7" t="s">
        <v>406</v>
      </c>
      <c r="F70" s="7" t="s">
        <v>406</v>
      </c>
      <c r="G70" s="7" t="s">
        <v>41</v>
      </c>
      <c r="H70" s="7" t="s">
        <v>407</v>
      </c>
      <c r="I70" s="7" t="s">
        <v>42</v>
      </c>
      <c r="J70" s="7" t="s">
        <v>41</v>
      </c>
      <c r="K70" s="7" t="s">
        <v>407</v>
      </c>
      <c r="L70" s="7" t="s">
        <v>394</v>
      </c>
      <c r="M70" s="8">
        <v>6001.02</v>
      </c>
      <c r="N70" s="7" t="s">
        <v>395</v>
      </c>
      <c r="O70" s="10">
        <v>0</v>
      </c>
      <c r="P70" s="10">
        <v>1</v>
      </c>
      <c r="Q70" s="10">
        <v>-1</v>
      </c>
    </row>
    <row r="71" spans="1:17">
      <c r="A71" s="6">
        <v>45852</v>
      </c>
      <c r="B71" s="7" t="s">
        <v>24</v>
      </c>
      <c r="C71" s="8" t="s">
        <v>24</v>
      </c>
      <c r="D71" s="7" t="s">
        <v>55</v>
      </c>
      <c r="E71" s="7" t="s">
        <v>406</v>
      </c>
      <c r="F71" s="7" t="s">
        <v>406</v>
      </c>
      <c r="G71" s="7" t="s">
        <v>41</v>
      </c>
      <c r="H71" s="7" t="s">
        <v>407</v>
      </c>
      <c r="I71" s="7" t="s">
        <v>42</v>
      </c>
      <c r="J71" s="7" t="s">
        <v>41</v>
      </c>
      <c r="K71" s="7" t="s">
        <v>407</v>
      </c>
      <c r="L71" s="7" t="s">
        <v>394</v>
      </c>
      <c r="M71" s="8">
        <v>6001.02</v>
      </c>
      <c r="N71" s="7" t="s">
        <v>395</v>
      </c>
      <c r="O71" s="10">
        <v>0</v>
      </c>
      <c r="P71" s="10">
        <v>1</v>
      </c>
      <c r="Q71" s="10">
        <v>-1</v>
      </c>
    </row>
    <row r="72" spans="1:17">
      <c r="A72" s="6">
        <v>45868</v>
      </c>
      <c r="B72" s="7" t="s">
        <v>24</v>
      </c>
      <c r="C72" s="8" t="s">
        <v>24</v>
      </c>
      <c r="D72" s="7" t="s">
        <v>55</v>
      </c>
      <c r="E72" s="7" t="s">
        <v>406</v>
      </c>
      <c r="F72" s="7" t="s">
        <v>406</v>
      </c>
      <c r="G72" s="7" t="s">
        <v>41</v>
      </c>
      <c r="H72" s="7" t="s">
        <v>407</v>
      </c>
      <c r="I72" s="7" t="s">
        <v>42</v>
      </c>
      <c r="J72" s="7" t="s">
        <v>41</v>
      </c>
      <c r="K72" s="7" t="s">
        <v>407</v>
      </c>
      <c r="L72" s="7" t="s">
        <v>394</v>
      </c>
      <c r="M72" s="8">
        <v>6001.02</v>
      </c>
      <c r="N72" s="7" t="s">
        <v>395</v>
      </c>
      <c r="O72" s="10">
        <v>0</v>
      </c>
      <c r="P72" s="10">
        <v>1</v>
      </c>
      <c r="Q72" s="10">
        <v>-1</v>
      </c>
    </row>
    <row r="73" spans="1:17">
      <c r="A73" s="6">
        <v>45866</v>
      </c>
      <c r="B73" s="7" t="s">
        <v>24</v>
      </c>
      <c r="C73" s="8" t="s">
        <v>24</v>
      </c>
      <c r="D73" s="7" t="s">
        <v>55</v>
      </c>
      <c r="E73" s="7" t="s">
        <v>406</v>
      </c>
      <c r="F73" s="7" t="s">
        <v>406</v>
      </c>
      <c r="G73" s="7" t="s">
        <v>41</v>
      </c>
      <c r="H73" s="7" t="s">
        <v>407</v>
      </c>
      <c r="I73" s="7" t="s">
        <v>42</v>
      </c>
      <c r="J73" s="7" t="s">
        <v>41</v>
      </c>
      <c r="K73" s="7" t="s">
        <v>407</v>
      </c>
      <c r="L73" s="7" t="s">
        <v>394</v>
      </c>
      <c r="M73" s="8">
        <v>6001.02</v>
      </c>
      <c r="N73" s="7" t="s">
        <v>395</v>
      </c>
      <c r="O73" s="10">
        <v>0</v>
      </c>
      <c r="P73" s="10">
        <v>1</v>
      </c>
      <c r="Q73" s="10">
        <v>-1</v>
      </c>
    </row>
    <row r="74" spans="1:17">
      <c r="A74" s="6">
        <v>45846</v>
      </c>
      <c r="B74" s="7" t="s">
        <v>24</v>
      </c>
      <c r="C74" s="8" t="s">
        <v>24</v>
      </c>
      <c r="D74" s="7" t="s">
        <v>55</v>
      </c>
      <c r="E74" s="7" t="s">
        <v>406</v>
      </c>
      <c r="F74" s="7" t="s">
        <v>406</v>
      </c>
      <c r="G74" s="7" t="s">
        <v>41</v>
      </c>
      <c r="H74" s="7" t="s">
        <v>407</v>
      </c>
      <c r="I74" s="7" t="s">
        <v>42</v>
      </c>
      <c r="J74" s="7" t="s">
        <v>41</v>
      </c>
      <c r="K74" s="7" t="s">
        <v>407</v>
      </c>
      <c r="L74" s="7" t="s">
        <v>394</v>
      </c>
      <c r="M74" s="8">
        <v>6001.02</v>
      </c>
      <c r="N74" s="7" t="s">
        <v>395</v>
      </c>
      <c r="O74" s="10">
        <v>0</v>
      </c>
      <c r="P74" s="10">
        <v>1</v>
      </c>
      <c r="Q74" s="10">
        <v>-1</v>
      </c>
    </row>
    <row r="75" spans="1:17">
      <c r="A75" s="6">
        <v>45848</v>
      </c>
      <c r="B75" s="7" t="s">
        <v>24</v>
      </c>
      <c r="C75" s="8" t="s">
        <v>24</v>
      </c>
      <c r="D75" s="7" t="s">
        <v>55</v>
      </c>
      <c r="E75" s="7" t="s">
        <v>406</v>
      </c>
      <c r="F75" s="7" t="s">
        <v>406</v>
      </c>
      <c r="G75" s="7" t="s">
        <v>41</v>
      </c>
      <c r="H75" s="7" t="s">
        <v>407</v>
      </c>
      <c r="I75" s="7" t="s">
        <v>42</v>
      </c>
      <c r="J75" s="7" t="s">
        <v>41</v>
      </c>
      <c r="K75" s="7" t="s">
        <v>407</v>
      </c>
      <c r="L75" s="7" t="s">
        <v>394</v>
      </c>
      <c r="M75" s="8">
        <v>6001.02</v>
      </c>
      <c r="N75" s="7" t="s">
        <v>395</v>
      </c>
      <c r="O75" s="10">
        <v>0</v>
      </c>
      <c r="P75" s="10">
        <v>1</v>
      </c>
      <c r="Q75" s="10">
        <v>-1</v>
      </c>
    </row>
    <row r="76" spans="1:17">
      <c r="A76" s="6">
        <v>45868</v>
      </c>
      <c r="B76" s="7" t="s">
        <v>24</v>
      </c>
      <c r="C76" s="8" t="s">
        <v>24</v>
      </c>
      <c r="D76" s="7" t="s">
        <v>55</v>
      </c>
      <c r="E76" s="7" t="s">
        <v>406</v>
      </c>
      <c r="F76" s="7" t="s">
        <v>406</v>
      </c>
      <c r="G76" s="7" t="s">
        <v>41</v>
      </c>
      <c r="H76" s="7" t="s">
        <v>407</v>
      </c>
      <c r="I76" s="7" t="s">
        <v>42</v>
      </c>
      <c r="J76" s="7" t="s">
        <v>41</v>
      </c>
      <c r="K76" s="7" t="s">
        <v>407</v>
      </c>
      <c r="L76" s="7" t="s">
        <v>394</v>
      </c>
      <c r="M76" s="8">
        <v>6001.02</v>
      </c>
      <c r="N76" s="7" t="s">
        <v>395</v>
      </c>
      <c r="O76" s="10">
        <v>0</v>
      </c>
      <c r="P76" s="10">
        <v>1</v>
      </c>
      <c r="Q76" s="10">
        <v>-1</v>
      </c>
    </row>
    <row r="77" spans="1:17">
      <c r="A77" s="6">
        <v>45859</v>
      </c>
      <c r="B77" s="7" t="s">
        <v>24</v>
      </c>
      <c r="C77" s="8" t="s">
        <v>24</v>
      </c>
      <c r="D77" s="7" t="s">
        <v>55</v>
      </c>
      <c r="E77" s="7" t="s">
        <v>406</v>
      </c>
      <c r="F77" s="7" t="s">
        <v>406</v>
      </c>
      <c r="G77" s="7" t="s">
        <v>41</v>
      </c>
      <c r="H77" s="7" t="s">
        <v>407</v>
      </c>
      <c r="I77" s="7" t="s">
        <v>42</v>
      </c>
      <c r="J77" s="7" t="s">
        <v>41</v>
      </c>
      <c r="K77" s="7" t="s">
        <v>407</v>
      </c>
      <c r="L77" s="7" t="s">
        <v>394</v>
      </c>
      <c r="M77" s="8">
        <v>6001.02</v>
      </c>
      <c r="N77" s="7" t="s">
        <v>395</v>
      </c>
      <c r="O77" s="10">
        <v>0</v>
      </c>
      <c r="P77" s="10">
        <v>1</v>
      </c>
      <c r="Q77" s="10">
        <v>-1</v>
      </c>
    </row>
    <row r="78" spans="1:17">
      <c r="A78" s="6">
        <v>45843</v>
      </c>
      <c r="B78" s="7" t="s">
        <v>24</v>
      </c>
      <c r="C78" s="8" t="s">
        <v>24</v>
      </c>
      <c r="D78" s="7" t="s">
        <v>55</v>
      </c>
      <c r="E78" s="7" t="s">
        <v>406</v>
      </c>
      <c r="F78" s="7" t="s">
        <v>406</v>
      </c>
      <c r="G78" s="7" t="s">
        <v>41</v>
      </c>
      <c r="H78" s="7" t="s">
        <v>407</v>
      </c>
      <c r="I78" s="7" t="s">
        <v>42</v>
      </c>
      <c r="J78" s="7" t="s">
        <v>41</v>
      </c>
      <c r="K78" s="7" t="s">
        <v>407</v>
      </c>
      <c r="L78" s="7" t="s">
        <v>394</v>
      </c>
      <c r="M78" s="8">
        <v>6001.02</v>
      </c>
      <c r="N78" s="7" t="s">
        <v>395</v>
      </c>
      <c r="O78" s="10">
        <v>0</v>
      </c>
      <c r="P78" s="10">
        <v>1</v>
      </c>
      <c r="Q78" s="10">
        <v>-1</v>
      </c>
    </row>
    <row r="79" spans="1:17">
      <c r="A79" s="6">
        <v>45863</v>
      </c>
      <c r="B79" s="7" t="s">
        <v>24</v>
      </c>
      <c r="C79" s="8" t="s">
        <v>24</v>
      </c>
      <c r="D79" s="7" t="s">
        <v>55</v>
      </c>
      <c r="E79" s="7" t="s">
        <v>406</v>
      </c>
      <c r="F79" s="7" t="s">
        <v>406</v>
      </c>
      <c r="G79" s="7" t="s">
        <v>41</v>
      </c>
      <c r="H79" s="7" t="s">
        <v>407</v>
      </c>
      <c r="I79" s="7" t="s">
        <v>42</v>
      </c>
      <c r="J79" s="7" t="s">
        <v>41</v>
      </c>
      <c r="K79" s="7" t="s">
        <v>407</v>
      </c>
      <c r="L79" s="7" t="s">
        <v>394</v>
      </c>
      <c r="M79" s="8">
        <v>6001.02</v>
      </c>
      <c r="N79" s="7" t="s">
        <v>395</v>
      </c>
      <c r="O79" s="10">
        <v>0</v>
      </c>
      <c r="P79" s="10">
        <v>1</v>
      </c>
      <c r="Q79" s="10">
        <v>-1</v>
      </c>
    </row>
    <row r="80" spans="1:17">
      <c r="A80" s="6">
        <v>45846</v>
      </c>
      <c r="B80" s="7" t="s">
        <v>24</v>
      </c>
      <c r="C80" s="8" t="s">
        <v>24</v>
      </c>
      <c r="D80" s="7" t="s">
        <v>55</v>
      </c>
      <c r="E80" s="7" t="s">
        <v>406</v>
      </c>
      <c r="F80" s="7" t="s">
        <v>406</v>
      </c>
      <c r="G80" s="7" t="s">
        <v>41</v>
      </c>
      <c r="H80" s="7" t="s">
        <v>407</v>
      </c>
      <c r="I80" s="7" t="s">
        <v>42</v>
      </c>
      <c r="J80" s="7" t="s">
        <v>41</v>
      </c>
      <c r="K80" s="7" t="s">
        <v>407</v>
      </c>
      <c r="L80" s="7" t="s">
        <v>394</v>
      </c>
      <c r="M80" s="8">
        <v>6001.02</v>
      </c>
      <c r="N80" s="7" t="s">
        <v>395</v>
      </c>
      <c r="O80" s="10">
        <v>0</v>
      </c>
      <c r="P80" s="10">
        <v>1</v>
      </c>
      <c r="Q80" s="10">
        <v>-1</v>
      </c>
    </row>
    <row r="81" spans="1:17">
      <c r="A81" s="6">
        <v>45841</v>
      </c>
      <c r="B81" s="7" t="s">
        <v>24</v>
      </c>
      <c r="C81" s="8" t="s">
        <v>24</v>
      </c>
      <c r="D81" s="7" t="s">
        <v>55</v>
      </c>
      <c r="E81" s="7" t="s">
        <v>406</v>
      </c>
      <c r="F81" s="7" t="s">
        <v>406</v>
      </c>
      <c r="G81" s="7" t="s">
        <v>41</v>
      </c>
      <c r="H81" s="7" t="s">
        <v>407</v>
      </c>
      <c r="I81" s="7" t="s">
        <v>42</v>
      </c>
      <c r="J81" s="7" t="s">
        <v>41</v>
      </c>
      <c r="K81" s="7" t="s">
        <v>407</v>
      </c>
      <c r="L81" s="7" t="s">
        <v>394</v>
      </c>
      <c r="M81" s="8">
        <v>6001.02</v>
      </c>
      <c r="N81" s="7" t="s">
        <v>395</v>
      </c>
      <c r="O81" s="10">
        <v>0</v>
      </c>
      <c r="P81" s="10">
        <v>1</v>
      </c>
      <c r="Q81" s="10">
        <v>-1</v>
      </c>
    </row>
    <row r="82" spans="1:17">
      <c r="A82" s="6">
        <v>45852</v>
      </c>
      <c r="B82" s="7" t="s">
        <v>24</v>
      </c>
      <c r="C82" s="8" t="s">
        <v>24</v>
      </c>
      <c r="D82" s="7" t="s">
        <v>55</v>
      </c>
      <c r="E82" s="7" t="s">
        <v>406</v>
      </c>
      <c r="F82" s="7" t="s">
        <v>406</v>
      </c>
      <c r="G82" s="7" t="s">
        <v>41</v>
      </c>
      <c r="H82" s="7" t="s">
        <v>407</v>
      </c>
      <c r="I82" s="7" t="s">
        <v>42</v>
      </c>
      <c r="J82" s="7" t="s">
        <v>41</v>
      </c>
      <c r="K82" s="7" t="s">
        <v>407</v>
      </c>
      <c r="L82" s="7" t="s">
        <v>394</v>
      </c>
      <c r="M82" s="8">
        <v>6001.02</v>
      </c>
      <c r="N82" s="7" t="s">
        <v>395</v>
      </c>
      <c r="O82" s="10">
        <v>0</v>
      </c>
      <c r="P82" s="10">
        <v>1</v>
      </c>
      <c r="Q82" s="10">
        <v>-1</v>
      </c>
    </row>
    <row r="83" spans="1:17">
      <c r="A83" s="6">
        <v>45849</v>
      </c>
      <c r="B83" s="7" t="s">
        <v>24</v>
      </c>
      <c r="C83" s="8" t="s">
        <v>24</v>
      </c>
      <c r="D83" s="7" t="s">
        <v>55</v>
      </c>
      <c r="E83" s="7" t="s">
        <v>406</v>
      </c>
      <c r="F83" s="7" t="s">
        <v>406</v>
      </c>
      <c r="G83" s="7" t="s">
        <v>41</v>
      </c>
      <c r="H83" s="7" t="s">
        <v>407</v>
      </c>
      <c r="I83" s="7" t="s">
        <v>42</v>
      </c>
      <c r="J83" s="7" t="s">
        <v>41</v>
      </c>
      <c r="K83" s="7" t="s">
        <v>407</v>
      </c>
      <c r="L83" s="7" t="s">
        <v>394</v>
      </c>
      <c r="M83" s="8">
        <v>6001.02</v>
      </c>
      <c r="N83" s="7" t="s">
        <v>395</v>
      </c>
      <c r="O83" s="10">
        <v>0</v>
      </c>
      <c r="P83" s="10">
        <v>1</v>
      </c>
      <c r="Q83" s="10">
        <v>-1</v>
      </c>
    </row>
    <row r="84" spans="1:17">
      <c r="A84" s="6">
        <v>45849</v>
      </c>
      <c r="B84" s="7" t="s">
        <v>24</v>
      </c>
      <c r="C84" s="8" t="s">
        <v>24</v>
      </c>
      <c r="D84" s="7" t="s">
        <v>55</v>
      </c>
      <c r="E84" s="7" t="s">
        <v>406</v>
      </c>
      <c r="F84" s="7" t="s">
        <v>406</v>
      </c>
      <c r="G84" s="7" t="s">
        <v>41</v>
      </c>
      <c r="H84" s="7" t="s">
        <v>407</v>
      </c>
      <c r="I84" s="7" t="s">
        <v>42</v>
      </c>
      <c r="J84" s="7" t="s">
        <v>41</v>
      </c>
      <c r="K84" s="7" t="s">
        <v>407</v>
      </c>
      <c r="L84" s="7" t="s">
        <v>394</v>
      </c>
      <c r="M84" s="8">
        <v>6001.02</v>
      </c>
      <c r="N84" s="7" t="s">
        <v>395</v>
      </c>
      <c r="O84" s="10">
        <v>0</v>
      </c>
      <c r="P84" s="10">
        <v>1</v>
      </c>
      <c r="Q84" s="10">
        <v>-1</v>
      </c>
    </row>
    <row r="85" spans="1:17">
      <c r="A85" s="6">
        <v>45846</v>
      </c>
      <c r="B85" s="7" t="s">
        <v>24</v>
      </c>
      <c r="C85" s="8" t="s">
        <v>24</v>
      </c>
      <c r="D85" s="7" t="s">
        <v>55</v>
      </c>
      <c r="E85" s="7" t="s">
        <v>406</v>
      </c>
      <c r="F85" s="7" t="s">
        <v>406</v>
      </c>
      <c r="G85" s="7" t="s">
        <v>41</v>
      </c>
      <c r="H85" s="7" t="s">
        <v>407</v>
      </c>
      <c r="I85" s="7" t="s">
        <v>42</v>
      </c>
      <c r="J85" s="7" t="s">
        <v>41</v>
      </c>
      <c r="K85" s="7" t="s">
        <v>407</v>
      </c>
      <c r="L85" s="7" t="s">
        <v>394</v>
      </c>
      <c r="M85" s="8">
        <v>6001.02</v>
      </c>
      <c r="N85" s="7" t="s">
        <v>395</v>
      </c>
      <c r="O85" s="10">
        <v>0</v>
      </c>
      <c r="P85" s="10">
        <v>1</v>
      </c>
      <c r="Q85" s="10">
        <v>-1</v>
      </c>
    </row>
    <row r="86" spans="1:17">
      <c r="A86" s="6">
        <v>45859</v>
      </c>
      <c r="B86" s="7" t="s">
        <v>24</v>
      </c>
      <c r="C86" s="8" t="s">
        <v>24</v>
      </c>
      <c r="D86" s="7" t="s">
        <v>55</v>
      </c>
      <c r="E86" s="7" t="s">
        <v>406</v>
      </c>
      <c r="F86" s="7" t="s">
        <v>406</v>
      </c>
      <c r="G86" s="7" t="s">
        <v>41</v>
      </c>
      <c r="H86" s="7" t="s">
        <v>407</v>
      </c>
      <c r="I86" s="7" t="s">
        <v>42</v>
      </c>
      <c r="J86" s="7" t="s">
        <v>41</v>
      </c>
      <c r="K86" s="7" t="s">
        <v>407</v>
      </c>
      <c r="L86" s="7" t="s">
        <v>394</v>
      </c>
      <c r="M86" s="8">
        <v>6001.02</v>
      </c>
      <c r="N86" s="7" t="s">
        <v>395</v>
      </c>
      <c r="O86" s="10">
        <v>0</v>
      </c>
      <c r="P86" s="10">
        <v>1</v>
      </c>
      <c r="Q86" s="10">
        <v>-1</v>
      </c>
    </row>
    <row r="87" spans="1:17">
      <c r="A87" s="6">
        <v>45866</v>
      </c>
      <c r="B87" s="7" t="s">
        <v>24</v>
      </c>
      <c r="C87" s="8" t="s">
        <v>24</v>
      </c>
      <c r="D87" s="7" t="s">
        <v>55</v>
      </c>
      <c r="E87" s="7" t="s">
        <v>406</v>
      </c>
      <c r="F87" s="7" t="s">
        <v>406</v>
      </c>
      <c r="G87" s="7" t="s">
        <v>41</v>
      </c>
      <c r="H87" s="7" t="s">
        <v>407</v>
      </c>
      <c r="I87" s="7" t="s">
        <v>42</v>
      </c>
      <c r="J87" s="7" t="s">
        <v>41</v>
      </c>
      <c r="K87" s="7" t="s">
        <v>407</v>
      </c>
      <c r="L87" s="7" t="s">
        <v>394</v>
      </c>
      <c r="M87" s="8">
        <v>6001.02</v>
      </c>
      <c r="N87" s="7" t="s">
        <v>395</v>
      </c>
      <c r="O87" s="10">
        <v>0</v>
      </c>
      <c r="P87" s="10">
        <v>0.09</v>
      </c>
      <c r="Q87" s="10">
        <v>-0.09</v>
      </c>
    </row>
    <row r="88" spans="1:17">
      <c r="A88" s="6">
        <v>45839</v>
      </c>
      <c r="B88" s="7" t="s">
        <v>24</v>
      </c>
      <c r="C88" s="8" t="s">
        <v>24</v>
      </c>
      <c r="D88" s="7" t="s">
        <v>55</v>
      </c>
      <c r="E88" s="7" t="s">
        <v>406</v>
      </c>
      <c r="F88" s="7" t="s">
        <v>406</v>
      </c>
      <c r="G88" s="7" t="s">
        <v>41</v>
      </c>
      <c r="H88" s="7" t="s">
        <v>407</v>
      </c>
      <c r="I88" s="7" t="s">
        <v>42</v>
      </c>
      <c r="J88" s="7" t="s">
        <v>41</v>
      </c>
      <c r="K88" s="7" t="s">
        <v>407</v>
      </c>
      <c r="L88" s="7" t="s">
        <v>394</v>
      </c>
      <c r="M88" s="8">
        <v>6001.02</v>
      </c>
      <c r="N88" s="7" t="s">
        <v>395</v>
      </c>
      <c r="O88" s="10">
        <v>0</v>
      </c>
      <c r="P88" s="10">
        <v>1</v>
      </c>
      <c r="Q88" s="10">
        <v>-1</v>
      </c>
    </row>
    <row r="89" spans="1:17">
      <c r="A89" s="6">
        <v>45865</v>
      </c>
      <c r="B89" s="7" t="s">
        <v>24</v>
      </c>
      <c r="C89" s="8" t="s">
        <v>24</v>
      </c>
      <c r="D89" s="7" t="s">
        <v>55</v>
      </c>
      <c r="E89" s="7" t="s">
        <v>406</v>
      </c>
      <c r="F89" s="7" t="s">
        <v>406</v>
      </c>
      <c r="G89" s="7" t="s">
        <v>41</v>
      </c>
      <c r="H89" s="7" t="s">
        <v>407</v>
      </c>
      <c r="I89" s="7" t="s">
        <v>42</v>
      </c>
      <c r="J89" s="7" t="s">
        <v>41</v>
      </c>
      <c r="K89" s="7" t="s">
        <v>407</v>
      </c>
      <c r="L89" s="7" t="s">
        <v>394</v>
      </c>
      <c r="M89" s="8">
        <v>6001.02</v>
      </c>
      <c r="N89" s="7" t="s">
        <v>395</v>
      </c>
      <c r="O89" s="10">
        <v>0</v>
      </c>
      <c r="P89" s="10">
        <v>1</v>
      </c>
      <c r="Q89" s="10">
        <v>-1</v>
      </c>
    </row>
    <row r="90" spans="1:17">
      <c r="A90" s="6">
        <v>45861</v>
      </c>
      <c r="B90" s="7" t="s">
        <v>24</v>
      </c>
      <c r="C90" s="8" t="s">
        <v>24</v>
      </c>
      <c r="D90" s="7" t="s">
        <v>55</v>
      </c>
      <c r="E90" s="7" t="s">
        <v>406</v>
      </c>
      <c r="F90" s="7" t="s">
        <v>406</v>
      </c>
      <c r="G90" s="7" t="s">
        <v>41</v>
      </c>
      <c r="H90" s="7" t="s">
        <v>407</v>
      </c>
      <c r="I90" s="7" t="s">
        <v>42</v>
      </c>
      <c r="J90" s="7" t="s">
        <v>41</v>
      </c>
      <c r="K90" s="7" t="s">
        <v>407</v>
      </c>
      <c r="L90" s="7" t="s">
        <v>394</v>
      </c>
      <c r="M90" s="8">
        <v>6001.02</v>
      </c>
      <c r="N90" s="7" t="s">
        <v>395</v>
      </c>
      <c r="O90" s="10">
        <v>0</v>
      </c>
      <c r="P90" s="10">
        <v>1</v>
      </c>
      <c r="Q90" s="10">
        <v>-1</v>
      </c>
    </row>
    <row r="91" spans="1:17">
      <c r="A91" s="6">
        <v>45841</v>
      </c>
      <c r="B91" s="7" t="s">
        <v>24</v>
      </c>
      <c r="C91" s="8" t="s">
        <v>24</v>
      </c>
      <c r="D91" s="7" t="s">
        <v>55</v>
      </c>
      <c r="E91" s="7" t="s">
        <v>406</v>
      </c>
      <c r="F91" s="7" t="s">
        <v>406</v>
      </c>
      <c r="G91" s="7" t="s">
        <v>41</v>
      </c>
      <c r="H91" s="7" t="s">
        <v>407</v>
      </c>
      <c r="I91" s="7" t="s">
        <v>42</v>
      </c>
      <c r="J91" s="7" t="s">
        <v>41</v>
      </c>
      <c r="K91" s="7" t="s">
        <v>407</v>
      </c>
      <c r="L91" s="7" t="s">
        <v>394</v>
      </c>
      <c r="M91" s="8">
        <v>6001.02</v>
      </c>
      <c r="N91" s="7" t="s">
        <v>395</v>
      </c>
      <c r="O91" s="10">
        <v>0</v>
      </c>
      <c r="P91" s="10">
        <v>1</v>
      </c>
      <c r="Q91" s="10">
        <v>-1</v>
      </c>
    </row>
    <row r="92" spans="1:17">
      <c r="A92" s="6">
        <v>45861</v>
      </c>
      <c r="B92" s="7" t="s">
        <v>24</v>
      </c>
      <c r="C92" s="8" t="s">
        <v>24</v>
      </c>
      <c r="D92" s="7" t="s">
        <v>55</v>
      </c>
      <c r="E92" s="7" t="s">
        <v>406</v>
      </c>
      <c r="F92" s="7" t="s">
        <v>406</v>
      </c>
      <c r="G92" s="7" t="s">
        <v>41</v>
      </c>
      <c r="H92" s="7" t="s">
        <v>407</v>
      </c>
      <c r="I92" s="7" t="s">
        <v>42</v>
      </c>
      <c r="J92" s="7" t="s">
        <v>41</v>
      </c>
      <c r="K92" s="7" t="s">
        <v>407</v>
      </c>
      <c r="L92" s="7" t="s">
        <v>394</v>
      </c>
      <c r="M92" s="8">
        <v>6001.02</v>
      </c>
      <c r="N92" s="7" t="s">
        <v>395</v>
      </c>
      <c r="O92" s="10">
        <v>0</v>
      </c>
      <c r="P92" s="10">
        <v>1</v>
      </c>
      <c r="Q92" s="10">
        <v>-1</v>
      </c>
    </row>
    <row r="93" spans="1:17">
      <c r="A93" s="6">
        <v>45840</v>
      </c>
      <c r="B93" s="7" t="s">
        <v>24</v>
      </c>
      <c r="C93" s="8" t="s">
        <v>24</v>
      </c>
      <c r="D93" s="7" t="s">
        <v>55</v>
      </c>
      <c r="E93" s="7" t="s">
        <v>406</v>
      </c>
      <c r="F93" s="7" t="s">
        <v>406</v>
      </c>
      <c r="G93" s="7" t="s">
        <v>41</v>
      </c>
      <c r="H93" s="7" t="s">
        <v>407</v>
      </c>
      <c r="I93" s="7" t="s">
        <v>42</v>
      </c>
      <c r="J93" s="7" t="s">
        <v>41</v>
      </c>
      <c r="K93" s="7" t="s">
        <v>407</v>
      </c>
      <c r="L93" s="7" t="s">
        <v>394</v>
      </c>
      <c r="M93" s="8">
        <v>6001.02</v>
      </c>
      <c r="N93" s="7" t="s">
        <v>395</v>
      </c>
      <c r="O93" s="10">
        <v>0</v>
      </c>
      <c r="P93" s="10">
        <v>1</v>
      </c>
      <c r="Q93" s="10">
        <v>-1</v>
      </c>
    </row>
    <row r="94" spans="1:17">
      <c r="A94" s="6">
        <v>45853</v>
      </c>
      <c r="B94" s="7" t="s">
        <v>24</v>
      </c>
      <c r="C94" s="8" t="s">
        <v>24</v>
      </c>
      <c r="D94" s="7" t="s">
        <v>55</v>
      </c>
      <c r="E94" s="7" t="s">
        <v>406</v>
      </c>
      <c r="F94" s="7" t="s">
        <v>406</v>
      </c>
      <c r="G94" s="7" t="s">
        <v>41</v>
      </c>
      <c r="H94" s="7" t="s">
        <v>407</v>
      </c>
      <c r="I94" s="7" t="s">
        <v>42</v>
      </c>
      <c r="J94" s="7" t="s">
        <v>41</v>
      </c>
      <c r="K94" s="7" t="s">
        <v>407</v>
      </c>
      <c r="L94" s="7" t="s">
        <v>394</v>
      </c>
      <c r="M94" s="8">
        <v>6001.02</v>
      </c>
      <c r="N94" s="7" t="s">
        <v>395</v>
      </c>
      <c r="O94" s="10">
        <v>0</v>
      </c>
      <c r="P94" s="10">
        <v>1</v>
      </c>
      <c r="Q94" s="10">
        <v>-1</v>
      </c>
    </row>
    <row r="95" spans="1:17">
      <c r="A95" s="6">
        <v>45854</v>
      </c>
      <c r="B95" s="7" t="s">
        <v>24</v>
      </c>
      <c r="C95" s="8" t="s">
        <v>24</v>
      </c>
      <c r="D95" s="7" t="s">
        <v>55</v>
      </c>
      <c r="E95" s="7" t="s">
        <v>406</v>
      </c>
      <c r="F95" s="7" t="s">
        <v>406</v>
      </c>
      <c r="G95" s="7" t="s">
        <v>41</v>
      </c>
      <c r="H95" s="7" t="s">
        <v>407</v>
      </c>
      <c r="I95" s="7" t="s">
        <v>42</v>
      </c>
      <c r="J95" s="7" t="s">
        <v>41</v>
      </c>
      <c r="K95" s="7" t="s">
        <v>407</v>
      </c>
      <c r="L95" s="7" t="s">
        <v>394</v>
      </c>
      <c r="M95" s="8">
        <v>6001.02</v>
      </c>
      <c r="N95" s="7" t="s">
        <v>395</v>
      </c>
      <c r="O95" s="10">
        <v>0</v>
      </c>
      <c r="P95" s="10">
        <v>1</v>
      </c>
      <c r="Q95" s="10">
        <v>-1</v>
      </c>
    </row>
    <row r="96" spans="1:17">
      <c r="A96" s="6">
        <v>45866</v>
      </c>
      <c r="B96" s="7" t="s">
        <v>24</v>
      </c>
      <c r="C96" s="8" t="s">
        <v>24</v>
      </c>
      <c r="D96" s="7" t="s">
        <v>55</v>
      </c>
      <c r="E96" s="7" t="s">
        <v>406</v>
      </c>
      <c r="F96" s="7" t="s">
        <v>406</v>
      </c>
      <c r="G96" s="7" t="s">
        <v>41</v>
      </c>
      <c r="H96" s="7" t="s">
        <v>407</v>
      </c>
      <c r="I96" s="7" t="s">
        <v>42</v>
      </c>
      <c r="J96" s="7" t="s">
        <v>41</v>
      </c>
      <c r="K96" s="7" t="s">
        <v>407</v>
      </c>
      <c r="L96" s="7" t="s">
        <v>394</v>
      </c>
      <c r="M96" s="8">
        <v>6001.02</v>
      </c>
      <c r="N96" s="7" t="s">
        <v>395</v>
      </c>
      <c r="O96" s="10">
        <v>0</v>
      </c>
      <c r="P96" s="10">
        <v>0.91</v>
      </c>
      <c r="Q96" s="10">
        <v>-0.91</v>
      </c>
    </row>
    <row r="97" spans="1:17">
      <c r="A97" s="6">
        <v>45869</v>
      </c>
      <c r="B97" s="7" t="s">
        <v>24</v>
      </c>
      <c r="C97" s="8" t="s">
        <v>24</v>
      </c>
      <c r="D97" s="7" t="s">
        <v>55</v>
      </c>
      <c r="E97" s="7" t="s">
        <v>406</v>
      </c>
      <c r="F97" s="7" t="s">
        <v>406</v>
      </c>
      <c r="G97" s="7" t="s">
        <v>41</v>
      </c>
      <c r="H97" s="7" t="s">
        <v>407</v>
      </c>
      <c r="I97" s="7" t="s">
        <v>42</v>
      </c>
      <c r="J97" s="7" t="s">
        <v>41</v>
      </c>
      <c r="K97" s="7" t="s">
        <v>407</v>
      </c>
      <c r="L97" s="7" t="s">
        <v>394</v>
      </c>
      <c r="M97" s="8">
        <v>6001.02</v>
      </c>
      <c r="N97" s="7" t="s">
        <v>395</v>
      </c>
      <c r="O97" s="10">
        <v>0</v>
      </c>
      <c r="P97" s="10">
        <v>1</v>
      </c>
      <c r="Q97" s="10">
        <v>-1</v>
      </c>
    </row>
    <row r="98" spans="1:17">
      <c r="A98" s="6">
        <v>45857</v>
      </c>
      <c r="B98" s="7" t="s">
        <v>24</v>
      </c>
      <c r="C98" s="8" t="s">
        <v>24</v>
      </c>
      <c r="D98" s="7" t="s">
        <v>55</v>
      </c>
      <c r="E98" s="7" t="s">
        <v>406</v>
      </c>
      <c r="F98" s="7" t="s">
        <v>406</v>
      </c>
      <c r="G98" s="7" t="s">
        <v>41</v>
      </c>
      <c r="H98" s="7" t="s">
        <v>407</v>
      </c>
      <c r="I98" s="7" t="s">
        <v>42</v>
      </c>
      <c r="J98" s="7" t="s">
        <v>41</v>
      </c>
      <c r="K98" s="7" t="s">
        <v>407</v>
      </c>
      <c r="L98" s="7" t="s">
        <v>394</v>
      </c>
      <c r="M98" s="8">
        <v>6001.02</v>
      </c>
      <c r="N98" s="7" t="s">
        <v>395</v>
      </c>
      <c r="O98" s="10">
        <v>0</v>
      </c>
      <c r="P98" s="10">
        <v>1</v>
      </c>
      <c r="Q98" s="10">
        <v>-1</v>
      </c>
    </row>
    <row r="99" spans="1:17">
      <c r="A99" s="6">
        <v>45847</v>
      </c>
      <c r="B99" s="7" t="s">
        <v>24</v>
      </c>
      <c r="C99" s="8" t="s">
        <v>24</v>
      </c>
      <c r="D99" s="7" t="s">
        <v>55</v>
      </c>
      <c r="E99" s="7" t="s">
        <v>406</v>
      </c>
      <c r="F99" s="7" t="s">
        <v>406</v>
      </c>
      <c r="G99" s="7" t="s">
        <v>41</v>
      </c>
      <c r="H99" s="7" t="s">
        <v>407</v>
      </c>
      <c r="I99" s="7" t="s">
        <v>42</v>
      </c>
      <c r="J99" s="7" t="s">
        <v>41</v>
      </c>
      <c r="K99" s="7" t="s">
        <v>407</v>
      </c>
      <c r="L99" s="7" t="s">
        <v>394</v>
      </c>
      <c r="M99" s="8">
        <v>6001.02</v>
      </c>
      <c r="N99" s="7" t="s">
        <v>395</v>
      </c>
      <c r="O99" s="10">
        <v>0</v>
      </c>
      <c r="P99" s="10">
        <v>1</v>
      </c>
      <c r="Q99" s="10">
        <v>-1</v>
      </c>
    </row>
    <row r="100" spans="1:17">
      <c r="A100" s="6">
        <v>45869</v>
      </c>
      <c r="B100" s="7" t="s">
        <v>24</v>
      </c>
      <c r="C100" s="8" t="s">
        <v>24</v>
      </c>
      <c r="D100" s="7" t="s">
        <v>55</v>
      </c>
      <c r="E100" s="7" t="s">
        <v>406</v>
      </c>
      <c r="F100" s="7" t="s">
        <v>406</v>
      </c>
      <c r="G100" s="7" t="s">
        <v>41</v>
      </c>
      <c r="H100" s="7" t="s">
        <v>407</v>
      </c>
      <c r="I100" s="7" t="s">
        <v>42</v>
      </c>
      <c r="J100" s="7" t="s">
        <v>41</v>
      </c>
      <c r="K100" s="7" t="s">
        <v>407</v>
      </c>
      <c r="L100" s="7" t="s">
        <v>394</v>
      </c>
      <c r="M100" s="8">
        <v>6001.02</v>
      </c>
      <c r="N100" s="7" t="s">
        <v>395</v>
      </c>
      <c r="O100" s="10">
        <v>0</v>
      </c>
      <c r="P100" s="10">
        <v>1</v>
      </c>
      <c r="Q100" s="10">
        <v>-1</v>
      </c>
    </row>
    <row r="101" spans="1:17">
      <c r="A101" s="6">
        <v>45862</v>
      </c>
      <c r="B101" s="7" t="s">
        <v>24</v>
      </c>
      <c r="C101" s="8" t="s">
        <v>24</v>
      </c>
      <c r="D101" s="7" t="s">
        <v>55</v>
      </c>
      <c r="E101" s="7" t="s">
        <v>406</v>
      </c>
      <c r="F101" s="7" t="s">
        <v>406</v>
      </c>
      <c r="G101" s="7" t="s">
        <v>41</v>
      </c>
      <c r="H101" s="7" t="s">
        <v>407</v>
      </c>
      <c r="I101" s="7" t="s">
        <v>42</v>
      </c>
      <c r="J101" s="7" t="s">
        <v>41</v>
      </c>
      <c r="K101" s="7" t="s">
        <v>407</v>
      </c>
      <c r="L101" s="7" t="s">
        <v>394</v>
      </c>
      <c r="M101" s="8">
        <v>6001.02</v>
      </c>
      <c r="N101" s="7" t="s">
        <v>395</v>
      </c>
      <c r="O101" s="10">
        <v>0</v>
      </c>
      <c r="P101" s="10">
        <v>1</v>
      </c>
      <c r="Q101" s="10">
        <v>-1</v>
      </c>
    </row>
    <row r="102" spans="1:17">
      <c r="A102" s="6">
        <v>45859</v>
      </c>
      <c r="B102" s="7" t="s">
        <v>24</v>
      </c>
      <c r="C102" s="8" t="s">
        <v>24</v>
      </c>
      <c r="D102" s="7" t="s">
        <v>55</v>
      </c>
      <c r="E102" s="7" t="s">
        <v>406</v>
      </c>
      <c r="F102" s="7" t="s">
        <v>406</v>
      </c>
      <c r="G102" s="7" t="s">
        <v>41</v>
      </c>
      <c r="H102" s="7" t="s">
        <v>407</v>
      </c>
      <c r="I102" s="7" t="s">
        <v>42</v>
      </c>
      <c r="J102" s="7" t="s">
        <v>41</v>
      </c>
      <c r="K102" s="7" t="s">
        <v>407</v>
      </c>
      <c r="L102" s="7" t="s">
        <v>394</v>
      </c>
      <c r="M102" s="8">
        <v>6001.02</v>
      </c>
      <c r="N102" s="7" t="s">
        <v>395</v>
      </c>
      <c r="O102" s="10">
        <v>0</v>
      </c>
      <c r="P102" s="10">
        <v>1</v>
      </c>
      <c r="Q102" s="10">
        <v>-1</v>
      </c>
    </row>
    <row r="103" spans="1:17">
      <c r="A103" s="6">
        <v>45860</v>
      </c>
      <c r="B103" s="7" t="s">
        <v>24</v>
      </c>
      <c r="C103" s="8" t="s">
        <v>24</v>
      </c>
      <c r="D103" s="7" t="s">
        <v>55</v>
      </c>
      <c r="E103" s="7" t="s">
        <v>406</v>
      </c>
      <c r="F103" s="7" t="s">
        <v>406</v>
      </c>
      <c r="G103" s="7" t="s">
        <v>41</v>
      </c>
      <c r="H103" s="7" t="s">
        <v>407</v>
      </c>
      <c r="I103" s="7" t="s">
        <v>42</v>
      </c>
      <c r="J103" s="7" t="s">
        <v>41</v>
      </c>
      <c r="K103" s="7" t="s">
        <v>407</v>
      </c>
      <c r="L103" s="7" t="s">
        <v>394</v>
      </c>
      <c r="M103" s="8">
        <v>6001.02</v>
      </c>
      <c r="N103" s="7" t="s">
        <v>395</v>
      </c>
      <c r="O103" s="10">
        <v>0</v>
      </c>
      <c r="P103" s="10">
        <v>1</v>
      </c>
      <c r="Q103" s="10">
        <v>-1</v>
      </c>
    </row>
    <row r="104" spans="1:17">
      <c r="A104" s="6">
        <v>45866</v>
      </c>
      <c r="B104" s="7" t="s">
        <v>24</v>
      </c>
      <c r="C104" s="8" t="s">
        <v>24</v>
      </c>
      <c r="D104" s="7" t="s">
        <v>55</v>
      </c>
      <c r="E104" s="7" t="s">
        <v>406</v>
      </c>
      <c r="F104" s="7" t="s">
        <v>406</v>
      </c>
      <c r="G104" s="7" t="s">
        <v>41</v>
      </c>
      <c r="H104" s="7" t="s">
        <v>407</v>
      </c>
      <c r="I104" s="7" t="s">
        <v>42</v>
      </c>
      <c r="J104" s="7" t="s">
        <v>41</v>
      </c>
      <c r="K104" s="7" t="s">
        <v>407</v>
      </c>
      <c r="L104" s="7" t="s">
        <v>394</v>
      </c>
      <c r="M104" s="8">
        <v>6001.02</v>
      </c>
      <c r="N104" s="7" t="s">
        <v>395</v>
      </c>
      <c r="O104" s="10">
        <v>0</v>
      </c>
      <c r="P104" s="10">
        <v>0.88</v>
      </c>
      <c r="Q104" s="10">
        <v>-0.88</v>
      </c>
    </row>
    <row r="105" spans="1:17">
      <c r="A105" s="6">
        <v>45866</v>
      </c>
      <c r="B105" s="7" t="s">
        <v>24</v>
      </c>
      <c r="C105" s="8" t="s">
        <v>24</v>
      </c>
      <c r="D105" s="7" t="s">
        <v>55</v>
      </c>
      <c r="E105" s="7" t="s">
        <v>406</v>
      </c>
      <c r="F105" s="7" t="s">
        <v>406</v>
      </c>
      <c r="G105" s="7" t="s">
        <v>41</v>
      </c>
      <c r="H105" s="7" t="s">
        <v>407</v>
      </c>
      <c r="I105" s="7" t="s">
        <v>42</v>
      </c>
      <c r="J105" s="7" t="s">
        <v>41</v>
      </c>
      <c r="K105" s="7" t="s">
        <v>407</v>
      </c>
      <c r="L105" s="7" t="s">
        <v>394</v>
      </c>
      <c r="M105" s="8">
        <v>6001.02</v>
      </c>
      <c r="N105" s="7" t="s">
        <v>395</v>
      </c>
      <c r="O105" s="10">
        <v>0</v>
      </c>
      <c r="P105" s="10">
        <v>1</v>
      </c>
      <c r="Q105" s="10">
        <v>-1</v>
      </c>
    </row>
    <row r="106" spans="1:17">
      <c r="A106" s="6">
        <v>45852</v>
      </c>
      <c r="B106" s="7" t="s">
        <v>24</v>
      </c>
      <c r="C106" s="8" t="s">
        <v>24</v>
      </c>
      <c r="D106" s="7" t="s">
        <v>55</v>
      </c>
      <c r="E106" s="7" t="s">
        <v>406</v>
      </c>
      <c r="F106" s="7" t="s">
        <v>406</v>
      </c>
      <c r="G106" s="7" t="s">
        <v>41</v>
      </c>
      <c r="H106" s="7" t="s">
        <v>407</v>
      </c>
      <c r="I106" s="7" t="s">
        <v>42</v>
      </c>
      <c r="J106" s="7" t="s">
        <v>41</v>
      </c>
      <c r="K106" s="7" t="s">
        <v>407</v>
      </c>
      <c r="L106" s="7" t="s">
        <v>394</v>
      </c>
      <c r="M106" s="8">
        <v>6001.02</v>
      </c>
      <c r="N106" s="7" t="s">
        <v>395</v>
      </c>
      <c r="O106" s="10">
        <v>0</v>
      </c>
      <c r="P106" s="10">
        <v>1</v>
      </c>
      <c r="Q106" s="10">
        <v>-1</v>
      </c>
    </row>
    <row r="107" spans="1:17">
      <c r="A107" s="6">
        <v>45843</v>
      </c>
      <c r="B107" s="7" t="s">
        <v>24</v>
      </c>
      <c r="C107" s="8" t="s">
        <v>24</v>
      </c>
      <c r="D107" s="7" t="s">
        <v>55</v>
      </c>
      <c r="E107" s="7" t="s">
        <v>406</v>
      </c>
      <c r="F107" s="7" t="s">
        <v>406</v>
      </c>
      <c r="G107" s="7" t="s">
        <v>41</v>
      </c>
      <c r="H107" s="7" t="s">
        <v>407</v>
      </c>
      <c r="I107" s="7" t="s">
        <v>42</v>
      </c>
      <c r="J107" s="7" t="s">
        <v>41</v>
      </c>
      <c r="K107" s="7" t="s">
        <v>407</v>
      </c>
      <c r="L107" s="7" t="s">
        <v>394</v>
      </c>
      <c r="M107" s="8">
        <v>6001.02</v>
      </c>
      <c r="N107" s="7" t="s">
        <v>395</v>
      </c>
      <c r="O107" s="10">
        <v>0</v>
      </c>
      <c r="P107" s="10">
        <v>1</v>
      </c>
      <c r="Q107" s="10">
        <v>-1</v>
      </c>
    </row>
    <row r="108" spans="1:17">
      <c r="A108" s="6">
        <v>45849</v>
      </c>
      <c r="B108" s="7" t="s">
        <v>24</v>
      </c>
      <c r="C108" s="8" t="s">
        <v>24</v>
      </c>
      <c r="D108" s="7" t="s">
        <v>55</v>
      </c>
      <c r="E108" s="7" t="s">
        <v>406</v>
      </c>
      <c r="F108" s="7" t="s">
        <v>406</v>
      </c>
      <c r="G108" s="7" t="s">
        <v>41</v>
      </c>
      <c r="H108" s="7" t="s">
        <v>407</v>
      </c>
      <c r="I108" s="7" t="s">
        <v>42</v>
      </c>
      <c r="J108" s="7" t="s">
        <v>41</v>
      </c>
      <c r="K108" s="7" t="s">
        <v>407</v>
      </c>
      <c r="L108" s="7" t="s">
        <v>394</v>
      </c>
      <c r="M108" s="8">
        <v>6001.02</v>
      </c>
      <c r="N108" s="7" t="s">
        <v>395</v>
      </c>
      <c r="O108" s="10">
        <v>0</v>
      </c>
      <c r="P108" s="10">
        <v>1</v>
      </c>
      <c r="Q108" s="10">
        <v>-1</v>
      </c>
    </row>
    <row r="109" spans="1:17">
      <c r="A109" s="6">
        <v>45853</v>
      </c>
      <c r="B109" s="7" t="s">
        <v>24</v>
      </c>
      <c r="C109" s="8" t="s">
        <v>24</v>
      </c>
      <c r="D109" s="7" t="s">
        <v>55</v>
      </c>
      <c r="E109" s="7" t="s">
        <v>406</v>
      </c>
      <c r="F109" s="7" t="s">
        <v>406</v>
      </c>
      <c r="G109" s="7" t="s">
        <v>41</v>
      </c>
      <c r="H109" s="7" t="s">
        <v>407</v>
      </c>
      <c r="I109" s="7" t="s">
        <v>42</v>
      </c>
      <c r="J109" s="7" t="s">
        <v>41</v>
      </c>
      <c r="K109" s="7" t="s">
        <v>407</v>
      </c>
      <c r="L109" s="7" t="s">
        <v>394</v>
      </c>
      <c r="M109" s="8">
        <v>6001.02</v>
      </c>
      <c r="N109" s="7" t="s">
        <v>395</v>
      </c>
      <c r="O109" s="10">
        <v>0</v>
      </c>
      <c r="P109" s="10">
        <v>1</v>
      </c>
      <c r="Q109" s="10">
        <v>-1</v>
      </c>
    </row>
    <row r="110" spans="1:17">
      <c r="A110" s="6">
        <v>45855</v>
      </c>
      <c r="B110" s="7" t="s">
        <v>24</v>
      </c>
      <c r="C110" s="8" t="s">
        <v>24</v>
      </c>
      <c r="D110" s="7" t="s">
        <v>55</v>
      </c>
      <c r="E110" s="7" t="s">
        <v>406</v>
      </c>
      <c r="F110" s="7" t="s">
        <v>406</v>
      </c>
      <c r="G110" s="7" t="s">
        <v>41</v>
      </c>
      <c r="H110" s="7" t="s">
        <v>407</v>
      </c>
      <c r="I110" s="7" t="s">
        <v>42</v>
      </c>
      <c r="J110" s="7" t="s">
        <v>41</v>
      </c>
      <c r="K110" s="7" t="s">
        <v>407</v>
      </c>
      <c r="L110" s="7" t="s">
        <v>394</v>
      </c>
      <c r="M110" s="8">
        <v>6001.02</v>
      </c>
      <c r="N110" s="7" t="s">
        <v>395</v>
      </c>
      <c r="O110" s="10">
        <v>0</v>
      </c>
      <c r="P110" s="10">
        <v>1</v>
      </c>
      <c r="Q110" s="10">
        <v>-1</v>
      </c>
    </row>
    <row r="111" spans="1:17">
      <c r="A111" s="6">
        <v>45845</v>
      </c>
      <c r="B111" s="7" t="s">
        <v>24</v>
      </c>
      <c r="C111" s="8" t="s">
        <v>24</v>
      </c>
      <c r="D111" s="7" t="s">
        <v>55</v>
      </c>
      <c r="E111" s="7" t="s">
        <v>406</v>
      </c>
      <c r="F111" s="7" t="s">
        <v>406</v>
      </c>
      <c r="G111" s="7" t="s">
        <v>41</v>
      </c>
      <c r="H111" s="7" t="s">
        <v>407</v>
      </c>
      <c r="I111" s="7" t="s">
        <v>42</v>
      </c>
      <c r="J111" s="7" t="s">
        <v>41</v>
      </c>
      <c r="K111" s="7" t="s">
        <v>407</v>
      </c>
      <c r="L111" s="7" t="s">
        <v>394</v>
      </c>
      <c r="M111" s="8">
        <v>6001.02</v>
      </c>
      <c r="N111" s="7" t="s">
        <v>395</v>
      </c>
      <c r="O111" s="10">
        <v>0</v>
      </c>
      <c r="P111" s="10">
        <v>1</v>
      </c>
      <c r="Q111" s="10">
        <v>-1</v>
      </c>
    </row>
    <row r="112" spans="1:17">
      <c r="A112" s="6">
        <v>45860</v>
      </c>
      <c r="B112" s="7" t="s">
        <v>24</v>
      </c>
      <c r="C112" s="8" t="s">
        <v>24</v>
      </c>
      <c r="D112" s="7" t="s">
        <v>55</v>
      </c>
      <c r="E112" s="7" t="s">
        <v>406</v>
      </c>
      <c r="F112" s="7" t="s">
        <v>406</v>
      </c>
      <c r="G112" s="7" t="s">
        <v>41</v>
      </c>
      <c r="H112" s="7" t="s">
        <v>407</v>
      </c>
      <c r="I112" s="7" t="s">
        <v>42</v>
      </c>
      <c r="J112" s="7" t="s">
        <v>41</v>
      </c>
      <c r="K112" s="7" t="s">
        <v>407</v>
      </c>
      <c r="L112" s="7" t="s">
        <v>394</v>
      </c>
      <c r="M112" s="8">
        <v>6001.02</v>
      </c>
      <c r="N112" s="7" t="s">
        <v>395</v>
      </c>
      <c r="O112" s="10">
        <v>0</v>
      </c>
      <c r="P112" s="10">
        <v>1</v>
      </c>
      <c r="Q112" s="10">
        <v>-1</v>
      </c>
    </row>
    <row r="113" spans="1:17">
      <c r="A113" s="6">
        <v>45862</v>
      </c>
      <c r="B113" s="7" t="s">
        <v>24</v>
      </c>
      <c r="C113" s="8" t="s">
        <v>24</v>
      </c>
      <c r="D113" s="7" t="s">
        <v>55</v>
      </c>
      <c r="E113" s="7" t="s">
        <v>406</v>
      </c>
      <c r="F113" s="7" t="s">
        <v>406</v>
      </c>
      <c r="G113" s="7" t="s">
        <v>41</v>
      </c>
      <c r="H113" s="7" t="s">
        <v>407</v>
      </c>
      <c r="I113" s="7" t="s">
        <v>42</v>
      </c>
      <c r="J113" s="7" t="s">
        <v>41</v>
      </c>
      <c r="K113" s="7" t="s">
        <v>407</v>
      </c>
      <c r="L113" s="7" t="s">
        <v>394</v>
      </c>
      <c r="M113" s="8">
        <v>6001.02</v>
      </c>
      <c r="N113" s="7" t="s">
        <v>395</v>
      </c>
      <c r="O113" s="10">
        <v>0</v>
      </c>
      <c r="P113" s="10">
        <v>1</v>
      </c>
      <c r="Q113" s="10">
        <v>-1</v>
      </c>
    </row>
    <row r="114" spans="1:17">
      <c r="A114" s="6">
        <v>45841</v>
      </c>
      <c r="B114" s="7" t="s">
        <v>24</v>
      </c>
      <c r="C114" s="8" t="s">
        <v>24</v>
      </c>
      <c r="D114" s="7" t="s">
        <v>55</v>
      </c>
      <c r="E114" s="7" t="s">
        <v>406</v>
      </c>
      <c r="F114" s="7" t="s">
        <v>406</v>
      </c>
      <c r="G114" s="7" t="s">
        <v>41</v>
      </c>
      <c r="H114" s="7" t="s">
        <v>407</v>
      </c>
      <c r="I114" s="7" t="s">
        <v>42</v>
      </c>
      <c r="J114" s="7" t="s">
        <v>41</v>
      </c>
      <c r="K114" s="7" t="s">
        <v>407</v>
      </c>
      <c r="L114" s="7" t="s">
        <v>394</v>
      </c>
      <c r="M114" s="8">
        <v>6001.02</v>
      </c>
      <c r="N114" s="7" t="s">
        <v>395</v>
      </c>
      <c r="O114" s="10">
        <v>0</v>
      </c>
      <c r="P114" s="10">
        <v>1</v>
      </c>
      <c r="Q114" s="10">
        <v>-1</v>
      </c>
    </row>
    <row r="115" spans="1:17">
      <c r="A115" s="6">
        <v>45866</v>
      </c>
      <c r="B115" s="7" t="s">
        <v>24</v>
      </c>
      <c r="C115" s="8" t="s">
        <v>24</v>
      </c>
      <c r="D115" s="7" t="s">
        <v>55</v>
      </c>
      <c r="E115" s="7" t="s">
        <v>406</v>
      </c>
      <c r="F115" s="7" t="s">
        <v>406</v>
      </c>
      <c r="G115" s="7" t="s">
        <v>41</v>
      </c>
      <c r="H115" s="7" t="s">
        <v>407</v>
      </c>
      <c r="I115" s="7" t="s">
        <v>42</v>
      </c>
      <c r="J115" s="7" t="s">
        <v>41</v>
      </c>
      <c r="K115" s="7" t="s">
        <v>407</v>
      </c>
      <c r="L115" s="7" t="s">
        <v>394</v>
      </c>
      <c r="M115" s="8">
        <v>6001.02</v>
      </c>
      <c r="N115" s="7" t="s">
        <v>395</v>
      </c>
      <c r="O115" s="10">
        <v>0</v>
      </c>
      <c r="P115" s="10">
        <v>0.09</v>
      </c>
      <c r="Q115" s="10">
        <v>-0.09</v>
      </c>
    </row>
    <row r="116" spans="1:17">
      <c r="A116" s="6">
        <v>45848</v>
      </c>
      <c r="B116" s="7" t="s">
        <v>24</v>
      </c>
      <c r="C116" s="8" t="s">
        <v>24</v>
      </c>
      <c r="D116" s="7" t="s">
        <v>55</v>
      </c>
      <c r="E116" s="7" t="s">
        <v>406</v>
      </c>
      <c r="F116" s="7" t="s">
        <v>406</v>
      </c>
      <c r="G116" s="7" t="s">
        <v>41</v>
      </c>
      <c r="H116" s="7" t="s">
        <v>407</v>
      </c>
      <c r="I116" s="7" t="s">
        <v>42</v>
      </c>
      <c r="J116" s="7" t="s">
        <v>41</v>
      </c>
      <c r="K116" s="7" t="s">
        <v>407</v>
      </c>
      <c r="L116" s="7" t="s">
        <v>394</v>
      </c>
      <c r="M116" s="8">
        <v>6001.02</v>
      </c>
      <c r="N116" s="7" t="s">
        <v>395</v>
      </c>
      <c r="O116" s="10">
        <v>0</v>
      </c>
      <c r="P116" s="10">
        <v>1</v>
      </c>
      <c r="Q116" s="10">
        <v>-1</v>
      </c>
    </row>
    <row r="117" spans="1:17">
      <c r="A117" s="6">
        <v>45859</v>
      </c>
      <c r="B117" s="7" t="s">
        <v>24</v>
      </c>
      <c r="C117" s="8" t="s">
        <v>24</v>
      </c>
      <c r="D117" s="7" t="s">
        <v>55</v>
      </c>
      <c r="E117" s="7" t="s">
        <v>406</v>
      </c>
      <c r="F117" s="7" t="s">
        <v>406</v>
      </c>
      <c r="G117" s="7" t="s">
        <v>41</v>
      </c>
      <c r="H117" s="7" t="s">
        <v>407</v>
      </c>
      <c r="I117" s="7" t="s">
        <v>42</v>
      </c>
      <c r="J117" s="7" t="s">
        <v>41</v>
      </c>
      <c r="K117" s="7" t="s">
        <v>407</v>
      </c>
      <c r="L117" s="7" t="s">
        <v>394</v>
      </c>
      <c r="M117" s="8">
        <v>6001.02</v>
      </c>
      <c r="N117" s="7" t="s">
        <v>395</v>
      </c>
      <c r="O117" s="10">
        <v>0</v>
      </c>
      <c r="P117" s="10">
        <v>1</v>
      </c>
      <c r="Q117" s="10">
        <v>-1</v>
      </c>
    </row>
    <row r="118" spans="1:17">
      <c r="A118" s="6">
        <v>45852</v>
      </c>
      <c r="B118" s="7" t="s">
        <v>24</v>
      </c>
      <c r="C118" s="8" t="s">
        <v>24</v>
      </c>
      <c r="D118" s="7" t="s">
        <v>55</v>
      </c>
      <c r="E118" s="7" t="s">
        <v>406</v>
      </c>
      <c r="F118" s="7" t="s">
        <v>406</v>
      </c>
      <c r="G118" s="7" t="s">
        <v>41</v>
      </c>
      <c r="H118" s="7" t="s">
        <v>407</v>
      </c>
      <c r="I118" s="7" t="s">
        <v>42</v>
      </c>
      <c r="J118" s="7" t="s">
        <v>41</v>
      </c>
      <c r="K118" s="7" t="s">
        <v>407</v>
      </c>
      <c r="L118" s="7" t="s">
        <v>394</v>
      </c>
      <c r="M118" s="8">
        <v>6001.02</v>
      </c>
      <c r="N118" s="7" t="s">
        <v>395</v>
      </c>
      <c r="O118" s="10">
        <v>0</v>
      </c>
      <c r="P118" s="10">
        <v>1</v>
      </c>
      <c r="Q118" s="10">
        <v>-1</v>
      </c>
    </row>
    <row r="119" spans="1:17">
      <c r="A119" s="6">
        <v>45855</v>
      </c>
      <c r="B119" s="7" t="s">
        <v>24</v>
      </c>
      <c r="C119" s="8" t="s">
        <v>24</v>
      </c>
      <c r="D119" s="7" t="s">
        <v>55</v>
      </c>
      <c r="E119" s="7" t="s">
        <v>406</v>
      </c>
      <c r="F119" s="7" t="s">
        <v>406</v>
      </c>
      <c r="G119" s="7" t="s">
        <v>41</v>
      </c>
      <c r="H119" s="7" t="s">
        <v>407</v>
      </c>
      <c r="I119" s="7" t="s">
        <v>42</v>
      </c>
      <c r="J119" s="7" t="s">
        <v>41</v>
      </c>
      <c r="K119" s="7" t="s">
        <v>407</v>
      </c>
      <c r="L119" s="7" t="s">
        <v>394</v>
      </c>
      <c r="M119" s="8">
        <v>6001.02</v>
      </c>
      <c r="N119" s="7" t="s">
        <v>395</v>
      </c>
      <c r="O119" s="10">
        <v>0</v>
      </c>
      <c r="P119" s="10">
        <v>1</v>
      </c>
      <c r="Q119" s="10">
        <v>-1</v>
      </c>
    </row>
    <row r="120" spans="1:17">
      <c r="A120" s="6">
        <v>45861</v>
      </c>
      <c r="B120" s="7" t="s">
        <v>24</v>
      </c>
      <c r="C120" s="8" t="s">
        <v>24</v>
      </c>
      <c r="D120" s="7" t="s">
        <v>55</v>
      </c>
      <c r="E120" s="7" t="s">
        <v>406</v>
      </c>
      <c r="F120" s="7" t="s">
        <v>406</v>
      </c>
      <c r="G120" s="7" t="s">
        <v>41</v>
      </c>
      <c r="H120" s="7" t="s">
        <v>407</v>
      </c>
      <c r="I120" s="7" t="s">
        <v>42</v>
      </c>
      <c r="J120" s="7" t="s">
        <v>41</v>
      </c>
      <c r="K120" s="7" t="s">
        <v>407</v>
      </c>
      <c r="L120" s="7" t="s">
        <v>394</v>
      </c>
      <c r="M120" s="8">
        <v>6001.02</v>
      </c>
      <c r="N120" s="7" t="s">
        <v>395</v>
      </c>
      <c r="O120" s="10">
        <v>0</v>
      </c>
      <c r="P120" s="10">
        <v>1</v>
      </c>
      <c r="Q120" s="10">
        <v>-1</v>
      </c>
    </row>
    <row r="121" spans="1:17">
      <c r="A121" s="6">
        <v>45863</v>
      </c>
      <c r="B121" s="7" t="s">
        <v>24</v>
      </c>
      <c r="C121" s="8" t="s">
        <v>24</v>
      </c>
      <c r="D121" s="7" t="s">
        <v>55</v>
      </c>
      <c r="E121" s="7" t="s">
        <v>406</v>
      </c>
      <c r="F121" s="7" t="s">
        <v>406</v>
      </c>
      <c r="G121" s="7" t="s">
        <v>41</v>
      </c>
      <c r="H121" s="7" t="s">
        <v>407</v>
      </c>
      <c r="I121" s="7" t="s">
        <v>42</v>
      </c>
      <c r="J121" s="7" t="s">
        <v>41</v>
      </c>
      <c r="K121" s="7" t="s">
        <v>407</v>
      </c>
      <c r="L121" s="7" t="s">
        <v>394</v>
      </c>
      <c r="M121" s="8">
        <v>6001.02</v>
      </c>
      <c r="N121" s="7" t="s">
        <v>395</v>
      </c>
      <c r="O121" s="10">
        <v>0</v>
      </c>
      <c r="P121" s="10">
        <v>1</v>
      </c>
      <c r="Q121" s="10">
        <v>-1</v>
      </c>
    </row>
    <row r="122" spans="1:17">
      <c r="A122" s="6">
        <v>45865</v>
      </c>
      <c r="B122" s="7" t="s">
        <v>24</v>
      </c>
      <c r="C122" s="8" t="s">
        <v>24</v>
      </c>
      <c r="D122" s="7" t="s">
        <v>43</v>
      </c>
      <c r="E122" s="7" t="s">
        <v>406</v>
      </c>
      <c r="F122" s="7" t="s">
        <v>406</v>
      </c>
      <c r="G122" s="7" t="s">
        <v>55</v>
      </c>
      <c r="H122" s="7" t="s">
        <v>407</v>
      </c>
      <c r="I122" s="7" t="s">
        <v>42</v>
      </c>
      <c r="J122" s="7" t="s">
        <v>55</v>
      </c>
      <c r="K122" s="7" t="s">
        <v>407</v>
      </c>
      <c r="L122" s="7" t="s">
        <v>394</v>
      </c>
      <c r="M122" s="8">
        <v>6001.02</v>
      </c>
      <c r="N122" s="7" t="s">
        <v>395</v>
      </c>
      <c r="O122" s="10">
        <v>0</v>
      </c>
      <c r="P122" s="10">
        <v>0.08</v>
      </c>
      <c r="Q122" s="10">
        <v>-0.08</v>
      </c>
    </row>
    <row r="123" spans="1:17">
      <c r="A123" s="6">
        <v>45850</v>
      </c>
      <c r="B123" s="7" t="s">
        <v>24</v>
      </c>
      <c r="C123" s="8" t="s">
        <v>24</v>
      </c>
      <c r="D123" s="7" t="s">
        <v>43</v>
      </c>
      <c r="E123" s="7" t="s">
        <v>406</v>
      </c>
      <c r="F123" s="7" t="s">
        <v>406</v>
      </c>
      <c r="G123" s="7" t="s">
        <v>55</v>
      </c>
      <c r="H123" s="7" t="s">
        <v>407</v>
      </c>
      <c r="I123" s="7" t="s">
        <v>42</v>
      </c>
      <c r="J123" s="7" t="s">
        <v>55</v>
      </c>
      <c r="K123" s="7" t="s">
        <v>407</v>
      </c>
      <c r="L123" s="7" t="s">
        <v>394</v>
      </c>
      <c r="M123" s="8">
        <v>6001.02</v>
      </c>
      <c r="N123" s="7" t="s">
        <v>395</v>
      </c>
      <c r="O123" s="10">
        <v>0</v>
      </c>
      <c r="P123" s="10">
        <v>0.01</v>
      </c>
      <c r="Q123" s="10">
        <v>-0.01</v>
      </c>
    </row>
    <row r="124" spans="1:17">
      <c r="A124" s="6">
        <v>45839</v>
      </c>
      <c r="B124" s="7" t="s">
        <v>24</v>
      </c>
      <c r="C124" s="8" t="s">
        <v>24</v>
      </c>
      <c r="D124" s="7" t="s">
        <v>43</v>
      </c>
      <c r="E124" s="7" t="s">
        <v>406</v>
      </c>
      <c r="F124" s="7" t="s">
        <v>406</v>
      </c>
      <c r="G124" s="7" t="s">
        <v>41</v>
      </c>
      <c r="H124" s="7" t="s">
        <v>407</v>
      </c>
      <c r="I124" s="7" t="s">
        <v>42</v>
      </c>
      <c r="J124" s="7" t="s">
        <v>41</v>
      </c>
      <c r="K124" s="7" t="s">
        <v>407</v>
      </c>
      <c r="L124" s="7" t="s">
        <v>394</v>
      </c>
      <c r="M124" s="8">
        <v>6001.02</v>
      </c>
      <c r="N124" s="7" t="s">
        <v>395</v>
      </c>
      <c r="O124" s="10">
        <v>0</v>
      </c>
      <c r="P124" s="10">
        <v>0.05</v>
      </c>
      <c r="Q124" s="10">
        <v>-0.05</v>
      </c>
    </row>
    <row r="125" spans="1:17">
      <c r="A125" s="6">
        <v>45848</v>
      </c>
      <c r="B125" s="7" t="s">
        <v>24</v>
      </c>
      <c r="C125" s="8" t="s">
        <v>24</v>
      </c>
      <c r="D125" s="7" t="s">
        <v>43</v>
      </c>
      <c r="E125" s="7" t="s">
        <v>406</v>
      </c>
      <c r="F125" s="7" t="s">
        <v>406</v>
      </c>
      <c r="G125" s="7" t="s">
        <v>41</v>
      </c>
      <c r="H125" s="7" t="s">
        <v>407</v>
      </c>
      <c r="I125" s="7" t="s">
        <v>42</v>
      </c>
      <c r="J125" s="7" t="s">
        <v>41</v>
      </c>
      <c r="K125" s="7" t="s">
        <v>407</v>
      </c>
      <c r="L125" s="7" t="s">
        <v>394</v>
      </c>
      <c r="M125" s="8">
        <v>6001.02</v>
      </c>
      <c r="N125" s="7" t="s">
        <v>395</v>
      </c>
      <c r="O125" s="10">
        <v>0</v>
      </c>
      <c r="P125" s="10">
        <v>0.05</v>
      </c>
      <c r="Q125" s="10">
        <v>-0.05</v>
      </c>
    </row>
    <row r="126" spans="1:17">
      <c r="A126" s="6">
        <v>45839</v>
      </c>
      <c r="B126" s="7" t="s">
        <v>24</v>
      </c>
      <c r="C126" s="8" t="s">
        <v>24</v>
      </c>
      <c r="D126" s="7" t="s">
        <v>43</v>
      </c>
      <c r="E126" s="7" t="s">
        <v>406</v>
      </c>
      <c r="F126" s="7" t="s">
        <v>406</v>
      </c>
      <c r="G126" s="7" t="s">
        <v>41</v>
      </c>
      <c r="H126" s="7" t="s">
        <v>407</v>
      </c>
      <c r="I126" s="7" t="s">
        <v>42</v>
      </c>
      <c r="J126" s="7" t="s">
        <v>41</v>
      </c>
      <c r="K126" s="7" t="s">
        <v>407</v>
      </c>
      <c r="L126" s="7" t="s">
        <v>394</v>
      </c>
      <c r="M126" s="8">
        <v>6001.02</v>
      </c>
      <c r="N126" s="7" t="s">
        <v>395</v>
      </c>
      <c r="O126" s="10">
        <v>0</v>
      </c>
      <c r="P126" s="10">
        <v>0.05</v>
      </c>
      <c r="Q126" s="10">
        <v>-0.05</v>
      </c>
    </row>
    <row r="127" spans="1:17">
      <c r="A127" s="6">
        <v>45848</v>
      </c>
      <c r="B127" s="7" t="s">
        <v>24</v>
      </c>
      <c r="C127" s="8" t="s">
        <v>24</v>
      </c>
      <c r="D127" s="7" t="s">
        <v>43</v>
      </c>
      <c r="E127" s="7" t="s">
        <v>406</v>
      </c>
      <c r="F127" s="7" t="s">
        <v>406</v>
      </c>
      <c r="G127" s="7" t="s">
        <v>41</v>
      </c>
      <c r="H127" s="7" t="s">
        <v>407</v>
      </c>
      <c r="I127" s="7" t="s">
        <v>42</v>
      </c>
      <c r="J127" s="7" t="s">
        <v>41</v>
      </c>
      <c r="K127" s="7" t="s">
        <v>407</v>
      </c>
      <c r="L127" s="7" t="s">
        <v>394</v>
      </c>
      <c r="M127" s="8">
        <v>6001.02</v>
      </c>
      <c r="N127" s="7" t="s">
        <v>395</v>
      </c>
      <c r="O127" s="10">
        <v>0</v>
      </c>
      <c r="P127" s="10">
        <v>0.05</v>
      </c>
      <c r="Q127" s="10">
        <v>-0.05</v>
      </c>
    </row>
    <row r="128" spans="1:17">
      <c r="A128" s="6">
        <v>45861</v>
      </c>
      <c r="B128" s="7" t="s">
        <v>24</v>
      </c>
      <c r="C128" s="8" t="s">
        <v>24</v>
      </c>
      <c r="D128" s="7" t="s">
        <v>43</v>
      </c>
      <c r="E128" s="7" t="s">
        <v>406</v>
      </c>
      <c r="F128" s="7" t="s">
        <v>406</v>
      </c>
      <c r="G128" s="7" t="s">
        <v>55</v>
      </c>
      <c r="H128" s="7" t="s">
        <v>407</v>
      </c>
      <c r="I128" s="7" t="s">
        <v>42</v>
      </c>
      <c r="J128" s="7" t="s">
        <v>55</v>
      </c>
      <c r="K128" s="7" t="s">
        <v>407</v>
      </c>
      <c r="L128" s="7" t="s">
        <v>394</v>
      </c>
      <c r="M128" s="8">
        <v>6001.02</v>
      </c>
      <c r="N128" s="7" t="s">
        <v>395</v>
      </c>
      <c r="O128" s="10">
        <v>0</v>
      </c>
      <c r="P128" s="10">
        <v>0.09</v>
      </c>
      <c r="Q128" s="10">
        <v>-0.09</v>
      </c>
    </row>
    <row r="129" spans="1:17">
      <c r="A129" s="6">
        <v>45860</v>
      </c>
      <c r="B129" s="7" t="s">
        <v>24</v>
      </c>
      <c r="C129" s="8" t="s">
        <v>24</v>
      </c>
      <c r="D129" s="7" t="s">
        <v>43</v>
      </c>
      <c r="E129" s="7" t="s">
        <v>406</v>
      </c>
      <c r="F129" s="7" t="s">
        <v>406</v>
      </c>
      <c r="G129" s="7" t="s">
        <v>55</v>
      </c>
      <c r="H129" s="7" t="s">
        <v>407</v>
      </c>
      <c r="I129" s="7" t="s">
        <v>42</v>
      </c>
      <c r="J129" s="7" t="s">
        <v>55</v>
      </c>
      <c r="K129" s="7" t="s">
        <v>407</v>
      </c>
      <c r="L129" s="7" t="s">
        <v>394</v>
      </c>
      <c r="M129" s="8">
        <v>6001.02</v>
      </c>
      <c r="N129" s="7" t="s">
        <v>395</v>
      </c>
      <c r="O129" s="10">
        <v>0</v>
      </c>
      <c r="P129" s="10">
        <v>0.38</v>
      </c>
      <c r="Q129" s="10">
        <v>-0.38</v>
      </c>
    </row>
    <row r="130" spans="1:17">
      <c r="A130" s="6">
        <v>45869</v>
      </c>
      <c r="B130" s="7" t="s">
        <v>24</v>
      </c>
      <c r="C130" s="8" t="s">
        <v>24</v>
      </c>
      <c r="D130" s="7" t="s">
        <v>43</v>
      </c>
      <c r="E130" s="7" t="s">
        <v>406</v>
      </c>
      <c r="F130" s="7" t="s">
        <v>406</v>
      </c>
      <c r="G130" s="7" t="s">
        <v>55</v>
      </c>
      <c r="H130" s="7" t="s">
        <v>407</v>
      </c>
      <c r="I130" s="7" t="s">
        <v>42</v>
      </c>
      <c r="J130" s="7" t="s">
        <v>55</v>
      </c>
      <c r="K130" s="7" t="s">
        <v>407</v>
      </c>
      <c r="L130" s="7" t="s">
        <v>394</v>
      </c>
      <c r="M130" s="8">
        <v>6001.02</v>
      </c>
      <c r="N130" s="7" t="s">
        <v>395</v>
      </c>
      <c r="O130" s="10">
        <v>0</v>
      </c>
      <c r="P130" s="10">
        <v>0.05</v>
      </c>
      <c r="Q130" s="10">
        <v>-0.05</v>
      </c>
    </row>
    <row r="131" spans="1:17">
      <c r="A131" s="6">
        <v>45867</v>
      </c>
      <c r="B131" s="7" t="s">
        <v>24</v>
      </c>
      <c r="C131" s="8" t="s">
        <v>24</v>
      </c>
      <c r="D131" s="7" t="s">
        <v>43</v>
      </c>
      <c r="E131" s="7" t="s">
        <v>406</v>
      </c>
      <c r="F131" s="7" t="s">
        <v>406</v>
      </c>
      <c r="G131" s="7" t="s">
        <v>55</v>
      </c>
      <c r="H131" s="7" t="s">
        <v>407</v>
      </c>
      <c r="I131" s="7" t="s">
        <v>42</v>
      </c>
      <c r="J131" s="7" t="s">
        <v>55</v>
      </c>
      <c r="K131" s="7" t="s">
        <v>407</v>
      </c>
      <c r="L131" s="7" t="s">
        <v>394</v>
      </c>
      <c r="M131" s="8">
        <v>6001.02</v>
      </c>
      <c r="N131" s="7" t="s">
        <v>395</v>
      </c>
      <c r="O131" s="10">
        <v>0</v>
      </c>
      <c r="P131" s="10">
        <v>0.03</v>
      </c>
      <c r="Q131" s="10">
        <v>-0.03</v>
      </c>
    </row>
    <row r="132" spans="1:17">
      <c r="A132" s="6">
        <v>45861</v>
      </c>
      <c r="B132" s="7" t="s">
        <v>24</v>
      </c>
      <c r="C132" s="8" t="s">
        <v>24</v>
      </c>
      <c r="D132" s="7" t="s">
        <v>43</v>
      </c>
      <c r="E132" s="7" t="s">
        <v>406</v>
      </c>
      <c r="F132" s="7" t="s">
        <v>406</v>
      </c>
      <c r="G132" s="7" t="s">
        <v>55</v>
      </c>
      <c r="H132" s="7" t="s">
        <v>407</v>
      </c>
      <c r="I132" s="7" t="s">
        <v>42</v>
      </c>
      <c r="J132" s="7" t="s">
        <v>55</v>
      </c>
      <c r="K132" s="7" t="s">
        <v>407</v>
      </c>
      <c r="L132" s="7" t="s">
        <v>394</v>
      </c>
      <c r="M132" s="8">
        <v>6001.02</v>
      </c>
      <c r="N132" s="7" t="s">
        <v>395</v>
      </c>
      <c r="O132" s="10">
        <v>0</v>
      </c>
      <c r="P132" s="10">
        <v>0.43</v>
      </c>
      <c r="Q132" s="10">
        <v>-0.43</v>
      </c>
    </row>
    <row r="133" spans="1:17">
      <c r="A133" s="6">
        <v>45862</v>
      </c>
      <c r="B133" s="7" t="s">
        <v>24</v>
      </c>
      <c r="C133" s="8" t="s">
        <v>24</v>
      </c>
      <c r="D133" s="7" t="s">
        <v>43</v>
      </c>
      <c r="E133" s="7" t="s">
        <v>406</v>
      </c>
      <c r="F133" s="7" t="s">
        <v>406</v>
      </c>
      <c r="G133" s="7" t="s">
        <v>55</v>
      </c>
      <c r="H133" s="7" t="s">
        <v>407</v>
      </c>
      <c r="I133" s="7" t="s">
        <v>42</v>
      </c>
      <c r="J133" s="7" t="s">
        <v>55</v>
      </c>
      <c r="K133" s="7" t="s">
        <v>407</v>
      </c>
      <c r="L133" s="7" t="s">
        <v>394</v>
      </c>
      <c r="M133" s="8">
        <v>6001.02</v>
      </c>
      <c r="N133" s="7" t="s">
        <v>395</v>
      </c>
      <c r="O133" s="10">
        <v>0</v>
      </c>
      <c r="P133" s="10">
        <v>0.31</v>
      </c>
      <c r="Q133" s="10">
        <v>-0.31</v>
      </c>
    </row>
    <row r="134" spans="1:17">
      <c r="A134" s="6">
        <v>45862</v>
      </c>
      <c r="B134" s="7" t="s">
        <v>24</v>
      </c>
      <c r="C134" s="8" t="s">
        <v>24</v>
      </c>
      <c r="D134" s="7" t="s">
        <v>43</v>
      </c>
      <c r="E134" s="7" t="s">
        <v>406</v>
      </c>
      <c r="F134" s="7" t="s">
        <v>406</v>
      </c>
      <c r="G134" s="7" t="s">
        <v>55</v>
      </c>
      <c r="H134" s="7" t="s">
        <v>407</v>
      </c>
      <c r="I134" s="7" t="s">
        <v>42</v>
      </c>
      <c r="J134" s="7" t="s">
        <v>55</v>
      </c>
      <c r="K134" s="7" t="s">
        <v>407</v>
      </c>
      <c r="L134" s="7" t="s">
        <v>394</v>
      </c>
      <c r="M134" s="8">
        <v>6001.02</v>
      </c>
      <c r="N134" s="7" t="s">
        <v>395</v>
      </c>
      <c r="O134" s="10">
        <v>0</v>
      </c>
      <c r="P134" s="10">
        <v>0.13</v>
      </c>
      <c r="Q134" s="10">
        <v>-0.13</v>
      </c>
    </row>
    <row r="135" spans="1:17">
      <c r="A135" s="6">
        <v>45869</v>
      </c>
      <c r="B135" s="7" t="s">
        <v>24</v>
      </c>
      <c r="C135" s="8" t="s">
        <v>24</v>
      </c>
      <c r="D135" s="7" t="s">
        <v>43</v>
      </c>
      <c r="E135" s="7" t="s">
        <v>406</v>
      </c>
      <c r="F135" s="7" t="s">
        <v>406</v>
      </c>
      <c r="G135" s="7" t="s">
        <v>55</v>
      </c>
      <c r="H135" s="7" t="s">
        <v>407</v>
      </c>
      <c r="I135" s="7" t="s">
        <v>42</v>
      </c>
      <c r="J135" s="7" t="s">
        <v>55</v>
      </c>
      <c r="K135" s="7" t="s">
        <v>407</v>
      </c>
      <c r="L135" s="7" t="s">
        <v>394</v>
      </c>
      <c r="M135" s="8">
        <v>6001.02</v>
      </c>
      <c r="N135" s="7" t="s">
        <v>395</v>
      </c>
      <c r="O135" s="10">
        <v>0</v>
      </c>
      <c r="P135" s="10">
        <v>0.16</v>
      </c>
      <c r="Q135" s="10">
        <v>-0.16</v>
      </c>
    </row>
    <row r="136" spans="1:17">
      <c r="A136" s="6">
        <v>45866</v>
      </c>
      <c r="B136" s="7" t="s">
        <v>24</v>
      </c>
      <c r="C136" s="8" t="s">
        <v>24</v>
      </c>
      <c r="D136" s="7" t="s">
        <v>43</v>
      </c>
      <c r="E136" s="7" t="s">
        <v>406</v>
      </c>
      <c r="F136" s="7" t="s">
        <v>406</v>
      </c>
      <c r="G136" s="7" t="s">
        <v>55</v>
      </c>
      <c r="H136" s="7" t="s">
        <v>407</v>
      </c>
      <c r="I136" s="7" t="s">
        <v>42</v>
      </c>
      <c r="J136" s="7" t="s">
        <v>55</v>
      </c>
      <c r="K136" s="7" t="s">
        <v>407</v>
      </c>
      <c r="L136" s="7" t="s">
        <v>394</v>
      </c>
      <c r="M136" s="8">
        <v>6001.02</v>
      </c>
      <c r="N136" s="7" t="s">
        <v>395</v>
      </c>
      <c r="O136" s="10">
        <v>0</v>
      </c>
      <c r="P136" s="10">
        <v>0.08</v>
      </c>
      <c r="Q136" s="10">
        <v>-0.08</v>
      </c>
    </row>
    <row r="137" spans="1:17">
      <c r="A137" s="6">
        <v>45863</v>
      </c>
      <c r="B137" s="7" t="s">
        <v>24</v>
      </c>
      <c r="C137" s="8" t="s">
        <v>24</v>
      </c>
      <c r="D137" s="7" t="s">
        <v>43</v>
      </c>
      <c r="E137" s="7" t="s">
        <v>406</v>
      </c>
      <c r="F137" s="7" t="s">
        <v>406</v>
      </c>
      <c r="G137" s="7" t="s">
        <v>55</v>
      </c>
      <c r="H137" s="7" t="s">
        <v>407</v>
      </c>
      <c r="I137" s="7" t="s">
        <v>42</v>
      </c>
      <c r="J137" s="7" t="s">
        <v>55</v>
      </c>
      <c r="K137" s="7" t="s">
        <v>407</v>
      </c>
      <c r="L137" s="7" t="s">
        <v>394</v>
      </c>
      <c r="M137" s="8">
        <v>6001.02</v>
      </c>
      <c r="N137" s="7" t="s">
        <v>395</v>
      </c>
      <c r="O137" s="10">
        <v>0</v>
      </c>
      <c r="P137" s="10">
        <v>0.19</v>
      </c>
      <c r="Q137" s="10">
        <v>-0.19</v>
      </c>
    </row>
    <row r="138" spans="1:17">
      <c r="A138" s="6">
        <v>45859</v>
      </c>
      <c r="B138" s="7" t="s">
        <v>24</v>
      </c>
      <c r="C138" s="8" t="s">
        <v>24</v>
      </c>
      <c r="D138" s="7" t="s">
        <v>43</v>
      </c>
      <c r="E138" s="7" t="s">
        <v>406</v>
      </c>
      <c r="F138" s="7" t="s">
        <v>406</v>
      </c>
      <c r="G138" s="7" t="s">
        <v>55</v>
      </c>
      <c r="H138" s="7" t="s">
        <v>407</v>
      </c>
      <c r="I138" s="7" t="s">
        <v>42</v>
      </c>
      <c r="J138" s="7" t="s">
        <v>55</v>
      </c>
      <c r="K138" s="7" t="s">
        <v>407</v>
      </c>
      <c r="L138" s="7" t="s">
        <v>394</v>
      </c>
      <c r="M138" s="8">
        <v>6001.02</v>
      </c>
      <c r="N138" s="7" t="s">
        <v>395</v>
      </c>
      <c r="O138" s="10">
        <v>0</v>
      </c>
      <c r="P138" s="10">
        <v>0.02</v>
      </c>
      <c r="Q138" s="10">
        <v>-0.02</v>
      </c>
    </row>
    <row r="139" spans="1:17">
      <c r="A139" s="6">
        <v>45868</v>
      </c>
      <c r="B139" s="7" t="s">
        <v>24</v>
      </c>
      <c r="C139" s="8" t="s">
        <v>24</v>
      </c>
      <c r="D139" s="7" t="s">
        <v>43</v>
      </c>
      <c r="E139" s="7" t="s">
        <v>406</v>
      </c>
      <c r="F139" s="7" t="s">
        <v>406</v>
      </c>
      <c r="G139" s="7" t="s">
        <v>55</v>
      </c>
      <c r="H139" s="7" t="s">
        <v>407</v>
      </c>
      <c r="I139" s="7" t="s">
        <v>42</v>
      </c>
      <c r="J139" s="7" t="s">
        <v>55</v>
      </c>
      <c r="K139" s="7" t="s">
        <v>407</v>
      </c>
      <c r="L139" s="7" t="s">
        <v>394</v>
      </c>
      <c r="M139" s="8">
        <v>6001.02</v>
      </c>
      <c r="N139" s="7" t="s">
        <v>395</v>
      </c>
      <c r="O139" s="10">
        <v>0</v>
      </c>
      <c r="P139" s="10">
        <v>0.03</v>
      </c>
      <c r="Q139" s="10">
        <v>-0.03</v>
      </c>
    </row>
    <row r="140" spans="1:17">
      <c r="A140" s="6">
        <v>45865</v>
      </c>
      <c r="B140" s="7" t="s">
        <v>24</v>
      </c>
      <c r="C140" s="8" t="s">
        <v>24</v>
      </c>
      <c r="D140" s="7" t="s">
        <v>43</v>
      </c>
      <c r="E140" s="7" t="s">
        <v>406</v>
      </c>
      <c r="F140" s="7" t="s">
        <v>406</v>
      </c>
      <c r="G140" s="7" t="s">
        <v>55</v>
      </c>
      <c r="H140" s="7" t="s">
        <v>407</v>
      </c>
      <c r="I140" s="7" t="s">
        <v>42</v>
      </c>
      <c r="J140" s="7" t="s">
        <v>55</v>
      </c>
      <c r="K140" s="7" t="s">
        <v>407</v>
      </c>
      <c r="L140" s="7" t="s">
        <v>394</v>
      </c>
      <c r="M140" s="8">
        <v>6001.02</v>
      </c>
      <c r="N140" s="7" t="s">
        <v>395</v>
      </c>
      <c r="O140" s="10">
        <v>0</v>
      </c>
      <c r="P140" s="10">
        <v>0.01</v>
      </c>
      <c r="Q140" s="10">
        <v>-0.01</v>
      </c>
    </row>
    <row r="141" spans="1:17">
      <c r="A141" s="6">
        <v>45860</v>
      </c>
      <c r="B141" s="7" t="s">
        <v>24</v>
      </c>
      <c r="C141" s="8" t="s">
        <v>24</v>
      </c>
      <c r="D141" s="7" t="s">
        <v>43</v>
      </c>
      <c r="E141" s="7" t="s">
        <v>406</v>
      </c>
      <c r="F141" s="7" t="s">
        <v>406</v>
      </c>
      <c r="G141" s="7" t="s">
        <v>55</v>
      </c>
      <c r="H141" s="7" t="s">
        <v>407</v>
      </c>
      <c r="I141" s="7" t="s">
        <v>42</v>
      </c>
      <c r="J141" s="7" t="s">
        <v>55</v>
      </c>
      <c r="K141" s="7" t="s">
        <v>407</v>
      </c>
      <c r="L141" s="7" t="s">
        <v>394</v>
      </c>
      <c r="M141" s="8">
        <v>6001.02</v>
      </c>
      <c r="N141" s="7" t="s">
        <v>395</v>
      </c>
      <c r="O141" s="10">
        <v>0</v>
      </c>
      <c r="P141" s="10">
        <v>0.11</v>
      </c>
      <c r="Q141" s="10">
        <v>-0.11</v>
      </c>
    </row>
    <row r="142" spans="1:17">
      <c r="A142" s="6">
        <v>45864</v>
      </c>
      <c r="B142" s="7" t="s">
        <v>24</v>
      </c>
      <c r="C142" s="8" t="s">
        <v>24</v>
      </c>
      <c r="D142" s="7" t="s">
        <v>43</v>
      </c>
      <c r="E142" s="7" t="s">
        <v>406</v>
      </c>
      <c r="F142" s="7" t="s">
        <v>406</v>
      </c>
      <c r="G142" s="7" t="s">
        <v>55</v>
      </c>
      <c r="H142" s="7" t="s">
        <v>407</v>
      </c>
      <c r="I142" s="7" t="s">
        <v>42</v>
      </c>
      <c r="J142" s="7" t="s">
        <v>55</v>
      </c>
      <c r="K142" s="7" t="s">
        <v>407</v>
      </c>
      <c r="L142" s="7" t="s">
        <v>394</v>
      </c>
      <c r="M142" s="8">
        <v>6001.02</v>
      </c>
      <c r="N142" s="7" t="s">
        <v>395</v>
      </c>
      <c r="O142" s="10">
        <v>0</v>
      </c>
      <c r="P142" s="10">
        <v>0.02</v>
      </c>
      <c r="Q142" s="10">
        <v>-0.02</v>
      </c>
    </row>
    <row r="143" spans="1:17">
      <c r="A143" s="6">
        <v>45868</v>
      </c>
      <c r="B143" s="7" t="s">
        <v>24</v>
      </c>
      <c r="C143" s="8" t="s">
        <v>24</v>
      </c>
      <c r="D143" s="7" t="s">
        <v>43</v>
      </c>
      <c r="E143" s="7" t="s">
        <v>406</v>
      </c>
      <c r="F143" s="7" t="s">
        <v>406</v>
      </c>
      <c r="G143" s="7" t="s">
        <v>55</v>
      </c>
      <c r="H143" s="7" t="s">
        <v>407</v>
      </c>
      <c r="I143" s="7" t="s">
        <v>42</v>
      </c>
      <c r="J143" s="7" t="s">
        <v>55</v>
      </c>
      <c r="K143" s="7" t="s">
        <v>407</v>
      </c>
      <c r="L143" s="7" t="s">
        <v>394</v>
      </c>
      <c r="M143" s="8">
        <v>6001.02</v>
      </c>
      <c r="N143" s="7" t="s">
        <v>395</v>
      </c>
      <c r="O143" s="10">
        <v>0</v>
      </c>
      <c r="P143" s="10">
        <v>0.05</v>
      </c>
      <c r="Q143" s="10">
        <v>-0.05</v>
      </c>
    </row>
    <row r="144" spans="1:17">
      <c r="A144" s="6">
        <v>45863</v>
      </c>
      <c r="B144" s="7" t="s">
        <v>24</v>
      </c>
      <c r="C144" s="8" t="s">
        <v>24</v>
      </c>
      <c r="D144" s="7" t="s">
        <v>43</v>
      </c>
      <c r="E144" s="7" t="s">
        <v>406</v>
      </c>
      <c r="F144" s="7" t="s">
        <v>406</v>
      </c>
      <c r="G144" s="7" t="s">
        <v>55</v>
      </c>
      <c r="H144" s="7" t="s">
        <v>407</v>
      </c>
      <c r="I144" s="7" t="s">
        <v>42</v>
      </c>
      <c r="J144" s="7" t="s">
        <v>55</v>
      </c>
      <c r="K144" s="7" t="s">
        <v>407</v>
      </c>
      <c r="L144" s="7" t="s">
        <v>394</v>
      </c>
      <c r="M144" s="8">
        <v>6001.02</v>
      </c>
      <c r="N144" s="7" t="s">
        <v>395</v>
      </c>
      <c r="O144" s="10">
        <v>0</v>
      </c>
      <c r="P144" s="10">
        <v>0.03</v>
      </c>
      <c r="Q144" s="10">
        <v>-0.03</v>
      </c>
    </row>
    <row r="145" spans="1:17">
      <c r="A145" s="6">
        <v>45866</v>
      </c>
      <c r="B145" s="7" t="s">
        <v>24</v>
      </c>
      <c r="C145" s="8" t="s">
        <v>24</v>
      </c>
      <c r="D145" s="7" t="s">
        <v>43</v>
      </c>
      <c r="E145" s="7" t="s">
        <v>406</v>
      </c>
      <c r="F145" s="7" t="s">
        <v>406</v>
      </c>
      <c r="G145" s="7" t="s">
        <v>55</v>
      </c>
      <c r="H145" s="7" t="s">
        <v>407</v>
      </c>
      <c r="I145" s="7" t="s">
        <v>42</v>
      </c>
      <c r="J145" s="7" t="s">
        <v>55</v>
      </c>
      <c r="K145" s="7" t="s">
        <v>407</v>
      </c>
      <c r="L145" s="7" t="s">
        <v>394</v>
      </c>
      <c r="M145" s="8">
        <v>6001.02</v>
      </c>
      <c r="N145" s="7" t="s">
        <v>395</v>
      </c>
      <c r="O145" s="10">
        <v>0</v>
      </c>
      <c r="P145" s="10">
        <v>0.03</v>
      </c>
      <c r="Q145" s="10">
        <v>-0.03</v>
      </c>
    </row>
    <row r="146" spans="1:17">
      <c r="A146" s="6">
        <v>45867</v>
      </c>
      <c r="B146" s="7" t="s">
        <v>24</v>
      </c>
      <c r="C146" s="8" t="s">
        <v>24</v>
      </c>
      <c r="D146" s="7" t="s">
        <v>43</v>
      </c>
      <c r="E146" s="7" t="s">
        <v>406</v>
      </c>
      <c r="F146" s="7" t="s">
        <v>406</v>
      </c>
      <c r="G146" s="7" t="s">
        <v>55</v>
      </c>
      <c r="H146" s="7" t="s">
        <v>407</v>
      </c>
      <c r="I146" s="7" t="s">
        <v>42</v>
      </c>
      <c r="J146" s="7" t="s">
        <v>55</v>
      </c>
      <c r="K146" s="7" t="s">
        <v>407</v>
      </c>
      <c r="L146" s="7" t="s">
        <v>394</v>
      </c>
      <c r="M146" s="8">
        <v>6001.02</v>
      </c>
      <c r="N146" s="7" t="s">
        <v>395</v>
      </c>
      <c r="O146" s="10">
        <v>0</v>
      </c>
      <c r="P146" s="10">
        <v>0.07</v>
      </c>
      <c r="Q146" s="10">
        <v>-0.07</v>
      </c>
    </row>
    <row r="147" spans="1:17">
      <c r="A147" s="6">
        <v>45842</v>
      </c>
      <c r="B147" s="7" t="s">
        <v>24</v>
      </c>
      <c r="C147" s="8" t="s">
        <v>24</v>
      </c>
      <c r="D147" s="7" t="s">
        <v>43</v>
      </c>
      <c r="E147" s="7" t="s">
        <v>406</v>
      </c>
      <c r="F147" s="7" t="s">
        <v>406</v>
      </c>
      <c r="G147" s="7" t="s">
        <v>41</v>
      </c>
      <c r="H147" s="7" t="s">
        <v>407</v>
      </c>
      <c r="I147" s="7" t="s">
        <v>42</v>
      </c>
      <c r="J147" s="7" t="s">
        <v>41</v>
      </c>
      <c r="K147" s="7" t="s">
        <v>407</v>
      </c>
      <c r="L147" s="7" t="s">
        <v>394</v>
      </c>
      <c r="M147" s="8">
        <v>6001.02</v>
      </c>
      <c r="N147" s="7" t="s">
        <v>395</v>
      </c>
      <c r="O147" s="10">
        <v>0</v>
      </c>
      <c r="P147" s="10">
        <v>-20.4</v>
      </c>
      <c r="Q147" s="10">
        <v>20.4</v>
      </c>
    </row>
    <row r="148" spans="1:17">
      <c r="A148" s="6">
        <v>45841</v>
      </c>
      <c r="B148" s="7" t="s">
        <v>24</v>
      </c>
      <c r="C148" s="8" t="s">
        <v>24</v>
      </c>
      <c r="D148" s="7" t="s">
        <v>43</v>
      </c>
      <c r="E148" s="7" t="s">
        <v>406</v>
      </c>
      <c r="F148" s="7" t="s">
        <v>406</v>
      </c>
      <c r="G148" s="7" t="s">
        <v>41</v>
      </c>
      <c r="H148" s="7" t="s">
        <v>407</v>
      </c>
      <c r="I148" s="7" t="s">
        <v>42</v>
      </c>
      <c r="J148" s="7" t="s">
        <v>41</v>
      </c>
      <c r="K148" s="7" t="s">
        <v>407</v>
      </c>
      <c r="L148" s="7" t="s">
        <v>394</v>
      </c>
      <c r="M148" s="8">
        <v>6001.02</v>
      </c>
      <c r="N148" s="7" t="s">
        <v>395</v>
      </c>
      <c r="O148" s="10">
        <v>0</v>
      </c>
      <c r="P148" s="10">
        <v>20.4</v>
      </c>
      <c r="Q148" s="10">
        <v>-20.4</v>
      </c>
    </row>
    <row r="149" spans="1:17">
      <c r="A149" s="6">
        <v>45859</v>
      </c>
      <c r="B149" s="7" t="s">
        <v>24</v>
      </c>
      <c r="C149" s="8" t="s">
        <v>24</v>
      </c>
      <c r="D149" s="7" t="s">
        <v>43</v>
      </c>
      <c r="E149" s="7" t="s">
        <v>406</v>
      </c>
      <c r="F149" s="7" t="s">
        <v>406</v>
      </c>
      <c r="G149" s="7" t="s">
        <v>55</v>
      </c>
      <c r="H149" s="7" t="s">
        <v>407</v>
      </c>
      <c r="I149" s="7" t="s">
        <v>42</v>
      </c>
      <c r="J149" s="7" t="s">
        <v>55</v>
      </c>
      <c r="K149" s="7" t="s">
        <v>407</v>
      </c>
      <c r="L149" s="7" t="s">
        <v>394</v>
      </c>
      <c r="M149" s="8">
        <v>6001.02</v>
      </c>
      <c r="N149" s="7" t="s">
        <v>395</v>
      </c>
      <c r="O149" s="10">
        <v>0</v>
      </c>
      <c r="P149" s="10">
        <v>0.05</v>
      </c>
      <c r="Q149" s="10">
        <v>-0.05</v>
      </c>
    </row>
    <row r="150" spans="1:17">
      <c r="A150" s="6">
        <v>45857</v>
      </c>
      <c r="B150" s="7" t="s">
        <v>24</v>
      </c>
      <c r="C150" s="8" t="s">
        <v>24</v>
      </c>
      <c r="D150" s="7" t="s">
        <v>41</v>
      </c>
      <c r="E150" s="7" t="s">
        <v>406</v>
      </c>
      <c r="F150" s="7" t="s">
        <v>406</v>
      </c>
      <c r="G150" s="7" t="s">
        <v>330</v>
      </c>
      <c r="H150" s="7" t="s">
        <v>372</v>
      </c>
      <c r="I150" s="7" t="s">
        <v>45</v>
      </c>
      <c r="J150" s="7" t="s">
        <v>330</v>
      </c>
      <c r="K150" s="7" t="s">
        <v>372</v>
      </c>
      <c r="L150" s="7" t="s">
        <v>394</v>
      </c>
      <c r="M150" s="8">
        <v>6001.02</v>
      </c>
      <c r="N150" s="7" t="s">
        <v>395</v>
      </c>
      <c r="O150" s="10">
        <v>0</v>
      </c>
      <c r="P150" s="10">
        <v>-200</v>
      </c>
      <c r="Q150" s="10">
        <v>200</v>
      </c>
    </row>
    <row r="151" spans="1:17">
      <c r="A151" s="6">
        <v>45869</v>
      </c>
      <c r="B151" s="7" t="s">
        <v>24</v>
      </c>
      <c r="C151" s="8" t="s">
        <v>24</v>
      </c>
      <c r="D151" s="7" t="s">
        <v>41</v>
      </c>
      <c r="E151" s="7" t="s">
        <v>406</v>
      </c>
      <c r="F151" s="7" t="s">
        <v>406</v>
      </c>
      <c r="G151" s="7" t="s">
        <v>330</v>
      </c>
      <c r="H151" s="7" t="s">
        <v>372</v>
      </c>
      <c r="I151" s="7" t="s">
        <v>45</v>
      </c>
      <c r="J151" s="7" t="s">
        <v>330</v>
      </c>
      <c r="K151" s="7" t="s">
        <v>372</v>
      </c>
      <c r="L151" s="7" t="s">
        <v>394</v>
      </c>
      <c r="M151" s="8">
        <v>6001.02</v>
      </c>
      <c r="N151" s="7" t="s">
        <v>395</v>
      </c>
      <c r="O151" s="10">
        <v>0</v>
      </c>
      <c r="P151" s="10">
        <v>-200</v>
      </c>
      <c r="Q151" s="10">
        <v>200</v>
      </c>
    </row>
    <row r="152" spans="1:17">
      <c r="A152" s="6">
        <v>45869</v>
      </c>
      <c r="B152" s="7" t="s">
        <v>23</v>
      </c>
      <c r="C152" s="8" t="s">
        <v>23</v>
      </c>
      <c r="D152" s="7" t="s">
        <v>43</v>
      </c>
      <c r="E152" s="7" t="s">
        <v>406</v>
      </c>
      <c r="F152" s="7" t="s">
        <v>406</v>
      </c>
      <c r="G152" s="7" t="s">
        <v>79</v>
      </c>
      <c r="H152" s="7" t="s">
        <v>407</v>
      </c>
      <c r="I152" s="7" t="s">
        <v>47</v>
      </c>
      <c r="J152" s="7"/>
      <c r="K152" s="7" t="s">
        <v>407</v>
      </c>
      <c r="L152" s="7" t="s">
        <v>394</v>
      </c>
      <c r="M152" s="8">
        <v>6001.02</v>
      </c>
      <c r="N152" s="7" t="s">
        <v>395</v>
      </c>
      <c r="O152" s="10">
        <v>296.8</v>
      </c>
      <c r="P152" s="10">
        <v>0</v>
      </c>
      <c r="Q152" s="10">
        <v>296.8</v>
      </c>
    </row>
    <row r="153" spans="1:17">
      <c r="A153" s="6">
        <v>45869</v>
      </c>
      <c r="B153" s="7" t="s">
        <v>23</v>
      </c>
      <c r="C153" s="8" t="s">
        <v>23</v>
      </c>
      <c r="D153" s="7" t="s">
        <v>41</v>
      </c>
      <c r="E153" s="7" t="s">
        <v>406</v>
      </c>
      <c r="F153" s="7" t="s">
        <v>406</v>
      </c>
      <c r="G153" s="7" t="s">
        <v>216</v>
      </c>
      <c r="H153" s="7" t="s">
        <v>407</v>
      </c>
      <c r="I153" s="7" t="s">
        <v>47</v>
      </c>
      <c r="J153" s="7"/>
      <c r="K153" s="7" t="s">
        <v>407</v>
      </c>
      <c r="L153" s="7" t="s">
        <v>394</v>
      </c>
      <c r="M153" s="8">
        <v>6001.02</v>
      </c>
      <c r="N153" s="7" t="s">
        <v>395</v>
      </c>
      <c r="O153" s="10">
        <v>3.15</v>
      </c>
      <c r="P153" s="10">
        <v>0</v>
      </c>
      <c r="Q153" s="10">
        <v>3.15</v>
      </c>
    </row>
    <row r="154" spans="1:17">
      <c r="A154" s="6">
        <v>45869</v>
      </c>
      <c r="B154" s="7" t="s">
        <v>23</v>
      </c>
      <c r="C154" s="8" t="s">
        <v>23</v>
      </c>
      <c r="D154" s="7" t="s">
        <v>41</v>
      </c>
      <c r="E154" s="7" t="s">
        <v>406</v>
      </c>
      <c r="F154" s="7" t="s">
        <v>406</v>
      </c>
      <c r="G154" s="7" t="s">
        <v>216</v>
      </c>
      <c r="H154" s="7" t="s">
        <v>407</v>
      </c>
      <c r="I154" s="7" t="s">
        <v>47</v>
      </c>
      <c r="J154" s="7"/>
      <c r="K154" s="7" t="s">
        <v>407</v>
      </c>
      <c r="L154" s="7" t="s">
        <v>394</v>
      </c>
      <c r="M154" s="8">
        <v>6001.02</v>
      </c>
      <c r="N154" s="7" t="s">
        <v>395</v>
      </c>
      <c r="O154" s="10">
        <v>7.35</v>
      </c>
      <c r="P154" s="10">
        <v>0</v>
      </c>
      <c r="Q154" s="10">
        <v>7.35</v>
      </c>
    </row>
    <row r="155" spans="1:17">
      <c r="A155" s="6">
        <v>45869</v>
      </c>
      <c r="B155" s="7" t="s">
        <v>23</v>
      </c>
      <c r="C155" s="8" t="s">
        <v>23</v>
      </c>
      <c r="D155" s="7" t="s">
        <v>49</v>
      </c>
      <c r="E155" s="7" t="s">
        <v>406</v>
      </c>
      <c r="F155" s="7" t="s">
        <v>406</v>
      </c>
      <c r="G155" s="7" t="s">
        <v>43</v>
      </c>
      <c r="H155" s="7" t="s">
        <v>407</v>
      </c>
      <c r="I155" s="7" t="s">
        <v>47</v>
      </c>
      <c r="J155" s="7"/>
      <c r="K155" s="7" t="s">
        <v>407</v>
      </c>
      <c r="L155" s="7" t="s">
        <v>394</v>
      </c>
      <c r="M155" s="8">
        <v>6001.02</v>
      </c>
      <c r="N155" s="7" t="s">
        <v>395</v>
      </c>
      <c r="O155" s="10">
        <v>-0.01</v>
      </c>
      <c r="P155" s="10">
        <v>0</v>
      </c>
      <c r="Q155" s="10">
        <v>-0.01</v>
      </c>
    </row>
    <row r="156" spans="1:17">
      <c r="A156" s="6">
        <v>45869</v>
      </c>
      <c r="B156" s="7" t="s">
        <v>23</v>
      </c>
      <c r="C156" s="8" t="s">
        <v>23</v>
      </c>
      <c r="D156" s="7" t="s">
        <v>50</v>
      </c>
      <c r="E156" s="7" t="s">
        <v>406</v>
      </c>
      <c r="F156" s="7" t="s">
        <v>406</v>
      </c>
      <c r="G156" s="7" t="s">
        <v>53</v>
      </c>
      <c r="H156" s="7" t="s">
        <v>407</v>
      </c>
      <c r="I156" s="7" t="s">
        <v>47</v>
      </c>
      <c r="J156" s="7"/>
      <c r="K156" s="7" t="s">
        <v>407</v>
      </c>
      <c r="L156" s="7" t="s">
        <v>394</v>
      </c>
      <c r="M156" s="8">
        <v>6001.02</v>
      </c>
      <c r="N156" s="7" t="s">
        <v>395</v>
      </c>
      <c r="O156" s="10">
        <v>-0.01</v>
      </c>
      <c r="P156" s="10">
        <v>0</v>
      </c>
      <c r="Q156" s="10">
        <v>-0.01</v>
      </c>
    </row>
    <row r="157" spans="1:17">
      <c r="A157" s="6">
        <v>45869</v>
      </c>
      <c r="B157" s="7" t="s">
        <v>23</v>
      </c>
      <c r="C157" s="8" t="s">
        <v>23</v>
      </c>
      <c r="D157" s="7" t="s">
        <v>50</v>
      </c>
      <c r="E157" s="7" t="s">
        <v>406</v>
      </c>
      <c r="F157" s="7" t="s">
        <v>406</v>
      </c>
      <c r="G157" s="7" t="s">
        <v>53</v>
      </c>
      <c r="H157" s="7" t="s">
        <v>407</v>
      </c>
      <c r="I157" s="7" t="s">
        <v>47</v>
      </c>
      <c r="J157" s="7"/>
      <c r="K157" s="7" t="s">
        <v>407</v>
      </c>
      <c r="L157" s="7" t="s">
        <v>394</v>
      </c>
      <c r="M157" s="8">
        <v>6001.02</v>
      </c>
      <c r="N157" s="7" t="s">
        <v>395</v>
      </c>
      <c r="O157" s="10">
        <v>-0.01</v>
      </c>
      <c r="P157" s="10">
        <v>0</v>
      </c>
      <c r="Q157" s="10">
        <v>-0.01</v>
      </c>
    </row>
    <row r="158" spans="1:17">
      <c r="A158" s="6">
        <v>45869</v>
      </c>
      <c r="B158" s="7" t="s">
        <v>23</v>
      </c>
      <c r="C158" s="8" t="s">
        <v>23</v>
      </c>
      <c r="D158" s="7" t="s">
        <v>43</v>
      </c>
      <c r="E158" s="7" t="s">
        <v>406</v>
      </c>
      <c r="F158" s="7" t="s">
        <v>406</v>
      </c>
      <c r="G158" s="7" t="s">
        <v>77</v>
      </c>
      <c r="H158" s="7" t="s">
        <v>407</v>
      </c>
      <c r="I158" s="7" t="s">
        <v>47</v>
      </c>
      <c r="J158" s="7"/>
      <c r="K158" s="7" t="s">
        <v>407</v>
      </c>
      <c r="L158" s="7" t="s">
        <v>394</v>
      </c>
      <c r="M158" s="8">
        <v>6001.02</v>
      </c>
      <c r="N158" s="7" t="s">
        <v>395</v>
      </c>
      <c r="O158" s="10">
        <v>0.01</v>
      </c>
      <c r="P158" s="10">
        <v>0</v>
      </c>
      <c r="Q158" s="10">
        <v>0.01</v>
      </c>
    </row>
    <row r="159" spans="1:17">
      <c r="A159" s="6">
        <v>45869</v>
      </c>
      <c r="B159" s="7" t="s">
        <v>23</v>
      </c>
      <c r="C159" s="8" t="s">
        <v>23</v>
      </c>
      <c r="D159" s="7" t="s">
        <v>77</v>
      </c>
      <c r="E159" s="7" t="s">
        <v>406</v>
      </c>
      <c r="F159" s="7" t="s">
        <v>406</v>
      </c>
      <c r="G159" s="7" t="s">
        <v>43</v>
      </c>
      <c r="H159" s="7" t="s">
        <v>407</v>
      </c>
      <c r="I159" s="7" t="s">
        <v>47</v>
      </c>
      <c r="J159" s="7"/>
      <c r="K159" s="7" t="s">
        <v>407</v>
      </c>
      <c r="L159" s="7" t="s">
        <v>394</v>
      </c>
      <c r="M159" s="8">
        <v>6001.02</v>
      </c>
      <c r="N159" s="7" t="s">
        <v>395</v>
      </c>
      <c r="O159" s="10">
        <v>-0.01</v>
      </c>
      <c r="P159" s="10">
        <v>0</v>
      </c>
      <c r="Q159" s="10">
        <v>-0.01</v>
      </c>
    </row>
    <row r="160" spans="1:17">
      <c r="A160" s="6">
        <v>45869</v>
      </c>
      <c r="B160" s="7" t="s">
        <v>23</v>
      </c>
      <c r="C160" s="8" t="s">
        <v>23</v>
      </c>
      <c r="D160" s="7" t="s">
        <v>77</v>
      </c>
      <c r="E160" s="7" t="s">
        <v>406</v>
      </c>
      <c r="F160" s="7" t="s">
        <v>406</v>
      </c>
      <c r="G160" s="7" t="s">
        <v>43</v>
      </c>
      <c r="H160" s="7" t="s">
        <v>407</v>
      </c>
      <c r="I160" s="7" t="s">
        <v>47</v>
      </c>
      <c r="J160" s="7"/>
      <c r="K160" s="7" t="s">
        <v>407</v>
      </c>
      <c r="L160" s="7" t="s">
        <v>394</v>
      </c>
      <c r="M160" s="8">
        <v>6001.02</v>
      </c>
      <c r="N160" s="7" t="s">
        <v>395</v>
      </c>
      <c r="O160" s="10">
        <v>-605.28</v>
      </c>
      <c r="P160" s="10">
        <v>0</v>
      </c>
      <c r="Q160" s="10">
        <v>-605.28</v>
      </c>
    </row>
    <row r="161" spans="1:17">
      <c r="A161" s="6">
        <v>45869</v>
      </c>
      <c r="B161" s="7" t="s">
        <v>23</v>
      </c>
      <c r="C161" s="8" t="s">
        <v>23</v>
      </c>
      <c r="D161" s="7" t="s">
        <v>43</v>
      </c>
      <c r="E161" s="7" t="s">
        <v>406</v>
      </c>
      <c r="F161" s="7" t="s">
        <v>406</v>
      </c>
      <c r="G161" s="7" t="s">
        <v>77</v>
      </c>
      <c r="H161" s="7" t="s">
        <v>407</v>
      </c>
      <c r="I161" s="7" t="s">
        <v>47</v>
      </c>
      <c r="J161" s="7"/>
      <c r="K161" s="7" t="s">
        <v>407</v>
      </c>
      <c r="L161" s="7" t="s">
        <v>394</v>
      </c>
      <c r="M161" s="8">
        <v>6001.02</v>
      </c>
      <c r="N161" s="7" t="s">
        <v>395</v>
      </c>
      <c r="O161" s="10">
        <v>0.01</v>
      </c>
      <c r="P161" s="10">
        <v>0</v>
      </c>
      <c r="Q161" s="10">
        <v>0.01</v>
      </c>
    </row>
    <row r="162" spans="1:17">
      <c r="A162" s="6">
        <v>45869</v>
      </c>
      <c r="B162" s="7" t="s">
        <v>23</v>
      </c>
      <c r="C162" s="8" t="s">
        <v>23</v>
      </c>
      <c r="D162" s="7" t="s">
        <v>43</v>
      </c>
      <c r="E162" s="7" t="s">
        <v>406</v>
      </c>
      <c r="F162" s="7" t="s">
        <v>406</v>
      </c>
      <c r="G162" s="7" t="s">
        <v>77</v>
      </c>
      <c r="H162" s="7" t="s">
        <v>407</v>
      </c>
      <c r="I162" s="7" t="s">
        <v>47</v>
      </c>
      <c r="J162" s="7"/>
      <c r="K162" s="7" t="s">
        <v>407</v>
      </c>
      <c r="L162" s="7" t="s">
        <v>394</v>
      </c>
      <c r="M162" s="8">
        <v>6001.02</v>
      </c>
      <c r="N162" s="7" t="s">
        <v>395</v>
      </c>
      <c r="O162" s="10">
        <v>0.01</v>
      </c>
      <c r="P162" s="10">
        <v>0</v>
      </c>
      <c r="Q162" s="10">
        <v>0.01</v>
      </c>
    </row>
    <row r="163" spans="1:17">
      <c r="A163" s="6">
        <v>45869</v>
      </c>
      <c r="B163" s="7" t="s">
        <v>23</v>
      </c>
      <c r="C163" s="8" t="s">
        <v>23</v>
      </c>
      <c r="D163" s="7" t="s">
        <v>55</v>
      </c>
      <c r="E163" s="7" t="s">
        <v>406</v>
      </c>
      <c r="F163" s="7" t="s">
        <v>406</v>
      </c>
      <c r="G163" s="7" t="s">
        <v>41</v>
      </c>
      <c r="H163" s="7" t="s">
        <v>407</v>
      </c>
      <c r="I163" s="7" t="s">
        <v>47</v>
      </c>
      <c r="J163" s="7"/>
      <c r="K163" s="7" t="s">
        <v>407</v>
      </c>
      <c r="L163" s="7" t="s">
        <v>394</v>
      </c>
      <c r="M163" s="8">
        <v>6001.02</v>
      </c>
      <c r="N163" s="7" t="s">
        <v>395</v>
      </c>
      <c r="O163" s="10">
        <v>2</v>
      </c>
      <c r="P163" s="10">
        <v>0</v>
      </c>
      <c r="Q163" s="10">
        <v>2</v>
      </c>
    </row>
    <row r="164" spans="1:17">
      <c r="A164" s="6">
        <v>45869</v>
      </c>
      <c r="B164" s="7" t="s">
        <v>23</v>
      </c>
      <c r="C164" s="8" t="s">
        <v>23</v>
      </c>
      <c r="D164" s="7" t="s">
        <v>41</v>
      </c>
      <c r="E164" s="7" t="s">
        <v>406</v>
      </c>
      <c r="F164" s="7" t="s">
        <v>406</v>
      </c>
      <c r="G164" s="7" t="s">
        <v>71</v>
      </c>
      <c r="H164" s="7" t="s">
        <v>407</v>
      </c>
      <c r="I164" s="7" t="s">
        <v>47</v>
      </c>
      <c r="J164" s="7"/>
      <c r="K164" s="7" t="s">
        <v>407</v>
      </c>
      <c r="L164" s="7" t="s">
        <v>394</v>
      </c>
      <c r="M164" s="8">
        <v>6001.02</v>
      </c>
      <c r="N164" s="7" t="s">
        <v>395</v>
      </c>
      <c r="O164" s="10">
        <v>-332476</v>
      </c>
      <c r="P164" s="10">
        <v>0</v>
      </c>
      <c r="Q164" s="10">
        <v>-332476</v>
      </c>
    </row>
    <row r="165" spans="1:17">
      <c r="A165" s="6">
        <v>45869</v>
      </c>
      <c r="B165" s="7" t="s">
        <v>23</v>
      </c>
      <c r="C165" s="8" t="s">
        <v>23</v>
      </c>
      <c r="D165" s="7" t="s">
        <v>41</v>
      </c>
      <c r="E165" s="7" t="s">
        <v>406</v>
      </c>
      <c r="F165" s="7" t="s">
        <v>406</v>
      </c>
      <c r="G165" s="7" t="s">
        <v>71</v>
      </c>
      <c r="H165" s="7" t="s">
        <v>407</v>
      </c>
      <c r="I165" s="7" t="s">
        <v>47</v>
      </c>
      <c r="J165" s="7"/>
      <c r="K165" s="7" t="s">
        <v>407</v>
      </c>
      <c r="L165" s="7" t="s">
        <v>394</v>
      </c>
      <c r="M165" s="8">
        <v>6001.02</v>
      </c>
      <c r="N165" s="7" t="s">
        <v>395</v>
      </c>
      <c r="O165" s="10">
        <v>-343204</v>
      </c>
      <c r="P165" s="10">
        <v>0</v>
      </c>
      <c r="Q165" s="10">
        <v>-343204</v>
      </c>
    </row>
    <row r="166" spans="1:17">
      <c r="A166" s="6">
        <v>45869</v>
      </c>
      <c r="B166" s="7" t="s">
        <v>23</v>
      </c>
      <c r="C166" s="8" t="s">
        <v>23</v>
      </c>
      <c r="D166" s="7" t="s">
        <v>55</v>
      </c>
      <c r="E166" s="7" t="s">
        <v>406</v>
      </c>
      <c r="F166" s="7" t="s">
        <v>406</v>
      </c>
      <c r="G166" s="7" t="s">
        <v>41</v>
      </c>
      <c r="H166" s="7" t="s">
        <v>407</v>
      </c>
      <c r="I166" s="7" t="s">
        <v>47</v>
      </c>
      <c r="J166" s="7"/>
      <c r="K166" s="7" t="s">
        <v>407</v>
      </c>
      <c r="L166" s="7" t="s">
        <v>394</v>
      </c>
      <c r="M166" s="8">
        <v>6001.02</v>
      </c>
      <c r="N166" s="7" t="s">
        <v>395</v>
      </c>
      <c r="O166" s="10">
        <v>1</v>
      </c>
      <c r="P166" s="10">
        <v>0</v>
      </c>
      <c r="Q166" s="10">
        <v>1</v>
      </c>
    </row>
    <row r="167" spans="1:17">
      <c r="A167" s="6">
        <v>45869</v>
      </c>
      <c r="B167" s="7" t="s">
        <v>23</v>
      </c>
      <c r="C167" s="8" t="s">
        <v>23</v>
      </c>
      <c r="D167" s="7" t="s">
        <v>41</v>
      </c>
      <c r="E167" s="7" t="s">
        <v>406</v>
      </c>
      <c r="F167" s="7" t="s">
        <v>406</v>
      </c>
      <c r="G167" s="7" t="s">
        <v>71</v>
      </c>
      <c r="H167" s="7" t="s">
        <v>407</v>
      </c>
      <c r="I167" s="7" t="s">
        <v>47</v>
      </c>
      <c r="J167" s="7"/>
      <c r="K167" s="7" t="s">
        <v>407</v>
      </c>
      <c r="L167" s="7" t="s">
        <v>394</v>
      </c>
      <c r="M167" s="8">
        <v>6001.02</v>
      </c>
      <c r="N167" s="7" t="s">
        <v>395</v>
      </c>
      <c r="O167" s="10">
        <v>-328962</v>
      </c>
      <c r="P167" s="10">
        <v>0</v>
      </c>
      <c r="Q167" s="10">
        <v>-328962</v>
      </c>
    </row>
    <row r="168" spans="1:17">
      <c r="A168" s="6">
        <v>45869</v>
      </c>
      <c r="B168" s="7" t="s">
        <v>23</v>
      </c>
      <c r="C168" s="8" t="s">
        <v>23</v>
      </c>
      <c r="D168" s="7" t="s">
        <v>55</v>
      </c>
      <c r="E168" s="7" t="s">
        <v>406</v>
      </c>
      <c r="F168" s="7" t="s">
        <v>406</v>
      </c>
      <c r="G168" s="7" t="s">
        <v>41</v>
      </c>
      <c r="H168" s="7" t="s">
        <v>407</v>
      </c>
      <c r="I168" s="7" t="s">
        <v>47</v>
      </c>
      <c r="J168" s="7"/>
      <c r="K168" s="7" t="s">
        <v>407</v>
      </c>
      <c r="L168" s="7" t="s">
        <v>394</v>
      </c>
      <c r="M168" s="8">
        <v>6001.02</v>
      </c>
      <c r="N168" s="7" t="s">
        <v>395</v>
      </c>
      <c r="O168" s="10">
        <v>2</v>
      </c>
      <c r="P168" s="10">
        <v>0</v>
      </c>
      <c r="Q168" s="10">
        <v>2</v>
      </c>
    </row>
    <row r="169" spans="1:17">
      <c r="A169" s="6">
        <v>45869</v>
      </c>
      <c r="B169" s="7" t="s">
        <v>23</v>
      </c>
      <c r="C169" s="8" t="s">
        <v>23</v>
      </c>
      <c r="D169" s="7" t="s">
        <v>41</v>
      </c>
      <c r="E169" s="7" t="s">
        <v>406</v>
      </c>
      <c r="F169" s="7" t="s">
        <v>406</v>
      </c>
      <c r="G169" s="7" t="s">
        <v>71</v>
      </c>
      <c r="H169" s="7" t="s">
        <v>407</v>
      </c>
      <c r="I169" s="7" t="s">
        <v>47</v>
      </c>
      <c r="J169" s="7"/>
      <c r="K169" s="7" t="s">
        <v>407</v>
      </c>
      <c r="L169" s="7" t="s">
        <v>394</v>
      </c>
      <c r="M169" s="8">
        <v>6001.02</v>
      </c>
      <c r="N169" s="7" t="s">
        <v>395</v>
      </c>
      <c r="O169" s="10">
        <v>-397366</v>
      </c>
      <c r="P169" s="10">
        <v>0</v>
      </c>
      <c r="Q169" s="10">
        <v>-397366</v>
      </c>
    </row>
    <row r="170" spans="1:17">
      <c r="A170" s="6">
        <v>45869</v>
      </c>
      <c r="B170" s="7" t="s">
        <v>23</v>
      </c>
      <c r="C170" s="8" t="s">
        <v>23</v>
      </c>
      <c r="D170" s="7" t="s">
        <v>41</v>
      </c>
      <c r="E170" s="7" t="s">
        <v>406</v>
      </c>
      <c r="F170" s="7" t="s">
        <v>406</v>
      </c>
      <c r="G170" s="7" t="s">
        <v>71</v>
      </c>
      <c r="H170" s="7" t="s">
        <v>407</v>
      </c>
      <c r="I170" s="7" t="s">
        <v>47</v>
      </c>
      <c r="J170" s="7"/>
      <c r="K170" s="7" t="s">
        <v>407</v>
      </c>
      <c r="L170" s="7" t="s">
        <v>394</v>
      </c>
      <c r="M170" s="8">
        <v>6001.02</v>
      </c>
      <c r="N170" s="7" t="s">
        <v>395</v>
      </c>
      <c r="O170" s="10">
        <v>-1431322</v>
      </c>
      <c r="P170" s="10">
        <v>0</v>
      </c>
      <c r="Q170" s="10">
        <v>-1431322</v>
      </c>
    </row>
    <row r="171" spans="1:17">
      <c r="A171" s="6">
        <v>45869</v>
      </c>
      <c r="B171" s="7" t="s">
        <v>23</v>
      </c>
      <c r="C171" s="8" t="s">
        <v>23</v>
      </c>
      <c r="D171" s="7" t="s">
        <v>43</v>
      </c>
      <c r="E171" s="7" t="s">
        <v>406</v>
      </c>
      <c r="F171" s="7" t="s">
        <v>406</v>
      </c>
      <c r="G171" s="7" t="s">
        <v>41</v>
      </c>
      <c r="H171" s="7" t="s">
        <v>407</v>
      </c>
      <c r="I171" s="7" t="s">
        <v>47</v>
      </c>
      <c r="J171" s="7"/>
      <c r="K171" s="7" t="s">
        <v>407</v>
      </c>
      <c r="L171" s="7" t="s">
        <v>394</v>
      </c>
      <c r="M171" s="8">
        <v>6001.02</v>
      </c>
      <c r="N171" s="7" t="s">
        <v>395</v>
      </c>
      <c r="O171" s="10">
        <v>0.1</v>
      </c>
      <c r="P171" s="10">
        <v>0</v>
      </c>
      <c r="Q171" s="10">
        <v>0.1</v>
      </c>
    </row>
    <row r="172" spans="1:17">
      <c r="A172" s="6">
        <v>45869</v>
      </c>
      <c r="B172" s="7" t="s">
        <v>23</v>
      </c>
      <c r="C172" s="8" t="s">
        <v>23</v>
      </c>
      <c r="D172" s="7" t="s">
        <v>55</v>
      </c>
      <c r="E172" s="7" t="s">
        <v>406</v>
      </c>
      <c r="F172" s="7" t="s">
        <v>406</v>
      </c>
      <c r="G172" s="7" t="s">
        <v>41</v>
      </c>
      <c r="H172" s="7" t="s">
        <v>407</v>
      </c>
      <c r="I172" s="7" t="s">
        <v>47</v>
      </c>
      <c r="J172" s="7"/>
      <c r="K172" s="7" t="s">
        <v>407</v>
      </c>
      <c r="L172" s="7" t="s">
        <v>394</v>
      </c>
      <c r="M172" s="8">
        <v>6001.02</v>
      </c>
      <c r="N172" s="7" t="s">
        <v>395</v>
      </c>
      <c r="O172" s="10">
        <v>2</v>
      </c>
      <c r="P172" s="10">
        <v>0</v>
      </c>
      <c r="Q172" s="10">
        <v>2</v>
      </c>
    </row>
    <row r="173" spans="1:17">
      <c r="A173" s="6">
        <v>45869</v>
      </c>
      <c r="B173" s="7" t="s">
        <v>23</v>
      </c>
      <c r="C173" s="8" t="s">
        <v>23</v>
      </c>
      <c r="D173" s="7" t="s">
        <v>41</v>
      </c>
      <c r="E173" s="7" t="s">
        <v>406</v>
      </c>
      <c r="F173" s="7" t="s">
        <v>406</v>
      </c>
      <c r="G173" s="7" t="s">
        <v>71</v>
      </c>
      <c r="H173" s="7" t="s">
        <v>407</v>
      </c>
      <c r="I173" s="7" t="s">
        <v>47</v>
      </c>
      <c r="J173" s="7"/>
      <c r="K173" s="7" t="s">
        <v>407</v>
      </c>
      <c r="L173" s="7" t="s">
        <v>394</v>
      </c>
      <c r="M173" s="8">
        <v>6001.02</v>
      </c>
      <c r="N173" s="7" t="s">
        <v>395</v>
      </c>
      <c r="O173" s="10">
        <v>-379924</v>
      </c>
      <c r="P173" s="10">
        <v>0</v>
      </c>
      <c r="Q173" s="10">
        <v>-379924</v>
      </c>
    </row>
    <row r="174" spans="1:17">
      <c r="A174" s="6">
        <v>45869</v>
      </c>
      <c r="B174" s="7" t="s">
        <v>23</v>
      </c>
      <c r="C174" s="8" t="s">
        <v>23</v>
      </c>
      <c r="D174" s="7" t="s">
        <v>55</v>
      </c>
      <c r="E174" s="7" t="s">
        <v>406</v>
      </c>
      <c r="F174" s="7" t="s">
        <v>406</v>
      </c>
      <c r="G174" s="7" t="s">
        <v>41</v>
      </c>
      <c r="H174" s="7" t="s">
        <v>407</v>
      </c>
      <c r="I174" s="7" t="s">
        <v>47</v>
      </c>
      <c r="J174" s="7"/>
      <c r="K174" s="7" t="s">
        <v>407</v>
      </c>
      <c r="L174" s="7" t="s">
        <v>394</v>
      </c>
      <c r="M174" s="8">
        <v>6001.02</v>
      </c>
      <c r="N174" s="7" t="s">
        <v>395</v>
      </c>
      <c r="O174" s="10">
        <v>4.5</v>
      </c>
      <c r="P174" s="10">
        <v>0</v>
      </c>
      <c r="Q174" s="10">
        <v>4.5</v>
      </c>
    </row>
    <row r="175" spans="1:17">
      <c r="A175" s="6">
        <v>45869</v>
      </c>
      <c r="B175" s="7" t="s">
        <v>23</v>
      </c>
      <c r="C175" s="8" t="s">
        <v>23</v>
      </c>
      <c r="D175" s="7" t="s">
        <v>41</v>
      </c>
      <c r="E175" s="7" t="s">
        <v>406</v>
      </c>
      <c r="F175" s="7" t="s">
        <v>406</v>
      </c>
      <c r="G175" s="7" t="s">
        <v>71</v>
      </c>
      <c r="H175" s="7" t="s">
        <v>407</v>
      </c>
      <c r="I175" s="7" t="s">
        <v>47</v>
      </c>
      <c r="J175" s="7"/>
      <c r="K175" s="7" t="s">
        <v>407</v>
      </c>
      <c r="L175" s="7" t="s">
        <v>394</v>
      </c>
      <c r="M175" s="8">
        <v>6001.02</v>
      </c>
      <c r="N175" s="7" t="s">
        <v>395</v>
      </c>
      <c r="O175" s="10">
        <v>-354558</v>
      </c>
      <c r="P175" s="10">
        <v>0</v>
      </c>
      <c r="Q175" s="10">
        <v>-354558</v>
      </c>
    </row>
    <row r="176" spans="1:17">
      <c r="A176" s="6">
        <v>45869</v>
      </c>
      <c r="B176" s="7" t="s">
        <v>23</v>
      </c>
      <c r="C176" s="8" t="s">
        <v>23</v>
      </c>
      <c r="D176" s="7" t="s">
        <v>55</v>
      </c>
      <c r="E176" s="7" t="s">
        <v>406</v>
      </c>
      <c r="F176" s="7" t="s">
        <v>406</v>
      </c>
      <c r="G176" s="7" t="s">
        <v>41</v>
      </c>
      <c r="H176" s="7" t="s">
        <v>407</v>
      </c>
      <c r="I176" s="7" t="s">
        <v>47</v>
      </c>
      <c r="J176" s="7"/>
      <c r="K176" s="7" t="s">
        <v>407</v>
      </c>
      <c r="L176" s="7" t="s">
        <v>394</v>
      </c>
      <c r="M176" s="8">
        <v>6001.02</v>
      </c>
      <c r="N176" s="7" t="s">
        <v>395</v>
      </c>
      <c r="O176" s="10">
        <v>2</v>
      </c>
      <c r="P176" s="10">
        <v>0</v>
      </c>
      <c r="Q176" s="10">
        <v>2</v>
      </c>
    </row>
    <row r="177" spans="1:17">
      <c r="A177" s="6">
        <v>45869</v>
      </c>
      <c r="B177" s="7" t="s">
        <v>23</v>
      </c>
      <c r="C177" s="8" t="s">
        <v>23</v>
      </c>
      <c r="D177" s="7" t="s">
        <v>41</v>
      </c>
      <c r="E177" s="7" t="s">
        <v>406</v>
      </c>
      <c r="F177" s="7" t="s">
        <v>406</v>
      </c>
      <c r="G177" s="7" t="s">
        <v>71</v>
      </c>
      <c r="H177" s="7" t="s">
        <v>407</v>
      </c>
      <c r="I177" s="7" t="s">
        <v>47</v>
      </c>
      <c r="J177" s="7"/>
      <c r="K177" s="7" t="s">
        <v>407</v>
      </c>
      <c r="L177" s="7" t="s">
        <v>394</v>
      </c>
      <c r="M177" s="8">
        <v>6001.02</v>
      </c>
      <c r="N177" s="7" t="s">
        <v>395</v>
      </c>
      <c r="O177" s="10">
        <v>-404380</v>
      </c>
      <c r="P177" s="10">
        <v>0</v>
      </c>
      <c r="Q177" s="10">
        <v>-404380</v>
      </c>
    </row>
    <row r="178" spans="1:17">
      <c r="A178" s="6">
        <v>45869</v>
      </c>
      <c r="B178" s="7" t="s">
        <v>23</v>
      </c>
      <c r="C178" s="8" t="s">
        <v>23</v>
      </c>
      <c r="D178" s="7" t="s">
        <v>55</v>
      </c>
      <c r="E178" s="7" t="s">
        <v>406</v>
      </c>
      <c r="F178" s="7" t="s">
        <v>406</v>
      </c>
      <c r="G178" s="7" t="s">
        <v>41</v>
      </c>
      <c r="H178" s="7" t="s">
        <v>407</v>
      </c>
      <c r="I178" s="7" t="s">
        <v>47</v>
      </c>
      <c r="J178" s="7"/>
      <c r="K178" s="7" t="s">
        <v>407</v>
      </c>
      <c r="L178" s="7" t="s">
        <v>394</v>
      </c>
      <c r="M178" s="8">
        <v>6001.02</v>
      </c>
      <c r="N178" s="7" t="s">
        <v>395</v>
      </c>
      <c r="O178" s="10">
        <v>3</v>
      </c>
      <c r="P178" s="10">
        <v>0</v>
      </c>
      <c r="Q178" s="10">
        <v>3</v>
      </c>
    </row>
    <row r="179" spans="1:17">
      <c r="A179" s="6">
        <v>45869</v>
      </c>
      <c r="B179" s="7" t="s">
        <v>23</v>
      </c>
      <c r="C179" s="8" t="s">
        <v>23</v>
      </c>
      <c r="D179" s="7" t="s">
        <v>41</v>
      </c>
      <c r="E179" s="7" t="s">
        <v>406</v>
      </c>
      <c r="F179" s="7" t="s">
        <v>406</v>
      </c>
      <c r="G179" s="7" t="s">
        <v>71</v>
      </c>
      <c r="H179" s="7" t="s">
        <v>407</v>
      </c>
      <c r="I179" s="7" t="s">
        <v>47</v>
      </c>
      <c r="J179" s="7"/>
      <c r="K179" s="7" t="s">
        <v>407</v>
      </c>
      <c r="L179" s="7" t="s">
        <v>394</v>
      </c>
      <c r="M179" s="8">
        <v>6001.02</v>
      </c>
      <c r="N179" s="7" t="s">
        <v>395</v>
      </c>
      <c r="O179" s="10">
        <v>-1504524</v>
      </c>
      <c r="P179" s="10">
        <v>0</v>
      </c>
      <c r="Q179" s="10">
        <v>-1504524</v>
      </c>
    </row>
    <row r="180" spans="1:17">
      <c r="A180" s="6">
        <v>45869</v>
      </c>
      <c r="B180" s="7" t="s">
        <v>23</v>
      </c>
      <c r="C180" s="8" t="s">
        <v>23</v>
      </c>
      <c r="D180" s="7" t="s">
        <v>55</v>
      </c>
      <c r="E180" s="7" t="s">
        <v>406</v>
      </c>
      <c r="F180" s="7" t="s">
        <v>406</v>
      </c>
      <c r="G180" s="7" t="s">
        <v>41</v>
      </c>
      <c r="H180" s="7" t="s">
        <v>407</v>
      </c>
      <c r="I180" s="7" t="s">
        <v>47</v>
      </c>
      <c r="J180" s="7"/>
      <c r="K180" s="7" t="s">
        <v>407</v>
      </c>
      <c r="L180" s="7" t="s">
        <v>394</v>
      </c>
      <c r="M180" s="8">
        <v>6001.02</v>
      </c>
      <c r="N180" s="7" t="s">
        <v>395</v>
      </c>
      <c r="O180" s="10">
        <v>2</v>
      </c>
      <c r="P180" s="10">
        <v>0</v>
      </c>
      <c r="Q180" s="10">
        <v>2</v>
      </c>
    </row>
    <row r="181" spans="1:17">
      <c r="A181" s="6">
        <v>45869</v>
      </c>
      <c r="B181" s="7" t="s">
        <v>23</v>
      </c>
      <c r="C181" s="8" t="s">
        <v>23</v>
      </c>
      <c r="D181" s="7" t="s">
        <v>41</v>
      </c>
      <c r="E181" s="7" t="s">
        <v>406</v>
      </c>
      <c r="F181" s="7" t="s">
        <v>406</v>
      </c>
      <c r="G181" s="7" t="s">
        <v>71</v>
      </c>
      <c r="H181" s="7" t="s">
        <v>407</v>
      </c>
      <c r="I181" s="7" t="s">
        <v>47</v>
      </c>
      <c r="J181" s="7"/>
      <c r="K181" s="7" t="s">
        <v>407</v>
      </c>
      <c r="L181" s="7" t="s">
        <v>394</v>
      </c>
      <c r="M181" s="8">
        <v>6001.02</v>
      </c>
      <c r="N181" s="7" t="s">
        <v>395</v>
      </c>
      <c r="O181" s="10">
        <v>-1772786</v>
      </c>
      <c r="P181" s="10">
        <v>0</v>
      </c>
      <c r="Q181" s="10">
        <v>-1772786</v>
      </c>
    </row>
    <row r="182" spans="1:17">
      <c r="A182" s="6">
        <v>45869</v>
      </c>
      <c r="B182" s="7" t="s">
        <v>23</v>
      </c>
      <c r="C182" s="8" t="s">
        <v>23</v>
      </c>
      <c r="D182" s="7" t="s">
        <v>55</v>
      </c>
      <c r="E182" s="7" t="s">
        <v>406</v>
      </c>
      <c r="F182" s="7" t="s">
        <v>406</v>
      </c>
      <c r="G182" s="7" t="s">
        <v>41</v>
      </c>
      <c r="H182" s="7" t="s">
        <v>407</v>
      </c>
      <c r="I182" s="7" t="s">
        <v>47</v>
      </c>
      <c r="J182" s="7"/>
      <c r="K182" s="7" t="s">
        <v>407</v>
      </c>
      <c r="L182" s="7" t="s">
        <v>394</v>
      </c>
      <c r="M182" s="8">
        <v>6001.02</v>
      </c>
      <c r="N182" s="7" t="s">
        <v>395</v>
      </c>
      <c r="O182" s="10">
        <v>3.51</v>
      </c>
      <c r="P182" s="10">
        <v>0</v>
      </c>
      <c r="Q182" s="10">
        <v>3.51</v>
      </c>
    </row>
    <row r="183" spans="1:17">
      <c r="A183" s="6">
        <v>45869</v>
      </c>
      <c r="B183" s="7" t="s">
        <v>23</v>
      </c>
      <c r="C183" s="8" t="s">
        <v>23</v>
      </c>
      <c r="D183" s="7" t="s">
        <v>41</v>
      </c>
      <c r="E183" s="7" t="s">
        <v>406</v>
      </c>
      <c r="F183" s="7" t="s">
        <v>406</v>
      </c>
      <c r="G183" s="7" t="s">
        <v>71</v>
      </c>
      <c r="H183" s="7" t="s">
        <v>407</v>
      </c>
      <c r="I183" s="7" t="s">
        <v>47</v>
      </c>
      <c r="J183" s="7"/>
      <c r="K183" s="7" t="s">
        <v>407</v>
      </c>
      <c r="L183" s="7" t="s">
        <v>394</v>
      </c>
      <c r="M183" s="8">
        <v>6001.02</v>
      </c>
      <c r="N183" s="7" t="s">
        <v>395</v>
      </c>
      <c r="O183" s="10">
        <v>-313828</v>
      </c>
      <c r="P183" s="10">
        <v>0</v>
      </c>
      <c r="Q183" s="10">
        <v>-313828</v>
      </c>
    </row>
    <row r="184" spans="1:17">
      <c r="A184" s="6">
        <v>45869</v>
      </c>
      <c r="B184" s="7" t="s">
        <v>23</v>
      </c>
      <c r="C184" s="8" t="s">
        <v>23</v>
      </c>
      <c r="D184" s="7" t="s">
        <v>41</v>
      </c>
      <c r="E184" s="7" t="s">
        <v>406</v>
      </c>
      <c r="F184" s="7" t="s">
        <v>406</v>
      </c>
      <c r="G184" s="7" t="s">
        <v>71</v>
      </c>
      <c r="H184" s="7" t="s">
        <v>407</v>
      </c>
      <c r="I184" s="7" t="s">
        <v>47</v>
      </c>
      <c r="J184" s="7"/>
      <c r="K184" s="7" t="s">
        <v>407</v>
      </c>
      <c r="L184" s="7" t="s">
        <v>394</v>
      </c>
      <c r="M184" s="8">
        <v>6001.02</v>
      </c>
      <c r="N184" s="7" t="s">
        <v>395</v>
      </c>
      <c r="O184" s="10">
        <v>-404006</v>
      </c>
      <c r="P184" s="10">
        <v>0</v>
      </c>
      <c r="Q184" s="10">
        <v>-404006</v>
      </c>
    </row>
    <row r="185" spans="1:17">
      <c r="A185" s="6">
        <v>45869</v>
      </c>
      <c r="B185" s="7" t="s">
        <v>23</v>
      </c>
      <c r="C185" s="8" t="s">
        <v>23</v>
      </c>
      <c r="D185" s="7" t="s">
        <v>55</v>
      </c>
      <c r="E185" s="7" t="s">
        <v>406</v>
      </c>
      <c r="F185" s="7" t="s">
        <v>406</v>
      </c>
      <c r="G185" s="7" t="s">
        <v>41</v>
      </c>
      <c r="H185" s="7" t="s">
        <v>407</v>
      </c>
      <c r="I185" s="7" t="s">
        <v>47</v>
      </c>
      <c r="J185" s="7"/>
      <c r="K185" s="7" t="s">
        <v>407</v>
      </c>
      <c r="L185" s="7" t="s">
        <v>394</v>
      </c>
      <c r="M185" s="8">
        <v>6001.02</v>
      </c>
      <c r="N185" s="7" t="s">
        <v>395</v>
      </c>
      <c r="O185" s="10">
        <v>1</v>
      </c>
      <c r="P185" s="10">
        <v>0</v>
      </c>
      <c r="Q185" s="10">
        <v>1</v>
      </c>
    </row>
    <row r="186" spans="1:17">
      <c r="A186" s="6">
        <v>45869</v>
      </c>
      <c r="B186" s="7" t="s">
        <v>23</v>
      </c>
      <c r="C186" s="8" t="s">
        <v>23</v>
      </c>
      <c r="D186" s="7" t="s">
        <v>41</v>
      </c>
      <c r="E186" s="7" t="s">
        <v>406</v>
      </c>
      <c r="F186" s="7" t="s">
        <v>406</v>
      </c>
      <c r="G186" s="7" t="s">
        <v>71</v>
      </c>
      <c r="H186" s="7" t="s">
        <v>407</v>
      </c>
      <c r="I186" s="7" t="s">
        <v>47</v>
      </c>
      <c r="J186" s="7"/>
      <c r="K186" s="7" t="s">
        <v>407</v>
      </c>
      <c r="L186" s="7" t="s">
        <v>394</v>
      </c>
      <c r="M186" s="8">
        <v>6001.02</v>
      </c>
      <c r="N186" s="7" t="s">
        <v>395</v>
      </c>
      <c r="O186" s="10">
        <v>-436044</v>
      </c>
      <c r="P186" s="10">
        <v>0</v>
      </c>
      <c r="Q186" s="10">
        <v>-436044</v>
      </c>
    </row>
    <row r="187" spans="1:17">
      <c r="A187" s="6">
        <v>45869</v>
      </c>
      <c r="B187" s="7" t="s">
        <v>23</v>
      </c>
      <c r="C187" s="8" t="s">
        <v>23</v>
      </c>
      <c r="D187" s="7" t="s">
        <v>55</v>
      </c>
      <c r="E187" s="7" t="s">
        <v>406</v>
      </c>
      <c r="F187" s="7" t="s">
        <v>406</v>
      </c>
      <c r="G187" s="7" t="s">
        <v>41</v>
      </c>
      <c r="H187" s="7" t="s">
        <v>407</v>
      </c>
      <c r="I187" s="7" t="s">
        <v>47</v>
      </c>
      <c r="J187" s="7"/>
      <c r="K187" s="7" t="s">
        <v>407</v>
      </c>
      <c r="L187" s="7" t="s">
        <v>394</v>
      </c>
      <c r="M187" s="8">
        <v>6001.02</v>
      </c>
      <c r="N187" s="7" t="s">
        <v>395</v>
      </c>
      <c r="O187" s="10">
        <v>4</v>
      </c>
      <c r="P187" s="10">
        <v>0</v>
      </c>
      <c r="Q187" s="10">
        <v>4</v>
      </c>
    </row>
    <row r="188" spans="1:17">
      <c r="A188" s="6">
        <v>45869</v>
      </c>
      <c r="B188" s="7" t="s">
        <v>23</v>
      </c>
      <c r="C188" s="8" t="s">
        <v>23</v>
      </c>
      <c r="D188" s="7" t="s">
        <v>41</v>
      </c>
      <c r="E188" s="7" t="s">
        <v>406</v>
      </c>
      <c r="F188" s="7" t="s">
        <v>406</v>
      </c>
      <c r="G188" s="7" t="s">
        <v>71</v>
      </c>
      <c r="H188" s="7" t="s">
        <v>407</v>
      </c>
      <c r="I188" s="7" t="s">
        <v>47</v>
      </c>
      <c r="J188" s="7"/>
      <c r="K188" s="7" t="s">
        <v>407</v>
      </c>
      <c r="L188" s="7" t="s">
        <v>394</v>
      </c>
      <c r="M188" s="8">
        <v>6001.02</v>
      </c>
      <c r="N188" s="7" t="s">
        <v>395</v>
      </c>
      <c r="O188" s="10">
        <v>-397066</v>
      </c>
      <c r="P188" s="10">
        <v>0</v>
      </c>
      <c r="Q188" s="10">
        <v>-397066</v>
      </c>
    </row>
    <row r="189" spans="1:17">
      <c r="A189" s="6">
        <v>45869</v>
      </c>
      <c r="B189" s="7" t="s">
        <v>23</v>
      </c>
      <c r="C189" s="8" t="s">
        <v>23</v>
      </c>
      <c r="D189" s="7" t="s">
        <v>55</v>
      </c>
      <c r="E189" s="7" t="s">
        <v>406</v>
      </c>
      <c r="F189" s="7" t="s">
        <v>406</v>
      </c>
      <c r="G189" s="7" t="s">
        <v>41</v>
      </c>
      <c r="H189" s="7" t="s">
        <v>407</v>
      </c>
      <c r="I189" s="7" t="s">
        <v>47</v>
      </c>
      <c r="J189" s="7"/>
      <c r="K189" s="7" t="s">
        <v>407</v>
      </c>
      <c r="L189" s="7" t="s">
        <v>394</v>
      </c>
      <c r="M189" s="8">
        <v>6001.02</v>
      </c>
      <c r="N189" s="7" t="s">
        <v>395</v>
      </c>
      <c r="O189" s="10">
        <v>2</v>
      </c>
      <c r="P189" s="10">
        <v>0</v>
      </c>
      <c r="Q189" s="10">
        <v>2</v>
      </c>
    </row>
    <row r="190" spans="1:17">
      <c r="A190" s="6">
        <v>45869</v>
      </c>
      <c r="B190" s="7" t="s">
        <v>23</v>
      </c>
      <c r="C190" s="8" t="s">
        <v>23</v>
      </c>
      <c r="D190" s="7" t="s">
        <v>41</v>
      </c>
      <c r="E190" s="7" t="s">
        <v>406</v>
      </c>
      <c r="F190" s="7" t="s">
        <v>406</v>
      </c>
      <c r="G190" s="7" t="s">
        <v>71</v>
      </c>
      <c r="H190" s="7" t="s">
        <v>407</v>
      </c>
      <c r="I190" s="7" t="s">
        <v>47</v>
      </c>
      <c r="J190" s="7"/>
      <c r="K190" s="7" t="s">
        <v>407</v>
      </c>
      <c r="L190" s="7" t="s">
        <v>394</v>
      </c>
      <c r="M190" s="8">
        <v>6001.02</v>
      </c>
      <c r="N190" s="7" t="s">
        <v>395</v>
      </c>
      <c r="O190" s="10">
        <v>-331470</v>
      </c>
      <c r="P190" s="10">
        <v>0</v>
      </c>
      <c r="Q190" s="10">
        <v>-331470</v>
      </c>
    </row>
    <row r="191" spans="1:17">
      <c r="A191" s="6">
        <v>45869</v>
      </c>
      <c r="B191" s="7" t="s">
        <v>23</v>
      </c>
      <c r="C191" s="8" t="s">
        <v>23</v>
      </c>
      <c r="D191" s="7" t="s">
        <v>41</v>
      </c>
      <c r="E191" s="7" t="s">
        <v>406</v>
      </c>
      <c r="F191" s="7" t="s">
        <v>406</v>
      </c>
      <c r="G191" s="7" t="s">
        <v>71</v>
      </c>
      <c r="H191" s="7" t="s">
        <v>407</v>
      </c>
      <c r="I191" s="7" t="s">
        <v>47</v>
      </c>
      <c r="J191" s="7"/>
      <c r="K191" s="7" t="s">
        <v>407</v>
      </c>
      <c r="L191" s="7" t="s">
        <v>394</v>
      </c>
      <c r="M191" s="8">
        <v>6001.02</v>
      </c>
      <c r="N191" s="7" t="s">
        <v>395</v>
      </c>
      <c r="O191" s="10">
        <v>-410466</v>
      </c>
      <c r="P191" s="10">
        <v>0</v>
      </c>
      <c r="Q191" s="10">
        <v>-410466</v>
      </c>
    </row>
    <row r="192" spans="1:17">
      <c r="A192" s="6">
        <v>45869</v>
      </c>
      <c r="B192" s="7" t="s">
        <v>23</v>
      </c>
      <c r="C192" s="8" t="s">
        <v>23</v>
      </c>
      <c r="D192" s="7" t="s">
        <v>43</v>
      </c>
      <c r="E192" s="7" t="s">
        <v>406</v>
      </c>
      <c r="F192" s="7" t="s">
        <v>406</v>
      </c>
      <c r="G192" s="7" t="s">
        <v>41</v>
      </c>
      <c r="H192" s="7" t="s">
        <v>407</v>
      </c>
      <c r="I192" s="7" t="s">
        <v>47</v>
      </c>
      <c r="J192" s="7"/>
      <c r="K192" s="7" t="s">
        <v>407</v>
      </c>
      <c r="L192" s="7" t="s">
        <v>394</v>
      </c>
      <c r="M192" s="8">
        <v>6001.02</v>
      </c>
      <c r="N192" s="7" t="s">
        <v>395</v>
      </c>
      <c r="O192" s="10">
        <v>0.1</v>
      </c>
      <c r="P192" s="10">
        <v>0</v>
      </c>
      <c r="Q192" s="10">
        <v>0.1</v>
      </c>
    </row>
    <row r="193" spans="1:17">
      <c r="A193" s="6">
        <v>45869</v>
      </c>
      <c r="B193" s="7" t="s">
        <v>23</v>
      </c>
      <c r="C193" s="8" t="s">
        <v>23</v>
      </c>
      <c r="D193" s="7" t="s">
        <v>55</v>
      </c>
      <c r="E193" s="7" t="s">
        <v>406</v>
      </c>
      <c r="F193" s="7" t="s">
        <v>406</v>
      </c>
      <c r="G193" s="7" t="s">
        <v>41</v>
      </c>
      <c r="H193" s="7" t="s">
        <v>407</v>
      </c>
      <c r="I193" s="7" t="s">
        <v>47</v>
      </c>
      <c r="J193" s="7"/>
      <c r="K193" s="7" t="s">
        <v>407</v>
      </c>
      <c r="L193" s="7" t="s">
        <v>394</v>
      </c>
      <c r="M193" s="8">
        <v>6001.02</v>
      </c>
      <c r="N193" s="7" t="s">
        <v>395</v>
      </c>
      <c r="O193" s="10">
        <v>1</v>
      </c>
      <c r="P193" s="10">
        <v>0</v>
      </c>
      <c r="Q193" s="10">
        <v>1</v>
      </c>
    </row>
    <row r="194" spans="1:17">
      <c r="A194" s="6">
        <v>45869</v>
      </c>
      <c r="B194" s="7" t="s">
        <v>23</v>
      </c>
      <c r="C194" s="8" t="s">
        <v>23</v>
      </c>
      <c r="D194" s="7" t="s">
        <v>41</v>
      </c>
      <c r="E194" s="7" t="s">
        <v>406</v>
      </c>
      <c r="F194" s="7" t="s">
        <v>406</v>
      </c>
      <c r="G194" s="7" t="s">
        <v>71</v>
      </c>
      <c r="H194" s="7" t="s">
        <v>407</v>
      </c>
      <c r="I194" s="7" t="s">
        <v>47</v>
      </c>
      <c r="J194" s="7"/>
      <c r="K194" s="7" t="s">
        <v>407</v>
      </c>
      <c r="L194" s="7" t="s">
        <v>394</v>
      </c>
      <c r="M194" s="8">
        <v>6001.02</v>
      </c>
      <c r="N194" s="7" t="s">
        <v>395</v>
      </c>
      <c r="O194" s="10">
        <v>-311376</v>
      </c>
      <c r="P194" s="10">
        <v>0</v>
      </c>
      <c r="Q194" s="10">
        <v>-311376</v>
      </c>
    </row>
    <row r="195" spans="1:17">
      <c r="A195" s="6">
        <v>45869</v>
      </c>
      <c r="B195" s="7" t="s">
        <v>23</v>
      </c>
      <c r="C195" s="8" t="s">
        <v>23</v>
      </c>
      <c r="D195" s="7" t="s">
        <v>55</v>
      </c>
      <c r="E195" s="7" t="s">
        <v>406</v>
      </c>
      <c r="F195" s="7" t="s">
        <v>406</v>
      </c>
      <c r="G195" s="7" t="s">
        <v>41</v>
      </c>
      <c r="H195" s="7" t="s">
        <v>407</v>
      </c>
      <c r="I195" s="7" t="s">
        <v>47</v>
      </c>
      <c r="J195" s="7"/>
      <c r="K195" s="7" t="s">
        <v>407</v>
      </c>
      <c r="L195" s="7" t="s">
        <v>394</v>
      </c>
      <c r="M195" s="8">
        <v>6001.02</v>
      </c>
      <c r="N195" s="7" t="s">
        <v>395</v>
      </c>
      <c r="O195" s="10">
        <v>4</v>
      </c>
      <c r="P195" s="10">
        <v>0</v>
      </c>
      <c r="Q195" s="10">
        <v>4</v>
      </c>
    </row>
    <row r="196" spans="1:17">
      <c r="A196" s="6">
        <v>45869</v>
      </c>
      <c r="B196" s="7" t="s">
        <v>23</v>
      </c>
      <c r="C196" s="8" t="s">
        <v>23</v>
      </c>
      <c r="D196" s="7" t="s">
        <v>41</v>
      </c>
      <c r="E196" s="7" t="s">
        <v>406</v>
      </c>
      <c r="F196" s="7" t="s">
        <v>406</v>
      </c>
      <c r="G196" s="7" t="s">
        <v>71</v>
      </c>
      <c r="H196" s="7" t="s">
        <v>407</v>
      </c>
      <c r="I196" s="7" t="s">
        <v>47</v>
      </c>
      <c r="J196" s="7"/>
      <c r="K196" s="7" t="s">
        <v>407</v>
      </c>
      <c r="L196" s="7" t="s">
        <v>394</v>
      </c>
      <c r="M196" s="8">
        <v>6001.02</v>
      </c>
      <c r="N196" s="7" t="s">
        <v>395</v>
      </c>
      <c r="O196" s="10">
        <v>-1485832</v>
      </c>
      <c r="P196" s="10">
        <v>0</v>
      </c>
      <c r="Q196" s="10">
        <v>-1485832</v>
      </c>
    </row>
    <row r="197" spans="1:17">
      <c r="A197" s="6">
        <v>45869</v>
      </c>
      <c r="B197" s="7" t="s">
        <v>23</v>
      </c>
      <c r="C197" s="8" t="s">
        <v>23</v>
      </c>
      <c r="D197" s="7" t="s">
        <v>55</v>
      </c>
      <c r="E197" s="7" t="s">
        <v>406</v>
      </c>
      <c r="F197" s="7" t="s">
        <v>406</v>
      </c>
      <c r="G197" s="7" t="s">
        <v>41</v>
      </c>
      <c r="H197" s="7" t="s">
        <v>407</v>
      </c>
      <c r="I197" s="7" t="s">
        <v>47</v>
      </c>
      <c r="J197" s="7"/>
      <c r="K197" s="7" t="s">
        <v>407</v>
      </c>
      <c r="L197" s="7" t="s">
        <v>394</v>
      </c>
      <c r="M197" s="8">
        <v>6001.02</v>
      </c>
      <c r="N197" s="7" t="s">
        <v>395</v>
      </c>
      <c r="O197" s="10">
        <v>3</v>
      </c>
      <c r="P197" s="10">
        <v>0</v>
      </c>
      <c r="Q197" s="10">
        <v>3</v>
      </c>
    </row>
    <row r="198" spans="1:17">
      <c r="A198" s="6">
        <v>45869</v>
      </c>
      <c r="B198" s="7" t="s">
        <v>23</v>
      </c>
      <c r="C198" s="8" t="s">
        <v>23</v>
      </c>
      <c r="D198" s="7" t="s">
        <v>41</v>
      </c>
      <c r="E198" s="7" t="s">
        <v>406</v>
      </c>
      <c r="F198" s="7" t="s">
        <v>406</v>
      </c>
      <c r="G198" s="7" t="s">
        <v>71</v>
      </c>
      <c r="H198" s="7" t="s">
        <v>407</v>
      </c>
      <c r="I198" s="7" t="s">
        <v>47</v>
      </c>
      <c r="J198" s="7"/>
      <c r="K198" s="7" t="s">
        <v>407</v>
      </c>
      <c r="L198" s="7" t="s">
        <v>394</v>
      </c>
      <c r="M198" s="8">
        <v>6001.02</v>
      </c>
      <c r="N198" s="7" t="s">
        <v>395</v>
      </c>
      <c r="O198" s="10">
        <v>-355508</v>
      </c>
      <c r="P198" s="10">
        <v>0</v>
      </c>
      <c r="Q198" s="10">
        <v>-355508</v>
      </c>
    </row>
    <row r="199" spans="1:17">
      <c r="A199" s="6">
        <v>45869</v>
      </c>
      <c r="B199" s="7" t="s">
        <v>23</v>
      </c>
      <c r="C199" s="8" t="s">
        <v>23</v>
      </c>
      <c r="D199" s="7" t="s">
        <v>55</v>
      </c>
      <c r="E199" s="7" t="s">
        <v>406</v>
      </c>
      <c r="F199" s="7" t="s">
        <v>406</v>
      </c>
      <c r="G199" s="7" t="s">
        <v>41</v>
      </c>
      <c r="H199" s="7" t="s">
        <v>407</v>
      </c>
      <c r="I199" s="7" t="s">
        <v>47</v>
      </c>
      <c r="J199" s="7"/>
      <c r="K199" s="7" t="s">
        <v>407</v>
      </c>
      <c r="L199" s="7" t="s">
        <v>394</v>
      </c>
      <c r="M199" s="8">
        <v>6001.02</v>
      </c>
      <c r="N199" s="7" t="s">
        <v>395</v>
      </c>
      <c r="O199" s="10">
        <v>3</v>
      </c>
      <c r="P199" s="10">
        <v>0</v>
      </c>
      <c r="Q199" s="10">
        <v>3</v>
      </c>
    </row>
    <row r="200" spans="1:17">
      <c r="A200" s="6">
        <v>45869</v>
      </c>
      <c r="B200" s="7" t="s">
        <v>23</v>
      </c>
      <c r="C200" s="8" t="s">
        <v>23</v>
      </c>
      <c r="D200" s="7" t="s">
        <v>41</v>
      </c>
      <c r="E200" s="7" t="s">
        <v>406</v>
      </c>
      <c r="F200" s="7" t="s">
        <v>406</v>
      </c>
      <c r="G200" s="7" t="s">
        <v>71</v>
      </c>
      <c r="H200" s="7" t="s">
        <v>407</v>
      </c>
      <c r="I200" s="7" t="s">
        <v>47</v>
      </c>
      <c r="J200" s="7"/>
      <c r="K200" s="7" t="s">
        <v>407</v>
      </c>
      <c r="L200" s="7" t="s">
        <v>394</v>
      </c>
      <c r="M200" s="8">
        <v>6001.02</v>
      </c>
      <c r="N200" s="7" t="s">
        <v>395</v>
      </c>
      <c r="O200" s="10">
        <v>-336786</v>
      </c>
      <c r="P200" s="10">
        <v>0</v>
      </c>
      <c r="Q200" s="10">
        <v>-336786</v>
      </c>
    </row>
    <row r="201" spans="1:17">
      <c r="A201" s="6">
        <v>45869</v>
      </c>
      <c r="B201" s="7" t="s">
        <v>23</v>
      </c>
      <c r="C201" s="8" t="s">
        <v>23</v>
      </c>
      <c r="D201" s="7" t="s">
        <v>55</v>
      </c>
      <c r="E201" s="7" t="s">
        <v>406</v>
      </c>
      <c r="F201" s="7" t="s">
        <v>406</v>
      </c>
      <c r="G201" s="7" t="s">
        <v>41</v>
      </c>
      <c r="H201" s="7" t="s">
        <v>407</v>
      </c>
      <c r="I201" s="7" t="s">
        <v>47</v>
      </c>
      <c r="J201" s="7"/>
      <c r="K201" s="7" t="s">
        <v>407</v>
      </c>
      <c r="L201" s="7" t="s">
        <v>394</v>
      </c>
      <c r="M201" s="8">
        <v>6001.02</v>
      </c>
      <c r="N201" s="7" t="s">
        <v>395</v>
      </c>
      <c r="O201" s="10">
        <v>2</v>
      </c>
      <c r="P201" s="10">
        <v>0</v>
      </c>
      <c r="Q201" s="10">
        <v>2</v>
      </c>
    </row>
    <row r="202" spans="1:17">
      <c r="A202" s="6">
        <v>45869</v>
      </c>
      <c r="B202" s="7" t="s">
        <v>23</v>
      </c>
      <c r="C202" s="8" t="s">
        <v>23</v>
      </c>
      <c r="D202" s="7" t="s">
        <v>41</v>
      </c>
      <c r="E202" s="7" t="s">
        <v>406</v>
      </c>
      <c r="F202" s="7" t="s">
        <v>406</v>
      </c>
      <c r="G202" s="7" t="s">
        <v>71</v>
      </c>
      <c r="H202" s="7" t="s">
        <v>407</v>
      </c>
      <c r="I202" s="7" t="s">
        <v>47</v>
      </c>
      <c r="J202" s="7"/>
      <c r="K202" s="7" t="s">
        <v>407</v>
      </c>
      <c r="L202" s="7" t="s">
        <v>394</v>
      </c>
      <c r="M202" s="8">
        <v>6001.02</v>
      </c>
      <c r="N202" s="7" t="s">
        <v>395</v>
      </c>
      <c r="O202" s="10">
        <v>-397766</v>
      </c>
      <c r="P202" s="10">
        <v>0</v>
      </c>
      <c r="Q202" s="10">
        <v>-397766</v>
      </c>
    </row>
    <row r="203" spans="1:17">
      <c r="A203" s="6">
        <v>45869</v>
      </c>
      <c r="B203" s="7" t="s">
        <v>23</v>
      </c>
      <c r="C203" s="8" t="s">
        <v>23</v>
      </c>
      <c r="D203" s="7" t="s">
        <v>41</v>
      </c>
      <c r="E203" s="7" t="s">
        <v>406</v>
      </c>
      <c r="F203" s="7" t="s">
        <v>406</v>
      </c>
      <c r="G203" s="7" t="s">
        <v>71</v>
      </c>
      <c r="H203" s="7" t="s">
        <v>407</v>
      </c>
      <c r="I203" s="7" t="s">
        <v>47</v>
      </c>
      <c r="J203" s="7"/>
      <c r="K203" s="7" t="s">
        <v>407</v>
      </c>
      <c r="L203" s="7" t="s">
        <v>394</v>
      </c>
      <c r="M203" s="8">
        <v>6001.02</v>
      </c>
      <c r="N203" s="7" t="s">
        <v>395</v>
      </c>
      <c r="O203" s="10">
        <v>-411458</v>
      </c>
      <c r="P203" s="10">
        <v>0</v>
      </c>
      <c r="Q203" s="10">
        <v>-411458</v>
      </c>
    </row>
    <row r="204" spans="1:17">
      <c r="A204" s="6">
        <v>45869</v>
      </c>
      <c r="B204" s="7" t="s">
        <v>23</v>
      </c>
      <c r="C204" s="8" t="s">
        <v>23</v>
      </c>
      <c r="D204" s="7" t="s">
        <v>41</v>
      </c>
      <c r="E204" s="7" t="s">
        <v>406</v>
      </c>
      <c r="F204" s="7" t="s">
        <v>406</v>
      </c>
      <c r="G204" s="7" t="s">
        <v>71</v>
      </c>
      <c r="H204" s="7" t="s">
        <v>407</v>
      </c>
      <c r="I204" s="7" t="s">
        <v>47</v>
      </c>
      <c r="J204" s="7"/>
      <c r="K204" s="7" t="s">
        <v>407</v>
      </c>
      <c r="L204" s="7" t="s">
        <v>394</v>
      </c>
      <c r="M204" s="8">
        <v>6001.02</v>
      </c>
      <c r="N204" s="7" t="s">
        <v>395</v>
      </c>
      <c r="O204" s="10">
        <v>-1284364</v>
      </c>
      <c r="P204" s="10">
        <v>0</v>
      </c>
      <c r="Q204" s="10">
        <v>-1284364</v>
      </c>
    </row>
    <row r="205" spans="1:17">
      <c r="A205" s="6">
        <v>45869</v>
      </c>
      <c r="B205" s="7" t="s">
        <v>23</v>
      </c>
      <c r="C205" s="8" t="s">
        <v>23</v>
      </c>
      <c r="D205" s="7" t="s">
        <v>55</v>
      </c>
      <c r="E205" s="7" t="s">
        <v>406</v>
      </c>
      <c r="F205" s="7" t="s">
        <v>406</v>
      </c>
      <c r="G205" s="7" t="s">
        <v>41</v>
      </c>
      <c r="H205" s="7" t="s">
        <v>407</v>
      </c>
      <c r="I205" s="7" t="s">
        <v>47</v>
      </c>
      <c r="J205" s="7"/>
      <c r="K205" s="7" t="s">
        <v>407</v>
      </c>
      <c r="L205" s="7" t="s">
        <v>394</v>
      </c>
      <c r="M205" s="8">
        <v>6001.02</v>
      </c>
      <c r="N205" s="7" t="s">
        <v>395</v>
      </c>
      <c r="O205" s="10">
        <v>2</v>
      </c>
      <c r="P205" s="10">
        <v>0</v>
      </c>
      <c r="Q205" s="10">
        <v>2</v>
      </c>
    </row>
    <row r="206" spans="1:17">
      <c r="A206" s="6">
        <v>45869</v>
      </c>
      <c r="B206" s="7" t="s">
        <v>23</v>
      </c>
      <c r="C206" s="8" t="s">
        <v>23</v>
      </c>
      <c r="D206" s="7" t="s">
        <v>41</v>
      </c>
      <c r="E206" s="7" t="s">
        <v>406</v>
      </c>
      <c r="F206" s="7" t="s">
        <v>406</v>
      </c>
      <c r="G206" s="7" t="s">
        <v>71</v>
      </c>
      <c r="H206" s="7" t="s">
        <v>407</v>
      </c>
      <c r="I206" s="7" t="s">
        <v>47</v>
      </c>
      <c r="J206" s="7"/>
      <c r="K206" s="7" t="s">
        <v>407</v>
      </c>
      <c r="L206" s="7" t="s">
        <v>394</v>
      </c>
      <c r="M206" s="8">
        <v>6001.02</v>
      </c>
      <c r="N206" s="7" t="s">
        <v>395</v>
      </c>
      <c r="O206" s="10">
        <v>-1809188</v>
      </c>
      <c r="P206" s="10">
        <v>0</v>
      </c>
      <c r="Q206" s="10">
        <v>-1809188</v>
      </c>
    </row>
    <row r="207" spans="1:17">
      <c r="A207" s="6">
        <v>45869</v>
      </c>
      <c r="B207" s="7" t="s">
        <v>23</v>
      </c>
      <c r="C207" s="8" t="s">
        <v>23</v>
      </c>
      <c r="D207" s="7" t="s">
        <v>55</v>
      </c>
      <c r="E207" s="7" t="s">
        <v>406</v>
      </c>
      <c r="F207" s="7" t="s">
        <v>406</v>
      </c>
      <c r="G207" s="7" t="s">
        <v>41</v>
      </c>
      <c r="H207" s="7" t="s">
        <v>407</v>
      </c>
      <c r="I207" s="7" t="s">
        <v>47</v>
      </c>
      <c r="J207" s="7"/>
      <c r="K207" s="7" t="s">
        <v>407</v>
      </c>
      <c r="L207" s="7" t="s">
        <v>394</v>
      </c>
      <c r="M207" s="8">
        <v>6001.02</v>
      </c>
      <c r="N207" s="7" t="s">
        <v>395</v>
      </c>
      <c r="O207" s="10">
        <v>1.1</v>
      </c>
      <c r="P207" s="10">
        <v>0</v>
      </c>
      <c r="Q207" s="10">
        <v>1.1</v>
      </c>
    </row>
    <row r="208" spans="1:17">
      <c r="A208" s="6">
        <v>45869</v>
      </c>
      <c r="B208" s="7" t="s">
        <v>23</v>
      </c>
      <c r="C208" s="8" t="s">
        <v>23</v>
      </c>
      <c r="D208" s="7" t="s">
        <v>41</v>
      </c>
      <c r="E208" s="7" t="s">
        <v>406</v>
      </c>
      <c r="F208" s="7" t="s">
        <v>406</v>
      </c>
      <c r="G208" s="7" t="s">
        <v>71</v>
      </c>
      <c r="H208" s="7" t="s">
        <v>407</v>
      </c>
      <c r="I208" s="7" t="s">
        <v>47</v>
      </c>
      <c r="J208" s="7"/>
      <c r="K208" s="7" t="s">
        <v>407</v>
      </c>
      <c r="L208" s="7" t="s">
        <v>394</v>
      </c>
      <c r="M208" s="8">
        <v>6001.02</v>
      </c>
      <c r="N208" s="7" t="s">
        <v>395</v>
      </c>
      <c r="O208" s="10">
        <v>-1607886</v>
      </c>
      <c r="P208" s="10">
        <v>0</v>
      </c>
      <c r="Q208" s="10">
        <v>-1607886</v>
      </c>
    </row>
    <row r="209" spans="1:17">
      <c r="A209" s="6">
        <v>45869</v>
      </c>
      <c r="B209" s="7" t="s">
        <v>23</v>
      </c>
      <c r="C209" s="8" t="s">
        <v>23</v>
      </c>
      <c r="D209" s="7" t="s">
        <v>41</v>
      </c>
      <c r="E209" s="7" t="s">
        <v>406</v>
      </c>
      <c r="F209" s="7" t="s">
        <v>406</v>
      </c>
      <c r="G209" s="7" t="s">
        <v>71</v>
      </c>
      <c r="H209" s="7" t="s">
        <v>407</v>
      </c>
      <c r="I209" s="7" t="s">
        <v>47</v>
      </c>
      <c r="J209" s="7"/>
      <c r="K209" s="7" t="s">
        <v>407</v>
      </c>
      <c r="L209" s="7" t="s">
        <v>394</v>
      </c>
      <c r="M209" s="8">
        <v>6001.02</v>
      </c>
      <c r="N209" s="7" t="s">
        <v>395</v>
      </c>
      <c r="O209" s="10">
        <v>-322646</v>
      </c>
      <c r="P209" s="10">
        <v>0</v>
      </c>
      <c r="Q209" s="10">
        <v>-322646</v>
      </c>
    </row>
    <row r="210" spans="1:17">
      <c r="A210" s="6">
        <v>45869</v>
      </c>
      <c r="B210" s="7" t="s">
        <v>23</v>
      </c>
      <c r="C210" s="8" t="s">
        <v>23</v>
      </c>
      <c r="D210" s="7" t="s">
        <v>43</v>
      </c>
      <c r="E210" s="7" t="s">
        <v>406</v>
      </c>
      <c r="F210" s="7" t="s">
        <v>406</v>
      </c>
      <c r="G210" s="7" t="s">
        <v>41</v>
      </c>
      <c r="H210" s="7" t="s">
        <v>407</v>
      </c>
      <c r="I210" s="7" t="s">
        <v>47</v>
      </c>
      <c r="J210" s="7"/>
      <c r="K210" s="7" t="s">
        <v>407</v>
      </c>
      <c r="L210" s="7" t="s">
        <v>394</v>
      </c>
      <c r="M210" s="8">
        <v>6001.02</v>
      </c>
      <c r="N210" s="7" t="s">
        <v>395</v>
      </c>
      <c r="O210" s="10">
        <v>0.01</v>
      </c>
      <c r="P210" s="10">
        <v>0</v>
      </c>
      <c r="Q210" s="10">
        <v>0.01</v>
      </c>
    </row>
    <row r="211" spans="1:17">
      <c r="A211" s="6">
        <v>45869</v>
      </c>
      <c r="B211" s="7" t="s">
        <v>23</v>
      </c>
      <c r="C211" s="8" t="s">
        <v>23</v>
      </c>
      <c r="D211" s="7" t="s">
        <v>55</v>
      </c>
      <c r="E211" s="7" t="s">
        <v>406</v>
      </c>
      <c r="F211" s="7" t="s">
        <v>406</v>
      </c>
      <c r="G211" s="7" t="s">
        <v>41</v>
      </c>
      <c r="H211" s="7" t="s">
        <v>407</v>
      </c>
      <c r="I211" s="7" t="s">
        <v>47</v>
      </c>
      <c r="J211" s="7"/>
      <c r="K211" s="7" t="s">
        <v>407</v>
      </c>
      <c r="L211" s="7" t="s">
        <v>394</v>
      </c>
      <c r="M211" s="8">
        <v>6001.02</v>
      </c>
      <c r="N211" s="7" t="s">
        <v>395</v>
      </c>
      <c r="O211" s="10">
        <v>3.97</v>
      </c>
      <c r="P211" s="10">
        <v>0</v>
      </c>
      <c r="Q211" s="10">
        <v>3.97</v>
      </c>
    </row>
    <row r="212" spans="1:17">
      <c r="A212" s="6">
        <v>45869</v>
      </c>
      <c r="B212" s="7" t="s">
        <v>23</v>
      </c>
      <c r="C212" s="8" t="s">
        <v>23</v>
      </c>
      <c r="D212" s="7" t="s">
        <v>41</v>
      </c>
      <c r="E212" s="7" t="s">
        <v>406</v>
      </c>
      <c r="F212" s="7" t="s">
        <v>406</v>
      </c>
      <c r="G212" s="7" t="s">
        <v>71</v>
      </c>
      <c r="H212" s="7" t="s">
        <v>407</v>
      </c>
      <c r="I212" s="7" t="s">
        <v>47</v>
      </c>
      <c r="J212" s="7"/>
      <c r="K212" s="7" t="s">
        <v>407</v>
      </c>
      <c r="L212" s="7" t="s">
        <v>394</v>
      </c>
      <c r="M212" s="8">
        <v>6001.02</v>
      </c>
      <c r="N212" s="7" t="s">
        <v>395</v>
      </c>
      <c r="O212" s="10">
        <v>-393928</v>
      </c>
      <c r="P212" s="10">
        <v>0</v>
      </c>
      <c r="Q212" s="10">
        <v>-393928</v>
      </c>
    </row>
    <row r="213" spans="1:17">
      <c r="A213" s="6">
        <v>45869</v>
      </c>
      <c r="B213" s="7" t="s">
        <v>23</v>
      </c>
      <c r="C213" s="8" t="s">
        <v>23</v>
      </c>
      <c r="D213" s="7" t="s">
        <v>55</v>
      </c>
      <c r="E213" s="7" t="s">
        <v>406</v>
      </c>
      <c r="F213" s="7" t="s">
        <v>406</v>
      </c>
      <c r="G213" s="7" t="s">
        <v>41</v>
      </c>
      <c r="H213" s="7" t="s">
        <v>407</v>
      </c>
      <c r="I213" s="7" t="s">
        <v>47</v>
      </c>
      <c r="J213" s="7"/>
      <c r="K213" s="7" t="s">
        <v>407</v>
      </c>
      <c r="L213" s="7" t="s">
        <v>394</v>
      </c>
      <c r="M213" s="8">
        <v>6001.02</v>
      </c>
      <c r="N213" s="7" t="s">
        <v>395</v>
      </c>
      <c r="O213" s="10">
        <v>2</v>
      </c>
      <c r="P213" s="10">
        <v>0</v>
      </c>
      <c r="Q213" s="10">
        <v>2</v>
      </c>
    </row>
    <row r="214" spans="1:17">
      <c r="A214" s="6">
        <v>45869</v>
      </c>
      <c r="B214" s="7" t="s">
        <v>23</v>
      </c>
      <c r="C214" s="8" t="s">
        <v>23</v>
      </c>
      <c r="D214" s="7" t="s">
        <v>41</v>
      </c>
      <c r="E214" s="7" t="s">
        <v>406</v>
      </c>
      <c r="F214" s="7" t="s">
        <v>406</v>
      </c>
      <c r="G214" s="7" t="s">
        <v>71</v>
      </c>
      <c r="H214" s="7" t="s">
        <v>407</v>
      </c>
      <c r="I214" s="7" t="s">
        <v>47</v>
      </c>
      <c r="J214" s="7"/>
      <c r="K214" s="7" t="s">
        <v>407</v>
      </c>
      <c r="L214" s="7" t="s">
        <v>394</v>
      </c>
      <c r="M214" s="8">
        <v>6001.02</v>
      </c>
      <c r="N214" s="7" t="s">
        <v>395</v>
      </c>
      <c r="O214" s="10">
        <v>-394500</v>
      </c>
      <c r="P214" s="10">
        <v>0</v>
      </c>
      <c r="Q214" s="10">
        <v>-394500</v>
      </c>
    </row>
    <row r="215" spans="1:17">
      <c r="A215" s="6">
        <v>45869</v>
      </c>
      <c r="B215" s="7" t="s">
        <v>23</v>
      </c>
      <c r="C215" s="8" t="s">
        <v>23</v>
      </c>
      <c r="D215" s="7" t="s">
        <v>55</v>
      </c>
      <c r="E215" s="7" t="s">
        <v>406</v>
      </c>
      <c r="F215" s="7" t="s">
        <v>406</v>
      </c>
      <c r="G215" s="7" t="s">
        <v>41</v>
      </c>
      <c r="H215" s="7" t="s">
        <v>407</v>
      </c>
      <c r="I215" s="7" t="s">
        <v>47</v>
      </c>
      <c r="J215" s="7"/>
      <c r="K215" s="7" t="s">
        <v>407</v>
      </c>
      <c r="L215" s="7" t="s">
        <v>394</v>
      </c>
      <c r="M215" s="8">
        <v>6001.02</v>
      </c>
      <c r="N215" s="7" t="s">
        <v>395</v>
      </c>
      <c r="O215" s="10">
        <v>3</v>
      </c>
      <c r="P215" s="10">
        <v>0</v>
      </c>
      <c r="Q215" s="10">
        <v>3</v>
      </c>
    </row>
    <row r="216" spans="1:17">
      <c r="A216" s="6">
        <v>45869</v>
      </c>
      <c r="B216" s="7" t="s">
        <v>23</v>
      </c>
      <c r="C216" s="8" t="s">
        <v>23</v>
      </c>
      <c r="D216" s="7" t="s">
        <v>41</v>
      </c>
      <c r="E216" s="7" t="s">
        <v>406</v>
      </c>
      <c r="F216" s="7" t="s">
        <v>406</v>
      </c>
      <c r="G216" s="7" t="s">
        <v>71</v>
      </c>
      <c r="H216" s="7" t="s">
        <v>407</v>
      </c>
      <c r="I216" s="7" t="s">
        <v>47</v>
      </c>
      <c r="J216" s="7"/>
      <c r="K216" s="7" t="s">
        <v>407</v>
      </c>
      <c r="L216" s="7" t="s">
        <v>394</v>
      </c>
      <c r="M216" s="8">
        <v>6001.02</v>
      </c>
      <c r="N216" s="7" t="s">
        <v>395</v>
      </c>
      <c r="O216" s="10">
        <v>-276464</v>
      </c>
      <c r="P216" s="10">
        <v>0</v>
      </c>
      <c r="Q216" s="10">
        <v>-276464</v>
      </c>
    </row>
    <row r="217" spans="1:17">
      <c r="A217" s="6">
        <v>45869</v>
      </c>
      <c r="B217" s="7" t="s">
        <v>23</v>
      </c>
      <c r="C217" s="8" t="s">
        <v>23</v>
      </c>
      <c r="D217" s="7" t="s">
        <v>55</v>
      </c>
      <c r="E217" s="7" t="s">
        <v>406</v>
      </c>
      <c r="F217" s="7" t="s">
        <v>406</v>
      </c>
      <c r="G217" s="7" t="s">
        <v>41</v>
      </c>
      <c r="H217" s="7" t="s">
        <v>407</v>
      </c>
      <c r="I217" s="7" t="s">
        <v>47</v>
      </c>
      <c r="J217" s="7"/>
      <c r="K217" s="7" t="s">
        <v>407</v>
      </c>
      <c r="L217" s="7" t="s">
        <v>394</v>
      </c>
      <c r="M217" s="8">
        <v>6001.02</v>
      </c>
      <c r="N217" s="7" t="s">
        <v>395</v>
      </c>
      <c r="O217" s="10">
        <v>3</v>
      </c>
      <c r="P217" s="10">
        <v>0</v>
      </c>
      <c r="Q217" s="10">
        <v>3</v>
      </c>
    </row>
    <row r="218" spans="1:17">
      <c r="A218" s="6">
        <v>45869</v>
      </c>
      <c r="B218" s="7" t="s">
        <v>23</v>
      </c>
      <c r="C218" s="8" t="s">
        <v>23</v>
      </c>
      <c r="D218" s="7" t="s">
        <v>41</v>
      </c>
      <c r="E218" s="7" t="s">
        <v>406</v>
      </c>
      <c r="F218" s="7" t="s">
        <v>406</v>
      </c>
      <c r="G218" s="7" t="s">
        <v>71</v>
      </c>
      <c r="H218" s="7" t="s">
        <v>407</v>
      </c>
      <c r="I218" s="7" t="s">
        <v>47</v>
      </c>
      <c r="J218" s="7"/>
      <c r="K218" s="7" t="s">
        <v>407</v>
      </c>
      <c r="L218" s="7" t="s">
        <v>394</v>
      </c>
      <c r="M218" s="8">
        <v>6001.02</v>
      </c>
      <c r="N218" s="7" t="s">
        <v>395</v>
      </c>
      <c r="O218" s="10">
        <v>-1488854</v>
      </c>
      <c r="P218" s="10">
        <v>0</v>
      </c>
      <c r="Q218" s="10">
        <v>-1488854</v>
      </c>
    </row>
    <row r="219" spans="1:17">
      <c r="A219" s="6">
        <v>45869</v>
      </c>
      <c r="B219" s="7" t="s">
        <v>23</v>
      </c>
      <c r="C219" s="8" t="s">
        <v>23</v>
      </c>
      <c r="D219" s="7" t="s">
        <v>55</v>
      </c>
      <c r="E219" s="7" t="s">
        <v>406</v>
      </c>
      <c r="F219" s="7" t="s">
        <v>406</v>
      </c>
      <c r="G219" s="7" t="s">
        <v>41</v>
      </c>
      <c r="H219" s="7" t="s">
        <v>407</v>
      </c>
      <c r="I219" s="7" t="s">
        <v>47</v>
      </c>
      <c r="J219" s="7"/>
      <c r="K219" s="7" t="s">
        <v>407</v>
      </c>
      <c r="L219" s="7" t="s">
        <v>394</v>
      </c>
      <c r="M219" s="8">
        <v>6001.02</v>
      </c>
      <c r="N219" s="7" t="s">
        <v>395</v>
      </c>
      <c r="O219" s="10">
        <v>3</v>
      </c>
      <c r="P219" s="10">
        <v>0</v>
      </c>
      <c r="Q219" s="10">
        <v>3</v>
      </c>
    </row>
    <row r="220" spans="1:17">
      <c r="A220" s="6">
        <v>45869</v>
      </c>
      <c r="B220" s="7" t="s">
        <v>23</v>
      </c>
      <c r="C220" s="8" t="s">
        <v>23</v>
      </c>
      <c r="D220" s="7" t="s">
        <v>41</v>
      </c>
      <c r="E220" s="7" t="s">
        <v>406</v>
      </c>
      <c r="F220" s="7" t="s">
        <v>406</v>
      </c>
      <c r="G220" s="7" t="s">
        <v>71</v>
      </c>
      <c r="H220" s="7" t="s">
        <v>407</v>
      </c>
      <c r="I220" s="7" t="s">
        <v>47</v>
      </c>
      <c r="J220" s="7"/>
      <c r="K220" s="7" t="s">
        <v>407</v>
      </c>
      <c r="L220" s="7" t="s">
        <v>394</v>
      </c>
      <c r="M220" s="8">
        <v>6001.02</v>
      </c>
      <c r="N220" s="7" t="s">
        <v>395</v>
      </c>
      <c r="O220" s="10">
        <v>-368866</v>
      </c>
      <c r="P220" s="10">
        <v>0</v>
      </c>
      <c r="Q220" s="10">
        <v>-368866</v>
      </c>
    </row>
    <row r="221" spans="1:17">
      <c r="A221" s="6">
        <v>45869</v>
      </c>
      <c r="B221" s="7" t="s">
        <v>23</v>
      </c>
      <c r="C221" s="8" t="s">
        <v>23</v>
      </c>
      <c r="D221" s="7" t="s">
        <v>160</v>
      </c>
      <c r="E221" s="7" t="s">
        <v>406</v>
      </c>
      <c r="F221" s="7" t="s">
        <v>406</v>
      </c>
      <c r="G221" s="7" t="s">
        <v>44</v>
      </c>
      <c r="H221" s="7" t="s">
        <v>407</v>
      </c>
      <c r="I221" s="7" t="s">
        <v>47</v>
      </c>
      <c r="J221" s="7"/>
      <c r="K221" s="7" t="s">
        <v>407</v>
      </c>
      <c r="L221" s="7" t="s">
        <v>394</v>
      </c>
      <c r="M221" s="8">
        <v>6001.02</v>
      </c>
      <c r="N221" s="7" t="s">
        <v>395</v>
      </c>
      <c r="O221" s="10">
        <v>-1401</v>
      </c>
      <c r="P221" s="10">
        <v>0</v>
      </c>
      <c r="Q221" s="10">
        <v>-1401</v>
      </c>
    </row>
    <row r="222" spans="1:17">
      <c r="A222" s="6">
        <v>45869</v>
      </c>
      <c r="B222" s="7" t="s">
        <v>23</v>
      </c>
      <c r="C222" s="8" t="s">
        <v>23</v>
      </c>
      <c r="D222" s="7" t="s">
        <v>43</v>
      </c>
      <c r="E222" s="7" t="s">
        <v>406</v>
      </c>
      <c r="F222" s="7" t="s">
        <v>406</v>
      </c>
      <c r="G222" s="7" t="s">
        <v>55</v>
      </c>
      <c r="H222" s="7" t="s">
        <v>407</v>
      </c>
      <c r="I222" s="7" t="s">
        <v>47</v>
      </c>
      <c r="J222" s="7"/>
      <c r="K222" s="7" t="s">
        <v>407</v>
      </c>
      <c r="L222" s="7" t="s">
        <v>394</v>
      </c>
      <c r="M222" s="8">
        <v>6001.02</v>
      </c>
      <c r="N222" s="7" t="s">
        <v>395</v>
      </c>
      <c r="O222" s="10">
        <v>0.22</v>
      </c>
      <c r="P222" s="10">
        <v>0</v>
      </c>
      <c r="Q222" s="10">
        <v>0.22</v>
      </c>
    </row>
    <row r="223" spans="1:17">
      <c r="A223" s="6">
        <v>45869</v>
      </c>
      <c r="B223" s="7" t="s">
        <v>23</v>
      </c>
      <c r="C223" s="8" t="s">
        <v>23</v>
      </c>
      <c r="D223" s="7" t="s">
        <v>43</v>
      </c>
      <c r="E223" s="7" t="s">
        <v>406</v>
      </c>
      <c r="F223" s="7" t="s">
        <v>406</v>
      </c>
      <c r="G223" s="7" t="s">
        <v>55</v>
      </c>
      <c r="H223" s="7" t="s">
        <v>407</v>
      </c>
      <c r="I223" s="7" t="s">
        <v>47</v>
      </c>
      <c r="J223" s="7"/>
      <c r="K223" s="7" t="s">
        <v>407</v>
      </c>
      <c r="L223" s="7" t="s">
        <v>394</v>
      </c>
      <c r="M223" s="8">
        <v>6001.02</v>
      </c>
      <c r="N223" s="7" t="s">
        <v>395</v>
      </c>
      <c r="O223" s="10">
        <v>0.52</v>
      </c>
      <c r="P223" s="10">
        <v>0</v>
      </c>
      <c r="Q223" s="10">
        <v>0.52</v>
      </c>
    </row>
    <row r="224" spans="1:17">
      <c r="A224" s="6">
        <v>45869</v>
      </c>
      <c r="B224" s="7" t="s">
        <v>23</v>
      </c>
      <c r="C224" s="8" t="s">
        <v>23</v>
      </c>
      <c r="D224" s="7" t="s">
        <v>43</v>
      </c>
      <c r="E224" s="7" t="s">
        <v>406</v>
      </c>
      <c r="F224" s="7" t="s">
        <v>406</v>
      </c>
      <c r="G224" s="7" t="s">
        <v>55</v>
      </c>
      <c r="H224" s="7" t="s">
        <v>407</v>
      </c>
      <c r="I224" s="7" t="s">
        <v>47</v>
      </c>
      <c r="J224" s="7"/>
      <c r="K224" s="7" t="s">
        <v>407</v>
      </c>
      <c r="L224" s="7" t="s">
        <v>394</v>
      </c>
      <c r="M224" s="8">
        <v>6001.02</v>
      </c>
      <c r="N224" s="7" t="s">
        <v>395</v>
      </c>
      <c r="O224" s="10">
        <v>0.08</v>
      </c>
      <c r="P224" s="10">
        <v>0</v>
      </c>
      <c r="Q224" s="10">
        <v>0.08</v>
      </c>
    </row>
    <row r="225" spans="1:17">
      <c r="A225" s="6">
        <v>45869</v>
      </c>
      <c r="B225" s="7" t="s">
        <v>23</v>
      </c>
      <c r="C225" s="8" t="s">
        <v>23</v>
      </c>
      <c r="D225" s="7" t="s">
        <v>43</v>
      </c>
      <c r="E225" s="7" t="s">
        <v>406</v>
      </c>
      <c r="F225" s="7" t="s">
        <v>406</v>
      </c>
      <c r="G225" s="7" t="s">
        <v>55</v>
      </c>
      <c r="H225" s="7" t="s">
        <v>407</v>
      </c>
      <c r="I225" s="7" t="s">
        <v>47</v>
      </c>
      <c r="J225" s="7"/>
      <c r="K225" s="7" t="s">
        <v>407</v>
      </c>
      <c r="L225" s="7" t="s">
        <v>394</v>
      </c>
      <c r="M225" s="8">
        <v>6001.02</v>
      </c>
      <c r="N225" s="7" t="s">
        <v>395</v>
      </c>
      <c r="O225" s="10">
        <v>0.13</v>
      </c>
      <c r="P225" s="10">
        <v>0</v>
      </c>
      <c r="Q225" s="10">
        <v>0.13</v>
      </c>
    </row>
    <row r="226" spans="1:17">
      <c r="A226" s="6">
        <v>45869</v>
      </c>
      <c r="B226" s="7" t="s">
        <v>23</v>
      </c>
      <c r="C226" s="8" t="s">
        <v>23</v>
      </c>
      <c r="D226" s="7" t="s">
        <v>43</v>
      </c>
      <c r="E226" s="7" t="s">
        <v>406</v>
      </c>
      <c r="F226" s="7" t="s">
        <v>406</v>
      </c>
      <c r="G226" s="7" t="s">
        <v>55</v>
      </c>
      <c r="H226" s="7" t="s">
        <v>407</v>
      </c>
      <c r="I226" s="7" t="s">
        <v>47</v>
      </c>
      <c r="J226" s="7"/>
      <c r="K226" s="7" t="s">
        <v>407</v>
      </c>
      <c r="L226" s="7" t="s">
        <v>394</v>
      </c>
      <c r="M226" s="8">
        <v>6001.02</v>
      </c>
      <c r="N226" s="7" t="s">
        <v>395</v>
      </c>
      <c r="O226" s="10">
        <v>0.1</v>
      </c>
      <c r="P226" s="10">
        <v>0</v>
      </c>
      <c r="Q226" s="10">
        <v>0.1</v>
      </c>
    </row>
    <row r="227" spans="1:17">
      <c r="A227" s="6">
        <v>45869</v>
      </c>
      <c r="B227" s="7" t="s">
        <v>23</v>
      </c>
      <c r="C227" s="8" t="s">
        <v>23</v>
      </c>
      <c r="D227" s="7" t="s">
        <v>43</v>
      </c>
      <c r="E227" s="7" t="s">
        <v>406</v>
      </c>
      <c r="F227" s="7" t="s">
        <v>406</v>
      </c>
      <c r="G227" s="7" t="s">
        <v>55</v>
      </c>
      <c r="H227" s="7" t="s">
        <v>407</v>
      </c>
      <c r="I227" s="7" t="s">
        <v>47</v>
      </c>
      <c r="J227" s="7"/>
      <c r="K227" s="7" t="s">
        <v>407</v>
      </c>
      <c r="L227" s="7" t="s">
        <v>394</v>
      </c>
      <c r="M227" s="8">
        <v>6001.02</v>
      </c>
      <c r="N227" s="7" t="s">
        <v>395</v>
      </c>
      <c r="O227" s="10">
        <v>0.49</v>
      </c>
      <c r="P227" s="10">
        <v>0</v>
      </c>
      <c r="Q227" s="10">
        <v>0.49</v>
      </c>
    </row>
    <row r="228" spans="1:17">
      <c r="A228" s="6">
        <v>45869</v>
      </c>
      <c r="B228" s="7" t="s">
        <v>23</v>
      </c>
      <c r="C228" s="8" t="s">
        <v>23</v>
      </c>
      <c r="D228" s="7" t="s">
        <v>43</v>
      </c>
      <c r="E228" s="7" t="s">
        <v>406</v>
      </c>
      <c r="F228" s="7" t="s">
        <v>406</v>
      </c>
      <c r="G228" s="7" t="s">
        <v>55</v>
      </c>
      <c r="H228" s="7" t="s">
        <v>407</v>
      </c>
      <c r="I228" s="7" t="s">
        <v>47</v>
      </c>
      <c r="J228" s="7"/>
      <c r="K228" s="7" t="s">
        <v>407</v>
      </c>
      <c r="L228" s="7" t="s">
        <v>394</v>
      </c>
      <c r="M228" s="8">
        <v>6001.02</v>
      </c>
      <c r="N228" s="7" t="s">
        <v>395</v>
      </c>
      <c r="O228" s="10">
        <v>0.06</v>
      </c>
      <c r="P228" s="10">
        <v>0</v>
      </c>
      <c r="Q228" s="10">
        <v>0.06</v>
      </c>
    </row>
    <row r="229" spans="1:17">
      <c r="A229" s="6">
        <v>45869</v>
      </c>
      <c r="B229" s="7" t="s">
        <v>23</v>
      </c>
      <c r="C229" s="8" t="s">
        <v>23</v>
      </c>
      <c r="D229" s="7" t="s">
        <v>43</v>
      </c>
      <c r="E229" s="7" t="s">
        <v>406</v>
      </c>
      <c r="F229" s="7" t="s">
        <v>406</v>
      </c>
      <c r="G229" s="7" t="s">
        <v>55</v>
      </c>
      <c r="H229" s="7" t="s">
        <v>407</v>
      </c>
      <c r="I229" s="7" t="s">
        <v>47</v>
      </c>
      <c r="J229" s="7"/>
      <c r="K229" s="7" t="s">
        <v>407</v>
      </c>
      <c r="L229" s="7" t="s">
        <v>394</v>
      </c>
      <c r="M229" s="8">
        <v>6001.02</v>
      </c>
      <c r="N229" s="7" t="s">
        <v>395</v>
      </c>
      <c r="O229" s="10">
        <v>0.02</v>
      </c>
      <c r="P229" s="10">
        <v>0</v>
      </c>
      <c r="Q229" s="10">
        <v>0.02</v>
      </c>
    </row>
    <row r="230" spans="1:17">
      <c r="A230" s="6">
        <v>45869</v>
      </c>
      <c r="B230" s="7" t="s">
        <v>23</v>
      </c>
      <c r="C230" s="8" t="s">
        <v>23</v>
      </c>
      <c r="D230" s="7" t="s">
        <v>43</v>
      </c>
      <c r="E230" s="7" t="s">
        <v>406</v>
      </c>
      <c r="F230" s="7" t="s">
        <v>406</v>
      </c>
      <c r="G230" s="7" t="s">
        <v>55</v>
      </c>
      <c r="H230" s="7" t="s">
        <v>407</v>
      </c>
      <c r="I230" s="7" t="s">
        <v>47</v>
      </c>
      <c r="J230" s="7"/>
      <c r="K230" s="7" t="s">
        <v>407</v>
      </c>
      <c r="L230" s="7" t="s">
        <v>394</v>
      </c>
      <c r="M230" s="8">
        <v>6001.02</v>
      </c>
      <c r="N230" s="7" t="s">
        <v>395</v>
      </c>
      <c r="O230" s="10">
        <v>0.45</v>
      </c>
      <c r="P230" s="10">
        <v>0</v>
      </c>
      <c r="Q230" s="10">
        <v>0.45</v>
      </c>
    </row>
    <row r="231" spans="1:17">
      <c r="A231" s="6">
        <v>45869</v>
      </c>
      <c r="B231" s="7" t="s">
        <v>23</v>
      </c>
      <c r="C231" s="8" t="s">
        <v>23</v>
      </c>
      <c r="D231" s="7" t="s">
        <v>43</v>
      </c>
      <c r="E231" s="7" t="s">
        <v>406</v>
      </c>
      <c r="F231" s="7" t="s">
        <v>406</v>
      </c>
      <c r="G231" s="7" t="s">
        <v>55</v>
      </c>
      <c r="H231" s="7" t="s">
        <v>407</v>
      </c>
      <c r="I231" s="7" t="s">
        <v>47</v>
      </c>
      <c r="J231" s="7"/>
      <c r="K231" s="7" t="s">
        <v>407</v>
      </c>
      <c r="L231" s="7" t="s">
        <v>394</v>
      </c>
      <c r="M231" s="8">
        <v>6001.02</v>
      </c>
      <c r="N231" s="7" t="s">
        <v>395</v>
      </c>
      <c r="O231" s="10">
        <v>0.03</v>
      </c>
      <c r="P231" s="10">
        <v>0</v>
      </c>
      <c r="Q231" s="10">
        <v>0.03</v>
      </c>
    </row>
    <row r="232" spans="1:17">
      <c r="A232" s="6">
        <v>45869</v>
      </c>
      <c r="B232" s="7" t="s">
        <v>23</v>
      </c>
      <c r="C232" s="8" t="s">
        <v>23</v>
      </c>
      <c r="D232" s="7" t="s">
        <v>43</v>
      </c>
      <c r="E232" s="7" t="s">
        <v>406</v>
      </c>
      <c r="F232" s="7" t="s">
        <v>406</v>
      </c>
      <c r="G232" s="7" t="s">
        <v>55</v>
      </c>
      <c r="H232" s="7" t="s">
        <v>407</v>
      </c>
      <c r="I232" s="7" t="s">
        <v>47</v>
      </c>
      <c r="J232" s="7"/>
      <c r="K232" s="7" t="s">
        <v>407</v>
      </c>
      <c r="L232" s="7" t="s">
        <v>394</v>
      </c>
      <c r="M232" s="8">
        <v>6001.02</v>
      </c>
      <c r="N232" s="7" t="s">
        <v>395</v>
      </c>
      <c r="O232" s="10">
        <v>0.11</v>
      </c>
      <c r="P232" s="10">
        <v>0</v>
      </c>
      <c r="Q232" s="10">
        <v>0.11</v>
      </c>
    </row>
    <row r="233" spans="1:17">
      <c r="A233" s="6">
        <v>45869</v>
      </c>
      <c r="B233" s="7" t="s">
        <v>23</v>
      </c>
      <c r="C233" s="8" t="s">
        <v>23</v>
      </c>
      <c r="D233" s="7" t="s">
        <v>43</v>
      </c>
      <c r="E233" s="7" t="s">
        <v>406</v>
      </c>
      <c r="F233" s="7" t="s">
        <v>406</v>
      </c>
      <c r="G233" s="7" t="s">
        <v>55</v>
      </c>
      <c r="H233" s="7" t="s">
        <v>407</v>
      </c>
      <c r="I233" s="7" t="s">
        <v>47</v>
      </c>
      <c r="J233" s="7"/>
      <c r="K233" s="7" t="s">
        <v>407</v>
      </c>
      <c r="L233" s="7" t="s">
        <v>394</v>
      </c>
      <c r="M233" s="8">
        <v>6001.02</v>
      </c>
      <c r="N233" s="7" t="s">
        <v>395</v>
      </c>
      <c r="O233" s="10">
        <v>0.03</v>
      </c>
      <c r="P233" s="10">
        <v>0</v>
      </c>
      <c r="Q233" s="10">
        <v>0.03</v>
      </c>
    </row>
    <row r="234" spans="1:17">
      <c r="A234" s="6">
        <v>45869</v>
      </c>
      <c r="B234" s="7" t="s">
        <v>23</v>
      </c>
      <c r="C234" s="8" t="s">
        <v>23</v>
      </c>
      <c r="D234" s="7" t="s">
        <v>43</v>
      </c>
      <c r="E234" s="7" t="s">
        <v>406</v>
      </c>
      <c r="F234" s="7" t="s">
        <v>406</v>
      </c>
      <c r="G234" s="7" t="s">
        <v>55</v>
      </c>
      <c r="H234" s="7" t="s">
        <v>407</v>
      </c>
      <c r="I234" s="7" t="s">
        <v>47</v>
      </c>
      <c r="J234" s="7"/>
      <c r="K234" s="7" t="s">
        <v>407</v>
      </c>
      <c r="L234" s="7" t="s">
        <v>394</v>
      </c>
      <c r="M234" s="8">
        <v>6001.02</v>
      </c>
      <c r="N234" s="7" t="s">
        <v>395</v>
      </c>
      <c r="O234" s="10">
        <v>0.03</v>
      </c>
      <c r="P234" s="10">
        <v>0</v>
      </c>
      <c r="Q234" s="10">
        <v>0.03</v>
      </c>
    </row>
    <row r="235" spans="1:17">
      <c r="A235" s="6">
        <v>45869</v>
      </c>
      <c r="B235" s="7" t="s">
        <v>23</v>
      </c>
      <c r="C235" s="8" t="s">
        <v>23</v>
      </c>
      <c r="D235" s="7" t="s">
        <v>43</v>
      </c>
      <c r="E235" s="7" t="s">
        <v>406</v>
      </c>
      <c r="F235" s="7" t="s">
        <v>406</v>
      </c>
      <c r="G235" s="7" t="s">
        <v>55</v>
      </c>
      <c r="H235" s="7" t="s">
        <v>407</v>
      </c>
      <c r="I235" s="7" t="s">
        <v>47</v>
      </c>
      <c r="J235" s="7"/>
      <c r="K235" s="7" t="s">
        <v>407</v>
      </c>
      <c r="L235" s="7" t="s">
        <v>394</v>
      </c>
      <c r="M235" s="8">
        <v>6001.02</v>
      </c>
      <c r="N235" s="7" t="s">
        <v>395</v>
      </c>
      <c r="O235" s="10">
        <v>0.09</v>
      </c>
      <c r="P235" s="10">
        <v>0</v>
      </c>
      <c r="Q235" s="10">
        <v>0.09</v>
      </c>
    </row>
    <row r="236" spans="1:17">
      <c r="A236" s="6">
        <v>45869</v>
      </c>
      <c r="B236" s="7" t="s">
        <v>23</v>
      </c>
      <c r="C236" s="8" t="s">
        <v>23</v>
      </c>
      <c r="D236" s="7" t="s">
        <v>43</v>
      </c>
      <c r="E236" s="7" t="s">
        <v>406</v>
      </c>
      <c r="F236" s="7" t="s">
        <v>406</v>
      </c>
      <c r="G236" s="7" t="s">
        <v>55</v>
      </c>
      <c r="H236" s="7" t="s">
        <v>407</v>
      </c>
      <c r="I236" s="7" t="s">
        <v>47</v>
      </c>
      <c r="J236" s="7"/>
      <c r="K236" s="7" t="s">
        <v>407</v>
      </c>
      <c r="L236" s="7" t="s">
        <v>394</v>
      </c>
      <c r="M236" s="8">
        <v>6001.02</v>
      </c>
      <c r="N236" s="7" t="s">
        <v>395</v>
      </c>
      <c r="O236" s="10">
        <v>0.02</v>
      </c>
      <c r="P236" s="10">
        <v>0</v>
      </c>
      <c r="Q236" s="10">
        <v>0.02</v>
      </c>
    </row>
    <row r="237" spans="1:17">
      <c r="A237" s="6">
        <v>45869</v>
      </c>
      <c r="B237" s="7" t="s">
        <v>23</v>
      </c>
      <c r="C237" s="8" t="s">
        <v>23</v>
      </c>
      <c r="D237" s="7" t="s">
        <v>43</v>
      </c>
      <c r="E237" s="7" t="s">
        <v>406</v>
      </c>
      <c r="F237" s="7" t="s">
        <v>406</v>
      </c>
      <c r="G237" s="7" t="s">
        <v>55</v>
      </c>
      <c r="H237" s="7" t="s">
        <v>407</v>
      </c>
      <c r="I237" s="7" t="s">
        <v>47</v>
      </c>
      <c r="J237" s="7"/>
      <c r="K237" s="7" t="s">
        <v>407</v>
      </c>
      <c r="L237" s="7" t="s">
        <v>394</v>
      </c>
      <c r="M237" s="8">
        <v>6001.02</v>
      </c>
      <c r="N237" s="7" t="s">
        <v>395</v>
      </c>
      <c r="O237" s="10">
        <v>0.02</v>
      </c>
      <c r="P237" s="10">
        <v>0</v>
      </c>
      <c r="Q237" s="10">
        <v>0.02</v>
      </c>
    </row>
    <row r="238" spans="1:17">
      <c r="A238" s="6">
        <v>45869</v>
      </c>
      <c r="B238" s="7" t="s">
        <v>23</v>
      </c>
      <c r="C238" s="8" t="s">
        <v>23</v>
      </c>
      <c r="D238" s="7" t="s">
        <v>43</v>
      </c>
      <c r="E238" s="7" t="s">
        <v>406</v>
      </c>
      <c r="F238" s="7" t="s">
        <v>406</v>
      </c>
      <c r="G238" s="7" t="s">
        <v>55</v>
      </c>
      <c r="H238" s="7" t="s">
        <v>407</v>
      </c>
      <c r="I238" s="7" t="s">
        <v>47</v>
      </c>
      <c r="J238" s="7"/>
      <c r="K238" s="7" t="s">
        <v>407</v>
      </c>
      <c r="L238" s="7" t="s">
        <v>394</v>
      </c>
      <c r="M238" s="8">
        <v>6001.02</v>
      </c>
      <c r="N238" s="7" t="s">
        <v>395</v>
      </c>
      <c r="O238" s="10">
        <v>0.03</v>
      </c>
      <c r="P238" s="10">
        <v>0</v>
      </c>
      <c r="Q238" s="10">
        <v>0.03</v>
      </c>
    </row>
    <row r="239" spans="1:17">
      <c r="A239" s="6">
        <v>45869</v>
      </c>
      <c r="B239" s="7" t="s">
        <v>23</v>
      </c>
      <c r="C239" s="8" t="s">
        <v>23</v>
      </c>
      <c r="D239" s="7" t="s">
        <v>43</v>
      </c>
      <c r="E239" s="7" t="s">
        <v>406</v>
      </c>
      <c r="F239" s="7" t="s">
        <v>406</v>
      </c>
      <c r="G239" s="7" t="s">
        <v>55</v>
      </c>
      <c r="H239" s="7" t="s">
        <v>407</v>
      </c>
      <c r="I239" s="7" t="s">
        <v>47</v>
      </c>
      <c r="J239" s="7"/>
      <c r="K239" s="7" t="s">
        <v>407</v>
      </c>
      <c r="L239" s="7" t="s">
        <v>394</v>
      </c>
      <c r="M239" s="8">
        <v>6001.02</v>
      </c>
      <c r="N239" s="7" t="s">
        <v>395</v>
      </c>
      <c r="O239" s="10">
        <v>0.02</v>
      </c>
      <c r="P239" s="10">
        <v>0</v>
      </c>
      <c r="Q239" s="10">
        <v>0.02</v>
      </c>
    </row>
    <row r="240" spans="1:17">
      <c r="A240" s="6">
        <v>45869</v>
      </c>
      <c r="B240" s="7" t="s">
        <v>23</v>
      </c>
      <c r="C240" s="8" t="s">
        <v>23</v>
      </c>
      <c r="D240" s="7" t="s">
        <v>41</v>
      </c>
      <c r="E240" s="7" t="s">
        <v>406</v>
      </c>
      <c r="F240" s="7" t="s">
        <v>406</v>
      </c>
      <c r="G240" s="7" t="s">
        <v>55</v>
      </c>
      <c r="H240" s="7" t="s">
        <v>407</v>
      </c>
      <c r="I240" s="7" t="s">
        <v>47</v>
      </c>
      <c r="J240" s="7"/>
      <c r="K240" s="7" t="s">
        <v>407</v>
      </c>
      <c r="L240" s="7" t="s">
        <v>394</v>
      </c>
      <c r="M240" s="8">
        <v>6001.02</v>
      </c>
      <c r="N240" s="7" t="s">
        <v>395</v>
      </c>
      <c r="O240" s="10">
        <v>0.01</v>
      </c>
      <c r="P240" s="10">
        <v>0</v>
      </c>
      <c r="Q240" s="10">
        <v>0.01</v>
      </c>
    </row>
    <row r="241" spans="1:17">
      <c r="A241" s="6">
        <v>45869</v>
      </c>
      <c r="B241" s="7" t="s">
        <v>23</v>
      </c>
      <c r="C241" s="8" t="s">
        <v>23</v>
      </c>
      <c r="D241" s="7" t="s">
        <v>43</v>
      </c>
      <c r="E241" s="7" t="s">
        <v>406</v>
      </c>
      <c r="F241" s="7" t="s">
        <v>406</v>
      </c>
      <c r="G241" s="7" t="s">
        <v>55</v>
      </c>
      <c r="H241" s="7" t="s">
        <v>407</v>
      </c>
      <c r="I241" s="7" t="s">
        <v>47</v>
      </c>
      <c r="J241" s="7"/>
      <c r="K241" s="7" t="s">
        <v>407</v>
      </c>
      <c r="L241" s="7" t="s">
        <v>394</v>
      </c>
      <c r="M241" s="8">
        <v>6001.02</v>
      </c>
      <c r="N241" s="7" t="s">
        <v>395</v>
      </c>
      <c r="O241" s="10">
        <v>0.03</v>
      </c>
      <c r="P241" s="10">
        <v>0</v>
      </c>
      <c r="Q241" s="10">
        <v>0.03</v>
      </c>
    </row>
    <row r="242" spans="1:17">
      <c r="A242" s="6">
        <v>45869</v>
      </c>
      <c r="B242" s="7" t="s">
        <v>23</v>
      </c>
      <c r="C242" s="8" t="s">
        <v>23</v>
      </c>
      <c r="D242" s="7" t="s">
        <v>43</v>
      </c>
      <c r="E242" s="7" t="s">
        <v>406</v>
      </c>
      <c r="F242" s="7" t="s">
        <v>406</v>
      </c>
      <c r="G242" s="7" t="s">
        <v>55</v>
      </c>
      <c r="H242" s="7" t="s">
        <v>407</v>
      </c>
      <c r="I242" s="7" t="s">
        <v>47</v>
      </c>
      <c r="J242" s="7"/>
      <c r="K242" s="7" t="s">
        <v>407</v>
      </c>
      <c r="L242" s="7" t="s">
        <v>394</v>
      </c>
      <c r="M242" s="8">
        <v>6001.02</v>
      </c>
      <c r="N242" s="7" t="s">
        <v>395</v>
      </c>
      <c r="O242" s="10">
        <v>0.12</v>
      </c>
      <c r="P242" s="10">
        <v>0</v>
      </c>
      <c r="Q242" s="10">
        <v>0.12</v>
      </c>
    </row>
    <row r="243" spans="1:17">
      <c r="A243" s="6">
        <v>45869</v>
      </c>
      <c r="B243" s="7" t="s">
        <v>23</v>
      </c>
      <c r="C243" s="8" t="s">
        <v>23</v>
      </c>
      <c r="D243" s="7" t="s">
        <v>41</v>
      </c>
      <c r="E243" s="7" t="s">
        <v>406</v>
      </c>
      <c r="F243" s="7" t="s">
        <v>406</v>
      </c>
      <c r="G243" s="7" t="s">
        <v>55</v>
      </c>
      <c r="H243" s="7" t="s">
        <v>407</v>
      </c>
      <c r="I243" s="7" t="s">
        <v>47</v>
      </c>
      <c r="J243" s="7"/>
      <c r="K243" s="7" t="s">
        <v>407</v>
      </c>
      <c r="L243" s="7" t="s">
        <v>394</v>
      </c>
      <c r="M243" s="8">
        <v>6001.02</v>
      </c>
      <c r="N243" s="7" t="s">
        <v>395</v>
      </c>
      <c r="O243" s="10">
        <v>0.1</v>
      </c>
      <c r="P243" s="10">
        <v>0</v>
      </c>
      <c r="Q243" s="10">
        <v>0.1</v>
      </c>
    </row>
    <row r="244" spans="1:17">
      <c r="A244" s="6">
        <v>45869</v>
      </c>
      <c r="B244" s="7" t="s">
        <v>23</v>
      </c>
      <c r="C244" s="8" t="s">
        <v>23</v>
      </c>
      <c r="D244" s="7" t="s">
        <v>43</v>
      </c>
      <c r="E244" s="7" t="s">
        <v>406</v>
      </c>
      <c r="F244" s="7" t="s">
        <v>406</v>
      </c>
      <c r="G244" s="7" t="s">
        <v>55</v>
      </c>
      <c r="H244" s="7" t="s">
        <v>407</v>
      </c>
      <c r="I244" s="7" t="s">
        <v>47</v>
      </c>
      <c r="J244" s="7"/>
      <c r="K244" s="7" t="s">
        <v>407</v>
      </c>
      <c r="L244" s="7" t="s">
        <v>394</v>
      </c>
      <c r="M244" s="8">
        <v>6001.02</v>
      </c>
      <c r="N244" s="7" t="s">
        <v>395</v>
      </c>
      <c r="O244" s="10">
        <v>0.03</v>
      </c>
      <c r="P244" s="10">
        <v>0</v>
      </c>
      <c r="Q244" s="10">
        <v>0.03</v>
      </c>
    </row>
    <row r="245" spans="1:17">
      <c r="A245" s="6">
        <v>45869</v>
      </c>
      <c r="B245" s="7" t="s">
        <v>23</v>
      </c>
      <c r="C245" s="8" t="s">
        <v>23</v>
      </c>
      <c r="D245" s="7" t="s">
        <v>43</v>
      </c>
      <c r="E245" s="7" t="s">
        <v>406</v>
      </c>
      <c r="F245" s="7" t="s">
        <v>406</v>
      </c>
      <c r="G245" s="7" t="s">
        <v>55</v>
      </c>
      <c r="H245" s="7" t="s">
        <v>407</v>
      </c>
      <c r="I245" s="7" t="s">
        <v>47</v>
      </c>
      <c r="J245" s="7"/>
      <c r="K245" s="7" t="s">
        <v>407</v>
      </c>
      <c r="L245" s="7" t="s">
        <v>394</v>
      </c>
      <c r="M245" s="8">
        <v>6001.02</v>
      </c>
      <c r="N245" s="7" t="s">
        <v>395</v>
      </c>
      <c r="O245" s="10">
        <v>0.01</v>
      </c>
      <c r="P245" s="10">
        <v>0</v>
      </c>
      <c r="Q245" s="10">
        <v>0.01</v>
      </c>
    </row>
    <row r="246" spans="1:17">
      <c r="A246" s="6">
        <v>45869</v>
      </c>
      <c r="B246" s="7" t="s">
        <v>23</v>
      </c>
      <c r="C246" s="8" t="s">
        <v>23</v>
      </c>
      <c r="D246" s="7" t="s">
        <v>43</v>
      </c>
      <c r="E246" s="7" t="s">
        <v>406</v>
      </c>
      <c r="F246" s="7" t="s">
        <v>406</v>
      </c>
      <c r="G246" s="7" t="s">
        <v>55</v>
      </c>
      <c r="H246" s="7" t="s">
        <v>407</v>
      </c>
      <c r="I246" s="7" t="s">
        <v>47</v>
      </c>
      <c r="J246" s="7"/>
      <c r="K246" s="7" t="s">
        <v>407</v>
      </c>
      <c r="L246" s="7" t="s">
        <v>394</v>
      </c>
      <c r="M246" s="8">
        <v>6001.02</v>
      </c>
      <c r="N246" s="7" t="s">
        <v>395</v>
      </c>
      <c r="O246" s="10">
        <v>0.03</v>
      </c>
      <c r="P246" s="10">
        <v>0</v>
      </c>
      <c r="Q246" s="10">
        <v>0.03</v>
      </c>
    </row>
    <row r="247" spans="1:17">
      <c r="A247" s="6">
        <v>45869</v>
      </c>
      <c r="B247" s="7" t="s">
        <v>23</v>
      </c>
      <c r="C247" s="8" t="s">
        <v>23</v>
      </c>
      <c r="D247" s="7" t="s">
        <v>43</v>
      </c>
      <c r="E247" s="7" t="s">
        <v>406</v>
      </c>
      <c r="F247" s="7" t="s">
        <v>406</v>
      </c>
      <c r="G247" s="7" t="s">
        <v>55</v>
      </c>
      <c r="H247" s="7" t="s">
        <v>407</v>
      </c>
      <c r="I247" s="7" t="s">
        <v>47</v>
      </c>
      <c r="J247" s="7"/>
      <c r="K247" s="7" t="s">
        <v>407</v>
      </c>
      <c r="L247" s="7" t="s">
        <v>394</v>
      </c>
      <c r="M247" s="8">
        <v>6001.02</v>
      </c>
      <c r="N247" s="7" t="s">
        <v>395</v>
      </c>
      <c r="O247" s="10">
        <v>0.03</v>
      </c>
      <c r="P247" s="10">
        <v>0</v>
      </c>
      <c r="Q247" s="10">
        <v>0.03</v>
      </c>
    </row>
    <row r="248" spans="1:17">
      <c r="A248" s="6">
        <v>45869</v>
      </c>
      <c r="B248" s="7" t="s">
        <v>23</v>
      </c>
      <c r="C248" s="8" t="s">
        <v>23</v>
      </c>
      <c r="D248" s="7" t="s">
        <v>43</v>
      </c>
      <c r="E248" s="7" t="s">
        <v>406</v>
      </c>
      <c r="F248" s="7" t="s">
        <v>406</v>
      </c>
      <c r="G248" s="7" t="s">
        <v>55</v>
      </c>
      <c r="H248" s="7" t="s">
        <v>407</v>
      </c>
      <c r="I248" s="7" t="s">
        <v>47</v>
      </c>
      <c r="J248" s="7"/>
      <c r="K248" s="7" t="s">
        <v>407</v>
      </c>
      <c r="L248" s="7" t="s">
        <v>394</v>
      </c>
      <c r="M248" s="8">
        <v>6001.02</v>
      </c>
      <c r="N248" s="7" t="s">
        <v>395</v>
      </c>
      <c r="O248" s="10">
        <v>0.06</v>
      </c>
      <c r="P248" s="10">
        <v>0</v>
      </c>
      <c r="Q248" s="10">
        <v>0.06</v>
      </c>
    </row>
    <row r="249" spans="1:17">
      <c r="A249" s="6">
        <v>45869</v>
      </c>
      <c r="B249" s="7" t="s">
        <v>23</v>
      </c>
      <c r="C249" s="8" t="s">
        <v>23</v>
      </c>
      <c r="D249" s="7" t="s">
        <v>43</v>
      </c>
      <c r="E249" s="7" t="s">
        <v>406</v>
      </c>
      <c r="F249" s="7" t="s">
        <v>406</v>
      </c>
      <c r="G249" s="7" t="s">
        <v>55</v>
      </c>
      <c r="H249" s="7" t="s">
        <v>407</v>
      </c>
      <c r="I249" s="7" t="s">
        <v>47</v>
      </c>
      <c r="J249" s="7"/>
      <c r="K249" s="7" t="s">
        <v>407</v>
      </c>
      <c r="L249" s="7" t="s">
        <v>394</v>
      </c>
      <c r="M249" s="8">
        <v>6001.02</v>
      </c>
      <c r="N249" s="7" t="s">
        <v>395</v>
      </c>
      <c r="O249" s="10">
        <v>0.07</v>
      </c>
      <c r="P249" s="10">
        <v>0</v>
      </c>
      <c r="Q249" s="10">
        <v>0.07</v>
      </c>
    </row>
    <row r="250" spans="1:17">
      <c r="A250" s="6">
        <v>45869</v>
      </c>
      <c r="B250" s="7" t="s">
        <v>23</v>
      </c>
      <c r="C250" s="8" t="s">
        <v>23</v>
      </c>
      <c r="D250" s="7" t="s">
        <v>43</v>
      </c>
      <c r="E250" s="7" t="s">
        <v>406</v>
      </c>
      <c r="F250" s="7" t="s">
        <v>406</v>
      </c>
      <c r="G250" s="7" t="s">
        <v>55</v>
      </c>
      <c r="H250" s="7" t="s">
        <v>407</v>
      </c>
      <c r="I250" s="7" t="s">
        <v>47</v>
      </c>
      <c r="J250" s="7"/>
      <c r="K250" s="7" t="s">
        <v>407</v>
      </c>
      <c r="L250" s="7" t="s">
        <v>394</v>
      </c>
      <c r="M250" s="8">
        <v>6001.02</v>
      </c>
      <c r="N250" s="7" t="s">
        <v>395</v>
      </c>
      <c r="O250" s="10">
        <v>0.22</v>
      </c>
      <c r="P250" s="10">
        <v>0</v>
      </c>
      <c r="Q250" s="10">
        <v>0.22</v>
      </c>
    </row>
    <row r="251" spans="1:17">
      <c r="A251" s="6">
        <v>45869</v>
      </c>
      <c r="B251" s="7" t="s">
        <v>23</v>
      </c>
      <c r="C251" s="8" t="s">
        <v>23</v>
      </c>
      <c r="D251" s="7" t="s">
        <v>43</v>
      </c>
      <c r="E251" s="7" t="s">
        <v>406</v>
      </c>
      <c r="F251" s="7" t="s">
        <v>406</v>
      </c>
      <c r="G251" s="7" t="s">
        <v>55</v>
      </c>
      <c r="H251" s="7" t="s">
        <v>407</v>
      </c>
      <c r="I251" s="7" t="s">
        <v>47</v>
      </c>
      <c r="J251" s="7"/>
      <c r="K251" s="7" t="s">
        <v>407</v>
      </c>
      <c r="L251" s="7" t="s">
        <v>394</v>
      </c>
      <c r="M251" s="8">
        <v>6001.02</v>
      </c>
      <c r="N251" s="7" t="s">
        <v>395</v>
      </c>
      <c r="O251" s="10">
        <v>0.03</v>
      </c>
      <c r="P251" s="10">
        <v>0</v>
      </c>
      <c r="Q251" s="10">
        <v>0.03</v>
      </c>
    </row>
    <row r="252" spans="1:17">
      <c r="A252" s="6">
        <v>45869</v>
      </c>
      <c r="B252" s="7" t="s">
        <v>23</v>
      </c>
      <c r="C252" s="8" t="s">
        <v>23</v>
      </c>
      <c r="D252" s="7" t="s">
        <v>41</v>
      </c>
      <c r="E252" s="7" t="s">
        <v>406</v>
      </c>
      <c r="F252" s="7" t="s">
        <v>406</v>
      </c>
      <c r="G252" s="7" t="s">
        <v>55</v>
      </c>
      <c r="H252" s="7" t="s">
        <v>407</v>
      </c>
      <c r="I252" s="7" t="s">
        <v>47</v>
      </c>
      <c r="J252" s="7"/>
      <c r="K252" s="7" t="s">
        <v>407</v>
      </c>
      <c r="L252" s="7" t="s">
        <v>394</v>
      </c>
      <c r="M252" s="8">
        <v>6001.02</v>
      </c>
      <c r="N252" s="7" t="s">
        <v>395</v>
      </c>
      <c r="O252" s="10">
        <v>16.31</v>
      </c>
      <c r="P252" s="10">
        <v>0</v>
      </c>
      <c r="Q252" s="10">
        <v>16.31</v>
      </c>
    </row>
    <row r="253" spans="1:17">
      <c r="A253" s="6">
        <v>45869</v>
      </c>
      <c r="B253" s="7" t="s">
        <v>23</v>
      </c>
      <c r="C253" s="8" t="s">
        <v>23</v>
      </c>
      <c r="D253" s="7" t="s">
        <v>46</v>
      </c>
      <c r="E253" s="7" t="s">
        <v>406</v>
      </c>
      <c r="F253" s="7" t="s">
        <v>406</v>
      </c>
      <c r="G253" s="7" t="s">
        <v>160</v>
      </c>
      <c r="H253" s="7" t="s">
        <v>407</v>
      </c>
      <c r="I253" s="7" t="s">
        <v>47</v>
      </c>
      <c r="J253" s="7"/>
      <c r="K253" s="7" t="s">
        <v>407</v>
      </c>
      <c r="L253" s="7" t="s">
        <v>394</v>
      </c>
      <c r="M253" s="8">
        <v>6001.02</v>
      </c>
      <c r="N253" s="7" t="s">
        <v>395</v>
      </c>
      <c r="O253" s="10">
        <v>-5400</v>
      </c>
      <c r="P253" s="10">
        <v>0</v>
      </c>
      <c r="Q253" s="10">
        <v>-5400</v>
      </c>
    </row>
    <row r="254" spans="1:17">
      <c r="A254" s="6">
        <v>45869</v>
      </c>
      <c r="B254" s="7" t="s">
        <v>23</v>
      </c>
      <c r="C254" s="8" t="s">
        <v>23</v>
      </c>
      <c r="D254" s="7" t="s">
        <v>46</v>
      </c>
      <c r="E254" s="7" t="s">
        <v>406</v>
      </c>
      <c r="F254" s="7" t="s">
        <v>406</v>
      </c>
      <c r="G254" s="7" t="s">
        <v>160</v>
      </c>
      <c r="H254" s="7" t="s">
        <v>407</v>
      </c>
      <c r="I254" s="7" t="s">
        <v>47</v>
      </c>
      <c r="J254" s="7"/>
      <c r="K254" s="7" t="s">
        <v>407</v>
      </c>
      <c r="L254" s="7" t="s">
        <v>394</v>
      </c>
      <c r="M254" s="8">
        <v>6001.02</v>
      </c>
      <c r="N254" s="7" t="s">
        <v>395</v>
      </c>
      <c r="O254" s="10">
        <v>-253818</v>
      </c>
      <c r="P254" s="10">
        <v>0</v>
      </c>
      <c r="Q254" s="10">
        <v>-253818</v>
      </c>
    </row>
    <row r="255" spans="1:17">
      <c r="A255" s="6">
        <v>45869</v>
      </c>
      <c r="B255" s="7" t="s">
        <v>23</v>
      </c>
      <c r="C255" s="8" t="s">
        <v>23</v>
      </c>
      <c r="D255" s="7" t="s">
        <v>46</v>
      </c>
      <c r="E255" s="7" t="s">
        <v>406</v>
      </c>
      <c r="F255" s="7" t="s">
        <v>406</v>
      </c>
      <c r="G255" s="7" t="s">
        <v>44</v>
      </c>
      <c r="H255" s="7" t="s">
        <v>407</v>
      </c>
      <c r="I255" s="7" t="s">
        <v>47</v>
      </c>
      <c r="J255" s="7"/>
      <c r="K255" s="7" t="s">
        <v>407</v>
      </c>
      <c r="L255" s="7" t="s">
        <v>394</v>
      </c>
      <c r="M255" s="8">
        <v>6001.02</v>
      </c>
      <c r="N255" s="7" t="s">
        <v>395</v>
      </c>
      <c r="O255" s="10">
        <v>-225000</v>
      </c>
      <c r="P255" s="10">
        <v>0</v>
      </c>
      <c r="Q255" s="10">
        <v>-225000</v>
      </c>
    </row>
    <row r="256" spans="1:17">
      <c r="A256" s="6">
        <v>45869</v>
      </c>
      <c r="B256" s="7" t="s">
        <v>23</v>
      </c>
      <c r="C256" s="8" t="s">
        <v>23</v>
      </c>
      <c r="D256" s="7" t="s">
        <v>46</v>
      </c>
      <c r="E256" s="7" t="s">
        <v>406</v>
      </c>
      <c r="F256" s="7" t="s">
        <v>406</v>
      </c>
      <c r="G256" s="7" t="s">
        <v>160</v>
      </c>
      <c r="H256" s="7" t="s">
        <v>407</v>
      </c>
      <c r="I256" s="7" t="s">
        <v>47</v>
      </c>
      <c r="J256" s="7"/>
      <c r="K256" s="7" t="s">
        <v>407</v>
      </c>
      <c r="L256" s="7" t="s">
        <v>394</v>
      </c>
      <c r="M256" s="8">
        <v>6001.02</v>
      </c>
      <c r="N256" s="7" t="s">
        <v>395</v>
      </c>
      <c r="O256" s="10">
        <v>-42600</v>
      </c>
      <c r="P256" s="10">
        <v>0</v>
      </c>
      <c r="Q256" s="10">
        <v>-42600</v>
      </c>
    </row>
    <row r="257" spans="1:17">
      <c r="A257" s="6">
        <v>45869</v>
      </c>
      <c r="B257" s="7" t="s">
        <v>23</v>
      </c>
      <c r="C257" s="8" t="s">
        <v>23</v>
      </c>
      <c r="D257" s="7" t="s">
        <v>46</v>
      </c>
      <c r="E257" s="7" t="s">
        <v>406</v>
      </c>
      <c r="F257" s="7" t="s">
        <v>406</v>
      </c>
      <c r="G257" s="7" t="s">
        <v>44</v>
      </c>
      <c r="H257" s="7" t="s">
        <v>407</v>
      </c>
      <c r="I257" s="7" t="s">
        <v>47</v>
      </c>
      <c r="J257" s="7"/>
      <c r="K257" s="7" t="s">
        <v>407</v>
      </c>
      <c r="L257" s="7" t="s">
        <v>394</v>
      </c>
      <c r="M257" s="8">
        <v>6001.02</v>
      </c>
      <c r="N257" s="7" t="s">
        <v>395</v>
      </c>
      <c r="O257" s="10">
        <v>-226683</v>
      </c>
      <c r="P257" s="10">
        <v>0</v>
      </c>
      <c r="Q257" s="10">
        <v>-226683</v>
      </c>
    </row>
    <row r="258" spans="1:17">
      <c r="A258" s="6">
        <v>45869</v>
      </c>
      <c r="B258" s="7" t="s">
        <v>23</v>
      </c>
      <c r="C258" s="8" t="s">
        <v>23</v>
      </c>
      <c r="D258" s="7" t="s">
        <v>43</v>
      </c>
      <c r="E258" s="7" t="s">
        <v>406</v>
      </c>
      <c r="F258" s="7" t="s">
        <v>406</v>
      </c>
      <c r="G258" s="7" t="s">
        <v>79</v>
      </c>
      <c r="H258" s="7" t="s">
        <v>407</v>
      </c>
      <c r="I258" s="7" t="s">
        <v>47</v>
      </c>
      <c r="J258" s="7"/>
      <c r="K258" s="7" t="s">
        <v>407</v>
      </c>
      <c r="L258" s="7" t="s">
        <v>394</v>
      </c>
      <c r="M258" s="8">
        <v>6001.02</v>
      </c>
      <c r="N258" s="7" t="s">
        <v>395</v>
      </c>
      <c r="O258" s="10">
        <v>-10</v>
      </c>
      <c r="P258" s="10">
        <v>0</v>
      </c>
      <c r="Q258" s="10">
        <v>-10</v>
      </c>
    </row>
    <row r="259" spans="1:17">
      <c r="A259" s="6">
        <v>45869</v>
      </c>
      <c r="B259" s="7" t="s">
        <v>23</v>
      </c>
      <c r="C259" s="8" t="s">
        <v>23</v>
      </c>
      <c r="D259" s="7" t="s">
        <v>79</v>
      </c>
      <c r="E259" s="7" t="s">
        <v>406</v>
      </c>
      <c r="F259" s="7" t="s">
        <v>406</v>
      </c>
      <c r="G259" s="7" t="s">
        <v>43</v>
      </c>
      <c r="H259" s="7" t="s">
        <v>407</v>
      </c>
      <c r="I259" s="7" t="s">
        <v>47</v>
      </c>
      <c r="J259" s="7"/>
      <c r="K259" s="7" t="s">
        <v>407</v>
      </c>
      <c r="L259" s="7" t="s">
        <v>394</v>
      </c>
      <c r="M259" s="8">
        <v>6001.02</v>
      </c>
      <c r="N259" s="7" t="s">
        <v>395</v>
      </c>
      <c r="O259" s="10">
        <v>24.55</v>
      </c>
      <c r="P259" s="10">
        <v>0</v>
      </c>
      <c r="Q259" s="10">
        <v>24.55</v>
      </c>
    </row>
    <row r="260" spans="1:17">
      <c r="A260" s="6">
        <v>45869</v>
      </c>
      <c r="B260" s="7" t="s">
        <v>23</v>
      </c>
      <c r="C260" s="8" t="s">
        <v>23</v>
      </c>
      <c r="D260" s="7" t="s">
        <v>43</v>
      </c>
      <c r="E260" s="7" t="s">
        <v>406</v>
      </c>
      <c r="F260" s="7" t="s">
        <v>406</v>
      </c>
      <c r="G260" s="7" t="s">
        <v>79</v>
      </c>
      <c r="H260" s="7" t="s">
        <v>407</v>
      </c>
      <c r="I260" s="7" t="s">
        <v>47</v>
      </c>
      <c r="J260" s="7"/>
      <c r="K260" s="7" t="s">
        <v>407</v>
      </c>
      <c r="L260" s="7" t="s">
        <v>394</v>
      </c>
      <c r="M260" s="8">
        <v>6001.02</v>
      </c>
      <c r="N260" s="7" t="s">
        <v>395</v>
      </c>
      <c r="O260" s="10">
        <v>-14.85</v>
      </c>
      <c r="P260" s="10">
        <v>0</v>
      </c>
      <c r="Q260" s="10">
        <v>-14.85</v>
      </c>
    </row>
    <row r="261" spans="1:17">
      <c r="A261" s="6">
        <v>45869</v>
      </c>
      <c r="B261" s="7" t="s">
        <v>23</v>
      </c>
      <c r="C261" s="8" t="s">
        <v>23</v>
      </c>
      <c r="D261" s="7" t="s">
        <v>43</v>
      </c>
      <c r="E261" s="7" t="s">
        <v>406</v>
      </c>
      <c r="F261" s="7" t="s">
        <v>406</v>
      </c>
      <c r="G261" s="7" t="s">
        <v>55</v>
      </c>
      <c r="H261" s="7" t="s">
        <v>407</v>
      </c>
      <c r="I261" s="7" t="s">
        <v>47</v>
      </c>
      <c r="J261" s="7"/>
      <c r="K261" s="7" t="s">
        <v>407</v>
      </c>
      <c r="L261" s="7" t="s">
        <v>394</v>
      </c>
      <c r="M261" s="8">
        <v>6001.02</v>
      </c>
      <c r="N261" s="7" t="s">
        <v>395</v>
      </c>
      <c r="O261" s="10">
        <v>-2000</v>
      </c>
      <c r="P261" s="10">
        <v>0</v>
      </c>
      <c r="Q261" s="10">
        <v>-2000</v>
      </c>
    </row>
    <row r="262" spans="1:17">
      <c r="A262" s="6">
        <v>45869</v>
      </c>
      <c r="B262" s="7" t="s">
        <v>23</v>
      </c>
      <c r="C262" s="8" t="s">
        <v>23</v>
      </c>
      <c r="D262" s="7" t="s">
        <v>79</v>
      </c>
      <c r="E262" s="7" t="s">
        <v>406</v>
      </c>
      <c r="F262" s="7" t="s">
        <v>406</v>
      </c>
      <c r="G262" s="7" t="s">
        <v>43</v>
      </c>
      <c r="H262" s="7" t="s">
        <v>407</v>
      </c>
      <c r="I262" s="7" t="s">
        <v>47</v>
      </c>
      <c r="J262" s="7"/>
      <c r="K262" s="7" t="s">
        <v>407</v>
      </c>
      <c r="L262" s="7" t="s">
        <v>394</v>
      </c>
      <c r="M262" s="8">
        <v>6001.02</v>
      </c>
      <c r="N262" s="7" t="s">
        <v>395</v>
      </c>
      <c r="O262" s="10">
        <v>5.15</v>
      </c>
      <c r="P262" s="10">
        <v>0</v>
      </c>
      <c r="Q262" s="10">
        <v>5.15</v>
      </c>
    </row>
    <row r="263" spans="1:17">
      <c r="A263" s="6">
        <v>45869</v>
      </c>
      <c r="B263" s="7" t="s">
        <v>23</v>
      </c>
      <c r="C263" s="8" t="s">
        <v>23</v>
      </c>
      <c r="D263" s="7" t="s">
        <v>43</v>
      </c>
      <c r="E263" s="7" t="s">
        <v>406</v>
      </c>
      <c r="F263" s="7" t="s">
        <v>406</v>
      </c>
      <c r="G263" s="7" t="s">
        <v>41</v>
      </c>
      <c r="H263" s="7" t="s">
        <v>407</v>
      </c>
      <c r="I263" s="7" t="s">
        <v>47</v>
      </c>
      <c r="J263" s="7"/>
      <c r="K263" s="7" t="s">
        <v>407</v>
      </c>
      <c r="L263" s="7" t="s">
        <v>394</v>
      </c>
      <c r="M263" s="8">
        <v>6001.02</v>
      </c>
      <c r="N263" s="7" t="s">
        <v>395</v>
      </c>
      <c r="O263" s="10">
        <v>-43.02</v>
      </c>
      <c r="P263" s="10">
        <v>0</v>
      </c>
      <c r="Q263" s="10">
        <v>-43.02</v>
      </c>
    </row>
    <row r="264" spans="1:17">
      <c r="A264" s="6">
        <v>45869</v>
      </c>
      <c r="B264" s="7" t="s">
        <v>23</v>
      </c>
      <c r="C264" s="8" t="s">
        <v>23</v>
      </c>
      <c r="D264" s="7" t="s">
        <v>79</v>
      </c>
      <c r="E264" s="7" t="s">
        <v>406</v>
      </c>
      <c r="F264" s="7" t="s">
        <v>406</v>
      </c>
      <c r="G264" s="7" t="s">
        <v>43</v>
      </c>
      <c r="H264" s="7" t="s">
        <v>407</v>
      </c>
      <c r="I264" s="7" t="s">
        <v>47</v>
      </c>
      <c r="J264" s="7"/>
      <c r="K264" s="7" t="s">
        <v>407</v>
      </c>
      <c r="L264" s="7" t="s">
        <v>394</v>
      </c>
      <c r="M264" s="8">
        <v>6001.02</v>
      </c>
      <c r="N264" s="7" t="s">
        <v>395</v>
      </c>
      <c r="O264" s="10">
        <v>4.85</v>
      </c>
      <c r="P264" s="10">
        <v>0</v>
      </c>
      <c r="Q264" s="10">
        <v>4.85</v>
      </c>
    </row>
    <row r="265" spans="1:17">
      <c r="A265" s="6">
        <v>45869</v>
      </c>
      <c r="B265" s="7" t="s">
        <v>23</v>
      </c>
      <c r="C265" s="8" t="s">
        <v>23</v>
      </c>
      <c r="D265" s="7" t="s">
        <v>79</v>
      </c>
      <c r="E265" s="7" t="s">
        <v>406</v>
      </c>
      <c r="F265" s="7" t="s">
        <v>406</v>
      </c>
      <c r="G265" s="7" t="s">
        <v>43</v>
      </c>
      <c r="H265" s="7" t="s">
        <v>407</v>
      </c>
      <c r="I265" s="7" t="s">
        <v>47</v>
      </c>
      <c r="J265" s="7"/>
      <c r="K265" s="7" t="s">
        <v>407</v>
      </c>
      <c r="L265" s="7" t="s">
        <v>394</v>
      </c>
      <c r="M265" s="8">
        <v>6001.02</v>
      </c>
      <c r="N265" s="7" t="s">
        <v>395</v>
      </c>
      <c r="O265" s="10">
        <v>4.85</v>
      </c>
      <c r="P265" s="10">
        <v>0</v>
      </c>
      <c r="Q265" s="10">
        <v>4.85</v>
      </c>
    </row>
    <row r="266" spans="1:17">
      <c r="A266" s="6">
        <v>45869</v>
      </c>
      <c r="B266" s="7" t="s">
        <v>23</v>
      </c>
      <c r="C266" s="8" t="s">
        <v>23</v>
      </c>
      <c r="D266" s="7" t="s">
        <v>43</v>
      </c>
      <c r="E266" s="7" t="s">
        <v>406</v>
      </c>
      <c r="F266" s="7" t="s">
        <v>406</v>
      </c>
      <c r="G266" s="7" t="s">
        <v>79</v>
      </c>
      <c r="H266" s="7" t="s">
        <v>407</v>
      </c>
      <c r="I266" s="7" t="s">
        <v>47</v>
      </c>
      <c r="J266" s="7"/>
      <c r="K266" s="7" t="s">
        <v>407</v>
      </c>
      <c r="L266" s="7" t="s">
        <v>394</v>
      </c>
      <c r="M266" s="8">
        <v>6001.02</v>
      </c>
      <c r="N266" s="7" t="s">
        <v>395</v>
      </c>
      <c r="O266" s="10">
        <v>-4.85</v>
      </c>
      <c r="P266" s="10">
        <v>0</v>
      </c>
      <c r="Q266" s="10">
        <v>-4.85</v>
      </c>
    </row>
    <row r="267" spans="1:17">
      <c r="A267" s="6">
        <v>45869</v>
      </c>
      <c r="B267" s="7" t="s">
        <v>23</v>
      </c>
      <c r="C267" s="8" t="s">
        <v>23</v>
      </c>
      <c r="D267" s="7" t="s">
        <v>43</v>
      </c>
      <c r="E267" s="7" t="s">
        <v>406</v>
      </c>
      <c r="F267" s="7" t="s">
        <v>406</v>
      </c>
      <c r="G267" s="7" t="s">
        <v>79</v>
      </c>
      <c r="H267" s="7" t="s">
        <v>407</v>
      </c>
      <c r="I267" s="7" t="s">
        <v>47</v>
      </c>
      <c r="J267" s="7"/>
      <c r="K267" s="7" t="s">
        <v>407</v>
      </c>
      <c r="L267" s="7" t="s">
        <v>394</v>
      </c>
      <c r="M267" s="8">
        <v>6001.02</v>
      </c>
      <c r="N267" s="7" t="s">
        <v>395</v>
      </c>
      <c r="O267" s="10">
        <v>-4.85</v>
      </c>
      <c r="P267" s="10">
        <v>0</v>
      </c>
      <c r="Q267" s="10">
        <v>-4.85</v>
      </c>
    </row>
    <row r="268" spans="1:17">
      <c r="A268" s="6">
        <v>45869</v>
      </c>
      <c r="B268" s="7" t="s">
        <v>23</v>
      </c>
      <c r="C268" s="8" t="s">
        <v>23</v>
      </c>
      <c r="D268" s="7" t="s">
        <v>43</v>
      </c>
      <c r="E268" s="7" t="s">
        <v>406</v>
      </c>
      <c r="F268" s="7" t="s">
        <v>406</v>
      </c>
      <c r="G268" s="7" t="s">
        <v>79</v>
      </c>
      <c r="H268" s="7" t="s">
        <v>407</v>
      </c>
      <c r="I268" s="7" t="s">
        <v>47</v>
      </c>
      <c r="J268" s="7"/>
      <c r="K268" s="7" t="s">
        <v>407</v>
      </c>
      <c r="L268" s="7" t="s">
        <v>394</v>
      </c>
      <c r="M268" s="8">
        <v>6001.02</v>
      </c>
      <c r="N268" s="7" t="s">
        <v>395</v>
      </c>
      <c r="O268" s="10">
        <v>-34.25</v>
      </c>
      <c r="P268" s="10">
        <v>0</v>
      </c>
      <c r="Q268" s="10">
        <v>-34.25</v>
      </c>
    </row>
    <row r="269" spans="1:17">
      <c r="A269" s="6">
        <v>45869</v>
      </c>
      <c r="B269" s="7" t="s">
        <v>23</v>
      </c>
      <c r="C269" s="8" t="s">
        <v>23</v>
      </c>
      <c r="D269" s="7" t="s">
        <v>43</v>
      </c>
      <c r="E269" s="7" t="s">
        <v>406</v>
      </c>
      <c r="F269" s="7" t="s">
        <v>406</v>
      </c>
      <c r="G269" s="7" t="s">
        <v>79</v>
      </c>
      <c r="H269" s="7" t="s">
        <v>407</v>
      </c>
      <c r="I269" s="7" t="s">
        <v>47</v>
      </c>
      <c r="J269" s="7"/>
      <c r="K269" s="7" t="s">
        <v>407</v>
      </c>
      <c r="L269" s="7" t="s">
        <v>394</v>
      </c>
      <c r="M269" s="8">
        <v>6001.02</v>
      </c>
      <c r="N269" s="7" t="s">
        <v>395</v>
      </c>
      <c r="O269" s="10">
        <v>-39.7</v>
      </c>
      <c r="P269" s="10">
        <v>0</v>
      </c>
      <c r="Q269" s="10">
        <v>-39.7</v>
      </c>
    </row>
    <row r="270" spans="1:17">
      <c r="A270" s="6">
        <v>45869</v>
      </c>
      <c r="B270" s="7" t="s">
        <v>23</v>
      </c>
      <c r="C270" s="8" t="s">
        <v>23</v>
      </c>
      <c r="D270" s="7" t="s">
        <v>43</v>
      </c>
      <c r="E270" s="7" t="s">
        <v>406</v>
      </c>
      <c r="F270" s="7" t="s">
        <v>406</v>
      </c>
      <c r="G270" s="7" t="s">
        <v>79</v>
      </c>
      <c r="H270" s="7" t="s">
        <v>407</v>
      </c>
      <c r="I270" s="7" t="s">
        <v>47</v>
      </c>
      <c r="J270" s="7"/>
      <c r="K270" s="7" t="s">
        <v>407</v>
      </c>
      <c r="L270" s="7" t="s">
        <v>394</v>
      </c>
      <c r="M270" s="8">
        <v>6001.02</v>
      </c>
      <c r="N270" s="7" t="s">
        <v>395</v>
      </c>
      <c r="O270" s="10">
        <v>-9.7</v>
      </c>
      <c r="P270" s="10">
        <v>0</v>
      </c>
      <c r="Q270" s="10">
        <v>-9.7</v>
      </c>
    </row>
    <row r="271" spans="1:17">
      <c r="A271" s="6">
        <v>45869</v>
      </c>
      <c r="B271" s="7" t="s">
        <v>23</v>
      </c>
      <c r="C271" s="8" t="s">
        <v>23</v>
      </c>
      <c r="D271" s="7" t="s">
        <v>41</v>
      </c>
      <c r="E271" s="7" t="s">
        <v>406</v>
      </c>
      <c r="F271" s="7" t="s">
        <v>406</v>
      </c>
      <c r="G271" s="7" t="s">
        <v>43</v>
      </c>
      <c r="H271" s="7" t="s">
        <v>407</v>
      </c>
      <c r="I271" s="7" t="s">
        <v>47</v>
      </c>
      <c r="J271" s="7"/>
      <c r="K271" s="7" t="s">
        <v>407</v>
      </c>
      <c r="L271" s="7" t="s">
        <v>394</v>
      </c>
      <c r="M271" s="8">
        <v>6001.02</v>
      </c>
      <c r="N271" s="7" t="s">
        <v>395</v>
      </c>
      <c r="O271" s="10">
        <v>21.2</v>
      </c>
      <c r="P271" s="10">
        <v>0</v>
      </c>
      <c r="Q271" s="10">
        <v>21.2</v>
      </c>
    </row>
    <row r="272" spans="1:17">
      <c r="A272" s="6">
        <v>45869</v>
      </c>
      <c r="B272" s="7" t="s">
        <v>23</v>
      </c>
      <c r="C272" s="8" t="s">
        <v>23</v>
      </c>
      <c r="D272" s="7" t="s">
        <v>43</v>
      </c>
      <c r="E272" s="7" t="s">
        <v>406</v>
      </c>
      <c r="F272" s="7" t="s">
        <v>406</v>
      </c>
      <c r="G272" s="7" t="s">
        <v>79</v>
      </c>
      <c r="H272" s="7" t="s">
        <v>407</v>
      </c>
      <c r="I272" s="7" t="s">
        <v>47</v>
      </c>
      <c r="J272" s="7"/>
      <c r="K272" s="7" t="s">
        <v>407</v>
      </c>
      <c r="L272" s="7" t="s">
        <v>394</v>
      </c>
      <c r="M272" s="8">
        <v>6001.02</v>
      </c>
      <c r="N272" s="7" t="s">
        <v>395</v>
      </c>
      <c r="O272" s="10">
        <v>-19.7</v>
      </c>
      <c r="P272" s="10">
        <v>0</v>
      </c>
      <c r="Q272" s="10">
        <v>-19.7</v>
      </c>
    </row>
    <row r="273" spans="1:17">
      <c r="A273" s="6">
        <v>45869</v>
      </c>
      <c r="B273" s="7" t="s">
        <v>23</v>
      </c>
      <c r="C273" s="8" t="s">
        <v>23</v>
      </c>
      <c r="D273" s="7" t="s">
        <v>79</v>
      </c>
      <c r="E273" s="7" t="s">
        <v>406</v>
      </c>
      <c r="F273" s="7" t="s">
        <v>406</v>
      </c>
      <c r="G273" s="7" t="s">
        <v>43</v>
      </c>
      <c r="H273" s="7" t="s">
        <v>407</v>
      </c>
      <c r="I273" s="7" t="s">
        <v>47</v>
      </c>
      <c r="J273" s="7"/>
      <c r="K273" s="7" t="s">
        <v>407</v>
      </c>
      <c r="L273" s="7" t="s">
        <v>394</v>
      </c>
      <c r="M273" s="8">
        <v>6001.02</v>
      </c>
      <c r="N273" s="7" t="s">
        <v>395</v>
      </c>
      <c r="O273" s="10">
        <v>4.85</v>
      </c>
      <c r="P273" s="10">
        <v>0</v>
      </c>
      <c r="Q273" s="10">
        <v>4.85</v>
      </c>
    </row>
    <row r="274" spans="1:17">
      <c r="A274" s="6">
        <v>45869</v>
      </c>
      <c r="B274" s="7" t="s">
        <v>23</v>
      </c>
      <c r="C274" s="8" t="s">
        <v>23</v>
      </c>
      <c r="D274" s="7" t="s">
        <v>57</v>
      </c>
      <c r="E274" s="7" t="s">
        <v>406</v>
      </c>
      <c r="F274" s="7" t="s">
        <v>406</v>
      </c>
      <c r="G274" s="7" t="s">
        <v>43</v>
      </c>
      <c r="H274" s="7" t="s">
        <v>407</v>
      </c>
      <c r="I274" s="7" t="s">
        <v>47</v>
      </c>
      <c r="J274" s="7"/>
      <c r="K274" s="7" t="s">
        <v>407</v>
      </c>
      <c r="L274" s="7" t="s">
        <v>394</v>
      </c>
      <c r="M274" s="8">
        <v>6001.02</v>
      </c>
      <c r="N274" s="7" t="s">
        <v>395</v>
      </c>
      <c r="O274" s="10">
        <v>13.5</v>
      </c>
      <c r="P274" s="10">
        <v>0</v>
      </c>
      <c r="Q274" s="10">
        <v>13.5</v>
      </c>
    </row>
    <row r="275" spans="1:17">
      <c r="A275" s="6">
        <v>45869</v>
      </c>
      <c r="B275" s="7" t="s">
        <v>23</v>
      </c>
      <c r="C275" s="8" t="s">
        <v>23</v>
      </c>
      <c r="D275" s="7" t="s">
        <v>79</v>
      </c>
      <c r="E275" s="7" t="s">
        <v>406</v>
      </c>
      <c r="F275" s="7" t="s">
        <v>406</v>
      </c>
      <c r="G275" s="7" t="s">
        <v>43</v>
      </c>
      <c r="H275" s="7" t="s">
        <v>407</v>
      </c>
      <c r="I275" s="7" t="s">
        <v>47</v>
      </c>
      <c r="J275" s="7"/>
      <c r="K275" s="7" t="s">
        <v>407</v>
      </c>
      <c r="L275" s="7" t="s">
        <v>394</v>
      </c>
      <c r="M275" s="8">
        <v>6001.02</v>
      </c>
      <c r="N275" s="7" t="s">
        <v>395</v>
      </c>
      <c r="O275" s="10">
        <v>63.95</v>
      </c>
      <c r="P275" s="10">
        <v>0</v>
      </c>
      <c r="Q275" s="10">
        <v>63.95</v>
      </c>
    </row>
    <row r="276" spans="1:17">
      <c r="A276" s="6">
        <v>45869</v>
      </c>
      <c r="B276" s="7" t="s">
        <v>23</v>
      </c>
      <c r="C276" s="8" t="s">
        <v>23</v>
      </c>
      <c r="D276" s="7" t="s">
        <v>43</v>
      </c>
      <c r="E276" s="7" t="s">
        <v>406</v>
      </c>
      <c r="F276" s="7" t="s">
        <v>406</v>
      </c>
      <c r="G276" s="7" t="s">
        <v>79</v>
      </c>
      <c r="H276" s="7" t="s">
        <v>407</v>
      </c>
      <c r="I276" s="7" t="s">
        <v>47</v>
      </c>
      <c r="J276" s="7"/>
      <c r="K276" s="7" t="s">
        <v>407</v>
      </c>
      <c r="L276" s="7" t="s">
        <v>394</v>
      </c>
      <c r="M276" s="8">
        <v>6001.02</v>
      </c>
      <c r="N276" s="7" t="s">
        <v>395</v>
      </c>
      <c r="O276" s="10">
        <v>-4.85</v>
      </c>
      <c r="P276" s="10">
        <v>0</v>
      </c>
      <c r="Q276" s="10">
        <v>-4.85</v>
      </c>
    </row>
    <row r="277" spans="1:17">
      <c r="A277" s="6">
        <v>45869</v>
      </c>
      <c r="B277" s="7" t="s">
        <v>23</v>
      </c>
      <c r="C277" s="8" t="s">
        <v>23</v>
      </c>
      <c r="D277" s="7" t="s">
        <v>79</v>
      </c>
      <c r="E277" s="7" t="s">
        <v>406</v>
      </c>
      <c r="F277" s="7" t="s">
        <v>406</v>
      </c>
      <c r="G277" s="7" t="s">
        <v>43</v>
      </c>
      <c r="H277" s="7" t="s">
        <v>407</v>
      </c>
      <c r="I277" s="7" t="s">
        <v>47</v>
      </c>
      <c r="J277" s="7"/>
      <c r="K277" s="7" t="s">
        <v>407</v>
      </c>
      <c r="L277" s="7" t="s">
        <v>394</v>
      </c>
      <c r="M277" s="8">
        <v>6001.02</v>
      </c>
      <c r="N277" s="7" t="s">
        <v>395</v>
      </c>
      <c r="O277" s="10">
        <v>4.85</v>
      </c>
      <c r="P277" s="10">
        <v>0</v>
      </c>
      <c r="Q277" s="10">
        <v>4.85</v>
      </c>
    </row>
    <row r="278" spans="1:17">
      <c r="A278" s="6">
        <v>45869</v>
      </c>
      <c r="B278" s="7" t="s">
        <v>23</v>
      </c>
      <c r="C278" s="8" t="s">
        <v>23</v>
      </c>
      <c r="D278" s="7" t="s">
        <v>43</v>
      </c>
      <c r="E278" s="7" t="s">
        <v>406</v>
      </c>
      <c r="F278" s="7" t="s">
        <v>406</v>
      </c>
      <c r="G278" s="7" t="s">
        <v>57</v>
      </c>
      <c r="H278" s="7" t="s">
        <v>407</v>
      </c>
      <c r="I278" s="7" t="s">
        <v>47</v>
      </c>
      <c r="J278" s="7"/>
      <c r="K278" s="7" t="s">
        <v>407</v>
      </c>
      <c r="L278" s="7" t="s">
        <v>394</v>
      </c>
      <c r="M278" s="8">
        <v>6001.02</v>
      </c>
      <c r="N278" s="7" t="s">
        <v>395</v>
      </c>
      <c r="O278" s="10">
        <v>-13.5</v>
      </c>
      <c r="P278" s="10">
        <v>0</v>
      </c>
      <c r="Q278" s="10">
        <v>-13.5</v>
      </c>
    </row>
    <row r="279" spans="1:17">
      <c r="A279" s="6">
        <v>45869</v>
      </c>
      <c r="B279" s="7" t="s">
        <v>23</v>
      </c>
      <c r="C279" s="8" t="s">
        <v>23</v>
      </c>
      <c r="D279" s="7" t="s">
        <v>57</v>
      </c>
      <c r="E279" s="7" t="s">
        <v>406</v>
      </c>
      <c r="F279" s="7" t="s">
        <v>406</v>
      </c>
      <c r="G279" s="7" t="s">
        <v>41</v>
      </c>
      <c r="H279" s="7" t="s">
        <v>407</v>
      </c>
      <c r="I279" s="7" t="s">
        <v>47</v>
      </c>
      <c r="J279" s="7"/>
      <c r="K279" s="7" t="s">
        <v>407</v>
      </c>
      <c r="L279" s="7" t="s">
        <v>394</v>
      </c>
      <c r="M279" s="8">
        <v>6001.02</v>
      </c>
      <c r="N279" s="7" t="s">
        <v>395</v>
      </c>
      <c r="O279" s="10">
        <v>-0.01</v>
      </c>
      <c r="P279" s="10">
        <v>0</v>
      </c>
      <c r="Q279" s="10">
        <v>-0.01</v>
      </c>
    </row>
    <row r="280" spans="1:17">
      <c r="A280" s="6">
        <v>45869</v>
      </c>
      <c r="B280" s="7" t="s">
        <v>23</v>
      </c>
      <c r="C280" s="8" t="s">
        <v>23</v>
      </c>
      <c r="D280" s="7" t="s">
        <v>57</v>
      </c>
      <c r="E280" s="7" t="s">
        <v>406</v>
      </c>
      <c r="F280" s="7" t="s">
        <v>406</v>
      </c>
      <c r="G280" s="7" t="s">
        <v>43</v>
      </c>
      <c r="H280" s="7" t="s">
        <v>407</v>
      </c>
      <c r="I280" s="7" t="s">
        <v>47</v>
      </c>
      <c r="J280" s="7"/>
      <c r="K280" s="7" t="s">
        <v>407</v>
      </c>
      <c r="L280" s="7" t="s">
        <v>394</v>
      </c>
      <c r="M280" s="8">
        <v>6001.02</v>
      </c>
      <c r="N280" s="7" t="s">
        <v>395</v>
      </c>
      <c r="O280" s="10">
        <v>-0.01</v>
      </c>
      <c r="P280" s="10">
        <v>0</v>
      </c>
      <c r="Q280" s="10">
        <v>-0.01</v>
      </c>
    </row>
    <row r="281" spans="1:17">
      <c r="A281" s="6">
        <v>45869</v>
      </c>
      <c r="B281" s="7" t="s">
        <v>23</v>
      </c>
      <c r="C281" s="8" t="s">
        <v>23</v>
      </c>
      <c r="D281" s="7" t="s">
        <v>57</v>
      </c>
      <c r="E281" s="7" t="s">
        <v>406</v>
      </c>
      <c r="F281" s="7" t="s">
        <v>406</v>
      </c>
      <c r="G281" s="7" t="s">
        <v>41</v>
      </c>
      <c r="H281" s="7" t="s">
        <v>407</v>
      </c>
      <c r="I281" s="7" t="s">
        <v>47</v>
      </c>
      <c r="J281" s="7"/>
      <c r="K281" s="7" t="s">
        <v>407</v>
      </c>
      <c r="L281" s="7" t="s">
        <v>394</v>
      </c>
      <c r="M281" s="8">
        <v>6001.02</v>
      </c>
      <c r="N281" s="7" t="s">
        <v>395</v>
      </c>
      <c r="O281" s="10">
        <v>-10.5</v>
      </c>
      <c r="P281" s="10">
        <v>0</v>
      </c>
      <c r="Q281" s="10">
        <v>-10.5</v>
      </c>
    </row>
    <row r="282" spans="1:17">
      <c r="A282" s="6">
        <v>45869</v>
      </c>
      <c r="B282" s="7" t="s">
        <v>23</v>
      </c>
      <c r="C282" s="8" t="s">
        <v>23</v>
      </c>
      <c r="D282" s="7" t="s">
        <v>57</v>
      </c>
      <c r="E282" s="7" t="s">
        <v>406</v>
      </c>
      <c r="F282" s="7" t="s">
        <v>406</v>
      </c>
      <c r="G282" s="7" t="s">
        <v>41</v>
      </c>
      <c r="H282" s="7" t="s">
        <v>407</v>
      </c>
      <c r="I282" s="7" t="s">
        <v>47</v>
      </c>
      <c r="J282" s="7"/>
      <c r="K282" s="7" t="s">
        <v>407</v>
      </c>
      <c r="L282" s="7" t="s">
        <v>394</v>
      </c>
      <c r="M282" s="8">
        <v>6001.02</v>
      </c>
      <c r="N282" s="7" t="s">
        <v>395</v>
      </c>
      <c r="O282" s="10">
        <v>-0.01</v>
      </c>
      <c r="P282" s="10">
        <v>0</v>
      </c>
      <c r="Q282" s="10">
        <v>-0.01</v>
      </c>
    </row>
    <row r="283" spans="1:17">
      <c r="A283" s="6">
        <v>45869</v>
      </c>
      <c r="B283" s="7" t="s">
        <v>23</v>
      </c>
      <c r="C283" s="8" t="s">
        <v>23</v>
      </c>
      <c r="D283" s="7" t="s">
        <v>41</v>
      </c>
      <c r="E283" s="7" t="s">
        <v>406</v>
      </c>
      <c r="F283" s="7" t="s">
        <v>406</v>
      </c>
      <c r="G283" s="7" t="s">
        <v>57</v>
      </c>
      <c r="H283" s="7" t="s">
        <v>407</v>
      </c>
      <c r="I283" s="7" t="s">
        <v>47</v>
      </c>
      <c r="J283" s="7"/>
      <c r="K283" s="7" t="s">
        <v>407</v>
      </c>
      <c r="L283" s="7" t="s">
        <v>394</v>
      </c>
      <c r="M283" s="8">
        <v>6001.02</v>
      </c>
      <c r="N283" s="7" t="s">
        <v>395</v>
      </c>
      <c r="O283" s="10">
        <v>0.02</v>
      </c>
      <c r="P283" s="10">
        <v>0</v>
      </c>
      <c r="Q283" s="10">
        <v>0.02</v>
      </c>
    </row>
    <row r="284" spans="1:17">
      <c r="A284" s="6">
        <v>45869</v>
      </c>
      <c r="B284" s="7" t="s">
        <v>23</v>
      </c>
      <c r="C284" s="8" t="s">
        <v>23</v>
      </c>
      <c r="D284" s="7" t="s">
        <v>57</v>
      </c>
      <c r="E284" s="7" t="s">
        <v>406</v>
      </c>
      <c r="F284" s="7" t="s">
        <v>406</v>
      </c>
      <c r="G284" s="7" t="s">
        <v>41</v>
      </c>
      <c r="H284" s="7" t="s">
        <v>407</v>
      </c>
      <c r="I284" s="7" t="s">
        <v>47</v>
      </c>
      <c r="J284" s="7"/>
      <c r="K284" s="7" t="s">
        <v>407</v>
      </c>
      <c r="L284" s="7" t="s">
        <v>394</v>
      </c>
      <c r="M284" s="8">
        <v>6001.02</v>
      </c>
      <c r="N284" s="7" t="s">
        <v>395</v>
      </c>
      <c r="O284" s="10">
        <v>-10.5</v>
      </c>
      <c r="P284" s="10">
        <v>0</v>
      </c>
      <c r="Q284" s="10">
        <v>-10.5</v>
      </c>
    </row>
    <row r="285" spans="1:17">
      <c r="A285" s="6">
        <v>45869</v>
      </c>
      <c r="B285" s="7" t="s">
        <v>23</v>
      </c>
      <c r="C285" s="8" t="s">
        <v>23</v>
      </c>
      <c r="D285" s="7" t="s">
        <v>57</v>
      </c>
      <c r="E285" s="7" t="s">
        <v>406</v>
      </c>
      <c r="F285" s="7" t="s">
        <v>406</v>
      </c>
      <c r="G285" s="7" t="s">
        <v>43</v>
      </c>
      <c r="H285" s="7" t="s">
        <v>407</v>
      </c>
      <c r="I285" s="7" t="s">
        <v>47</v>
      </c>
      <c r="J285" s="7"/>
      <c r="K285" s="7" t="s">
        <v>407</v>
      </c>
      <c r="L285" s="7" t="s">
        <v>394</v>
      </c>
      <c r="M285" s="8">
        <v>6001.02</v>
      </c>
      <c r="N285" s="7" t="s">
        <v>395</v>
      </c>
      <c r="O285" s="10">
        <v>-0.01</v>
      </c>
      <c r="P285" s="10">
        <v>0</v>
      </c>
      <c r="Q285" s="10">
        <v>-0.01</v>
      </c>
    </row>
    <row r="286" spans="1:17">
      <c r="A286" s="6">
        <v>45869</v>
      </c>
      <c r="B286" s="7" t="s">
        <v>23</v>
      </c>
      <c r="C286" s="8" t="s">
        <v>23</v>
      </c>
      <c r="D286" s="7" t="s">
        <v>57</v>
      </c>
      <c r="E286" s="7" t="s">
        <v>406</v>
      </c>
      <c r="F286" s="7" t="s">
        <v>406</v>
      </c>
      <c r="G286" s="7" t="s">
        <v>41</v>
      </c>
      <c r="H286" s="7" t="s">
        <v>407</v>
      </c>
      <c r="I286" s="7" t="s">
        <v>47</v>
      </c>
      <c r="J286" s="7"/>
      <c r="K286" s="7" t="s">
        <v>407</v>
      </c>
      <c r="L286" s="7" t="s">
        <v>394</v>
      </c>
      <c r="M286" s="8">
        <v>6001.02</v>
      </c>
      <c r="N286" s="7" t="s">
        <v>395</v>
      </c>
      <c r="O286" s="10">
        <v>-10.49</v>
      </c>
      <c r="P286" s="10">
        <v>0</v>
      </c>
      <c r="Q286" s="10">
        <v>-10.49</v>
      </c>
    </row>
    <row r="287" spans="1:17">
      <c r="A287" s="6">
        <v>45869</v>
      </c>
      <c r="B287" s="7" t="s">
        <v>23</v>
      </c>
      <c r="C287" s="8" t="s">
        <v>23</v>
      </c>
      <c r="D287" s="7" t="s">
        <v>41</v>
      </c>
      <c r="E287" s="7" t="s">
        <v>406</v>
      </c>
      <c r="F287" s="7" t="s">
        <v>406</v>
      </c>
      <c r="G287" s="7" t="s">
        <v>57</v>
      </c>
      <c r="H287" s="7" t="s">
        <v>407</v>
      </c>
      <c r="I287" s="7" t="s">
        <v>47</v>
      </c>
      <c r="J287" s="7"/>
      <c r="K287" s="7" t="s">
        <v>407</v>
      </c>
      <c r="L287" s="7" t="s">
        <v>394</v>
      </c>
      <c r="M287" s="8">
        <v>6001.02</v>
      </c>
      <c r="N287" s="7" t="s">
        <v>395</v>
      </c>
      <c r="O287" s="10">
        <v>0.01</v>
      </c>
      <c r="P287" s="10">
        <v>0</v>
      </c>
      <c r="Q287" s="10">
        <v>0.01</v>
      </c>
    </row>
    <row r="288" spans="1:17">
      <c r="A288" s="6">
        <v>45869</v>
      </c>
      <c r="B288" s="7" t="s">
        <v>23</v>
      </c>
      <c r="C288" s="8" t="s">
        <v>23</v>
      </c>
      <c r="D288" s="7" t="s">
        <v>41</v>
      </c>
      <c r="E288" s="7" t="s">
        <v>406</v>
      </c>
      <c r="F288" s="7" t="s">
        <v>406</v>
      </c>
      <c r="G288" s="7" t="s">
        <v>57</v>
      </c>
      <c r="H288" s="7" t="s">
        <v>407</v>
      </c>
      <c r="I288" s="7" t="s">
        <v>47</v>
      </c>
      <c r="J288" s="7"/>
      <c r="K288" s="7" t="s">
        <v>407</v>
      </c>
      <c r="L288" s="7" t="s">
        <v>394</v>
      </c>
      <c r="M288" s="8">
        <v>6001.02</v>
      </c>
      <c r="N288" s="7" t="s">
        <v>395</v>
      </c>
      <c r="O288" s="10">
        <v>0.01</v>
      </c>
      <c r="P288" s="10">
        <v>0</v>
      </c>
      <c r="Q288" s="10">
        <v>0.01</v>
      </c>
    </row>
    <row r="289" spans="1:17">
      <c r="A289" s="6">
        <v>45869</v>
      </c>
      <c r="B289" s="7" t="s">
        <v>23</v>
      </c>
      <c r="C289" s="8" t="s">
        <v>23</v>
      </c>
      <c r="D289" s="7" t="s">
        <v>41</v>
      </c>
      <c r="E289" s="7" t="s">
        <v>406</v>
      </c>
      <c r="F289" s="7" t="s">
        <v>406</v>
      </c>
      <c r="G289" s="7" t="s">
        <v>57</v>
      </c>
      <c r="H289" s="7" t="s">
        <v>407</v>
      </c>
      <c r="I289" s="7" t="s">
        <v>47</v>
      </c>
      <c r="J289" s="7"/>
      <c r="K289" s="7" t="s">
        <v>407</v>
      </c>
      <c r="L289" s="7" t="s">
        <v>394</v>
      </c>
      <c r="M289" s="8">
        <v>6001.02</v>
      </c>
      <c r="N289" s="7" t="s">
        <v>395</v>
      </c>
      <c r="O289" s="10">
        <v>0.02</v>
      </c>
      <c r="P289" s="10">
        <v>0</v>
      </c>
      <c r="Q289" s="10">
        <v>0.02</v>
      </c>
    </row>
    <row r="290" spans="1:17">
      <c r="A290" s="6">
        <v>45869</v>
      </c>
      <c r="B290" s="7" t="s">
        <v>23</v>
      </c>
      <c r="C290" s="8" t="s">
        <v>23</v>
      </c>
      <c r="D290" s="7" t="s">
        <v>57</v>
      </c>
      <c r="E290" s="7" t="s">
        <v>406</v>
      </c>
      <c r="F290" s="7" t="s">
        <v>406</v>
      </c>
      <c r="G290" s="7" t="s">
        <v>41</v>
      </c>
      <c r="H290" s="7" t="s">
        <v>407</v>
      </c>
      <c r="I290" s="7" t="s">
        <v>47</v>
      </c>
      <c r="J290" s="7"/>
      <c r="K290" s="7" t="s">
        <v>407</v>
      </c>
      <c r="L290" s="7" t="s">
        <v>394</v>
      </c>
      <c r="M290" s="8">
        <v>6001.02</v>
      </c>
      <c r="N290" s="7" t="s">
        <v>395</v>
      </c>
      <c r="O290" s="10">
        <v>-0.01</v>
      </c>
      <c r="P290" s="10">
        <v>0</v>
      </c>
      <c r="Q290" s="10">
        <v>-0.01</v>
      </c>
    </row>
    <row r="291" spans="1:17">
      <c r="A291" s="6">
        <v>45869</v>
      </c>
      <c r="B291" s="7" t="s">
        <v>23</v>
      </c>
      <c r="C291" s="8" t="s">
        <v>23</v>
      </c>
      <c r="D291" s="7" t="s">
        <v>41</v>
      </c>
      <c r="E291" s="7" t="s">
        <v>406</v>
      </c>
      <c r="F291" s="7" t="s">
        <v>406</v>
      </c>
      <c r="G291" s="7" t="s">
        <v>57</v>
      </c>
      <c r="H291" s="7" t="s">
        <v>407</v>
      </c>
      <c r="I291" s="7" t="s">
        <v>47</v>
      </c>
      <c r="J291" s="7"/>
      <c r="K291" s="7" t="s">
        <v>407</v>
      </c>
      <c r="L291" s="7" t="s">
        <v>394</v>
      </c>
      <c r="M291" s="8">
        <v>6001.02</v>
      </c>
      <c r="N291" s="7" t="s">
        <v>395</v>
      </c>
      <c r="O291" s="10">
        <v>0.02</v>
      </c>
      <c r="P291" s="10">
        <v>0</v>
      </c>
      <c r="Q291" s="10">
        <v>0.02</v>
      </c>
    </row>
    <row r="292" spans="1:17">
      <c r="A292" s="6">
        <v>45869</v>
      </c>
      <c r="B292" s="7" t="s">
        <v>23</v>
      </c>
      <c r="C292" s="8" t="s">
        <v>23</v>
      </c>
      <c r="D292" s="7" t="s">
        <v>57</v>
      </c>
      <c r="E292" s="7" t="s">
        <v>406</v>
      </c>
      <c r="F292" s="7" t="s">
        <v>406</v>
      </c>
      <c r="G292" s="7" t="s">
        <v>41</v>
      </c>
      <c r="H292" s="7" t="s">
        <v>407</v>
      </c>
      <c r="I292" s="7" t="s">
        <v>47</v>
      </c>
      <c r="J292" s="7"/>
      <c r="K292" s="7" t="s">
        <v>407</v>
      </c>
      <c r="L292" s="7" t="s">
        <v>394</v>
      </c>
      <c r="M292" s="8">
        <v>6001.02</v>
      </c>
      <c r="N292" s="7" t="s">
        <v>395</v>
      </c>
      <c r="O292" s="10">
        <v>-0.02</v>
      </c>
      <c r="P292" s="10">
        <v>0</v>
      </c>
      <c r="Q292" s="10">
        <v>-0.02</v>
      </c>
    </row>
    <row r="293" spans="1:17">
      <c r="A293" s="6">
        <v>45869</v>
      </c>
      <c r="B293" s="7" t="s">
        <v>23</v>
      </c>
      <c r="C293" s="8" t="s">
        <v>23</v>
      </c>
      <c r="D293" s="7" t="s">
        <v>41</v>
      </c>
      <c r="E293" s="7" t="s">
        <v>406</v>
      </c>
      <c r="F293" s="7" t="s">
        <v>406</v>
      </c>
      <c r="G293" s="7" t="s">
        <v>57</v>
      </c>
      <c r="H293" s="7" t="s">
        <v>407</v>
      </c>
      <c r="I293" s="7" t="s">
        <v>47</v>
      </c>
      <c r="J293" s="7"/>
      <c r="K293" s="7" t="s">
        <v>407</v>
      </c>
      <c r="L293" s="7" t="s">
        <v>394</v>
      </c>
      <c r="M293" s="8">
        <v>6001.02</v>
      </c>
      <c r="N293" s="7" t="s">
        <v>395</v>
      </c>
      <c r="O293" s="10">
        <v>0.01</v>
      </c>
      <c r="P293" s="10">
        <v>0</v>
      </c>
      <c r="Q293" s="10">
        <v>0.01</v>
      </c>
    </row>
    <row r="294" spans="1:17">
      <c r="A294" s="6">
        <v>45869</v>
      </c>
      <c r="B294" s="7" t="s">
        <v>23</v>
      </c>
      <c r="C294" s="8" t="s">
        <v>23</v>
      </c>
      <c r="D294" s="7" t="s">
        <v>57</v>
      </c>
      <c r="E294" s="7" t="s">
        <v>406</v>
      </c>
      <c r="F294" s="7" t="s">
        <v>406</v>
      </c>
      <c r="G294" s="7" t="s">
        <v>43</v>
      </c>
      <c r="H294" s="7" t="s">
        <v>407</v>
      </c>
      <c r="I294" s="7" t="s">
        <v>47</v>
      </c>
      <c r="J294" s="7"/>
      <c r="K294" s="7" t="s">
        <v>407</v>
      </c>
      <c r="L294" s="7" t="s">
        <v>394</v>
      </c>
      <c r="M294" s="8">
        <v>6001.02</v>
      </c>
      <c r="N294" s="7" t="s">
        <v>395</v>
      </c>
      <c r="O294" s="10">
        <v>-14.5</v>
      </c>
      <c r="P294" s="10">
        <v>0</v>
      </c>
      <c r="Q294" s="10">
        <v>-14.5</v>
      </c>
    </row>
    <row r="295" spans="1:17">
      <c r="A295" s="6">
        <v>45869</v>
      </c>
      <c r="B295" s="7" t="s">
        <v>23</v>
      </c>
      <c r="C295" s="8" t="s">
        <v>23</v>
      </c>
      <c r="D295" s="7" t="s">
        <v>57</v>
      </c>
      <c r="E295" s="7" t="s">
        <v>406</v>
      </c>
      <c r="F295" s="7" t="s">
        <v>406</v>
      </c>
      <c r="G295" s="7" t="s">
        <v>41</v>
      </c>
      <c r="H295" s="7" t="s">
        <v>407</v>
      </c>
      <c r="I295" s="7" t="s">
        <v>47</v>
      </c>
      <c r="J295" s="7"/>
      <c r="K295" s="7" t="s">
        <v>407</v>
      </c>
      <c r="L295" s="7" t="s">
        <v>394</v>
      </c>
      <c r="M295" s="8">
        <v>6001.02</v>
      </c>
      <c r="N295" s="7" t="s">
        <v>395</v>
      </c>
      <c r="O295" s="10">
        <v>-20.98</v>
      </c>
      <c r="P295" s="10">
        <v>0</v>
      </c>
      <c r="Q295" s="10">
        <v>-20.98</v>
      </c>
    </row>
    <row r="296" spans="1:17">
      <c r="A296" s="6">
        <v>45869</v>
      </c>
      <c r="B296" s="7" t="s">
        <v>23</v>
      </c>
      <c r="C296" s="8" t="s">
        <v>23</v>
      </c>
      <c r="D296" s="7" t="s">
        <v>43</v>
      </c>
      <c r="E296" s="7" t="s">
        <v>406</v>
      </c>
      <c r="F296" s="7" t="s">
        <v>406</v>
      </c>
      <c r="G296" s="7" t="s">
        <v>57</v>
      </c>
      <c r="H296" s="7" t="s">
        <v>407</v>
      </c>
      <c r="I296" s="7" t="s">
        <v>47</v>
      </c>
      <c r="J296" s="7"/>
      <c r="K296" s="7" t="s">
        <v>407</v>
      </c>
      <c r="L296" s="7" t="s">
        <v>394</v>
      </c>
      <c r="M296" s="8">
        <v>6001.02</v>
      </c>
      <c r="N296" s="7" t="s">
        <v>395</v>
      </c>
      <c r="O296" s="10">
        <v>0.01</v>
      </c>
      <c r="P296" s="10">
        <v>0</v>
      </c>
      <c r="Q296" s="10">
        <v>0.01</v>
      </c>
    </row>
    <row r="297" spans="1:17">
      <c r="A297" s="6">
        <v>45869</v>
      </c>
      <c r="B297" s="7" t="s">
        <v>23</v>
      </c>
      <c r="C297" s="8" t="s">
        <v>23</v>
      </c>
      <c r="D297" s="7" t="s">
        <v>57</v>
      </c>
      <c r="E297" s="7" t="s">
        <v>406</v>
      </c>
      <c r="F297" s="7" t="s">
        <v>406</v>
      </c>
      <c r="G297" s="7" t="s">
        <v>41</v>
      </c>
      <c r="H297" s="7" t="s">
        <v>407</v>
      </c>
      <c r="I297" s="7" t="s">
        <v>47</v>
      </c>
      <c r="J297" s="7"/>
      <c r="K297" s="7" t="s">
        <v>407</v>
      </c>
      <c r="L297" s="7" t="s">
        <v>394</v>
      </c>
      <c r="M297" s="8">
        <v>6001.02</v>
      </c>
      <c r="N297" s="7" t="s">
        <v>395</v>
      </c>
      <c r="O297" s="10">
        <v>-0.01</v>
      </c>
      <c r="P297" s="10">
        <v>0</v>
      </c>
      <c r="Q297" s="10">
        <v>-0.01</v>
      </c>
    </row>
    <row r="298" spans="1:17">
      <c r="A298" s="6">
        <v>45869</v>
      </c>
      <c r="B298" s="7" t="s">
        <v>23</v>
      </c>
      <c r="C298" s="8" t="s">
        <v>23</v>
      </c>
      <c r="D298" s="7" t="s">
        <v>41</v>
      </c>
      <c r="E298" s="7" t="s">
        <v>406</v>
      </c>
      <c r="F298" s="7" t="s">
        <v>406</v>
      </c>
      <c r="G298" s="7" t="s">
        <v>57</v>
      </c>
      <c r="H298" s="7" t="s">
        <v>407</v>
      </c>
      <c r="I298" s="7" t="s">
        <v>47</v>
      </c>
      <c r="J298" s="7"/>
      <c r="K298" s="7" t="s">
        <v>407</v>
      </c>
      <c r="L298" s="7" t="s">
        <v>394</v>
      </c>
      <c r="M298" s="8">
        <v>6001.02</v>
      </c>
      <c r="N298" s="7" t="s">
        <v>395</v>
      </c>
      <c r="O298" s="10">
        <v>0.01</v>
      </c>
      <c r="P298" s="10">
        <v>0</v>
      </c>
      <c r="Q298" s="10">
        <v>0.01</v>
      </c>
    </row>
    <row r="299" spans="1:17">
      <c r="A299" s="6">
        <v>45869</v>
      </c>
      <c r="B299" s="7" t="s">
        <v>23</v>
      </c>
      <c r="C299" s="8" t="s">
        <v>23</v>
      </c>
      <c r="D299" s="7" t="s">
        <v>57</v>
      </c>
      <c r="E299" s="7" t="s">
        <v>406</v>
      </c>
      <c r="F299" s="7" t="s">
        <v>406</v>
      </c>
      <c r="G299" s="7" t="s">
        <v>43</v>
      </c>
      <c r="H299" s="7" t="s">
        <v>407</v>
      </c>
      <c r="I299" s="7" t="s">
        <v>47</v>
      </c>
      <c r="J299" s="7"/>
      <c r="K299" s="7" t="s">
        <v>407</v>
      </c>
      <c r="L299" s="7" t="s">
        <v>394</v>
      </c>
      <c r="M299" s="8">
        <v>6001.02</v>
      </c>
      <c r="N299" s="7" t="s">
        <v>395</v>
      </c>
      <c r="O299" s="10">
        <v>-0.01</v>
      </c>
      <c r="P299" s="10">
        <v>0</v>
      </c>
      <c r="Q299" s="10">
        <v>-0.01</v>
      </c>
    </row>
    <row r="300" spans="1:17">
      <c r="A300" s="6">
        <v>45869</v>
      </c>
      <c r="B300" s="7" t="s">
        <v>23</v>
      </c>
      <c r="C300" s="8" t="s">
        <v>23</v>
      </c>
      <c r="D300" s="7" t="s">
        <v>57</v>
      </c>
      <c r="E300" s="7" t="s">
        <v>406</v>
      </c>
      <c r="F300" s="7" t="s">
        <v>406</v>
      </c>
      <c r="G300" s="7" t="s">
        <v>41</v>
      </c>
      <c r="H300" s="7" t="s">
        <v>407</v>
      </c>
      <c r="I300" s="7" t="s">
        <v>47</v>
      </c>
      <c r="J300" s="7"/>
      <c r="K300" s="7" t="s">
        <v>407</v>
      </c>
      <c r="L300" s="7" t="s">
        <v>394</v>
      </c>
      <c r="M300" s="8">
        <v>6001.02</v>
      </c>
      <c r="N300" s="7" t="s">
        <v>395</v>
      </c>
      <c r="O300" s="10">
        <v>-20.98</v>
      </c>
      <c r="P300" s="10">
        <v>0</v>
      </c>
      <c r="Q300" s="10">
        <v>-20.98</v>
      </c>
    </row>
    <row r="301" spans="1:17">
      <c r="A301" s="6">
        <v>45869</v>
      </c>
      <c r="B301" s="7" t="s">
        <v>23</v>
      </c>
      <c r="C301" s="8" t="s">
        <v>23</v>
      </c>
      <c r="D301" s="7" t="s">
        <v>41</v>
      </c>
      <c r="E301" s="7" t="s">
        <v>406</v>
      </c>
      <c r="F301" s="7" t="s">
        <v>406</v>
      </c>
      <c r="G301" s="7" t="s">
        <v>57</v>
      </c>
      <c r="H301" s="7" t="s">
        <v>407</v>
      </c>
      <c r="I301" s="7" t="s">
        <v>47</v>
      </c>
      <c r="J301" s="7"/>
      <c r="K301" s="7" t="s">
        <v>407</v>
      </c>
      <c r="L301" s="7" t="s">
        <v>394</v>
      </c>
      <c r="M301" s="8">
        <v>6001.02</v>
      </c>
      <c r="N301" s="7" t="s">
        <v>395</v>
      </c>
      <c r="O301" s="10">
        <v>0.01</v>
      </c>
      <c r="P301" s="10">
        <v>0</v>
      </c>
      <c r="Q301" s="10">
        <v>0.01</v>
      </c>
    </row>
    <row r="302" spans="1:17">
      <c r="A302" s="6">
        <v>45869</v>
      </c>
      <c r="B302" s="7" t="s">
        <v>23</v>
      </c>
      <c r="C302" s="8" t="s">
        <v>23</v>
      </c>
      <c r="D302" s="7" t="s">
        <v>43</v>
      </c>
      <c r="E302" s="7" t="s">
        <v>406</v>
      </c>
      <c r="F302" s="7" t="s">
        <v>406</v>
      </c>
      <c r="G302" s="7" t="s">
        <v>57</v>
      </c>
      <c r="H302" s="7" t="s">
        <v>407</v>
      </c>
      <c r="I302" s="7" t="s">
        <v>47</v>
      </c>
      <c r="J302" s="7"/>
      <c r="K302" s="7" t="s">
        <v>407</v>
      </c>
      <c r="L302" s="7" t="s">
        <v>394</v>
      </c>
      <c r="M302" s="8">
        <v>6001.02</v>
      </c>
      <c r="N302" s="7" t="s">
        <v>395</v>
      </c>
      <c r="O302" s="10">
        <v>14.5</v>
      </c>
      <c r="P302" s="10">
        <v>0</v>
      </c>
      <c r="Q302" s="10">
        <v>14.5</v>
      </c>
    </row>
    <row r="303" spans="1:17">
      <c r="A303" s="6">
        <v>45869</v>
      </c>
      <c r="B303" s="7" t="s">
        <v>23</v>
      </c>
      <c r="C303" s="8" t="s">
        <v>23</v>
      </c>
      <c r="D303" s="7" t="s">
        <v>57</v>
      </c>
      <c r="E303" s="7" t="s">
        <v>406</v>
      </c>
      <c r="F303" s="7" t="s">
        <v>406</v>
      </c>
      <c r="G303" s="7" t="s">
        <v>41</v>
      </c>
      <c r="H303" s="7" t="s">
        <v>407</v>
      </c>
      <c r="I303" s="7" t="s">
        <v>47</v>
      </c>
      <c r="J303" s="7"/>
      <c r="K303" s="7" t="s">
        <v>407</v>
      </c>
      <c r="L303" s="7" t="s">
        <v>394</v>
      </c>
      <c r="M303" s="8">
        <v>6001.02</v>
      </c>
      <c r="N303" s="7" t="s">
        <v>395</v>
      </c>
      <c r="O303" s="10">
        <v>-10.51</v>
      </c>
      <c r="P303" s="10">
        <v>0</v>
      </c>
      <c r="Q303" s="10">
        <v>-10.51</v>
      </c>
    </row>
  </sheetData>
  <autoFilter xmlns:etc="http://www.wps.cn/officeDocument/2017/etCustomData" ref="A1:X30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9"/>
  <sheetViews>
    <sheetView topLeftCell="R1" workbookViewId="0">
      <pane ySplit="1" topLeftCell="A2" activePane="bottomLeft" state="frozen"/>
      <selection/>
      <selection pane="bottomLeft" activeCell="Z38" sqref="Z38"/>
    </sheetView>
  </sheetViews>
  <sheetFormatPr defaultColWidth="9" defaultRowHeight="13.5"/>
  <cols>
    <col min="17" max="17" width="10.375" customWidth="1"/>
    <col min="19" max="19" width="27.5" style="1"/>
    <col min="20" max="20" width="11.375" style="1"/>
    <col min="21" max="21" width="26.625" style="1" customWidth="1"/>
    <col min="22" max="23" width="18.25" style="2" customWidth="1"/>
    <col min="24" max="24" width="9" style="1"/>
    <col min="25" max="25" width="19.75" style="1" customWidth="1"/>
    <col min="26" max="26" width="9" style="1"/>
    <col min="27" max="27" width="24.25" style="1" customWidth="1"/>
    <col min="28" max="29" width="12.125" style="2"/>
    <col min="30" max="31" width="9" style="1"/>
  </cols>
  <sheetData>
    <row r="1" ht="22.5" spans="1:29">
      <c r="A1" s="3" t="s">
        <v>374</v>
      </c>
      <c r="B1" s="4" t="s">
        <v>0</v>
      </c>
      <c r="C1" s="5" t="s">
        <v>375</v>
      </c>
      <c r="D1" s="4" t="s">
        <v>376</v>
      </c>
      <c r="E1" s="4" t="s">
        <v>377</v>
      </c>
      <c r="F1" s="4" t="s">
        <v>378</v>
      </c>
      <c r="G1" s="4" t="s">
        <v>379</v>
      </c>
      <c r="H1" s="4" t="s">
        <v>371</v>
      </c>
      <c r="I1" s="4" t="s">
        <v>31</v>
      </c>
      <c r="J1" s="4" t="s">
        <v>380</v>
      </c>
      <c r="K1" s="4" t="s">
        <v>381</v>
      </c>
      <c r="L1" s="4" t="s">
        <v>382</v>
      </c>
      <c r="M1" s="5" t="s">
        <v>383</v>
      </c>
      <c r="N1" s="4" t="s">
        <v>384</v>
      </c>
      <c r="O1" s="9" t="s">
        <v>385</v>
      </c>
      <c r="P1" s="9" t="s">
        <v>403</v>
      </c>
      <c r="Q1" s="9" t="s">
        <v>404</v>
      </c>
      <c r="S1" s="1" t="s">
        <v>376</v>
      </c>
      <c r="T1" s="1" t="s">
        <v>31</v>
      </c>
      <c r="U1" s="1" t="s">
        <v>380</v>
      </c>
      <c r="V1" s="2" t="s">
        <v>7</v>
      </c>
      <c r="W1" s="2" t="s">
        <v>8</v>
      </c>
      <c r="Y1" s="1" t="s">
        <v>533</v>
      </c>
      <c r="Z1" s="1" t="s">
        <v>534</v>
      </c>
      <c r="AA1" s="1" t="s">
        <v>535</v>
      </c>
      <c r="AB1" s="2" t="s">
        <v>536</v>
      </c>
      <c r="AC1" s="2" t="s">
        <v>537</v>
      </c>
    </row>
    <row r="2" spans="1:29">
      <c r="A2" s="6">
        <v>45860</v>
      </c>
      <c r="B2" s="7" t="s">
        <v>25</v>
      </c>
      <c r="C2" s="8" t="s">
        <v>25</v>
      </c>
      <c r="D2" s="7" t="s">
        <v>43</v>
      </c>
      <c r="E2" s="7" t="s">
        <v>409</v>
      </c>
      <c r="F2" s="7" t="s">
        <v>410</v>
      </c>
      <c r="G2" s="7" t="s">
        <v>215</v>
      </c>
      <c r="H2" s="7" t="s">
        <v>372</v>
      </c>
      <c r="I2" s="7" t="s">
        <v>42</v>
      </c>
      <c r="J2" s="7" t="s">
        <v>77</v>
      </c>
      <c r="K2" s="7" t="s">
        <v>407</v>
      </c>
      <c r="L2" s="7" t="s">
        <v>389</v>
      </c>
      <c r="M2" s="8" t="s">
        <v>390</v>
      </c>
      <c r="N2" s="7" t="s">
        <v>391</v>
      </c>
      <c r="O2" s="10">
        <v>1152</v>
      </c>
      <c r="P2" s="10">
        <v>1144.83</v>
      </c>
      <c r="Q2" s="10">
        <v>7.17</v>
      </c>
      <c r="S2" s="1" t="s">
        <v>41</v>
      </c>
      <c r="V2" s="2">
        <v>25842</v>
      </c>
      <c r="W2" s="2">
        <v>219875.09</v>
      </c>
      <c r="Y2" s="1" t="s">
        <v>41</v>
      </c>
      <c r="AB2" s="2">
        <v>24391</v>
      </c>
      <c r="AC2" s="2">
        <v>219875.09</v>
      </c>
    </row>
    <row r="3" spans="1:29">
      <c r="A3" s="6">
        <v>45861</v>
      </c>
      <c r="B3" s="7" t="s">
        <v>25</v>
      </c>
      <c r="C3" s="8" t="s">
        <v>25</v>
      </c>
      <c r="D3" s="7" t="s">
        <v>43</v>
      </c>
      <c r="E3" s="7" t="s">
        <v>538</v>
      </c>
      <c r="F3" s="7" t="s">
        <v>432</v>
      </c>
      <c r="G3" s="7"/>
      <c r="H3" s="7" t="s">
        <v>372</v>
      </c>
      <c r="I3" s="7" t="s">
        <v>47</v>
      </c>
      <c r="J3" s="7" t="s">
        <v>67</v>
      </c>
      <c r="K3" s="7" t="s">
        <v>372</v>
      </c>
      <c r="L3" s="7" t="s">
        <v>389</v>
      </c>
      <c r="M3" s="8" t="s">
        <v>390</v>
      </c>
      <c r="N3" s="7" t="s">
        <v>391</v>
      </c>
      <c r="O3" s="10">
        <v>0</v>
      </c>
      <c r="P3" s="10">
        <v>232</v>
      </c>
      <c r="Q3" s="10">
        <v>-232</v>
      </c>
      <c r="T3" s="1" t="s">
        <v>42</v>
      </c>
      <c r="V3" s="2">
        <v>0</v>
      </c>
      <c r="W3" s="2">
        <v>196917</v>
      </c>
      <c r="Z3" s="1" t="s">
        <v>42</v>
      </c>
      <c r="AC3" s="2">
        <v>196917</v>
      </c>
    </row>
    <row r="4" spans="1:29">
      <c r="A4" s="6">
        <v>45853</v>
      </c>
      <c r="B4" s="7" t="s">
        <v>25</v>
      </c>
      <c r="C4" s="8" t="s">
        <v>25</v>
      </c>
      <c r="D4" s="7" t="s">
        <v>43</v>
      </c>
      <c r="E4" s="7" t="s">
        <v>538</v>
      </c>
      <c r="F4" s="7" t="s">
        <v>432</v>
      </c>
      <c r="G4" s="7" t="s">
        <v>539</v>
      </c>
      <c r="H4" s="7" t="s">
        <v>372</v>
      </c>
      <c r="I4" s="7" t="s">
        <v>47</v>
      </c>
      <c r="J4" s="7" t="s">
        <v>64</v>
      </c>
      <c r="K4" s="7" t="s">
        <v>407</v>
      </c>
      <c r="L4" s="7" t="s">
        <v>389</v>
      </c>
      <c r="M4" s="8" t="s">
        <v>390</v>
      </c>
      <c r="N4" s="7" t="s">
        <v>391</v>
      </c>
      <c r="O4" s="10">
        <v>0</v>
      </c>
      <c r="P4" s="10">
        <v>315.9</v>
      </c>
      <c r="Q4" s="10">
        <v>-315.9</v>
      </c>
      <c r="U4" s="1" t="s">
        <v>43</v>
      </c>
      <c r="V4" s="2">
        <v>0</v>
      </c>
      <c r="W4" s="2">
        <v>196772.4</v>
      </c>
      <c r="AA4" s="1" t="s">
        <v>43</v>
      </c>
      <c r="AC4" s="2">
        <v>196772.4</v>
      </c>
    </row>
    <row r="5" spans="1:29">
      <c r="A5" s="6">
        <v>45840</v>
      </c>
      <c r="B5" s="7" t="s">
        <v>25</v>
      </c>
      <c r="C5" s="8" t="s">
        <v>25</v>
      </c>
      <c r="D5" s="7" t="s">
        <v>43</v>
      </c>
      <c r="E5" s="7" t="s">
        <v>538</v>
      </c>
      <c r="F5" s="7" t="s">
        <v>432</v>
      </c>
      <c r="G5" s="7"/>
      <c r="H5" s="7" t="s">
        <v>372</v>
      </c>
      <c r="I5" s="7" t="s">
        <v>47</v>
      </c>
      <c r="J5" s="7" t="s">
        <v>67</v>
      </c>
      <c r="K5" s="7" t="s">
        <v>372</v>
      </c>
      <c r="L5" s="7" t="s">
        <v>389</v>
      </c>
      <c r="M5" s="8" t="s">
        <v>390</v>
      </c>
      <c r="N5" s="7" t="s">
        <v>391</v>
      </c>
      <c r="O5" s="10">
        <v>0</v>
      </c>
      <c r="P5" s="10">
        <v>116</v>
      </c>
      <c r="Q5" s="10">
        <v>-116</v>
      </c>
      <c r="U5" s="1" t="s">
        <v>57</v>
      </c>
      <c r="V5" s="2">
        <v>0</v>
      </c>
      <c r="W5" s="2">
        <v>144.6</v>
      </c>
      <c r="AA5" s="1" t="s">
        <v>57</v>
      </c>
      <c r="AC5" s="2">
        <v>144.6</v>
      </c>
    </row>
    <row r="6" spans="1:29">
      <c r="A6" s="6">
        <v>45866</v>
      </c>
      <c r="B6" s="7" t="s">
        <v>25</v>
      </c>
      <c r="C6" s="8" t="s">
        <v>25</v>
      </c>
      <c r="D6" s="7" t="s">
        <v>43</v>
      </c>
      <c r="E6" s="7" t="s">
        <v>538</v>
      </c>
      <c r="F6" s="7" t="s">
        <v>432</v>
      </c>
      <c r="G6" s="7" t="s">
        <v>539</v>
      </c>
      <c r="H6" s="7" t="s">
        <v>372</v>
      </c>
      <c r="I6" s="7" t="s">
        <v>47</v>
      </c>
      <c r="J6" s="7" t="s">
        <v>55</v>
      </c>
      <c r="K6" s="7" t="s">
        <v>407</v>
      </c>
      <c r="L6" s="7" t="s">
        <v>389</v>
      </c>
      <c r="M6" s="8" t="s">
        <v>390</v>
      </c>
      <c r="N6" s="7" t="s">
        <v>391</v>
      </c>
      <c r="O6" s="10">
        <v>0</v>
      </c>
      <c r="P6" s="10">
        <v>222.09</v>
      </c>
      <c r="Q6" s="10">
        <v>-222.09</v>
      </c>
      <c r="T6" s="1" t="s">
        <v>47</v>
      </c>
      <c r="V6" s="2">
        <v>25842</v>
      </c>
      <c r="W6" s="2">
        <v>22958.09</v>
      </c>
      <c r="Z6" s="1" t="s">
        <v>47</v>
      </c>
      <c r="AB6" s="2">
        <v>24391</v>
      </c>
      <c r="AC6" s="2">
        <v>22958.09</v>
      </c>
    </row>
    <row r="7" spans="1:29">
      <c r="A7" s="6">
        <v>45866</v>
      </c>
      <c r="B7" s="7" t="s">
        <v>25</v>
      </c>
      <c r="C7" s="8" t="s">
        <v>25</v>
      </c>
      <c r="D7" s="7" t="s">
        <v>43</v>
      </c>
      <c r="E7" s="7" t="s">
        <v>538</v>
      </c>
      <c r="F7" s="7" t="s">
        <v>432</v>
      </c>
      <c r="G7" s="7"/>
      <c r="H7" s="7" t="s">
        <v>372</v>
      </c>
      <c r="I7" s="7" t="s">
        <v>47</v>
      </c>
      <c r="J7" s="7" t="s">
        <v>67</v>
      </c>
      <c r="K7" s="7" t="s">
        <v>372</v>
      </c>
      <c r="L7" s="7" t="s">
        <v>389</v>
      </c>
      <c r="M7" s="8" t="s">
        <v>390</v>
      </c>
      <c r="N7" s="7" t="s">
        <v>391</v>
      </c>
      <c r="O7" s="10">
        <v>0</v>
      </c>
      <c r="P7" s="10">
        <v>129.5</v>
      </c>
      <c r="Q7" s="10">
        <v>-129.5</v>
      </c>
      <c r="U7" s="1" t="s">
        <v>64</v>
      </c>
      <c r="V7" s="2">
        <v>2712</v>
      </c>
      <c r="W7" s="2">
        <v>1932.3</v>
      </c>
      <c r="AA7" s="1" t="s">
        <v>179</v>
      </c>
      <c r="AB7" s="2">
        <v>286</v>
      </c>
      <c r="AC7" s="2">
        <v>240</v>
      </c>
    </row>
    <row r="8" spans="1:29">
      <c r="A8" s="6">
        <v>45866</v>
      </c>
      <c r="B8" s="7" t="s">
        <v>25</v>
      </c>
      <c r="C8" s="8" t="s">
        <v>25</v>
      </c>
      <c r="D8" s="7" t="s">
        <v>57</v>
      </c>
      <c r="E8" s="7" t="s">
        <v>406</v>
      </c>
      <c r="F8" s="7" t="s">
        <v>406</v>
      </c>
      <c r="G8" s="7" t="s">
        <v>540</v>
      </c>
      <c r="H8" s="7" t="s">
        <v>372</v>
      </c>
      <c r="I8" s="7" t="s">
        <v>47</v>
      </c>
      <c r="J8" s="7" t="s">
        <v>201</v>
      </c>
      <c r="K8" s="7" t="s">
        <v>372</v>
      </c>
      <c r="L8" s="7" t="s">
        <v>389</v>
      </c>
      <c r="M8" s="8" t="s">
        <v>390</v>
      </c>
      <c r="N8" s="7" t="s">
        <v>391</v>
      </c>
      <c r="O8" s="10">
        <v>27170</v>
      </c>
      <c r="P8" s="10">
        <v>18232.5</v>
      </c>
      <c r="Q8" s="10">
        <v>8937.5</v>
      </c>
      <c r="U8" s="1" t="s">
        <v>201</v>
      </c>
      <c r="V8" s="2">
        <v>3360.2</v>
      </c>
      <c r="W8" s="2">
        <v>2355.9</v>
      </c>
      <c r="AA8" s="1" t="s">
        <v>64</v>
      </c>
      <c r="AB8" s="2">
        <v>2712</v>
      </c>
      <c r="AC8" s="2">
        <v>1932.3</v>
      </c>
    </row>
    <row r="9" spans="1:29">
      <c r="A9" s="6">
        <v>45862</v>
      </c>
      <c r="B9" s="7" t="s">
        <v>25</v>
      </c>
      <c r="C9" s="8" t="s">
        <v>25</v>
      </c>
      <c r="D9" s="7" t="s">
        <v>57</v>
      </c>
      <c r="E9" s="7" t="s">
        <v>406</v>
      </c>
      <c r="F9" s="7" t="s">
        <v>406</v>
      </c>
      <c r="G9" s="7" t="s">
        <v>541</v>
      </c>
      <c r="H9" s="7" t="s">
        <v>372</v>
      </c>
      <c r="I9" s="7" t="s">
        <v>47</v>
      </c>
      <c r="J9" s="7" t="s">
        <v>294</v>
      </c>
      <c r="K9" s="7" t="s">
        <v>372</v>
      </c>
      <c r="L9" s="7" t="s">
        <v>389</v>
      </c>
      <c r="M9" s="8" t="s">
        <v>390</v>
      </c>
      <c r="N9" s="7" t="s">
        <v>391</v>
      </c>
      <c r="O9" s="10">
        <v>2800</v>
      </c>
      <c r="P9" s="10">
        <v>2411.75</v>
      </c>
      <c r="Q9" s="10">
        <v>388.25</v>
      </c>
      <c r="U9" s="1" t="s">
        <v>43</v>
      </c>
      <c r="V9" s="2">
        <v>2696</v>
      </c>
      <c r="W9" s="2">
        <v>1783.6</v>
      </c>
      <c r="AA9" s="1" t="s">
        <v>233</v>
      </c>
      <c r="AB9" s="2">
        <v>199</v>
      </c>
      <c r="AC9" s="2">
        <v>166.6</v>
      </c>
    </row>
    <row r="10" spans="1:29">
      <c r="A10" s="6">
        <v>45863</v>
      </c>
      <c r="B10" s="7" t="s">
        <v>25</v>
      </c>
      <c r="C10" s="8" t="s">
        <v>25</v>
      </c>
      <c r="D10" s="7" t="s">
        <v>57</v>
      </c>
      <c r="E10" s="7" t="s">
        <v>406</v>
      </c>
      <c r="F10" s="7" t="s">
        <v>406</v>
      </c>
      <c r="G10" s="7" t="s">
        <v>541</v>
      </c>
      <c r="H10" s="7" t="s">
        <v>372</v>
      </c>
      <c r="I10" s="7" t="s">
        <v>47</v>
      </c>
      <c r="J10" s="7" t="s">
        <v>294</v>
      </c>
      <c r="K10" s="7" t="s">
        <v>372</v>
      </c>
      <c r="L10" s="7" t="s">
        <v>389</v>
      </c>
      <c r="M10" s="8" t="s">
        <v>390</v>
      </c>
      <c r="N10" s="7" t="s">
        <v>391</v>
      </c>
      <c r="O10" s="10">
        <v>560</v>
      </c>
      <c r="P10" s="10">
        <v>482.35</v>
      </c>
      <c r="Q10" s="10">
        <v>77.65</v>
      </c>
      <c r="U10" s="1" t="s">
        <v>57</v>
      </c>
      <c r="V10" s="2">
        <v>17073.8</v>
      </c>
      <c r="W10" s="2">
        <v>16886.29</v>
      </c>
      <c r="AA10" s="1" t="s">
        <v>350</v>
      </c>
      <c r="AB10" s="2">
        <v>779</v>
      </c>
      <c r="AC10" s="2">
        <v>462.3</v>
      </c>
    </row>
    <row r="11" spans="1:29">
      <c r="A11" s="6">
        <v>45866</v>
      </c>
      <c r="B11" s="7" t="s">
        <v>25</v>
      </c>
      <c r="C11" s="8" t="s">
        <v>25</v>
      </c>
      <c r="D11" s="7" t="s">
        <v>57</v>
      </c>
      <c r="E11" s="7" t="s">
        <v>406</v>
      </c>
      <c r="F11" s="7" t="s">
        <v>406</v>
      </c>
      <c r="G11" s="7" t="s">
        <v>540</v>
      </c>
      <c r="H11" s="7" t="s">
        <v>372</v>
      </c>
      <c r="I11" s="7" t="s">
        <v>47</v>
      </c>
      <c r="J11" s="7" t="s">
        <v>201</v>
      </c>
      <c r="K11" s="7" t="s">
        <v>372</v>
      </c>
      <c r="L11" s="7" t="s">
        <v>389</v>
      </c>
      <c r="M11" s="8" t="s">
        <v>390</v>
      </c>
      <c r="N11" s="7" t="s">
        <v>391</v>
      </c>
      <c r="O11" s="10">
        <v>78660</v>
      </c>
      <c r="P11" s="10">
        <v>69427.8</v>
      </c>
      <c r="Q11" s="10">
        <v>9232.2</v>
      </c>
      <c r="S11" s="1" t="s">
        <v>43</v>
      </c>
      <c r="V11" s="2">
        <v>1152</v>
      </c>
      <c r="W11" s="2">
        <v>4318.37</v>
      </c>
      <c r="AA11" s="1" t="s">
        <v>43</v>
      </c>
      <c r="AB11" s="2">
        <v>2696</v>
      </c>
      <c r="AC11" s="2">
        <v>1783.6</v>
      </c>
    </row>
    <row r="12" spans="1:29">
      <c r="A12" s="6">
        <v>45863</v>
      </c>
      <c r="B12" s="7" t="s">
        <v>25</v>
      </c>
      <c r="C12" s="8" t="s">
        <v>25</v>
      </c>
      <c r="D12" s="7" t="s">
        <v>57</v>
      </c>
      <c r="E12" s="7" t="s">
        <v>406</v>
      </c>
      <c r="F12" s="7" t="s">
        <v>406</v>
      </c>
      <c r="G12" s="7" t="s">
        <v>541</v>
      </c>
      <c r="H12" s="7" t="s">
        <v>372</v>
      </c>
      <c r="I12" s="7" t="s">
        <v>47</v>
      </c>
      <c r="J12" s="7" t="s">
        <v>294</v>
      </c>
      <c r="K12" s="7" t="s">
        <v>372</v>
      </c>
      <c r="L12" s="7" t="s">
        <v>389</v>
      </c>
      <c r="M12" s="8" t="s">
        <v>390</v>
      </c>
      <c r="N12" s="7" t="s">
        <v>391</v>
      </c>
      <c r="O12" s="10">
        <v>1120</v>
      </c>
      <c r="P12" s="10">
        <v>964.7</v>
      </c>
      <c r="Q12" s="10">
        <v>155.3</v>
      </c>
      <c r="T12" s="1" t="s">
        <v>42</v>
      </c>
      <c r="V12" s="2">
        <v>1152</v>
      </c>
      <c r="W12" s="2">
        <v>1501.83</v>
      </c>
      <c r="AA12" s="1" t="s">
        <v>57</v>
      </c>
      <c r="AB12" s="2">
        <v>15622.8</v>
      </c>
      <c r="AC12" s="2">
        <v>16886.29</v>
      </c>
    </row>
    <row r="13" spans="1:29">
      <c r="A13" s="6">
        <v>45866</v>
      </c>
      <c r="B13" s="7" t="s">
        <v>25</v>
      </c>
      <c r="C13" s="8" t="s">
        <v>25</v>
      </c>
      <c r="D13" s="7" t="s">
        <v>57</v>
      </c>
      <c r="E13" s="7" t="s">
        <v>406</v>
      </c>
      <c r="F13" s="7" t="s">
        <v>406</v>
      </c>
      <c r="G13" s="7" t="s">
        <v>540</v>
      </c>
      <c r="H13" s="7" t="s">
        <v>372</v>
      </c>
      <c r="I13" s="7" t="s">
        <v>47</v>
      </c>
      <c r="J13" s="7" t="s">
        <v>201</v>
      </c>
      <c r="K13" s="7" t="s">
        <v>372</v>
      </c>
      <c r="L13" s="7" t="s">
        <v>389</v>
      </c>
      <c r="M13" s="8" t="s">
        <v>390</v>
      </c>
      <c r="N13" s="7" t="s">
        <v>391</v>
      </c>
      <c r="O13" s="10">
        <v>185</v>
      </c>
      <c r="P13" s="10">
        <v>129</v>
      </c>
      <c r="Q13" s="10">
        <v>56</v>
      </c>
      <c r="U13" s="1" t="s">
        <v>314</v>
      </c>
      <c r="V13" s="2">
        <v>0</v>
      </c>
      <c r="W13" s="2">
        <v>357</v>
      </c>
      <c r="AA13" s="1" t="s">
        <v>343</v>
      </c>
      <c r="AB13" s="2">
        <v>1086.2</v>
      </c>
      <c r="AC13" s="2">
        <v>825.5</v>
      </c>
    </row>
    <row r="14" spans="1:29">
      <c r="A14" s="6">
        <v>45855</v>
      </c>
      <c r="B14" s="7" t="s">
        <v>25</v>
      </c>
      <c r="C14" s="8" t="s">
        <v>25</v>
      </c>
      <c r="D14" s="7" t="s">
        <v>41</v>
      </c>
      <c r="E14" s="7" t="s">
        <v>542</v>
      </c>
      <c r="F14" s="7" t="s">
        <v>410</v>
      </c>
      <c r="G14" s="7" t="s">
        <v>215</v>
      </c>
      <c r="H14" s="7" t="s">
        <v>372</v>
      </c>
      <c r="I14" s="7" t="s">
        <v>47</v>
      </c>
      <c r="J14" s="7" t="s">
        <v>57</v>
      </c>
      <c r="K14" s="7" t="s">
        <v>407</v>
      </c>
      <c r="L14" s="7" t="s">
        <v>389</v>
      </c>
      <c r="M14" s="8" t="s">
        <v>390</v>
      </c>
      <c r="N14" s="7" t="s">
        <v>391</v>
      </c>
      <c r="O14" s="10">
        <v>2212</v>
      </c>
      <c r="P14" s="10">
        <v>1791.72</v>
      </c>
      <c r="Q14" s="10">
        <v>420.28</v>
      </c>
      <c r="U14" s="1" t="s">
        <v>77</v>
      </c>
      <c r="V14" s="2">
        <v>1152</v>
      </c>
      <c r="W14" s="2">
        <v>1144.83</v>
      </c>
      <c r="AA14" s="1" t="s">
        <v>347</v>
      </c>
      <c r="AB14" s="2">
        <v>1010</v>
      </c>
      <c r="AC14" s="2">
        <v>661.5</v>
      </c>
    </row>
    <row r="15" spans="1:29">
      <c r="A15" s="6">
        <v>45856</v>
      </c>
      <c r="B15" s="7" t="s">
        <v>25</v>
      </c>
      <c r="C15" s="8" t="s">
        <v>25</v>
      </c>
      <c r="D15" s="7" t="s">
        <v>41</v>
      </c>
      <c r="E15" s="7" t="s">
        <v>543</v>
      </c>
      <c r="F15" s="7" t="s">
        <v>410</v>
      </c>
      <c r="G15" s="7" t="s">
        <v>215</v>
      </c>
      <c r="H15" s="7" t="s">
        <v>372</v>
      </c>
      <c r="I15" s="7" t="s">
        <v>47</v>
      </c>
      <c r="J15" s="7" t="s">
        <v>201</v>
      </c>
      <c r="K15" s="7" t="s">
        <v>372</v>
      </c>
      <c r="L15" s="7" t="s">
        <v>389</v>
      </c>
      <c r="M15" s="8" t="s">
        <v>390</v>
      </c>
      <c r="N15" s="7" t="s">
        <v>391</v>
      </c>
      <c r="O15" s="10">
        <v>32</v>
      </c>
      <c r="P15" s="10">
        <v>28</v>
      </c>
      <c r="Q15" s="10">
        <v>4</v>
      </c>
      <c r="T15" s="1" t="s">
        <v>47</v>
      </c>
      <c r="V15" s="2">
        <v>0</v>
      </c>
      <c r="W15" s="2">
        <v>2816.54</v>
      </c>
      <c r="Y15" s="1" t="s">
        <v>43</v>
      </c>
      <c r="AB15" s="2">
        <v>1152</v>
      </c>
      <c r="AC15" s="2">
        <v>4318.37</v>
      </c>
    </row>
    <row r="16" spans="1:29">
      <c r="A16" s="6">
        <v>45856</v>
      </c>
      <c r="B16" s="7" t="s">
        <v>25</v>
      </c>
      <c r="C16" s="8" t="s">
        <v>25</v>
      </c>
      <c r="D16" s="7" t="s">
        <v>41</v>
      </c>
      <c r="E16" s="7" t="s">
        <v>543</v>
      </c>
      <c r="F16" s="7" t="s">
        <v>410</v>
      </c>
      <c r="G16" s="7" t="s">
        <v>215</v>
      </c>
      <c r="H16" s="7" t="s">
        <v>372</v>
      </c>
      <c r="I16" s="7" t="s">
        <v>47</v>
      </c>
      <c r="J16" s="7" t="s">
        <v>43</v>
      </c>
      <c r="K16" s="7" t="s">
        <v>407</v>
      </c>
      <c r="L16" s="7" t="s">
        <v>389</v>
      </c>
      <c r="M16" s="8" t="s">
        <v>390</v>
      </c>
      <c r="N16" s="7" t="s">
        <v>391</v>
      </c>
      <c r="O16" s="10">
        <v>329</v>
      </c>
      <c r="P16" s="10">
        <v>216</v>
      </c>
      <c r="Q16" s="10">
        <v>113</v>
      </c>
      <c r="U16" s="1" t="s">
        <v>64</v>
      </c>
      <c r="V16" s="2">
        <v>0</v>
      </c>
      <c r="W16" s="2">
        <v>315.9</v>
      </c>
      <c r="Z16" s="1" t="s">
        <v>42</v>
      </c>
      <c r="AB16" s="2">
        <v>1152</v>
      </c>
      <c r="AC16" s="2">
        <v>1501.83</v>
      </c>
    </row>
    <row r="17" spans="1:29">
      <c r="A17" s="6">
        <v>45842</v>
      </c>
      <c r="B17" s="7" t="s">
        <v>25</v>
      </c>
      <c r="C17" s="8" t="s">
        <v>25</v>
      </c>
      <c r="D17" s="7" t="s">
        <v>41</v>
      </c>
      <c r="E17" s="7" t="s">
        <v>542</v>
      </c>
      <c r="F17" s="7" t="s">
        <v>410</v>
      </c>
      <c r="G17" s="7" t="s">
        <v>215</v>
      </c>
      <c r="H17" s="7" t="s">
        <v>372</v>
      </c>
      <c r="I17" s="7" t="s">
        <v>47</v>
      </c>
      <c r="J17" s="7" t="s">
        <v>57</v>
      </c>
      <c r="K17" s="7" t="s">
        <v>407</v>
      </c>
      <c r="L17" s="7" t="s">
        <v>389</v>
      </c>
      <c r="M17" s="8" t="s">
        <v>390</v>
      </c>
      <c r="N17" s="7" t="s">
        <v>391</v>
      </c>
      <c r="O17" s="10">
        <v>2136</v>
      </c>
      <c r="P17" s="10">
        <v>1790.2</v>
      </c>
      <c r="Q17" s="10">
        <v>345.8</v>
      </c>
      <c r="U17" s="1" t="s">
        <v>141</v>
      </c>
      <c r="V17" s="2">
        <v>0</v>
      </c>
      <c r="W17" s="2">
        <v>42</v>
      </c>
      <c r="AA17" s="1" t="s">
        <v>314</v>
      </c>
      <c r="AC17" s="2">
        <v>357</v>
      </c>
    </row>
    <row r="18" spans="1:29">
      <c r="A18" s="6">
        <v>45862</v>
      </c>
      <c r="B18" s="7" t="s">
        <v>25</v>
      </c>
      <c r="C18" s="8" t="s">
        <v>25</v>
      </c>
      <c r="D18" s="7" t="s">
        <v>41</v>
      </c>
      <c r="E18" s="7" t="s">
        <v>543</v>
      </c>
      <c r="F18" s="7" t="s">
        <v>410</v>
      </c>
      <c r="G18" s="7" t="s">
        <v>215</v>
      </c>
      <c r="H18" s="7" t="s">
        <v>372</v>
      </c>
      <c r="I18" s="7" t="s">
        <v>47</v>
      </c>
      <c r="J18" s="7" t="s">
        <v>64</v>
      </c>
      <c r="K18" s="7" t="s">
        <v>407</v>
      </c>
      <c r="L18" s="7" t="s">
        <v>389</v>
      </c>
      <c r="M18" s="8" t="s">
        <v>390</v>
      </c>
      <c r="N18" s="7" t="s">
        <v>391</v>
      </c>
      <c r="O18" s="10">
        <v>552</v>
      </c>
      <c r="P18" s="10">
        <v>393.3</v>
      </c>
      <c r="Q18" s="10">
        <v>158.7</v>
      </c>
      <c r="U18" s="1" t="s">
        <v>67</v>
      </c>
      <c r="V18" s="2">
        <v>0</v>
      </c>
      <c r="W18" s="2">
        <v>589.5</v>
      </c>
      <c r="AA18" s="1" t="s">
        <v>77</v>
      </c>
      <c r="AB18" s="2">
        <v>1152</v>
      </c>
      <c r="AC18" s="2">
        <v>1144.83</v>
      </c>
    </row>
    <row r="19" spans="1:29">
      <c r="A19" s="6">
        <v>45862</v>
      </c>
      <c r="B19" s="7" t="s">
        <v>25</v>
      </c>
      <c r="C19" s="8" t="s">
        <v>25</v>
      </c>
      <c r="D19" s="7" t="s">
        <v>41</v>
      </c>
      <c r="E19" s="7" t="s">
        <v>543</v>
      </c>
      <c r="F19" s="7" t="s">
        <v>410</v>
      </c>
      <c r="G19" s="7" t="s">
        <v>215</v>
      </c>
      <c r="H19" s="7" t="s">
        <v>372</v>
      </c>
      <c r="I19" s="7" t="s">
        <v>47</v>
      </c>
      <c r="J19" s="7" t="s">
        <v>43</v>
      </c>
      <c r="K19" s="7" t="s">
        <v>407</v>
      </c>
      <c r="L19" s="7" t="s">
        <v>389</v>
      </c>
      <c r="M19" s="8" t="s">
        <v>390</v>
      </c>
      <c r="N19" s="7" t="s">
        <v>391</v>
      </c>
      <c r="O19" s="10">
        <v>767</v>
      </c>
      <c r="P19" s="10">
        <v>498.1</v>
      </c>
      <c r="Q19" s="10">
        <v>268.9</v>
      </c>
      <c r="U19" s="1" t="s">
        <v>296</v>
      </c>
      <c r="V19" s="2">
        <v>0</v>
      </c>
      <c r="W19" s="2">
        <v>1352.4</v>
      </c>
      <c r="Z19" s="1" t="s">
        <v>47</v>
      </c>
      <c r="AC19" s="2">
        <v>2816.54</v>
      </c>
    </row>
    <row r="20" spans="1:29">
      <c r="A20" s="6">
        <v>45869</v>
      </c>
      <c r="B20" s="7" t="s">
        <v>25</v>
      </c>
      <c r="C20" s="8" t="s">
        <v>25</v>
      </c>
      <c r="D20" s="7" t="s">
        <v>41</v>
      </c>
      <c r="E20" s="7" t="s">
        <v>543</v>
      </c>
      <c r="F20" s="7" t="s">
        <v>410</v>
      </c>
      <c r="G20" s="7" t="s">
        <v>215</v>
      </c>
      <c r="H20" s="7" t="s">
        <v>372</v>
      </c>
      <c r="I20" s="7" t="s">
        <v>47</v>
      </c>
      <c r="J20" s="7" t="s">
        <v>57</v>
      </c>
      <c r="K20" s="7" t="s">
        <v>407</v>
      </c>
      <c r="L20" s="7" t="s">
        <v>389</v>
      </c>
      <c r="M20" s="8" t="s">
        <v>390</v>
      </c>
      <c r="N20" s="7" t="s">
        <v>391</v>
      </c>
      <c r="O20" s="10">
        <v>3400.8</v>
      </c>
      <c r="P20" s="10">
        <v>3007.37</v>
      </c>
      <c r="Q20" s="10">
        <v>393.43</v>
      </c>
      <c r="U20" s="1" t="s">
        <v>55</v>
      </c>
      <c r="V20" s="2">
        <v>0</v>
      </c>
      <c r="W20" s="2">
        <v>516.74</v>
      </c>
      <c r="AA20" s="1" t="s">
        <v>64</v>
      </c>
      <c r="AC20" s="2">
        <v>315.9</v>
      </c>
    </row>
    <row r="21" spans="1:29">
      <c r="A21" s="6">
        <v>45862</v>
      </c>
      <c r="B21" s="7" t="s">
        <v>25</v>
      </c>
      <c r="C21" s="8" t="s">
        <v>25</v>
      </c>
      <c r="D21" s="7" t="s">
        <v>41</v>
      </c>
      <c r="E21" s="7" t="s">
        <v>543</v>
      </c>
      <c r="F21" s="7" t="s">
        <v>410</v>
      </c>
      <c r="G21" s="7" t="s">
        <v>215</v>
      </c>
      <c r="H21" s="7" t="s">
        <v>372</v>
      </c>
      <c r="I21" s="7" t="s">
        <v>47</v>
      </c>
      <c r="J21" s="7" t="s">
        <v>201</v>
      </c>
      <c r="K21" s="7" t="s">
        <v>372</v>
      </c>
      <c r="L21" s="7" t="s">
        <v>389</v>
      </c>
      <c r="M21" s="8" t="s">
        <v>390</v>
      </c>
      <c r="N21" s="7" t="s">
        <v>391</v>
      </c>
      <c r="O21" s="10">
        <v>154</v>
      </c>
      <c r="P21" s="10">
        <v>130.9</v>
      </c>
      <c r="Q21" s="10">
        <v>23.1</v>
      </c>
      <c r="S21" s="1" t="s">
        <v>57</v>
      </c>
      <c r="V21" s="2">
        <v>110495</v>
      </c>
      <c r="W21" s="2">
        <v>91648.1</v>
      </c>
      <c r="AA21" s="1" t="s">
        <v>141</v>
      </c>
      <c r="AC21" s="2">
        <v>42</v>
      </c>
    </row>
    <row r="22" spans="1:29">
      <c r="A22" s="6">
        <v>45856</v>
      </c>
      <c r="B22" s="7" t="s">
        <v>25</v>
      </c>
      <c r="C22" s="8" t="s">
        <v>25</v>
      </c>
      <c r="D22" s="7" t="s">
        <v>41</v>
      </c>
      <c r="E22" s="7" t="s">
        <v>543</v>
      </c>
      <c r="F22" s="7" t="s">
        <v>410</v>
      </c>
      <c r="G22" s="7" t="s">
        <v>215</v>
      </c>
      <c r="H22" s="7" t="s">
        <v>372</v>
      </c>
      <c r="I22" s="7" t="s">
        <v>47</v>
      </c>
      <c r="J22" s="7" t="s">
        <v>64</v>
      </c>
      <c r="K22" s="7" t="s">
        <v>407</v>
      </c>
      <c r="L22" s="7" t="s">
        <v>389</v>
      </c>
      <c r="M22" s="8" t="s">
        <v>390</v>
      </c>
      <c r="N22" s="7" t="s">
        <v>391</v>
      </c>
      <c r="O22" s="10">
        <v>552</v>
      </c>
      <c r="P22" s="10">
        <v>393.3</v>
      </c>
      <c r="Q22" s="10">
        <v>158.7</v>
      </c>
      <c r="T22" s="1" t="s">
        <v>47</v>
      </c>
      <c r="V22" s="2">
        <v>110495</v>
      </c>
      <c r="W22" s="2">
        <v>91648.1</v>
      </c>
      <c r="AA22" s="1" t="s">
        <v>67</v>
      </c>
      <c r="AC22" s="2">
        <v>589.5</v>
      </c>
    </row>
    <row r="23" spans="1:29">
      <c r="A23" s="6">
        <v>45862</v>
      </c>
      <c r="B23" s="7" t="s">
        <v>25</v>
      </c>
      <c r="C23" s="8" t="s">
        <v>25</v>
      </c>
      <c r="D23" s="7" t="s">
        <v>41</v>
      </c>
      <c r="E23" s="7" t="s">
        <v>543</v>
      </c>
      <c r="F23" s="7" t="s">
        <v>410</v>
      </c>
      <c r="G23" s="7" t="s">
        <v>215</v>
      </c>
      <c r="H23" s="7" t="s">
        <v>372</v>
      </c>
      <c r="I23" s="7" t="s">
        <v>47</v>
      </c>
      <c r="J23" s="7" t="s">
        <v>201</v>
      </c>
      <c r="K23" s="7" t="s">
        <v>372</v>
      </c>
      <c r="L23" s="7" t="s">
        <v>389</v>
      </c>
      <c r="M23" s="8" t="s">
        <v>390</v>
      </c>
      <c r="N23" s="7" t="s">
        <v>391</v>
      </c>
      <c r="O23" s="10">
        <v>250.2</v>
      </c>
      <c r="P23" s="10">
        <v>211.5</v>
      </c>
      <c r="Q23" s="10">
        <v>38.7</v>
      </c>
      <c r="U23" s="1" t="s">
        <v>201</v>
      </c>
      <c r="V23" s="2">
        <v>106015</v>
      </c>
      <c r="W23" s="2">
        <v>87789.3</v>
      </c>
      <c r="AA23" s="1" t="s">
        <v>296</v>
      </c>
      <c r="AC23" s="2">
        <v>1352.4</v>
      </c>
    </row>
    <row r="24" spans="1:29">
      <c r="A24" s="6">
        <v>45862</v>
      </c>
      <c r="B24" s="7" t="s">
        <v>25</v>
      </c>
      <c r="C24" s="8" t="s">
        <v>25</v>
      </c>
      <c r="D24" s="7" t="s">
        <v>41</v>
      </c>
      <c r="E24" s="7" t="s">
        <v>543</v>
      </c>
      <c r="F24" s="7" t="s">
        <v>410</v>
      </c>
      <c r="G24" s="7" t="s">
        <v>215</v>
      </c>
      <c r="H24" s="7" t="s">
        <v>372</v>
      </c>
      <c r="I24" s="7" t="s">
        <v>47</v>
      </c>
      <c r="J24" s="7" t="s">
        <v>57</v>
      </c>
      <c r="K24" s="7" t="s">
        <v>407</v>
      </c>
      <c r="L24" s="7" t="s">
        <v>389</v>
      </c>
      <c r="M24" s="8" t="s">
        <v>390</v>
      </c>
      <c r="N24" s="7" t="s">
        <v>391</v>
      </c>
      <c r="O24" s="10">
        <v>350</v>
      </c>
      <c r="P24" s="10">
        <v>312</v>
      </c>
      <c r="Q24" s="10">
        <v>38</v>
      </c>
      <c r="U24" s="1" t="s">
        <v>294</v>
      </c>
      <c r="V24" s="2">
        <v>4480</v>
      </c>
      <c r="W24" s="2">
        <v>3858.8</v>
      </c>
      <c r="AA24" s="1" t="s">
        <v>55</v>
      </c>
      <c r="AC24" s="2">
        <v>516.74</v>
      </c>
    </row>
    <row r="25" spans="1:29">
      <c r="A25" s="6">
        <v>45856</v>
      </c>
      <c r="B25" s="7" t="s">
        <v>25</v>
      </c>
      <c r="C25" s="8" t="s">
        <v>25</v>
      </c>
      <c r="D25" s="7" t="s">
        <v>41</v>
      </c>
      <c r="E25" s="7" t="s">
        <v>543</v>
      </c>
      <c r="F25" s="7" t="s">
        <v>410</v>
      </c>
      <c r="G25" s="7" t="s">
        <v>215</v>
      </c>
      <c r="H25" s="7" t="s">
        <v>372</v>
      </c>
      <c r="I25" s="7" t="s">
        <v>47</v>
      </c>
      <c r="J25" s="7" t="s">
        <v>201</v>
      </c>
      <c r="K25" s="7" t="s">
        <v>372</v>
      </c>
      <c r="L25" s="7" t="s">
        <v>389</v>
      </c>
      <c r="M25" s="8" t="s">
        <v>390</v>
      </c>
      <c r="N25" s="7" t="s">
        <v>391</v>
      </c>
      <c r="O25" s="10">
        <v>26</v>
      </c>
      <c r="P25" s="10">
        <v>21</v>
      </c>
      <c r="Q25" s="10">
        <v>5</v>
      </c>
      <c r="S25" s="1" t="s">
        <v>16</v>
      </c>
      <c r="V25" s="2">
        <v>137489</v>
      </c>
      <c r="W25" s="2">
        <v>315841.56</v>
      </c>
      <c r="Y25" s="1" t="s">
        <v>57</v>
      </c>
      <c r="AB25" s="2">
        <v>110495</v>
      </c>
      <c r="AC25" s="2">
        <v>91648.1</v>
      </c>
    </row>
    <row r="26" spans="1:29">
      <c r="A26" s="6">
        <v>45855</v>
      </c>
      <c r="B26" s="7" t="s">
        <v>25</v>
      </c>
      <c r="C26" s="8" t="s">
        <v>25</v>
      </c>
      <c r="D26" s="7" t="s">
        <v>41</v>
      </c>
      <c r="E26" s="7" t="s">
        <v>542</v>
      </c>
      <c r="F26" s="7" t="s">
        <v>410</v>
      </c>
      <c r="G26" s="7" t="s">
        <v>215</v>
      </c>
      <c r="H26" s="7" t="s">
        <v>372</v>
      </c>
      <c r="I26" s="7" t="s">
        <v>47</v>
      </c>
      <c r="J26" s="7" t="s">
        <v>57</v>
      </c>
      <c r="K26" s="7" t="s">
        <v>407</v>
      </c>
      <c r="L26" s="7" t="s">
        <v>389</v>
      </c>
      <c r="M26" s="8" t="s">
        <v>390</v>
      </c>
      <c r="N26" s="7" t="s">
        <v>391</v>
      </c>
      <c r="O26" s="10">
        <v>0</v>
      </c>
      <c r="P26" s="10">
        <v>72.9</v>
      </c>
      <c r="Q26" s="10">
        <v>-72.9</v>
      </c>
      <c r="Z26" s="1" t="s">
        <v>47</v>
      </c>
      <c r="AB26" s="2">
        <v>110495</v>
      </c>
      <c r="AC26" s="2">
        <v>91648.1</v>
      </c>
    </row>
    <row r="27" spans="1:29">
      <c r="A27" s="6">
        <v>45868</v>
      </c>
      <c r="B27" s="7" t="s">
        <v>25</v>
      </c>
      <c r="C27" s="8" t="s">
        <v>25</v>
      </c>
      <c r="D27" s="7" t="s">
        <v>41</v>
      </c>
      <c r="E27" s="7" t="s">
        <v>543</v>
      </c>
      <c r="F27" s="7" t="s">
        <v>410</v>
      </c>
      <c r="G27" s="7" t="s">
        <v>215</v>
      </c>
      <c r="H27" s="7" t="s">
        <v>372</v>
      </c>
      <c r="I27" s="7" t="s">
        <v>42</v>
      </c>
      <c r="J27" s="7" t="s">
        <v>57</v>
      </c>
      <c r="K27" s="7" t="s">
        <v>407</v>
      </c>
      <c r="L27" s="7" t="s">
        <v>394</v>
      </c>
      <c r="M27" s="8">
        <v>6001.02</v>
      </c>
      <c r="N27" s="7" t="s">
        <v>395</v>
      </c>
      <c r="O27" s="10">
        <v>0</v>
      </c>
      <c r="P27" s="10">
        <v>14.4</v>
      </c>
      <c r="Q27" s="10">
        <v>-14.4</v>
      </c>
      <c r="AA27" s="1" t="s">
        <v>179</v>
      </c>
      <c r="AB27" s="2">
        <v>185</v>
      </c>
      <c r="AC27" s="2">
        <v>129</v>
      </c>
    </row>
    <row r="28" spans="1:29">
      <c r="A28" s="6">
        <v>45855</v>
      </c>
      <c r="B28" s="7" t="s">
        <v>25</v>
      </c>
      <c r="C28" s="8" t="s">
        <v>25</v>
      </c>
      <c r="D28" s="7" t="s">
        <v>41</v>
      </c>
      <c r="E28" s="7" t="s">
        <v>543</v>
      </c>
      <c r="F28" s="7" t="s">
        <v>410</v>
      </c>
      <c r="G28" s="7" t="s">
        <v>215</v>
      </c>
      <c r="H28" s="7" t="s">
        <v>372</v>
      </c>
      <c r="I28" s="7" t="s">
        <v>42</v>
      </c>
      <c r="J28" s="7" t="s">
        <v>57</v>
      </c>
      <c r="K28" s="7" t="s">
        <v>407</v>
      </c>
      <c r="L28" s="7" t="s">
        <v>389</v>
      </c>
      <c r="M28" s="8" t="s">
        <v>390</v>
      </c>
      <c r="N28" s="7" t="s">
        <v>391</v>
      </c>
      <c r="O28" s="10">
        <v>0</v>
      </c>
      <c r="P28" s="10">
        <v>77.4</v>
      </c>
      <c r="Q28" s="10">
        <v>-77.4</v>
      </c>
      <c r="AA28" s="1" t="s">
        <v>294</v>
      </c>
      <c r="AB28" s="2">
        <v>4480</v>
      </c>
      <c r="AC28" s="2">
        <v>3858.8</v>
      </c>
    </row>
    <row r="29" spans="1:29">
      <c r="A29" s="6">
        <v>45856</v>
      </c>
      <c r="B29" s="7" t="s">
        <v>25</v>
      </c>
      <c r="C29" s="8" t="s">
        <v>25</v>
      </c>
      <c r="D29" s="7" t="s">
        <v>41</v>
      </c>
      <c r="E29" s="7" t="s">
        <v>543</v>
      </c>
      <c r="F29" s="7" t="s">
        <v>410</v>
      </c>
      <c r="G29" s="7" t="s">
        <v>215</v>
      </c>
      <c r="H29" s="7" t="s">
        <v>372</v>
      </c>
      <c r="I29" s="7" t="s">
        <v>47</v>
      </c>
      <c r="J29" s="7" t="s">
        <v>57</v>
      </c>
      <c r="K29" s="7" t="s">
        <v>407</v>
      </c>
      <c r="L29" s="7" t="s">
        <v>389</v>
      </c>
      <c r="M29" s="8" t="s">
        <v>390</v>
      </c>
      <c r="N29" s="7" t="s">
        <v>391</v>
      </c>
      <c r="O29" s="10">
        <v>200</v>
      </c>
      <c r="P29" s="10">
        <v>164</v>
      </c>
      <c r="Q29" s="10">
        <v>36</v>
      </c>
      <c r="AA29" s="1" t="s">
        <v>249</v>
      </c>
      <c r="AB29" s="2">
        <v>27170</v>
      </c>
      <c r="AC29" s="2">
        <v>18232.5</v>
      </c>
    </row>
    <row r="30" spans="1:29">
      <c r="A30" s="6">
        <v>45854</v>
      </c>
      <c r="B30" s="7" t="s">
        <v>25</v>
      </c>
      <c r="C30" s="8" t="s">
        <v>25</v>
      </c>
      <c r="D30" s="7" t="s">
        <v>41</v>
      </c>
      <c r="E30" s="7" t="s">
        <v>543</v>
      </c>
      <c r="F30" s="7" t="s">
        <v>410</v>
      </c>
      <c r="G30" s="7" t="s">
        <v>215</v>
      </c>
      <c r="H30" s="7" t="s">
        <v>372</v>
      </c>
      <c r="I30" s="7" t="s">
        <v>47</v>
      </c>
      <c r="J30" s="7" t="s">
        <v>64</v>
      </c>
      <c r="K30" s="7" t="s">
        <v>407</v>
      </c>
      <c r="L30" s="7" t="s">
        <v>389</v>
      </c>
      <c r="M30" s="8" t="s">
        <v>390</v>
      </c>
      <c r="N30" s="7" t="s">
        <v>391</v>
      </c>
      <c r="O30" s="10">
        <v>864</v>
      </c>
      <c r="P30" s="10">
        <v>615.6</v>
      </c>
      <c r="Q30" s="10">
        <v>248.4</v>
      </c>
      <c r="AA30" s="1" t="s">
        <v>343</v>
      </c>
      <c r="AB30" s="2">
        <v>78660</v>
      </c>
      <c r="AC30" s="2">
        <v>69427.8</v>
      </c>
    </row>
    <row r="31" spans="1:29">
      <c r="A31" s="6">
        <v>45854</v>
      </c>
      <c r="B31" s="7" t="s">
        <v>25</v>
      </c>
      <c r="C31" s="8" t="s">
        <v>25</v>
      </c>
      <c r="D31" s="7" t="s">
        <v>41</v>
      </c>
      <c r="E31" s="7" t="s">
        <v>543</v>
      </c>
      <c r="F31" s="7" t="s">
        <v>410</v>
      </c>
      <c r="G31" s="7" t="s">
        <v>215</v>
      </c>
      <c r="H31" s="7" t="s">
        <v>372</v>
      </c>
      <c r="I31" s="7" t="s">
        <v>47</v>
      </c>
      <c r="J31" s="7" t="s">
        <v>201</v>
      </c>
      <c r="K31" s="7" t="s">
        <v>372</v>
      </c>
      <c r="L31" s="7" t="s">
        <v>389</v>
      </c>
      <c r="M31" s="8" t="s">
        <v>390</v>
      </c>
      <c r="N31" s="7" t="s">
        <v>391</v>
      </c>
      <c r="O31" s="10">
        <v>380</v>
      </c>
      <c r="P31" s="10">
        <v>228</v>
      </c>
      <c r="Q31" s="10">
        <v>152</v>
      </c>
      <c r="Y31" s="1" t="s">
        <v>16</v>
      </c>
      <c r="AB31" s="2">
        <v>136038</v>
      </c>
      <c r="AC31" s="2">
        <v>315841.56</v>
      </c>
    </row>
    <row r="32" spans="1:17">
      <c r="A32" s="6">
        <v>45854</v>
      </c>
      <c r="B32" s="7" t="s">
        <v>25</v>
      </c>
      <c r="C32" s="8" t="s">
        <v>25</v>
      </c>
      <c r="D32" s="7" t="s">
        <v>41</v>
      </c>
      <c r="E32" s="7" t="s">
        <v>543</v>
      </c>
      <c r="F32" s="7" t="s">
        <v>410</v>
      </c>
      <c r="G32" s="7" t="s">
        <v>215</v>
      </c>
      <c r="H32" s="7" t="s">
        <v>372</v>
      </c>
      <c r="I32" s="7" t="s">
        <v>47</v>
      </c>
      <c r="J32" s="7" t="s">
        <v>57</v>
      </c>
      <c r="K32" s="7" t="s">
        <v>407</v>
      </c>
      <c r="L32" s="7" t="s">
        <v>389</v>
      </c>
      <c r="M32" s="8" t="s">
        <v>390</v>
      </c>
      <c r="N32" s="7" t="s">
        <v>391</v>
      </c>
      <c r="O32" s="10">
        <v>690</v>
      </c>
      <c r="P32" s="10">
        <v>625</v>
      </c>
      <c r="Q32" s="10">
        <v>65</v>
      </c>
    </row>
    <row r="33" spans="1:17">
      <c r="A33" s="6">
        <v>45846</v>
      </c>
      <c r="B33" s="7" t="s">
        <v>25</v>
      </c>
      <c r="C33" s="8" t="s">
        <v>25</v>
      </c>
      <c r="D33" s="7" t="s">
        <v>41</v>
      </c>
      <c r="E33" s="7" t="s">
        <v>543</v>
      </c>
      <c r="F33" s="7" t="s">
        <v>410</v>
      </c>
      <c r="G33" s="7" t="s">
        <v>215</v>
      </c>
      <c r="H33" s="7" t="s">
        <v>372</v>
      </c>
      <c r="I33" s="7" t="s">
        <v>47</v>
      </c>
      <c r="J33" s="7" t="s">
        <v>43</v>
      </c>
      <c r="K33" s="7" t="s">
        <v>407</v>
      </c>
      <c r="L33" s="7" t="s">
        <v>389</v>
      </c>
      <c r="M33" s="8" t="s">
        <v>390</v>
      </c>
      <c r="N33" s="7" t="s">
        <v>391</v>
      </c>
      <c r="O33" s="10">
        <v>115</v>
      </c>
      <c r="P33" s="10">
        <v>90</v>
      </c>
      <c r="Q33" s="10">
        <v>25</v>
      </c>
    </row>
    <row r="34" spans="1:17">
      <c r="A34" s="6">
        <v>45854</v>
      </c>
      <c r="B34" s="7" t="s">
        <v>25</v>
      </c>
      <c r="C34" s="8" t="s">
        <v>25</v>
      </c>
      <c r="D34" s="7" t="s">
        <v>41</v>
      </c>
      <c r="E34" s="7" t="s">
        <v>543</v>
      </c>
      <c r="F34" s="7" t="s">
        <v>410</v>
      </c>
      <c r="G34" s="7" t="s">
        <v>215</v>
      </c>
      <c r="H34" s="7" t="s">
        <v>372</v>
      </c>
      <c r="I34" s="7" t="s">
        <v>47</v>
      </c>
      <c r="J34" s="7" t="s">
        <v>201</v>
      </c>
      <c r="K34" s="7" t="s">
        <v>372</v>
      </c>
      <c r="L34" s="7" t="s">
        <v>389</v>
      </c>
      <c r="M34" s="8" t="s">
        <v>390</v>
      </c>
      <c r="N34" s="7" t="s">
        <v>391</v>
      </c>
      <c r="O34" s="10">
        <v>96</v>
      </c>
      <c r="P34" s="10">
        <v>84</v>
      </c>
      <c r="Q34" s="10">
        <v>12</v>
      </c>
    </row>
    <row r="35" spans="1:17">
      <c r="A35" s="6">
        <v>45846</v>
      </c>
      <c r="B35" s="7" t="s">
        <v>25</v>
      </c>
      <c r="C35" s="8" t="s">
        <v>25</v>
      </c>
      <c r="D35" s="7" t="s">
        <v>41</v>
      </c>
      <c r="E35" s="7" t="s">
        <v>543</v>
      </c>
      <c r="F35" s="7" t="s">
        <v>410</v>
      </c>
      <c r="G35" s="7" t="s">
        <v>215</v>
      </c>
      <c r="H35" s="7" t="s">
        <v>372</v>
      </c>
      <c r="I35" s="7" t="s">
        <v>47</v>
      </c>
      <c r="J35" s="7" t="s">
        <v>201</v>
      </c>
      <c r="K35" s="7" t="s">
        <v>372</v>
      </c>
      <c r="L35" s="7" t="s">
        <v>389</v>
      </c>
      <c r="M35" s="8" t="s">
        <v>390</v>
      </c>
      <c r="N35" s="7" t="s">
        <v>391</v>
      </c>
      <c r="O35" s="10">
        <v>450</v>
      </c>
      <c r="P35" s="10">
        <v>283.5</v>
      </c>
      <c r="Q35" s="10">
        <v>166.5</v>
      </c>
    </row>
    <row r="36" spans="1:17">
      <c r="A36" s="6">
        <v>45846</v>
      </c>
      <c r="B36" s="7" t="s">
        <v>25</v>
      </c>
      <c r="C36" s="8" t="s">
        <v>25</v>
      </c>
      <c r="D36" s="7" t="s">
        <v>41</v>
      </c>
      <c r="E36" s="7" t="s">
        <v>543</v>
      </c>
      <c r="F36" s="7" t="s">
        <v>410</v>
      </c>
      <c r="G36" s="7" t="s">
        <v>215</v>
      </c>
      <c r="H36" s="7" t="s">
        <v>372</v>
      </c>
      <c r="I36" s="7" t="s">
        <v>47</v>
      </c>
      <c r="J36" s="7" t="s">
        <v>201</v>
      </c>
      <c r="K36" s="7" t="s">
        <v>372</v>
      </c>
      <c r="L36" s="7" t="s">
        <v>389</v>
      </c>
      <c r="M36" s="8" t="s">
        <v>390</v>
      </c>
      <c r="N36" s="7" t="s">
        <v>391</v>
      </c>
      <c r="O36" s="10">
        <v>32</v>
      </c>
      <c r="P36" s="10">
        <v>28</v>
      </c>
      <c r="Q36" s="10">
        <v>4</v>
      </c>
    </row>
    <row r="37" spans="1:17">
      <c r="A37" s="6">
        <v>45854</v>
      </c>
      <c r="B37" s="7" t="s">
        <v>25</v>
      </c>
      <c r="C37" s="8" t="s">
        <v>25</v>
      </c>
      <c r="D37" s="7" t="s">
        <v>41</v>
      </c>
      <c r="E37" s="7" t="s">
        <v>543</v>
      </c>
      <c r="F37" s="7" t="s">
        <v>410</v>
      </c>
      <c r="G37" s="7" t="s">
        <v>215</v>
      </c>
      <c r="H37" s="7" t="s">
        <v>372</v>
      </c>
      <c r="I37" s="7" t="s">
        <v>47</v>
      </c>
      <c r="J37" s="7" t="s">
        <v>57</v>
      </c>
      <c r="K37" s="7" t="s">
        <v>407</v>
      </c>
      <c r="L37" s="7" t="s">
        <v>389</v>
      </c>
      <c r="M37" s="8" t="s">
        <v>390</v>
      </c>
      <c r="N37" s="7" t="s">
        <v>391</v>
      </c>
      <c r="O37" s="10">
        <v>0</v>
      </c>
      <c r="P37" s="10">
        <v>61.2</v>
      </c>
      <c r="Q37" s="10">
        <v>-61.2</v>
      </c>
    </row>
    <row r="38" spans="1:17">
      <c r="A38" s="6">
        <v>45842</v>
      </c>
      <c r="B38" s="7" t="s">
        <v>25</v>
      </c>
      <c r="C38" s="8" t="s">
        <v>25</v>
      </c>
      <c r="D38" s="7" t="s">
        <v>41</v>
      </c>
      <c r="E38" s="7" t="s">
        <v>543</v>
      </c>
      <c r="F38" s="7" t="s">
        <v>410</v>
      </c>
      <c r="G38" s="7" t="s">
        <v>215</v>
      </c>
      <c r="H38" s="7" t="s">
        <v>372</v>
      </c>
      <c r="I38" s="7" t="s">
        <v>47</v>
      </c>
      <c r="J38" s="7" t="s">
        <v>57</v>
      </c>
      <c r="K38" s="7" t="s">
        <v>407</v>
      </c>
      <c r="L38" s="7" t="s">
        <v>389</v>
      </c>
      <c r="M38" s="8" t="s">
        <v>390</v>
      </c>
      <c r="N38" s="7" t="s">
        <v>391</v>
      </c>
      <c r="O38" s="10">
        <v>0</v>
      </c>
      <c r="P38" s="10">
        <v>61.2</v>
      </c>
      <c r="Q38" s="10">
        <v>-61.2</v>
      </c>
    </row>
    <row r="39" spans="1:17">
      <c r="A39" s="6">
        <v>45842</v>
      </c>
      <c r="B39" s="7" t="s">
        <v>25</v>
      </c>
      <c r="C39" s="8" t="s">
        <v>25</v>
      </c>
      <c r="D39" s="7" t="s">
        <v>41</v>
      </c>
      <c r="E39" s="7" t="s">
        <v>543</v>
      </c>
      <c r="F39" s="7" t="s">
        <v>410</v>
      </c>
      <c r="G39" s="7" t="s">
        <v>215</v>
      </c>
      <c r="H39" s="7" t="s">
        <v>372</v>
      </c>
      <c r="I39" s="7" t="s">
        <v>42</v>
      </c>
      <c r="J39" s="7" t="s">
        <v>57</v>
      </c>
      <c r="K39" s="7" t="s">
        <v>407</v>
      </c>
      <c r="L39" s="7" t="s">
        <v>389</v>
      </c>
      <c r="M39" s="8" t="s">
        <v>390</v>
      </c>
      <c r="N39" s="7" t="s">
        <v>391</v>
      </c>
      <c r="O39" s="10">
        <v>0</v>
      </c>
      <c r="P39" s="10">
        <v>25.8</v>
      </c>
      <c r="Q39" s="10">
        <v>-25.8</v>
      </c>
    </row>
    <row r="40" spans="1:17">
      <c r="A40" s="6">
        <v>45854</v>
      </c>
      <c r="B40" s="7" t="s">
        <v>25</v>
      </c>
      <c r="C40" s="8" t="s">
        <v>25</v>
      </c>
      <c r="D40" s="7" t="s">
        <v>41</v>
      </c>
      <c r="E40" s="7" t="s">
        <v>543</v>
      </c>
      <c r="F40" s="7" t="s">
        <v>410</v>
      </c>
      <c r="G40" s="7" t="s">
        <v>215</v>
      </c>
      <c r="H40" s="7" t="s">
        <v>372</v>
      </c>
      <c r="I40" s="7" t="s">
        <v>42</v>
      </c>
      <c r="J40" s="7" t="s">
        <v>43</v>
      </c>
      <c r="K40" s="7" t="s">
        <v>407</v>
      </c>
      <c r="L40" s="7" t="s">
        <v>389</v>
      </c>
      <c r="M40" s="8" t="s">
        <v>390</v>
      </c>
      <c r="N40" s="7" t="s">
        <v>391</v>
      </c>
      <c r="O40" s="10">
        <v>0</v>
      </c>
      <c r="P40" s="10">
        <v>9.9</v>
      </c>
      <c r="Q40" s="10">
        <v>-9.9</v>
      </c>
    </row>
    <row r="41" spans="1:17">
      <c r="A41" s="6">
        <v>45854</v>
      </c>
      <c r="B41" s="7" t="s">
        <v>25</v>
      </c>
      <c r="C41" s="8" t="s">
        <v>25</v>
      </c>
      <c r="D41" s="7" t="s">
        <v>41</v>
      </c>
      <c r="E41" s="7" t="s">
        <v>543</v>
      </c>
      <c r="F41" s="7" t="s">
        <v>410</v>
      </c>
      <c r="G41" s="7" t="s">
        <v>215</v>
      </c>
      <c r="H41" s="7" t="s">
        <v>372</v>
      </c>
      <c r="I41" s="7" t="s">
        <v>47</v>
      </c>
      <c r="J41" s="7" t="s">
        <v>57</v>
      </c>
      <c r="K41" s="7" t="s">
        <v>407</v>
      </c>
      <c r="L41" s="7" t="s">
        <v>389</v>
      </c>
      <c r="M41" s="8" t="s">
        <v>390</v>
      </c>
      <c r="N41" s="7" t="s">
        <v>391</v>
      </c>
      <c r="O41" s="10">
        <v>0</v>
      </c>
      <c r="P41" s="10">
        <v>23</v>
      </c>
      <c r="Q41" s="10">
        <v>-23</v>
      </c>
    </row>
    <row r="42" spans="1:17">
      <c r="A42" s="6">
        <v>45840</v>
      </c>
      <c r="B42" s="7" t="s">
        <v>25</v>
      </c>
      <c r="C42" s="8" t="s">
        <v>25</v>
      </c>
      <c r="D42" s="7" t="s">
        <v>41</v>
      </c>
      <c r="E42" s="7" t="s">
        <v>543</v>
      </c>
      <c r="F42" s="7" t="s">
        <v>410</v>
      </c>
      <c r="G42" s="7" t="s">
        <v>215</v>
      </c>
      <c r="H42" s="7" t="s">
        <v>372</v>
      </c>
      <c r="I42" s="7" t="s">
        <v>47</v>
      </c>
      <c r="J42" s="7" t="s">
        <v>57</v>
      </c>
      <c r="K42" s="7" t="s">
        <v>407</v>
      </c>
      <c r="L42" s="7" t="s">
        <v>389</v>
      </c>
      <c r="M42" s="8" t="s">
        <v>390</v>
      </c>
      <c r="N42" s="7" t="s">
        <v>391</v>
      </c>
      <c r="O42" s="10">
        <v>0</v>
      </c>
      <c r="P42" s="10">
        <v>61.2</v>
      </c>
      <c r="Q42" s="10">
        <v>-61.2</v>
      </c>
    </row>
    <row r="43" spans="1:17">
      <c r="A43" s="6">
        <v>45846</v>
      </c>
      <c r="B43" s="7" t="s">
        <v>25</v>
      </c>
      <c r="C43" s="8" t="s">
        <v>25</v>
      </c>
      <c r="D43" s="7" t="s">
        <v>41</v>
      </c>
      <c r="E43" s="7" t="s">
        <v>543</v>
      </c>
      <c r="F43" s="7" t="s">
        <v>410</v>
      </c>
      <c r="G43" s="7" t="s">
        <v>215</v>
      </c>
      <c r="H43" s="7" t="s">
        <v>372</v>
      </c>
      <c r="I43" s="7" t="s">
        <v>47</v>
      </c>
      <c r="J43" s="7" t="s">
        <v>201</v>
      </c>
      <c r="K43" s="7" t="s">
        <v>372</v>
      </c>
      <c r="L43" s="7" t="s">
        <v>389</v>
      </c>
      <c r="M43" s="8" t="s">
        <v>390</v>
      </c>
      <c r="N43" s="7" t="s">
        <v>391</v>
      </c>
      <c r="O43" s="10">
        <v>76</v>
      </c>
      <c r="P43" s="10">
        <v>45.6</v>
      </c>
      <c r="Q43" s="10">
        <v>30.4</v>
      </c>
    </row>
    <row r="44" spans="1:17">
      <c r="A44" s="6">
        <v>45854</v>
      </c>
      <c r="B44" s="7" t="s">
        <v>25</v>
      </c>
      <c r="C44" s="8" t="s">
        <v>25</v>
      </c>
      <c r="D44" s="7" t="s">
        <v>41</v>
      </c>
      <c r="E44" s="7" t="s">
        <v>543</v>
      </c>
      <c r="F44" s="7" t="s">
        <v>410</v>
      </c>
      <c r="G44" s="7" t="s">
        <v>215</v>
      </c>
      <c r="H44" s="7" t="s">
        <v>372</v>
      </c>
      <c r="I44" s="7" t="s">
        <v>47</v>
      </c>
      <c r="J44" s="7" t="s">
        <v>43</v>
      </c>
      <c r="K44" s="7" t="s">
        <v>407</v>
      </c>
      <c r="L44" s="7" t="s">
        <v>389</v>
      </c>
      <c r="M44" s="8" t="s">
        <v>390</v>
      </c>
      <c r="N44" s="7" t="s">
        <v>391</v>
      </c>
      <c r="O44" s="10">
        <v>1205</v>
      </c>
      <c r="P44" s="10">
        <v>790.5</v>
      </c>
      <c r="Q44" s="10">
        <v>414.5</v>
      </c>
    </row>
    <row r="45" spans="1:17">
      <c r="A45" s="6">
        <v>45840</v>
      </c>
      <c r="B45" s="7" t="s">
        <v>25</v>
      </c>
      <c r="C45" s="8" t="s">
        <v>25</v>
      </c>
      <c r="D45" s="7" t="s">
        <v>41</v>
      </c>
      <c r="E45" s="7" t="s">
        <v>543</v>
      </c>
      <c r="F45" s="7" t="s">
        <v>410</v>
      </c>
      <c r="G45" s="7" t="s">
        <v>215</v>
      </c>
      <c r="H45" s="7" t="s">
        <v>372</v>
      </c>
      <c r="I45" s="7" t="s">
        <v>47</v>
      </c>
      <c r="J45" s="7" t="s">
        <v>57</v>
      </c>
      <c r="K45" s="7" t="s">
        <v>407</v>
      </c>
      <c r="L45" s="7" t="s">
        <v>389</v>
      </c>
      <c r="M45" s="8" t="s">
        <v>390</v>
      </c>
      <c r="N45" s="7" t="s">
        <v>391</v>
      </c>
      <c r="O45" s="10">
        <v>3526</v>
      </c>
      <c r="P45" s="10">
        <v>3345.6</v>
      </c>
      <c r="Q45" s="10">
        <v>180.4</v>
      </c>
    </row>
    <row r="46" spans="1:17">
      <c r="A46" s="6">
        <v>45841</v>
      </c>
      <c r="B46" s="7" t="s">
        <v>25</v>
      </c>
      <c r="C46" s="8" t="s">
        <v>25</v>
      </c>
      <c r="D46" s="7" t="s">
        <v>41</v>
      </c>
      <c r="E46" s="7" t="s">
        <v>544</v>
      </c>
      <c r="F46" s="7" t="s">
        <v>410</v>
      </c>
      <c r="G46" s="7" t="s">
        <v>215</v>
      </c>
      <c r="H46" s="7" t="s">
        <v>372</v>
      </c>
      <c r="I46" s="7" t="s">
        <v>47</v>
      </c>
      <c r="J46" s="7" t="s">
        <v>57</v>
      </c>
      <c r="K46" s="7" t="s">
        <v>407</v>
      </c>
      <c r="L46" s="7" t="s">
        <v>389</v>
      </c>
      <c r="M46" s="8" t="s">
        <v>390</v>
      </c>
      <c r="N46" s="7" t="s">
        <v>391</v>
      </c>
      <c r="O46" s="10">
        <v>0</v>
      </c>
      <c r="P46" s="10">
        <v>341.1</v>
      </c>
      <c r="Q46" s="10">
        <v>-341.1</v>
      </c>
    </row>
    <row r="47" spans="1:17">
      <c r="A47" s="6">
        <v>45852</v>
      </c>
      <c r="B47" s="7" t="s">
        <v>25</v>
      </c>
      <c r="C47" s="8" t="s">
        <v>25</v>
      </c>
      <c r="D47" s="7" t="s">
        <v>41</v>
      </c>
      <c r="E47" s="7" t="s">
        <v>543</v>
      </c>
      <c r="F47" s="7" t="s">
        <v>410</v>
      </c>
      <c r="G47" s="7" t="s">
        <v>215</v>
      </c>
      <c r="H47" s="7" t="s">
        <v>372</v>
      </c>
      <c r="I47" s="7" t="s">
        <v>42</v>
      </c>
      <c r="J47" s="7" t="s">
        <v>43</v>
      </c>
      <c r="K47" s="7" t="s">
        <v>407</v>
      </c>
      <c r="L47" s="7" t="s">
        <v>389</v>
      </c>
      <c r="M47" s="8" t="s">
        <v>390</v>
      </c>
      <c r="N47" s="7" t="s">
        <v>391</v>
      </c>
      <c r="O47" s="10">
        <v>0</v>
      </c>
      <c r="P47" s="10">
        <v>49500</v>
      </c>
      <c r="Q47" s="10">
        <v>-49500</v>
      </c>
    </row>
    <row r="48" spans="1:17">
      <c r="A48" s="6">
        <v>45852</v>
      </c>
      <c r="B48" s="7" t="s">
        <v>25</v>
      </c>
      <c r="C48" s="8" t="s">
        <v>25</v>
      </c>
      <c r="D48" s="7" t="s">
        <v>41</v>
      </c>
      <c r="E48" s="7" t="s">
        <v>543</v>
      </c>
      <c r="F48" s="7" t="s">
        <v>410</v>
      </c>
      <c r="G48" s="7" t="s">
        <v>215</v>
      </c>
      <c r="H48" s="7" t="s">
        <v>372</v>
      </c>
      <c r="I48" s="7" t="s">
        <v>42</v>
      </c>
      <c r="J48" s="7" t="s">
        <v>43</v>
      </c>
      <c r="K48" s="7" t="s">
        <v>407</v>
      </c>
      <c r="L48" s="7" t="s">
        <v>389</v>
      </c>
      <c r="M48" s="8" t="s">
        <v>390</v>
      </c>
      <c r="N48" s="7" t="s">
        <v>391</v>
      </c>
      <c r="O48" s="10">
        <v>0</v>
      </c>
      <c r="P48" s="10">
        <v>49500</v>
      </c>
      <c r="Q48" s="10">
        <v>-49500</v>
      </c>
    </row>
    <row r="49" spans="1:17">
      <c r="A49" s="6">
        <v>45840</v>
      </c>
      <c r="B49" s="7" t="s">
        <v>25</v>
      </c>
      <c r="C49" s="8" t="s">
        <v>25</v>
      </c>
      <c r="D49" s="7" t="s">
        <v>41</v>
      </c>
      <c r="E49" s="7" t="s">
        <v>543</v>
      </c>
      <c r="F49" s="7" t="s">
        <v>410</v>
      </c>
      <c r="G49" s="7" t="s">
        <v>215</v>
      </c>
      <c r="H49" s="7" t="s">
        <v>372</v>
      </c>
      <c r="I49" s="7" t="s">
        <v>47</v>
      </c>
      <c r="J49" s="7" t="s">
        <v>57</v>
      </c>
      <c r="K49" s="7" t="s">
        <v>407</v>
      </c>
      <c r="L49" s="7" t="s">
        <v>389</v>
      </c>
      <c r="M49" s="8" t="s">
        <v>390</v>
      </c>
      <c r="N49" s="7" t="s">
        <v>391</v>
      </c>
      <c r="O49" s="10">
        <v>1451</v>
      </c>
      <c r="P49" s="10">
        <v>1451</v>
      </c>
      <c r="Q49" s="10">
        <v>0</v>
      </c>
    </row>
    <row r="50" spans="1:17">
      <c r="A50" s="6">
        <v>45846</v>
      </c>
      <c r="B50" s="7" t="s">
        <v>25</v>
      </c>
      <c r="C50" s="8" t="s">
        <v>25</v>
      </c>
      <c r="D50" s="7" t="s">
        <v>41</v>
      </c>
      <c r="E50" s="7" t="s">
        <v>543</v>
      </c>
      <c r="F50" s="7" t="s">
        <v>410</v>
      </c>
      <c r="G50" s="7" t="s">
        <v>215</v>
      </c>
      <c r="H50" s="7" t="s">
        <v>372</v>
      </c>
      <c r="I50" s="7" t="s">
        <v>47</v>
      </c>
      <c r="J50" s="7" t="s">
        <v>57</v>
      </c>
      <c r="K50" s="7" t="s">
        <v>407</v>
      </c>
      <c r="L50" s="7" t="s">
        <v>389</v>
      </c>
      <c r="M50" s="8" t="s">
        <v>390</v>
      </c>
      <c r="N50" s="7" t="s">
        <v>391</v>
      </c>
      <c r="O50" s="10">
        <v>0</v>
      </c>
      <c r="P50" s="10">
        <v>244.8</v>
      </c>
      <c r="Q50" s="10">
        <v>-244.8</v>
      </c>
    </row>
    <row r="51" spans="1:17">
      <c r="A51" s="6">
        <v>45846</v>
      </c>
      <c r="B51" s="7" t="s">
        <v>25</v>
      </c>
      <c r="C51" s="8" t="s">
        <v>25</v>
      </c>
      <c r="D51" s="7" t="s">
        <v>41</v>
      </c>
      <c r="E51" s="7" t="s">
        <v>543</v>
      </c>
      <c r="F51" s="7" t="s">
        <v>410</v>
      </c>
      <c r="G51" s="7" t="s">
        <v>215</v>
      </c>
      <c r="H51" s="7" t="s">
        <v>372</v>
      </c>
      <c r="I51" s="7" t="s">
        <v>47</v>
      </c>
      <c r="J51" s="7" t="s">
        <v>64</v>
      </c>
      <c r="K51" s="7" t="s">
        <v>407</v>
      </c>
      <c r="L51" s="7" t="s">
        <v>389</v>
      </c>
      <c r="M51" s="8" t="s">
        <v>390</v>
      </c>
      <c r="N51" s="7" t="s">
        <v>391</v>
      </c>
      <c r="O51" s="10">
        <v>432</v>
      </c>
      <c r="P51" s="10">
        <v>307.8</v>
      </c>
      <c r="Q51" s="10">
        <v>124.2</v>
      </c>
    </row>
    <row r="52" spans="1:17">
      <c r="A52" s="6">
        <v>45840</v>
      </c>
      <c r="B52" s="7" t="s">
        <v>25</v>
      </c>
      <c r="C52" s="8" t="s">
        <v>25</v>
      </c>
      <c r="D52" s="7" t="s">
        <v>41</v>
      </c>
      <c r="E52" s="7" t="s">
        <v>543</v>
      </c>
      <c r="F52" s="7" t="s">
        <v>410</v>
      </c>
      <c r="G52" s="7" t="s">
        <v>215</v>
      </c>
      <c r="H52" s="7" t="s">
        <v>372</v>
      </c>
      <c r="I52" s="7" t="s">
        <v>47</v>
      </c>
      <c r="J52" s="7" t="s">
        <v>57</v>
      </c>
      <c r="K52" s="7" t="s">
        <v>407</v>
      </c>
      <c r="L52" s="7" t="s">
        <v>389</v>
      </c>
      <c r="M52" s="8" t="s">
        <v>390</v>
      </c>
      <c r="N52" s="7" t="s">
        <v>391</v>
      </c>
      <c r="O52" s="10">
        <v>2408</v>
      </c>
      <c r="P52" s="10">
        <v>2284.8</v>
      </c>
      <c r="Q52" s="10">
        <v>123.2</v>
      </c>
    </row>
    <row r="53" spans="1:17">
      <c r="A53" s="6">
        <v>45864</v>
      </c>
      <c r="B53" s="7" t="s">
        <v>25</v>
      </c>
      <c r="C53" s="8" t="s">
        <v>25</v>
      </c>
      <c r="D53" s="7" t="s">
        <v>41</v>
      </c>
      <c r="E53" s="7" t="s">
        <v>543</v>
      </c>
      <c r="F53" s="7" t="s">
        <v>410</v>
      </c>
      <c r="G53" s="7" t="s">
        <v>215</v>
      </c>
      <c r="H53" s="7" t="s">
        <v>372</v>
      </c>
      <c r="I53" s="7" t="s">
        <v>47</v>
      </c>
      <c r="J53" s="7" t="s">
        <v>43</v>
      </c>
      <c r="K53" s="7" t="s">
        <v>407</v>
      </c>
      <c r="L53" s="7" t="s">
        <v>389</v>
      </c>
      <c r="M53" s="8" t="s">
        <v>390</v>
      </c>
      <c r="N53" s="7" t="s">
        <v>391</v>
      </c>
      <c r="O53" s="10">
        <v>280</v>
      </c>
      <c r="P53" s="10">
        <v>189</v>
      </c>
      <c r="Q53" s="10">
        <v>91</v>
      </c>
    </row>
    <row r="54" spans="1:17">
      <c r="A54" s="6">
        <v>45864</v>
      </c>
      <c r="B54" s="7" t="s">
        <v>25</v>
      </c>
      <c r="C54" s="8" t="s">
        <v>25</v>
      </c>
      <c r="D54" s="7" t="s">
        <v>41</v>
      </c>
      <c r="E54" s="7" t="s">
        <v>543</v>
      </c>
      <c r="F54" s="7" t="s">
        <v>410</v>
      </c>
      <c r="G54" s="7" t="s">
        <v>215</v>
      </c>
      <c r="H54" s="7" t="s">
        <v>372</v>
      </c>
      <c r="I54" s="7" t="s">
        <v>47</v>
      </c>
      <c r="J54" s="7" t="s">
        <v>201</v>
      </c>
      <c r="K54" s="7" t="s">
        <v>372</v>
      </c>
      <c r="L54" s="7" t="s">
        <v>389</v>
      </c>
      <c r="M54" s="8" t="s">
        <v>390</v>
      </c>
      <c r="N54" s="7" t="s">
        <v>391</v>
      </c>
      <c r="O54" s="10">
        <v>90</v>
      </c>
      <c r="P54" s="10">
        <v>68</v>
      </c>
      <c r="Q54" s="10">
        <v>22</v>
      </c>
    </row>
    <row r="55" spans="1:17">
      <c r="A55" s="6">
        <v>45864</v>
      </c>
      <c r="B55" s="7" t="s">
        <v>25</v>
      </c>
      <c r="C55" s="8" t="s">
        <v>25</v>
      </c>
      <c r="D55" s="7" t="s">
        <v>41</v>
      </c>
      <c r="E55" s="7" t="s">
        <v>543</v>
      </c>
      <c r="F55" s="7" t="s">
        <v>410</v>
      </c>
      <c r="G55" s="7" t="s">
        <v>215</v>
      </c>
      <c r="H55" s="7" t="s">
        <v>372</v>
      </c>
      <c r="I55" s="7" t="s">
        <v>47</v>
      </c>
      <c r="J55" s="7" t="s">
        <v>201</v>
      </c>
      <c r="K55" s="7" t="s">
        <v>372</v>
      </c>
      <c r="L55" s="7" t="s">
        <v>389</v>
      </c>
      <c r="M55" s="8" t="s">
        <v>390</v>
      </c>
      <c r="N55" s="7" t="s">
        <v>391</v>
      </c>
      <c r="O55" s="10">
        <v>45</v>
      </c>
      <c r="P55" s="10">
        <v>35.7</v>
      </c>
      <c r="Q55" s="10">
        <v>9.3</v>
      </c>
    </row>
    <row r="56" spans="1:17">
      <c r="A56" s="6">
        <v>45839</v>
      </c>
      <c r="B56" s="7" t="s">
        <v>25</v>
      </c>
      <c r="C56" s="8" t="s">
        <v>25</v>
      </c>
      <c r="D56" s="7" t="s">
        <v>41</v>
      </c>
      <c r="E56" s="7" t="s">
        <v>543</v>
      </c>
      <c r="F56" s="7" t="s">
        <v>410</v>
      </c>
      <c r="G56" s="7" t="s">
        <v>215</v>
      </c>
      <c r="H56" s="7" t="s">
        <v>372</v>
      </c>
      <c r="I56" s="7" t="s">
        <v>47</v>
      </c>
      <c r="J56" s="7" t="s">
        <v>201</v>
      </c>
      <c r="K56" s="7" t="s">
        <v>372</v>
      </c>
      <c r="L56" s="7" t="s">
        <v>389</v>
      </c>
      <c r="M56" s="8" t="s">
        <v>390</v>
      </c>
      <c r="N56" s="7" t="s">
        <v>391</v>
      </c>
      <c r="O56" s="10">
        <v>32</v>
      </c>
      <c r="P56" s="10">
        <v>28</v>
      </c>
      <c r="Q56" s="10">
        <v>4</v>
      </c>
    </row>
    <row r="57" spans="1:17">
      <c r="A57" s="6">
        <v>45852</v>
      </c>
      <c r="B57" s="7" t="s">
        <v>25</v>
      </c>
      <c r="C57" s="8" t="s">
        <v>25</v>
      </c>
      <c r="D57" s="7" t="s">
        <v>41</v>
      </c>
      <c r="E57" s="7" t="s">
        <v>543</v>
      </c>
      <c r="F57" s="7" t="s">
        <v>410</v>
      </c>
      <c r="G57" s="7" t="s">
        <v>215</v>
      </c>
      <c r="H57" s="7" t="s">
        <v>372</v>
      </c>
      <c r="I57" s="7" t="s">
        <v>42</v>
      </c>
      <c r="J57" s="7" t="s">
        <v>43</v>
      </c>
      <c r="K57" s="7" t="s">
        <v>407</v>
      </c>
      <c r="L57" s="7" t="s">
        <v>389</v>
      </c>
      <c r="M57" s="8" t="s">
        <v>390</v>
      </c>
      <c r="N57" s="7" t="s">
        <v>391</v>
      </c>
      <c r="O57" s="10">
        <v>0</v>
      </c>
      <c r="P57" s="10">
        <v>49490.1</v>
      </c>
      <c r="Q57" s="10">
        <v>-49490.1</v>
      </c>
    </row>
    <row r="58" spans="1:17">
      <c r="A58" s="6">
        <v>45852</v>
      </c>
      <c r="B58" s="7" t="s">
        <v>25</v>
      </c>
      <c r="C58" s="8" t="s">
        <v>25</v>
      </c>
      <c r="D58" s="7" t="s">
        <v>41</v>
      </c>
      <c r="E58" s="7" t="s">
        <v>543</v>
      </c>
      <c r="F58" s="7" t="s">
        <v>410</v>
      </c>
      <c r="G58" s="7" t="s">
        <v>215</v>
      </c>
      <c r="H58" s="7" t="s">
        <v>372</v>
      </c>
      <c r="I58" s="7" t="s">
        <v>42</v>
      </c>
      <c r="J58" s="7" t="s">
        <v>43</v>
      </c>
      <c r="K58" s="7" t="s">
        <v>407</v>
      </c>
      <c r="L58" s="7" t="s">
        <v>389</v>
      </c>
      <c r="M58" s="8" t="s">
        <v>390</v>
      </c>
      <c r="N58" s="7" t="s">
        <v>391</v>
      </c>
      <c r="O58" s="10">
        <v>0</v>
      </c>
      <c r="P58" s="10">
        <v>48272.4</v>
      </c>
      <c r="Q58" s="10">
        <v>-48272.4</v>
      </c>
    </row>
    <row r="59" spans="1:17">
      <c r="A59" s="6">
        <v>45839</v>
      </c>
      <c r="B59" s="7" t="s">
        <v>25</v>
      </c>
      <c r="C59" s="8" t="s">
        <v>25</v>
      </c>
      <c r="D59" s="7" t="s">
        <v>41</v>
      </c>
      <c r="E59" s="7" t="s">
        <v>543</v>
      </c>
      <c r="F59" s="7" t="s">
        <v>410</v>
      </c>
      <c r="G59" s="7" t="s">
        <v>215</v>
      </c>
      <c r="H59" s="7" t="s">
        <v>372</v>
      </c>
      <c r="I59" s="7" t="s">
        <v>47</v>
      </c>
      <c r="J59" s="7" t="s">
        <v>57</v>
      </c>
      <c r="K59" s="7" t="s">
        <v>407</v>
      </c>
      <c r="L59" s="7" t="s">
        <v>389</v>
      </c>
      <c r="M59" s="8" t="s">
        <v>390</v>
      </c>
      <c r="N59" s="7" t="s">
        <v>391</v>
      </c>
      <c r="O59" s="10">
        <v>0</v>
      </c>
      <c r="P59" s="10">
        <v>673.2</v>
      </c>
      <c r="Q59" s="10">
        <v>-673.2</v>
      </c>
    </row>
    <row r="60" spans="1:17">
      <c r="A60" s="6">
        <v>45863</v>
      </c>
      <c r="B60" s="7" t="s">
        <v>25</v>
      </c>
      <c r="C60" s="8" t="s">
        <v>25</v>
      </c>
      <c r="D60" s="7" t="s">
        <v>41</v>
      </c>
      <c r="E60" s="7" t="s">
        <v>543</v>
      </c>
      <c r="F60" s="7" t="s">
        <v>410</v>
      </c>
      <c r="G60" s="7" t="s">
        <v>215</v>
      </c>
      <c r="H60" s="7" t="s">
        <v>372</v>
      </c>
      <c r="I60" s="7" t="s">
        <v>42</v>
      </c>
      <c r="J60" s="7" t="s">
        <v>57</v>
      </c>
      <c r="K60" s="7" t="s">
        <v>407</v>
      </c>
      <c r="L60" s="7" t="s">
        <v>389</v>
      </c>
      <c r="M60" s="8" t="s">
        <v>390</v>
      </c>
      <c r="N60" s="7" t="s">
        <v>391</v>
      </c>
      <c r="O60" s="10">
        <v>0</v>
      </c>
      <c r="P60" s="10">
        <v>27</v>
      </c>
      <c r="Q60" s="10">
        <v>-27</v>
      </c>
    </row>
    <row r="61" spans="1:17">
      <c r="A61" s="6">
        <v>45839</v>
      </c>
      <c r="B61" s="7" t="s">
        <v>25</v>
      </c>
      <c r="C61" s="8" t="s">
        <v>25</v>
      </c>
      <c r="D61" s="7" t="s">
        <v>41</v>
      </c>
      <c r="E61" s="7" t="s">
        <v>543</v>
      </c>
      <c r="F61" s="7" t="s">
        <v>410</v>
      </c>
      <c r="G61" s="7" t="s">
        <v>215</v>
      </c>
      <c r="H61" s="7" t="s">
        <v>372</v>
      </c>
      <c r="I61" s="7" t="s">
        <v>47</v>
      </c>
      <c r="J61" s="7" t="s">
        <v>201</v>
      </c>
      <c r="K61" s="7" t="s">
        <v>372</v>
      </c>
      <c r="L61" s="7" t="s">
        <v>389</v>
      </c>
      <c r="M61" s="8" t="s">
        <v>390</v>
      </c>
      <c r="N61" s="7" t="s">
        <v>391</v>
      </c>
      <c r="O61" s="10">
        <v>720</v>
      </c>
      <c r="P61" s="10">
        <v>525</v>
      </c>
      <c r="Q61" s="10">
        <v>195</v>
      </c>
    </row>
    <row r="62" spans="1:17">
      <c r="A62" s="6">
        <v>45839</v>
      </c>
      <c r="B62" s="7" t="s">
        <v>25</v>
      </c>
      <c r="C62" s="8" t="s">
        <v>25</v>
      </c>
      <c r="D62" s="7" t="s">
        <v>41</v>
      </c>
      <c r="E62" s="7" t="s">
        <v>543</v>
      </c>
      <c r="F62" s="7" t="s">
        <v>410</v>
      </c>
      <c r="G62" s="7" t="s">
        <v>215</v>
      </c>
      <c r="H62" s="7" t="s">
        <v>372</v>
      </c>
      <c r="I62" s="7" t="s">
        <v>47</v>
      </c>
      <c r="J62" s="7" t="s">
        <v>57</v>
      </c>
      <c r="K62" s="7" t="s">
        <v>407</v>
      </c>
      <c r="L62" s="7" t="s">
        <v>389</v>
      </c>
      <c r="M62" s="8" t="s">
        <v>390</v>
      </c>
      <c r="N62" s="7" t="s">
        <v>391</v>
      </c>
      <c r="O62" s="10">
        <v>500</v>
      </c>
      <c r="P62" s="10">
        <v>402</v>
      </c>
      <c r="Q62" s="10">
        <v>98</v>
      </c>
    </row>
    <row r="63" spans="1:17">
      <c r="A63" s="6">
        <v>45864</v>
      </c>
      <c r="B63" s="7" t="s">
        <v>25</v>
      </c>
      <c r="C63" s="8" t="s">
        <v>25</v>
      </c>
      <c r="D63" s="7" t="s">
        <v>41</v>
      </c>
      <c r="E63" s="7" t="s">
        <v>543</v>
      </c>
      <c r="F63" s="7" t="s">
        <v>410</v>
      </c>
      <c r="G63" s="7" t="s">
        <v>215</v>
      </c>
      <c r="H63" s="7" t="s">
        <v>372</v>
      </c>
      <c r="I63" s="7" t="s">
        <v>47</v>
      </c>
      <c r="J63" s="7" t="s">
        <v>57</v>
      </c>
      <c r="K63" s="7" t="s">
        <v>407</v>
      </c>
      <c r="L63" s="7" t="s">
        <v>389</v>
      </c>
      <c r="M63" s="8" t="s">
        <v>390</v>
      </c>
      <c r="N63" s="7" t="s">
        <v>391</v>
      </c>
      <c r="O63" s="10">
        <v>200</v>
      </c>
      <c r="P63" s="10">
        <v>174</v>
      </c>
      <c r="Q63" s="10">
        <v>26</v>
      </c>
    </row>
    <row r="64" spans="1:17">
      <c r="A64" s="6">
        <v>45864</v>
      </c>
      <c r="B64" s="7" t="s">
        <v>25</v>
      </c>
      <c r="C64" s="8" t="s">
        <v>25</v>
      </c>
      <c r="D64" s="7" t="s">
        <v>41</v>
      </c>
      <c r="E64" s="7" t="s">
        <v>543</v>
      </c>
      <c r="F64" s="7" t="s">
        <v>410</v>
      </c>
      <c r="G64" s="7" t="s">
        <v>215</v>
      </c>
      <c r="H64" s="7" t="s">
        <v>372</v>
      </c>
      <c r="I64" s="7" t="s">
        <v>47</v>
      </c>
      <c r="J64" s="7" t="s">
        <v>201</v>
      </c>
      <c r="K64" s="7" t="s">
        <v>372</v>
      </c>
      <c r="L64" s="7" t="s">
        <v>389</v>
      </c>
      <c r="M64" s="8" t="s">
        <v>390</v>
      </c>
      <c r="N64" s="7" t="s">
        <v>391</v>
      </c>
      <c r="O64" s="10">
        <v>94</v>
      </c>
      <c r="P64" s="10">
        <v>72</v>
      </c>
      <c r="Q64" s="10">
        <v>22</v>
      </c>
    </row>
    <row r="65" spans="1:17">
      <c r="A65" s="6">
        <v>45864</v>
      </c>
      <c r="B65" s="7" t="s">
        <v>25</v>
      </c>
      <c r="C65" s="8" t="s">
        <v>25</v>
      </c>
      <c r="D65" s="7" t="s">
        <v>41</v>
      </c>
      <c r="E65" s="7" t="s">
        <v>543</v>
      </c>
      <c r="F65" s="7" t="s">
        <v>410</v>
      </c>
      <c r="G65" s="7" t="s">
        <v>215</v>
      </c>
      <c r="H65" s="7" t="s">
        <v>372</v>
      </c>
      <c r="I65" s="7" t="s">
        <v>47</v>
      </c>
      <c r="J65" s="7" t="s">
        <v>64</v>
      </c>
      <c r="K65" s="7" t="s">
        <v>407</v>
      </c>
      <c r="L65" s="7" t="s">
        <v>389</v>
      </c>
      <c r="M65" s="8" t="s">
        <v>390</v>
      </c>
      <c r="N65" s="7" t="s">
        <v>391</v>
      </c>
      <c r="O65" s="10">
        <v>312</v>
      </c>
      <c r="P65" s="10">
        <v>222.3</v>
      </c>
      <c r="Q65" s="10">
        <v>89.7</v>
      </c>
    </row>
    <row r="66" spans="1:17">
      <c r="A66" s="6">
        <v>45839</v>
      </c>
      <c r="B66" s="7" t="s">
        <v>25</v>
      </c>
      <c r="C66" s="8" t="s">
        <v>25</v>
      </c>
      <c r="D66" s="7" t="s">
        <v>41</v>
      </c>
      <c r="E66" s="7" t="s">
        <v>543</v>
      </c>
      <c r="F66" s="7" t="s">
        <v>410</v>
      </c>
      <c r="G66" s="7" t="s">
        <v>215</v>
      </c>
      <c r="H66" s="7" t="s">
        <v>372</v>
      </c>
      <c r="I66" s="7" t="s">
        <v>47</v>
      </c>
      <c r="J66" s="7" t="s">
        <v>201</v>
      </c>
      <c r="K66" s="7" t="s">
        <v>372</v>
      </c>
      <c r="L66" s="7" t="s">
        <v>389</v>
      </c>
      <c r="M66" s="8" t="s">
        <v>390</v>
      </c>
      <c r="N66" s="7" t="s">
        <v>391</v>
      </c>
      <c r="O66" s="10">
        <v>323</v>
      </c>
      <c r="P66" s="10">
        <v>188.7</v>
      </c>
      <c r="Q66" s="10">
        <v>134.3</v>
      </c>
    </row>
    <row r="67" spans="1:17">
      <c r="A67" s="6">
        <v>45839</v>
      </c>
      <c r="B67" s="7" t="s">
        <v>25</v>
      </c>
      <c r="C67" s="8" t="s">
        <v>25</v>
      </c>
      <c r="D67" s="7" t="s">
        <v>41</v>
      </c>
      <c r="E67" s="7" t="s">
        <v>543</v>
      </c>
      <c r="F67" s="7" t="s">
        <v>410</v>
      </c>
      <c r="G67" s="7" t="s">
        <v>215</v>
      </c>
      <c r="H67" s="7" t="s">
        <v>372</v>
      </c>
      <c r="I67" s="7" t="s">
        <v>47</v>
      </c>
      <c r="J67" s="7" t="s">
        <v>201</v>
      </c>
      <c r="K67" s="7" t="s">
        <v>372</v>
      </c>
      <c r="L67" s="7" t="s">
        <v>389</v>
      </c>
      <c r="M67" s="8" t="s">
        <v>390</v>
      </c>
      <c r="N67" s="7" t="s">
        <v>391</v>
      </c>
      <c r="O67" s="10">
        <v>560</v>
      </c>
      <c r="P67" s="10">
        <v>378</v>
      </c>
      <c r="Q67" s="10">
        <v>182</v>
      </c>
    </row>
    <row r="68" spans="1:17">
      <c r="A68" s="6">
        <v>45863</v>
      </c>
      <c r="B68" s="7" t="s">
        <v>25</v>
      </c>
      <c r="C68" s="8" t="s">
        <v>25</v>
      </c>
      <c r="D68" s="7" t="s">
        <v>43</v>
      </c>
      <c r="E68" s="7" t="s">
        <v>406</v>
      </c>
      <c r="F68" s="7" t="s">
        <v>406</v>
      </c>
      <c r="G68" s="7"/>
      <c r="H68" s="7" t="s">
        <v>372</v>
      </c>
      <c r="I68" s="7" t="s">
        <v>42</v>
      </c>
      <c r="J68" s="7" t="s">
        <v>314</v>
      </c>
      <c r="K68" s="7" t="s">
        <v>372</v>
      </c>
      <c r="L68" s="7" t="s">
        <v>394</v>
      </c>
      <c r="M68" s="8">
        <v>6001.02</v>
      </c>
      <c r="N68" s="7" t="s">
        <v>395</v>
      </c>
      <c r="O68" s="10">
        <v>0</v>
      </c>
      <c r="P68" s="10">
        <v>59.5</v>
      </c>
      <c r="Q68" s="10">
        <v>-59.5</v>
      </c>
    </row>
    <row r="69" spans="1:17">
      <c r="A69" s="6">
        <v>45845</v>
      </c>
      <c r="B69" s="7" t="s">
        <v>25</v>
      </c>
      <c r="C69" s="8" t="s">
        <v>25</v>
      </c>
      <c r="D69" s="7" t="s">
        <v>43</v>
      </c>
      <c r="E69" s="7" t="s">
        <v>406</v>
      </c>
      <c r="F69" s="7" t="s">
        <v>406</v>
      </c>
      <c r="G69" s="7"/>
      <c r="H69" s="7" t="s">
        <v>372</v>
      </c>
      <c r="I69" s="7" t="s">
        <v>42</v>
      </c>
      <c r="J69" s="7" t="s">
        <v>314</v>
      </c>
      <c r="K69" s="7" t="s">
        <v>372</v>
      </c>
      <c r="L69" s="7" t="s">
        <v>394</v>
      </c>
      <c r="M69" s="8">
        <v>6001.02</v>
      </c>
      <c r="N69" s="7" t="s">
        <v>395</v>
      </c>
      <c r="O69" s="10">
        <v>0</v>
      </c>
      <c r="P69" s="10">
        <v>107.1</v>
      </c>
      <c r="Q69" s="10">
        <v>-107.1</v>
      </c>
    </row>
    <row r="70" spans="1:17">
      <c r="A70" s="6">
        <v>45839</v>
      </c>
      <c r="B70" s="7" t="s">
        <v>25</v>
      </c>
      <c r="C70" s="8" t="s">
        <v>25</v>
      </c>
      <c r="D70" s="7" t="s">
        <v>43</v>
      </c>
      <c r="E70" s="7" t="s">
        <v>406</v>
      </c>
      <c r="F70" s="7" t="s">
        <v>406</v>
      </c>
      <c r="G70" s="7"/>
      <c r="H70" s="7" t="s">
        <v>372</v>
      </c>
      <c r="I70" s="7" t="s">
        <v>47</v>
      </c>
      <c r="J70" s="7" t="s">
        <v>67</v>
      </c>
      <c r="K70" s="7" t="s">
        <v>372</v>
      </c>
      <c r="L70" s="7" t="s">
        <v>389</v>
      </c>
      <c r="M70" s="8" t="s">
        <v>390</v>
      </c>
      <c r="N70" s="7" t="s">
        <v>391</v>
      </c>
      <c r="O70" s="10">
        <v>0</v>
      </c>
      <c r="P70" s="10">
        <v>112</v>
      </c>
      <c r="Q70" s="10">
        <v>-112</v>
      </c>
    </row>
    <row r="71" spans="1:17">
      <c r="A71" s="6">
        <v>45852</v>
      </c>
      <c r="B71" s="7" t="s">
        <v>25</v>
      </c>
      <c r="C71" s="8" t="s">
        <v>25</v>
      </c>
      <c r="D71" s="7" t="s">
        <v>43</v>
      </c>
      <c r="E71" s="7" t="s">
        <v>406</v>
      </c>
      <c r="F71" s="7" t="s">
        <v>406</v>
      </c>
      <c r="G71" s="7"/>
      <c r="H71" s="7" t="s">
        <v>372</v>
      </c>
      <c r="I71" s="7" t="s">
        <v>42</v>
      </c>
      <c r="J71" s="7" t="s">
        <v>314</v>
      </c>
      <c r="K71" s="7" t="s">
        <v>372</v>
      </c>
      <c r="L71" s="7" t="s">
        <v>394</v>
      </c>
      <c r="M71" s="8">
        <v>6001.02</v>
      </c>
      <c r="N71" s="7" t="s">
        <v>395</v>
      </c>
      <c r="O71" s="10">
        <v>0</v>
      </c>
      <c r="P71" s="10">
        <v>190.4</v>
      </c>
      <c r="Q71" s="10">
        <v>-190.4</v>
      </c>
    </row>
    <row r="72" spans="1:17">
      <c r="A72" s="6">
        <v>45848</v>
      </c>
      <c r="B72" s="7" t="s">
        <v>25</v>
      </c>
      <c r="C72" s="8" t="s">
        <v>25</v>
      </c>
      <c r="D72" s="7" t="s">
        <v>43</v>
      </c>
      <c r="E72" s="7" t="s">
        <v>406</v>
      </c>
      <c r="F72" s="7" t="s">
        <v>406</v>
      </c>
      <c r="G72" s="7"/>
      <c r="H72" s="7" t="s">
        <v>372</v>
      </c>
      <c r="I72" s="7" t="s">
        <v>47</v>
      </c>
      <c r="J72" s="7" t="s">
        <v>141</v>
      </c>
      <c r="K72" s="7" t="s">
        <v>372</v>
      </c>
      <c r="L72" s="7" t="s">
        <v>389</v>
      </c>
      <c r="M72" s="8" t="s">
        <v>390</v>
      </c>
      <c r="N72" s="7" t="s">
        <v>391</v>
      </c>
      <c r="O72" s="10">
        <v>0</v>
      </c>
      <c r="P72" s="10">
        <v>42</v>
      </c>
      <c r="Q72" s="10">
        <v>-42</v>
      </c>
    </row>
    <row r="73" spans="1:17">
      <c r="A73" s="6">
        <v>45842</v>
      </c>
      <c r="B73" s="7" t="s">
        <v>25</v>
      </c>
      <c r="C73" s="8" t="s">
        <v>25</v>
      </c>
      <c r="D73" s="7" t="s">
        <v>43</v>
      </c>
      <c r="E73" s="7" t="s">
        <v>406</v>
      </c>
      <c r="F73" s="7" t="s">
        <v>406</v>
      </c>
      <c r="G73" s="7"/>
      <c r="H73" s="7" t="s">
        <v>372</v>
      </c>
      <c r="I73" s="7" t="s">
        <v>47</v>
      </c>
      <c r="J73" s="7" t="s">
        <v>55</v>
      </c>
      <c r="K73" s="7" t="s">
        <v>407</v>
      </c>
      <c r="L73" s="7" t="s">
        <v>389</v>
      </c>
      <c r="M73" s="8" t="s">
        <v>390</v>
      </c>
      <c r="N73" s="7" t="s">
        <v>391</v>
      </c>
      <c r="O73" s="10">
        <v>0</v>
      </c>
      <c r="P73" s="10">
        <v>24.17</v>
      </c>
      <c r="Q73" s="10">
        <v>-24.17</v>
      </c>
    </row>
    <row r="74" spans="1:17">
      <c r="A74" s="6">
        <v>45845</v>
      </c>
      <c r="B74" s="7" t="s">
        <v>25</v>
      </c>
      <c r="C74" s="8" t="s">
        <v>25</v>
      </c>
      <c r="D74" s="7" t="s">
        <v>43</v>
      </c>
      <c r="E74" s="7" t="s">
        <v>406</v>
      </c>
      <c r="F74" s="7" t="s">
        <v>406</v>
      </c>
      <c r="G74" s="7"/>
      <c r="H74" s="7" t="s">
        <v>372</v>
      </c>
      <c r="I74" s="7" t="s">
        <v>47</v>
      </c>
      <c r="J74" s="7" t="s">
        <v>55</v>
      </c>
      <c r="K74" s="7" t="s">
        <v>407</v>
      </c>
      <c r="L74" s="7" t="s">
        <v>389</v>
      </c>
      <c r="M74" s="8" t="s">
        <v>390</v>
      </c>
      <c r="N74" s="7" t="s">
        <v>391</v>
      </c>
      <c r="O74" s="10">
        <v>0</v>
      </c>
      <c r="P74" s="10">
        <v>270.48</v>
      </c>
      <c r="Q74" s="10">
        <v>-270.48</v>
      </c>
    </row>
    <row r="75" spans="1:17">
      <c r="A75" s="6">
        <v>45852</v>
      </c>
      <c r="B75" s="7" t="s">
        <v>25</v>
      </c>
      <c r="C75" s="8" t="s">
        <v>25</v>
      </c>
      <c r="D75" s="7" t="s">
        <v>43</v>
      </c>
      <c r="E75" s="7" t="s">
        <v>406</v>
      </c>
      <c r="F75" s="7" t="s">
        <v>406</v>
      </c>
      <c r="G75" s="7"/>
      <c r="H75" s="7" t="s">
        <v>372</v>
      </c>
      <c r="I75" s="7" t="s">
        <v>47</v>
      </c>
      <c r="J75" s="7" t="s">
        <v>296</v>
      </c>
      <c r="K75" s="7" t="s">
        <v>372</v>
      </c>
      <c r="L75" s="7" t="s">
        <v>389</v>
      </c>
      <c r="M75" s="8" t="s">
        <v>390</v>
      </c>
      <c r="N75" s="7" t="s">
        <v>391</v>
      </c>
      <c r="O75" s="10">
        <v>0</v>
      </c>
      <c r="P75" s="10">
        <v>270.48</v>
      </c>
      <c r="Q75" s="10">
        <v>-270.48</v>
      </c>
    </row>
    <row r="76" spans="1:17">
      <c r="A76" s="6">
        <v>45859</v>
      </c>
      <c r="B76" s="7" t="s">
        <v>25</v>
      </c>
      <c r="C76" s="8" t="s">
        <v>25</v>
      </c>
      <c r="D76" s="7" t="s">
        <v>43</v>
      </c>
      <c r="E76" s="7" t="s">
        <v>406</v>
      </c>
      <c r="F76" s="7" t="s">
        <v>406</v>
      </c>
      <c r="G76" s="7"/>
      <c r="H76" s="7" t="s">
        <v>372</v>
      </c>
      <c r="I76" s="7" t="s">
        <v>47</v>
      </c>
      <c r="J76" s="7" t="s">
        <v>296</v>
      </c>
      <c r="K76" s="7" t="s">
        <v>372</v>
      </c>
      <c r="L76" s="7" t="s">
        <v>389</v>
      </c>
      <c r="M76" s="8" t="s">
        <v>390</v>
      </c>
      <c r="N76" s="7" t="s">
        <v>391</v>
      </c>
      <c r="O76" s="10">
        <v>0</v>
      </c>
      <c r="P76" s="10">
        <v>270.48</v>
      </c>
      <c r="Q76" s="10">
        <v>-270.48</v>
      </c>
    </row>
    <row r="77" spans="1:17">
      <c r="A77" s="6">
        <v>45842</v>
      </c>
      <c r="B77" s="7" t="s">
        <v>25</v>
      </c>
      <c r="C77" s="8" t="s">
        <v>25</v>
      </c>
      <c r="D77" s="7" t="s">
        <v>43</v>
      </c>
      <c r="E77" s="7" t="s">
        <v>406</v>
      </c>
      <c r="F77" s="7" t="s">
        <v>406</v>
      </c>
      <c r="G77" s="7"/>
      <c r="H77" s="7" t="s">
        <v>372</v>
      </c>
      <c r="I77" s="7" t="s">
        <v>47</v>
      </c>
      <c r="J77" s="7" t="s">
        <v>296</v>
      </c>
      <c r="K77" s="7" t="s">
        <v>372</v>
      </c>
      <c r="L77" s="7" t="s">
        <v>389</v>
      </c>
      <c r="M77" s="8" t="s">
        <v>390</v>
      </c>
      <c r="N77" s="7" t="s">
        <v>391</v>
      </c>
      <c r="O77" s="10">
        <v>0</v>
      </c>
      <c r="P77" s="10">
        <v>92</v>
      </c>
      <c r="Q77" s="10">
        <v>-92</v>
      </c>
    </row>
    <row r="78" spans="1:17">
      <c r="A78" s="6">
        <v>45842</v>
      </c>
      <c r="B78" s="7" t="s">
        <v>25</v>
      </c>
      <c r="C78" s="8" t="s">
        <v>25</v>
      </c>
      <c r="D78" s="7" t="s">
        <v>43</v>
      </c>
      <c r="E78" s="7" t="s">
        <v>406</v>
      </c>
      <c r="F78" s="7" t="s">
        <v>406</v>
      </c>
      <c r="G78" s="7"/>
      <c r="H78" s="7" t="s">
        <v>372</v>
      </c>
      <c r="I78" s="7" t="s">
        <v>47</v>
      </c>
      <c r="J78" s="7" t="s">
        <v>296</v>
      </c>
      <c r="K78" s="7" t="s">
        <v>372</v>
      </c>
      <c r="L78" s="7" t="s">
        <v>389</v>
      </c>
      <c r="M78" s="8" t="s">
        <v>390</v>
      </c>
      <c r="N78" s="7" t="s">
        <v>391</v>
      </c>
      <c r="O78" s="10">
        <v>0</v>
      </c>
      <c r="P78" s="10">
        <v>448.96</v>
      </c>
      <c r="Q78" s="10">
        <v>-448.96</v>
      </c>
    </row>
    <row r="79" spans="1:17">
      <c r="A79" s="6">
        <v>45846</v>
      </c>
      <c r="B79" s="7" t="s">
        <v>25</v>
      </c>
      <c r="C79" s="8" t="s">
        <v>25</v>
      </c>
      <c r="D79" s="7" t="s">
        <v>43</v>
      </c>
      <c r="E79" s="7" t="s">
        <v>406</v>
      </c>
      <c r="F79" s="7" t="s">
        <v>406</v>
      </c>
      <c r="G79" s="7"/>
      <c r="H79" s="7" t="s">
        <v>372</v>
      </c>
      <c r="I79" s="7" t="s">
        <v>47</v>
      </c>
      <c r="J79" s="7" t="s">
        <v>296</v>
      </c>
      <c r="K79" s="7" t="s">
        <v>372</v>
      </c>
      <c r="L79" s="7" t="s">
        <v>389</v>
      </c>
      <c r="M79" s="8" t="s">
        <v>390</v>
      </c>
      <c r="N79" s="7" t="s">
        <v>391</v>
      </c>
      <c r="O79" s="10">
        <v>0</v>
      </c>
      <c r="P79" s="10">
        <v>270.48</v>
      </c>
      <c r="Q79" s="10">
        <v>-270.48</v>
      </c>
    </row>
  </sheetData>
  <autoFilter xmlns:etc="http://www.wps.cn/officeDocument/2017/etCustomData" ref="A1:Q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数据源</vt:lpstr>
      <vt:lpstr>zdy_20250812200038750_0</vt:lpstr>
      <vt:lpstr>金蝶视图</vt:lpstr>
      <vt:lpstr>线下入账</vt:lpstr>
      <vt:lpstr>其他出库单</vt:lpstr>
      <vt:lpstr>卡密转单差异</vt:lpstr>
      <vt:lpstr>内部POP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佳娟</cp:lastModifiedBy>
  <dcterms:created xsi:type="dcterms:W3CDTF">2025-08-13T03:24:00Z</dcterms:created>
  <dcterms:modified xsi:type="dcterms:W3CDTF">2025-09-10T10:38:34Z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49DE0CEC98F949A281890A237FB62D28_12</vt:lpwstr>
  </property>
</Properties>
</file>