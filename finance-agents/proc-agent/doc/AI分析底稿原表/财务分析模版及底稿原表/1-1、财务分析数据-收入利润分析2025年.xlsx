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tabRatio="958" activeTab="1"/>
  </bookViews>
  <sheets>
    <sheet name="权责制经营报表-EAS 2512（审计口径）" sheetId="7" r:id="rId1"/>
    <sheet name="成本费用分布（EAS）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'权责制经营报表-EAS 2512（审计口径）'!#REF!</definedName>
    <definedName name="合并科目名称">[1]Sheet1!$A$2:$A$908</definedName>
    <definedName name="科目余额表">#REF!</definedName>
    <definedName name="body">'[2]资产负债表-2017'!$C$6:$H$36</definedName>
    <definedName name="grid">'[2]资产负债表-2017'!$C$6:$H$36</definedName>
    <definedName name="head">'[2]资产负债表-2017'!$A$4:$H$4</definedName>
    <definedName name="核算项目明细账">[3]核算项目明细账!$A$1:$K$157</definedName>
    <definedName name="会计分录序时簿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wjj526</author>
  </authors>
  <commentLis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净额法下：主营业务收入-主营业务成本（销售成本）</t>
        </r>
      </text>
    </comment>
    <comment ref="N4" authorId="1">
      <text>
        <r>
          <rPr>
            <b/>
            <sz val="9"/>
            <rFont val="宋体"/>
            <charset val="134"/>
          </rPr>
          <t xml:space="preserve">wjj526:
</t>
        </r>
        <r>
          <rPr>
            <sz val="9"/>
            <rFont val="宋体"/>
            <charset val="134"/>
          </rPr>
          <t>调整芒果TV双十一活动返点+ROUND(3299000/1.06,2)，官方未确认、账面暂未计提；</t>
        </r>
      </text>
    </comment>
    <comment ref="B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苹果卡2025年负毛利调整增值税、所得税11125101.41；</t>
        </r>
      </text>
    </commen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按BI损益毛利明细表-应收返点表中，填
不含税差额收入（累计数）</t>
        </r>
      </text>
    </comment>
    <comment ref="B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包含平台服务费</t>
        </r>
      </text>
    </comment>
    <comment ref="BK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还原佣金后的毛利变动</t>
        </r>
      </text>
    </comment>
    <comment ref="B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包括工资、社保、公积金、奖金
含成本、销售费用、研发费用</t>
        </r>
      </text>
    </comment>
    <comment ref="B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含成本中工资</t>
        </r>
      </text>
    </comment>
    <comment ref="AM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含成本中工资</t>
        </r>
      </text>
    </comment>
    <comment ref="B2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BI中在费用中统计，计入“直接运营成本”；</t>
        </r>
      </text>
    </comment>
    <comment ref="B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直通车费用</t>
        </r>
      </text>
    </comment>
    <comment ref="BJ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苹果卡2025年负毛利调整增值税、所得税11125101.41；
</t>
        </r>
      </text>
    </comment>
    <comment ref="B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主要是服务器托管服务费、软件服务费
</t>
        </r>
      </text>
    </comment>
    <comment ref="AM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含成本软件服务费</t>
        </r>
      </text>
    </comment>
    <comment ref="B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扣除业务上直通车费用、佣金服务后账面销售费用</t>
        </r>
      </text>
    </comment>
    <comment ref="AM3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含研发支出-办公费</t>
        </r>
      </text>
    </comment>
    <comment ref="B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按本月应缴增值税金额</t>
        </r>
      </text>
    </comment>
    <comment ref="B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财务费用</t>
        </r>
      </text>
    </commen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扣除研发人工成本后管理费用+财务费用（扣除直接借款利息支出）+营业外支出-营业外收入
</t>
        </r>
      </text>
    </comment>
    <comment ref="B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按账面取数</t>
        </r>
      </text>
    </comment>
    <comment ref="V5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W5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X5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Y56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V5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IPO承销费，审计调整到费用；</t>
        </r>
      </text>
    </comment>
    <comment ref="W5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X5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Y57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IPO承销费</t>
        </r>
      </text>
    </comment>
    <comment ref="E5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补计提腾讯Q1采购返点</t>
        </r>
      </text>
    </comment>
    <comment ref="F5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补计提腾讯Q1采购返点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wjj526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含天猫直通车、京准通费用；</t>
        </r>
      </text>
    </comment>
    <comment ref="BR8" authorId="1">
      <text>
        <r>
          <rPr>
            <b/>
            <sz val="9"/>
            <rFont val="宋体"/>
            <charset val="134"/>
          </rPr>
          <t>wjj526:</t>
        </r>
        <r>
          <rPr>
            <sz val="9"/>
            <rFont val="宋体"/>
            <charset val="134"/>
          </rPr>
          <t xml:space="preserve">
23.2月西藏计提投资公司返佣补贴 146191.16；</t>
        </r>
      </text>
    </comment>
    <comment ref="DC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非关联</t>
        </r>
      </text>
    </comment>
    <comment ref="A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手填劳务派遣费，取自BI费用及店铺费用表，数为累计数</t>
        </r>
      </text>
    </comment>
    <comment ref="DC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BI损益毛利明细表GMV非关联-TOB=非关联TOC</t>
        </r>
      </text>
    </comment>
    <comment ref="DC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战略投资分析-GMV销售平台占比</t>
        </r>
      </text>
    </comment>
  </commentList>
</comments>
</file>

<file path=xl/sharedStrings.xml><?xml version="1.0" encoding="utf-8"?>
<sst xmlns="http://schemas.openxmlformats.org/spreadsheetml/2006/main" count="312" uniqueCount="267">
  <si>
    <t>利润表</t>
  </si>
  <si>
    <t>编制单位：武汉福禄网络科技有限公司（汇总报表）                       2024年度               单位：元</t>
  </si>
  <si>
    <t>序号</t>
  </si>
  <si>
    <t>项目</t>
  </si>
  <si>
    <t>2021年1月</t>
  </si>
  <si>
    <t>2021年1-2月</t>
  </si>
  <si>
    <t>2021年Q1</t>
  </si>
  <si>
    <t>2021年1-4月</t>
  </si>
  <si>
    <t>2021年1-5月</t>
  </si>
  <si>
    <t>2021年Q2</t>
  </si>
  <si>
    <t>2021年1-7月</t>
  </si>
  <si>
    <t>2021年1-8月</t>
  </si>
  <si>
    <t>2021年Q3</t>
  </si>
  <si>
    <t>2021年1-10月</t>
  </si>
  <si>
    <t>2021年1-11月</t>
  </si>
  <si>
    <t>2021年1-12月</t>
  </si>
  <si>
    <t>2022年1月</t>
  </si>
  <si>
    <t>2022年1-2月</t>
  </si>
  <si>
    <t>2022年Q1</t>
  </si>
  <si>
    <t>2022年1-4月</t>
  </si>
  <si>
    <t>2022年1-5月</t>
  </si>
  <si>
    <t>2022年Q2</t>
  </si>
  <si>
    <t>2022年1-7月</t>
  </si>
  <si>
    <t>2022年1-8月</t>
  </si>
  <si>
    <t>2022年Q3</t>
  </si>
  <si>
    <t>2022年1-10月</t>
  </si>
  <si>
    <t>2022年1-11月</t>
  </si>
  <si>
    <t>2022年</t>
  </si>
  <si>
    <t>2023年1月</t>
  </si>
  <si>
    <t>2023年1-2月</t>
  </si>
  <si>
    <t>2023年Q1</t>
  </si>
  <si>
    <t>2023年1-4月</t>
  </si>
  <si>
    <t>2023年1-5月</t>
  </si>
  <si>
    <t>2023年Q2</t>
  </si>
  <si>
    <t>2023年1-7月</t>
  </si>
  <si>
    <t>2023年1-8月</t>
  </si>
  <si>
    <t>2023年Q3</t>
  </si>
  <si>
    <t>2023年1-10月</t>
  </si>
  <si>
    <t>2023年1-11月</t>
  </si>
  <si>
    <t>2023年</t>
  </si>
  <si>
    <t>变动</t>
  </si>
  <si>
    <t>一</t>
  </si>
  <si>
    <t>订单销售收入</t>
  </si>
  <si>
    <t>二</t>
  </si>
  <si>
    <t>减：销售成本额</t>
  </si>
  <si>
    <t>三</t>
  </si>
  <si>
    <t>销售订单毛利</t>
  </si>
  <si>
    <t>四</t>
  </si>
  <si>
    <t>返佣收入</t>
  </si>
  <si>
    <t>五</t>
  </si>
  <si>
    <t>平台服务收入</t>
  </si>
  <si>
    <t>六</t>
  </si>
  <si>
    <t>游戏开发收入</t>
  </si>
  <si>
    <t>七</t>
  </si>
  <si>
    <t>代运营服务收入</t>
  </si>
  <si>
    <t>八</t>
  </si>
  <si>
    <t>推广服务收入</t>
  </si>
  <si>
    <t>九</t>
  </si>
  <si>
    <t>信息、经纪服务收入</t>
  </si>
  <si>
    <t>十</t>
  </si>
  <si>
    <t>逾期权益收入</t>
  </si>
  <si>
    <t>十一</t>
  </si>
  <si>
    <t>其他收益-税收返还</t>
  </si>
  <si>
    <t>十三</t>
  </si>
  <si>
    <t>减：业务直接成本</t>
  </si>
  <si>
    <t>佣金服务费</t>
  </si>
  <si>
    <t>平台服务费</t>
  </si>
  <si>
    <t>游戏开发服务费</t>
  </si>
  <si>
    <t>代运营服务费</t>
  </si>
  <si>
    <t>推广服务费</t>
  </si>
  <si>
    <t>信息、经纪服务费</t>
  </si>
  <si>
    <t>十四</t>
  </si>
  <si>
    <t>业务毛利</t>
  </si>
  <si>
    <t>十五</t>
  </si>
  <si>
    <t>减：业务直接费用</t>
  </si>
  <si>
    <t xml:space="preserve">   直接人工</t>
  </si>
  <si>
    <t xml:space="preserve">   其中：运营/客服人工</t>
  </si>
  <si>
    <t xml:space="preserve">         研发人工</t>
  </si>
  <si>
    <t xml:space="preserve">   直接运营费用</t>
  </si>
  <si>
    <t xml:space="preserve">   其中：平台服务费（直接服务费）</t>
  </si>
  <si>
    <t xml:space="preserve">         平台推广服务费</t>
  </si>
  <si>
    <t xml:space="preserve">         市场推广服务费</t>
  </si>
  <si>
    <t xml:space="preserve">         软件服务费</t>
  </si>
  <si>
    <t xml:space="preserve">         服务器托管费</t>
  </si>
  <si>
    <t xml:space="preserve">         办公费</t>
  </si>
  <si>
    <t xml:space="preserve">         中介咨询服务费</t>
  </si>
  <si>
    <t xml:space="preserve">   直接税费</t>
  </si>
  <si>
    <t xml:space="preserve">   直接借款利息费用</t>
  </si>
  <si>
    <t>十六</t>
  </si>
  <si>
    <t>业务直接利润</t>
  </si>
  <si>
    <t>十七</t>
  </si>
  <si>
    <t>减：支撑部门费用</t>
  </si>
  <si>
    <t xml:space="preserve">   支撑部门人工成本</t>
  </si>
  <si>
    <t xml:space="preserve">   房租物业、水电费</t>
  </si>
  <si>
    <t xml:space="preserve">   办公费</t>
  </si>
  <si>
    <t xml:space="preserve">   中介机构服务费</t>
  </si>
  <si>
    <t xml:space="preserve">   设备折旧摊销费</t>
  </si>
  <si>
    <t xml:space="preserve">   装修摊销费</t>
  </si>
  <si>
    <t>其他业务利润</t>
  </si>
  <si>
    <t>营业外净利润</t>
  </si>
  <si>
    <t>十八</t>
  </si>
  <si>
    <t>资产减值损失</t>
  </si>
  <si>
    <t>十九</t>
  </si>
  <si>
    <t>利润总额</t>
  </si>
  <si>
    <t>二十</t>
  </si>
  <si>
    <t>减：所得税</t>
  </si>
  <si>
    <t>二十一</t>
  </si>
  <si>
    <t>净利润(含返点）</t>
  </si>
  <si>
    <t>验算</t>
  </si>
  <si>
    <t>累计调整金额</t>
  </si>
  <si>
    <t>扣非口径调整项-汇兑损益</t>
  </si>
  <si>
    <t>扣非口径调整项-IPO费用</t>
  </si>
  <si>
    <t>费用调整项-审计补计提在20年</t>
  </si>
  <si>
    <t>其他调整项</t>
  </si>
  <si>
    <t>累计毛利收入</t>
  </si>
  <si>
    <t>每月毛利</t>
  </si>
  <si>
    <t>（扣除IPO）每月净利润</t>
  </si>
  <si>
    <t>费用项目</t>
  </si>
  <si>
    <t>2023年1月费用</t>
  </si>
  <si>
    <t>2023年1-2费用</t>
  </si>
  <si>
    <t>2023年1-3费用</t>
  </si>
  <si>
    <t>2023年1-4费用</t>
  </si>
  <si>
    <t>2023年1-5费用</t>
  </si>
  <si>
    <t>2023年1-6费用</t>
  </si>
  <si>
    <t>2023年1-7费用</t>
  </si>
  <si>
    <t>2023年1-8费用</t>
  </si>
  <si>
    <t>2023年1-9费用</t>
  </si>
  <si>
    <t>2023年1-10费用</t>
  </si>
  <si>
    <t>2023年1-11费用</t>
  </si>
  <si>
    <t>2023年1-12费用</t>
  </si>
  <si>
    <t>2024年1月费用</t>
  </si>
  <si>
    <t>2024年1-2月费用</t>
  </si>
  <si>
    <t>2024年1-3月费用</t>
  </si>
  <si>
    <t>2024年1-4月费用</t>
  </si>
  <si>
    <t>2024年1-5月费用</t>
  </si>
  <si>
    <t>2024年1-6月费用</t>
  </si>
  <si>
    <t>2024年1-7月费用</t>
  </si>
  <si>
    <t>2024年1-8月费用</t>
  </si>
  <si>
    <t>2024年1-9月费用</t>
  </si>
  <si>
    <t>2024年1-10月费用</t>
  </si>
  <si>
    <t>2024年1-11月费用</t>
  </si>
  <si>
    <t>2024年1-12月费用</t>
  </si>
  <si>
    <t>2025年1月费用</t>
  </si>
  <si>
    <t>2025年1-2月费用</t>
  </si>
  <si>
    <t>2025年1-3月费用</t>
  </si>
  <si>
    <t>2025年1-4月费用</t>
  </si>
  <si>
    <t>2025年1-5月费用</t>
  </si>
  <si>
    <t>2025年1-6月费用</t>
  </si>
  <si>
    <t>2025年1-7月费用</t>
  </si>
  <si>
    <t>2025年1-8月费用</t>
  </si>
  <si>
    <t>2025年1-9月费用</t>
  </si>
  <si>
    <t>2025年1-10月费用</t>
  </si>
  <si>
    <t>2025年1-11月费用</t>
  </si>
  <si>
    <t>2025年1-12月费用</t>
  </si>
  <si>
    <t>2025年费用分布占比</t>
  </si>
  <si>
    <t>同期增长额度</t>
  </si>
  <si>
    <t>同期费用增长率</t>
  </si>
  <si>
    <t>备注</t>
  </si>
  <si>
    <t>2021年1-1月费用</t>
  </si>
  <si>
    <t>2021年1-2月费用</t>
  </si>
  <si>
    <t>2021年1-3月费用</t>
  </si>
  <si>
    <t>2021年1-4月费用</t>
  </si>
  <si>
    <t>2021年1-5月费用</t>
  </si>
  <si>
    <t>2021年1-6月费用</t>
  </si>
  <si>
    <t>2021年1-7月费用</t>
  </si>
  <si>
    <t>2021年1-8月费用</t>
  </si>
  <si>
    <t>2021年1-9月费用</t>
  </si>
  <si>
    <t>2021年1-10月费用</t>
  </si>
  <si>
    <t>2021年1-11月费用</t>
  </si>
  <si>
    <t>2021年1-12月费用</t>
  </si>
  <si>
    <t>2022年1-1月费用</t>
  </si>
  <si>
    <t>2022年1-2月费用</t>
  </si>
  <si>
    <t>2022年1-3月费用</t>
  </si>
  <si>
    <t>2022年1-10月费用</t>
  </si>
  <si>
    <t>2022年1-5月费用</t>
  </si>
  <si>
    <t>2022年1-7月费用</t>
  </si>
  <si>
    <t>2022年1-8月费用</t>
  </si>
  <si>
    <t>2022年1-11月费用</t>
  </si>
  <si>
    <t>2022年1-12月费用</t>
  </si>
  <si>
    <t>2023年1-2月费用</t>
  </si>
  <si>
    <t>2023年1-3月费用</t>
  </si>
  <si>
    <t>2023年1-5月费用</t>
  </si>
  <si>
    <t>2023年1-6月费用</t>
  </si>
  <si>
    <t>2023年1-7月费用</t>
  </si>
  <si>
    <t>2023年1-8月费用</t>
  </si>
  <si>
    <t>2023年1-9月费用</t>
  </si>
  <si>
    <t>2023年1-10月费用</t>
  </si>
  <si>
    <t>2023年1-11月费用</t>
  </si>
  <si>
    <t>2023年1-12月费用</t>
  </si>
  <si>
    <t>直接运营费用</t>
  </si>
  <si>
    <t>人事费用</t>
  </si>
  <si>
    <t>咨询服务费用</t>
  </si>
  <si>
    <t>办公费用</t>
  </si>
  <si>
    <t>小计</t>
  </si>
  <si>
    <t>人工成本-58.42%</t>
  </si>
  <si>
    <t>人工成本增长1302万，主要是业务人工增加503万、研发人工增加77万、支撑部门人工增加622万；岗位外包费用120万；</t>
  </si>
  <si>
    <t>人事</t>
  </si>
  <si>
    <t>佣金服务费-10.8%</t>
  </si>
  <si>
    <t>京东拼购业务、京东话费充值店业务影响较大，GMV下降导致佣金手续减少474万；搜卡手游专营店减少93万；天猫+福禄网游数卡专营店下降63万；</t>
  </si>
  <si>
    <t>平台服务费-1.38%</t>
  </si>
  <si>
    <t>新增店铺的费用，今年较去年同期新增约56家店铺（53%）（22年162家、20年106家）；主要新增店铺的费用、以及店铺工具费用支出；</t>
  </si>
  <si>
    <t>平台推广费-15.56%</t>
  </si>
  <si>
    <t>平台店铺的推广支出下降了40万，主要是天猫网游数卡专营店直通车费用下降66万；京东+腾讯视频VIP会员专卖店下降111万、京东+福禄视频会员专营店下降52万；天猫+搜卡手游专营店下降96万；拼多多+腾讯视频官方旗舰店增加81万；抖音平台发生支出188万；</t>
  </si>
  <si>
    <t>市场推广费-2.12%</t>
  </si>
  <si>
    <t>合计（单位：万元）</t>
  </si>
  <si>
    <t>服务器托管费-2.07%</t>
  </si>
  <si>
    <t>订单量增加，新业务增加（例如海外业务）</t>
  </si>
  <si>
    <t>软件服务费-0.6%</t>
  </si>
  <si>
    <t>办公费-4.07%</t>
  </si>
  <si>
    <t>主要是办公用品增加28.8万、会议费增加24万、招待费增加34.5万；</t>
  </si>
  <si>
    <t>办公费</t>
  </si>
  <si>
    <t>房租、物业水电费-1.72%</t>
  </si>
  <si>
    <t>折旧摊销费-0.99%</t>
  </si>
  <si>
    <t>利息费用- -0.68%</t>
  </si>
  <si>
    <t>主要是武汉福禄无大额存单利息收入、汇率波动损失增加62万；手续费增加6.8万；</t>
  </si>
  <si>
    <t>年度</t>
  </si>
  <si>
    <t>佣金费</t>
  </si>
  <si>
    <t>中介机构服务费-2.95%</t>
  </si>
  <si>
    <t>主要是股权激的服务费28万；生法律合规服务费首付款95万；信托费用36万；</t>
  </si>
  <si>
    <t>咨询</t>
  </si>
  <si>
    <t>费用小计</t>
  </si>
  <si>
    <t>推广费</t>
  </si>
  <si>
    <t>收入(还原佣金服务费）：</t>
  </si>
  <si>
    <t>23.1月</t>
  </si>
  <si>
    <t>23.1-3月</t>
  </si>
  <si>
    <t>23.1-4月</t>
  </si>
  <si>
    <t>23.1-5月</t>
  </si>
  <si>
    <t>23.1-6月</t>
  </si>
  <si>
    <t>23.1-7月</t>
  </si>
  <si>
    <t>23.1-8月</t>
  </si>
  <si>
    <t>23.1-9月</t>
  </si>
  <si>
    <t>23.1-10月</t>
  </si>
  <si>
    <t>23.1-11月</t>
  </si>
  <si>
    <t>23.1-12月</t>
  </si>
  <si>
    <t>24.1月</t>
  </si>
  <si>
    <t>24.1-2月</t>
  </si>
  <si>
    <t>24.1-3月</t>
  </si>
  <si>
    <t>24.1-4月</t>
  </si>
  <si>
    <t>24.1-5月</t>
  </si>
  <si>
    <t>24.1-6月</t>
  </si>
  <si>
    <t>24.1-7月</t>
  </si>
  <si>
    <t>24.1-8月</t>
  </si>
  <si>
    <t>24.1-9月</t>
  </si>
  <si>
    <t>24.1-10月</t>
  </si>
  <si>
    <t>24.1-11月</t>
  </si>
  <si>
    <t>24.1-12月</t>
  </si>
  <si>
    <t>25.1月</t>
  </si>
  <si>
    <t>25.2月</t>
  </si>
  <si>
    <t>25.3月</t>
  </si>
  <si>
    <t>25.4月</t>
  </si>
  <si>
    <t>25.5月</t>
  </si>
  <si>
    <t>25.1-6月</t>
  </si>
  <si>
    <t>25.1-7月</t>
  </si>
  <si>
    <t>25.1-8月</t>
  </si>
  <si>
    <t>25.9月</t>
  </si>
  <si>
    <t>25.10月</t>
  </si>
  <si>
    <t>25.11月</t>
  </si>
  <si>
    <t>25.12月</t>
  </si>
  <si>
    <t>GMV(TOC)</t>
  </si>
  <si>
    <t>佳娟给</t>
  </si>
  <si>
    <t>岗位外包费</t>
  </si>
  <si>
    <t>长沙瑞联分润费用</t>
  </si>
  <si>
    <t>西藏福禄返佣服务费</t>
  </si>
  <si>
    <t>中介机构服务费-技术服务费-分润</t>
  </si>
  <si>
    <t>网音店铺费用132.4万，11月确认无票费用</t>
  </si>
  <si>
    <t>佣金率</t>
  </si>
  <si>
    <t>推广费用率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</si>
</sst>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_ ;_ * \-#,##0_ ;_ * &quot;-&quot;??_ ;_ @_ "/>
    <numFmt numFmtId="178" formatCode="#,##0_ "/>
    <numFmt numFmtId="179" formatCode="0.0%"/>
    <numFmt numFmtId="180" formatCode="yyyy/m/d;@"/>
  </numFmts>
  <fonts count="46">
    <font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</font>
    <font>
      <sz val="8"/>
      <color rgb="FFFF0000"/>
      <name val="宋体"/>
      <charset val="134"/>
    </font>
    <font>
      <sz val="9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8"/>
      <name val="Arial"/>
      <charset val="134"/>
    </font>
    <font>
      <b/>
      <sz val="9"/>
      <name val="宋体"/>
      <charset val="134"/>
    </font>
    <font>
      <b/>
      <sz val="10"/>
      <color theme="1"/>
      <name val="黑体"/>
      <charset val="134"/>
    </font>
    <font>
      <b/>
      <sz val="9"/>
      <color theme="1"/>
      <name val="黑体"/>
      <charset val="134"/>
    </font>
    <font>
      <b/>
      <sz val="8"/>
      <name val="仿宋"/>
      <charset val="134"/>
    </font>
    <font>
      <sz val="10"/>
      <color theme="1"/>
      <name val="黑体"/>
      <charset val="134"/>
    </font>
    <font>
      <b/>
      <sz val="9"/>
      <name val="Arial"/>
      <charset val="134"/>
    </font>
    <font>
      <sz val="11"/>
      <color theme="1"/>
      <name val="宋体"/>
      <charset val="134"/>
    </font>
    <font>
      <sz val="10"/>
      <name val="Arial"/>
      <charset val="134"/>
    </font>
    <font>
      <sz val="9"/>
      <name val="仿宋"/>
      <charset val="134"/>
    </font>
    <font>
      <sz val="8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3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15" applyNumberFormat="0" applyAlignment="0" applyProtection="0">
      <alignment vertical="center"/>
    </xf>
    <xf numFmtId="0" fontId="32" fillId="15" borderId="16" applyNumberFormat="0" applyAlignment="0" applyProtection="0">
      <alignment vertical="center"/>
    </xf>
    <xf numFmtId="0" fontId="33" fillId="15" borderId="15" applyNumberFormat="0" applyAlignment="0" applyProtection="0">
      <alignment vertical="center"/>
    </xf>
    <xf numFmtId="0" fontId="34" fillId="16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2" fillId="0" borderId="0"/>
    <xf numFmtId="0" fontId="10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43" fontId="42" fillId="0" borderId="0" applyFont="0" applyFill="0" applyBorder="0" applyAlignment="0" applyProtection="0"/>
  </cellStyleXfs>
  <cellXfs count="17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43" fontId="1" fillId="0" borderId="0" xfId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57" fontId="2" fillId="2" borderId="2" xfId="0" applyNumberFormat="1" applyFont="1" applyFill="1" applyBorder="1" applyAlignment="1">
      <alignment horizontal="center" vertical="center" wrapText="1"/>
    </xf>
    <xf numFmtId="57" fontId="2" fillId="3" borderId="2" xfId="0" applyNumberFormat="1" applyFont="1" applyFill="1" applyBorder="1" applyAlignment="1">
      <alignment horizontal="center" vertical="center" wrapText="1"/>
    </xf>
    <xf numFmtId="57" fontId="2" fillId="4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1" fillId="0" borderId="0" xfId="1" applyFont="1" applyAlignment="1">
      <alignment vertical="center" wrapText="1"/>
    </xf>
    <xf numFmtId="0" fontId="2" fillId="0" borderId="4" xfId="0" applyFont="1" applyBorder="1" applyAlignment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3" fontId="2" fillId="0" borderId="3" xfId="1" applyFont="1" applyBorder="1">
      <alignment vertical="center"/>
    </xf>
    <xf numFmtId="43" fontId="2" fillId="0" borderId="4" xfId="1" applyFont="1" applyBorder="1">
      <alignment vertical="center"/>
    </xf>
    <xf numFmtId="177" fontId="2" fillId="0" borderId="3" xfId="1" applyNumberFormat="1" applyFont="1" applyBorder="1">
      <alignment vertical="center"/>
    </xf>
    <xf numFmtId="10" fontId="2" fillId="0" borderId="0" xfId="3" applyNumberFormat="1" applyFont="1" applyBorder="1">
      <alignment vertical="center"/>
    </xf>
    <xf numFmtId="177" fontId="2" fillId="0" borderId="0" xfId="1" applyNumberFormat="1" applyFont="1" applyFill="1" applyBorder="1">
      <alignment vertical="center"/>
    </xf>
    <xf numFmtId="10" fontId="2" fillId="0" borderId="5" xfId="3" applyNumberFormat="1" applyFont="1" applyBorder="1">
      <alignment vertical="center"/>
    </xf>
    <xf numFmtId="10" fontId="1" fillId="0" borderId="0" xfId="3" applyNumberFormat="1" applyFont="1" applyAlignment="1">
      <alignment horizontal="center" vertical="center"/>
    </xf>
    <xf numFmtId="176" fontId="1" fillId="0" borderId="0" xfId="3" applyNumberFormat="1" applyFont="1">
      <alignment vertical="center"/>
    </xf>
    <xf numFmtId="0" fontId="3" fillId="0" borderId="1" xfId="0" applyFont="1" applyBorder="1" applyAlignment="1">
      <alignment vertical="center"/>
    </xf>
    <xf numFmtId="177" fontId="3" fillId="0" borderId="2" xfId="1" applyNumberFormat="1" applyFont="1" applyBorder="1">
      <alignment vertical="center"/>
    </xf>
    <xf numFmtId="177" fontId="3" fillId="0" borderId="0" xfId="1" applyNumberFormat="1" applyFont="1">
      <alignment vertical="center"/>
    </xf>
    <xf numFmtId="178" fontId="1" fillId="0" borderId="0" xfId="0" applyNumberFormat="1" applyFont="1">
      <alignment vertical="center"/>
    </xf>
    <xf numFmtId="57" fontId="4" fillId="0" borderId="0" xfId="0" applyNumberFormat="1" applyFont="1" applyFill="1" applyAlignment="1">
      <alignment vertical="center"/>
    </xf>
    <xf numFmtId="177" fontId="1" fillId="0" borderId="0" xfId="1" applyNumberFormat="1" applyFont="1">
      <alignment vertical="center"/>
    </xf>
    <xf numFmtId="0" fontId="2" fillId="5" borderId="0" xfId="0" applyFont="1" applyFill="1" applyBorder="1" applyAlignment="1">
      <alignment vertical="center"/>
    </xf>
    <xf numFmtId="177" fontId="2" fillId="5" borderId="0" xfId="1" applyNumberFormat="1" applyFont="1" applyFill="1" applyBorder="1">
      <alignment vertical="center"/>
    </xf>
    <xf numFmtId="43" fontId="2" fillId="5" borderId="0" xfId="1" applyFont="1" applyFill="1" applyBorder="1">
      <alignment vertical="center"/>
    </xf>
    <xf numFmtId="10" fontId="2" fillId="5" borderId="0" xfId="3" applyNumberFormat="1" applyFont="1" applyFill="1" applyBorder="1">
      <alignment vertical="center"/>
    </xf>
    <xf numFmtId="10" fontId="2" fillId="5" borderId="5" xfId="3" applyNumberFormat="1" applyFont="1" applyFill="1" applyBorder="1">
      <alignment vertical="center"/>
    </xf>
    <xf numFmtId="0" fontId="1" fillId="5" borderId="0" xfId="0" applyFont="1" applyFill="1" applyAlignment="1">
      <alignment vertical="center" wrapText="1"/>
    </xf>
    <xf numFmtId="10" fontId="1" fillId="5" borderId="6" xfId="3" applyNumberFormat="1" applyFont="1" applyFill="1" applyBorder="1" applyAlignment="1">
      <alignment horizontal="center" vertical="center" wrapText="1"/>
    </xf>
    <xf numFmtId="10" fontId="1" fillId="0" borderId="0" xfId="3" applyNumberFormat="1" applyFont="1">
      <alignment vertical="center"/>
    </xf>
    <xf numFmtId="0" fontId="5" fillId="0" borderId="6" xfId="0" applyFont="1" applyFill="1" applyBorder="1" applyAlignment="1">
      <alignment vertical="center"/>
    </xf>
    <xf numFmtId="177" fontId="3" fillId="0" borderId="0" xfId="1" applyNumberFormat="1" applyFont="1" applyBorder="1">
      <alignment vertical="center"/>
    </xf>
    <xf numFmtId="0" fontId="5" fillId="0" borderId="6" xfId="0" applyFont="1" applyFill="1" applyBorder="1" applyAlignment="1">
      <alignment vertical="center" wrapText="1"/>
    </xf>
    <xf numFmtId="0" fontId="6" fillId="5" borderId="0" xfId="0" applyFont="1" applyFill="1" applyBorder="1">
      <alignment vertical="center"/>
    </xf>
    <xf numFmtId="0" fontId="3" fillId="3" borderId="7" xfId="0" applyFont="1" applyFill="1" applyBorder="1">
      <alignment vertical="center"/>
    </xf>
    <xf numFmtId="177" fontId="3" fillId="3" borderId="8" xfId="1" applyNumberFormat="1" applyFont="1" applyFill="1" applyBorder="1">
      <alignment vertical="center"/>
    </xf>
    <xf numFmtId="179" fontId="1" fillId="0" borderId="0" xfId="3" applyNumberFormat="1" applyFont="1">
      <alignment vertical="center"/>
    </xf>
    <xf numFmtId="9" fontId="1" fillId="0" borderId="0" xfId="3" applyNumberFormat="1" applyFont="1">
      <alignment vertical="center"/>
    </xf>
    <xf numFmtId="0" fontId="1" fillId="5" borderId="0" xfId="0" applyFont="1" applyFill="1">
      <alignment vertical="center"/>
    </xf>
    <xf numFmtId="0" fontId="3" fillId="0" borderId="0" xfId="0" applyFont="1">
      <alignment vertical="center"/>
    </xf>
    <xf numFmtId="43" fontId="3" fillId="0" borderId="0" xfId="1" applyFont="1">
      <alignment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1" fillId="5" borderId="0" xfId="0" applyFont="1" applyFill="1" applyBorder="1">
      <alignment vertical="center"/>
    </xf>
    <xf numFmtId="0" fontId="2" fillId="6" borderId="0" xfId="0" applyFont="1" applyFill="1" applyBorder="1" applyAlignment="1">
      <alignment vertical="center"/>
    </xf>
    <xf numFmtId="177" fontId="2" fillId="6" borderId="0" xfId="1" applyNumberFormat="1" applyFont="1" applyFill="1" applyBorder="1">
      <alignment vertical="center"/>
    </xf>
    <xf numFmtId="43" fontId="2" fillId="6" borderId="0" xfId="1" applyFont="1" applyFill="1" applyBorder="1">
      <alignment vertical="center"/>
    </xf>
    <xf numFmtId="10" fontId="2" fillId="6" borderId="0" xfId="3" applyNumberFormat="1" applyFont="1" applyFill="1" applyBorder="1">
      <alignment vertical="center"/>
    </xf>
    <xf numFmtId="10" fontId="2" fillId="6" borderId="5" xfId="3" applyNumberFormat="1" applyFont="1" applyFill="1" applyBorder="1">
      <alignment vertical="center"/>
    </xf>
    <xf numFmtId="0" fontId="1" fillId="6" borderId="0" xfId="0" applyFont="1" applyFill="1" applyBorder="1">
      <alignment vertical="center"/>
    </xf>
    <xf numFmtId="10" fontId="1" fillId="6" borderId="0" xfId="3" applyNumberFormat="1" applyFont="1" applyFill="1" applyAlignment="1">
      <alignment horizontal="center" vertical="center"/>
    </xf>
    <xf numFmtId="178" fontId="3" fillId="0" borderId="0" xfId="0" applyNumberFormat="1" applyFont="1">
      <alignment vertical="center"/>
    </xf>
    <xf numFmtId="10" fontId="1" fillId="6" borderId="6" xfId="3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77" fontId="2" fillId="0" borderId="9" xfId="1" applyNumberFormat="1" applyFont="1" applyBorder="1">
      <alignment vertical="center"/>
    </xf>
    <xf numFmtId="177" fontId="2" fillId="0" borderId="7" xfId="1" applyNumberFormat="1" applyFont="1" applyBorder="1">
      <alignment vertical="center"/>
    </xf>
    <xf numFmtId="177" fontId="2" fillId="0" borderId="8" xfId="1" applyNumberFormat="1" applyFont="1" applyBorder="1">
      <alignment vertical="center"/>
    </xf>
    <xf numFmtId="43" fontId="2" fillId="0" borderId="10" xfId="1" applyFont="1" applyBorder="1">
      <alignment vertical="center"/>
    </xf>
    <xf numFmtId="43" fontId="2" fillId="0" borderId="9" xfId="1" applyFont="1" applyBorder="1">
      <alignment vertical="center"/>
    </xf>
    <xf numFmtId="177" fontId="2" fillId="0" borderId="10" xfId="1" applyNumberFormat="1" applyFont="1" applyBorder="1">
      <alignment vertical="center"/>
    </xf>
    <xf numFmtId="0" fontId="1" fillId="0" borderId="0" xfId="0" applyFont="1" applyBorder="1">
      <alignment vertical="center"/>
    </xf>
    <xf numFmtId="180" fontId="1" fillId="0" borderId="0" xfId="0" applyNumberFormat="1" applyFont="1">
      <alignment vertical="center"/>
    </xf>
    <xf numFmtId="0" fontId="2" fillId="3" borderId="11" xfId="0" applyFont="1" applyFill="1" applyBorder="1">
      <alignment vertical="center"/>
    </xf>
    <xf numFmtId="177" fontId="2" fillId="3" borderId="11" xfId="1" applyNumberFormat="1" applyFont="1" applyFill="1" applyBorder="1">
      <alignment vertical="center"/>
    </xf>
    <xf numFmtId="10" fontId="2" fillId="3" borderId="11" xfId="3" applyNumberFormat="1" applyFont="1" applyFill="1" applyBorder="1">
      <alignment vertical="center"/>
    </xf>
    <xf numFmtId="177" fontId="2" fillId="0" borderId="11" xfId="1" applyNumberFormat="1" applyFont="1" applyFill="1" applyBorder="1">
      <alignment vertical="center"/>
    </xf>
    <xf numFmtId="10" fontId="2" fillId="0" borderId="11" xfId="3" applyNumberFormat="1" applyFont="1" applyBorder="1">
      <alignment vertical="center"/>
    </xf>
    <xf numFmtId="178" fontId="3" fillId="0" borderId="0" xfId="3" applyNumberFormat="1" applyFont="1" applyAlignment="1">
      <alignment horizontal="left" vertical="center"/>
    </xf>
    <xf numFmtId="57" fontId="4" fillId="0" borderId="0" xfId="0" applyNumberFormat="1" applyFont="1" applyFill="1" applyAlignment="1">
      <alignment horizontal="center" vertical="center"/>
    </xf>
    <xf numFmtId="9" fontId="3" fillId="0" borderId="0" xfId="3" applyFont="1">
      <alignment vertical="center"/>
    </xf>
    <xf numFmtId="0" fontId="3" fillId="0" borderId="0" xfId="0" applyFont="1" applyAlignment="1">
      <alignment horizontal="right" vertical="center"/>
    </xf>
    <xf numFmtId="9" fontId="1" fillId="0" borderId="0" xfId="3" applyFont="1">
      <alignment vertical="center"/>
    </xf>
    <xf numFmtId="0" fontId="1" fillId="0" borderId="0" xfId="0" applyFont="1" applyAlignment="1">
      <alignment horizontal="right" vertical="center"/>
    </xf>
    <xf numFmtId="177" fontId="3" fillId="0" borderId="0" xfId="3" applyNumberFormat="1" applyFont="1">
      <alignment vertical="center"/>
    </xf>
    <xf numFmtId="176" fontId="1" fillId="0" borderId="0" xfId="0" applyNumberFormat="1" applyFont="1" applyAlignment="1">
      <alignment horizontal="left" vertical="center"/>
    </xf>
    <xf numFmtId="177" fontId="1" fillId="0" borderId="0" xfId="0" applyNumberFormat="1" applyFont="1">
      <alignment vertical="center"/>
    </xf>
    <xf numFmtId="0" fontId="1" fillId="7" borderId="0" xfId="0" applyFont="1" applyFill="1">
      <alignment vertical="center"/>
    </xf>
    <xf numFmtId="178" fontId="3" fillId="7" borderId="0" xfId="3" applyNumberFormat="1" applyFont="1" applyFill="1">
      <alignment vertical="center"/>
    </xf>
    <xf numFmtId="176" fontId="1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Border="1">
      <alignment vertical="center"/>
    </xf>
    <xf numFmtId="43" fontId="1" fillId="0" borderId="0" xfId="1" applyFont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176" fontId="6" fillId="0" borderId="0" xfId="0" applyNumberFormat="1" applyFont="1">
      <alignment vertical="center"/>
    </xf>
    <xf numFmtId="176" fontId="6" fillId="0" borderId="0" xfId="3" applyNumberFormat="1" applyFont="1" applyAlignment="1">
      <alignment horizontal="right" vertical="center"/>
    </xf>
    <xf numFmtId="0" fontId="6" fillId="0" borderId="0" xfId="0" applyFont="1">
      <alignment vertical="center"/>
    </xf>
    <xf numFmtId="176" fontId="1" fillId="0" borderId="0" xfId="3" applyNumberFormat="1" applyFont="1" applyAlignment="1">
      <alignment horizontal="right" vertical="center"/>
    </xf>
    <xf numFmtId="177" fontId="6" fillId="0" borderId="0" xfId="1" applyNumberFormat="1" applyFont="1">
      <alignment vertical="center"/>
    </xf>
    <xf numFmtId="0" fontId="2" fillId="0" borderId="0" xfId="0" applyFont="1" applyFill="1" applyBorder="1" applyAlignment="1">
      <alignment horizontal="right" vertical="center"/>
    </xf>
    <xf numFmtId="176" fontId="5" fillId="0" borderId="0" xfId="1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>
      <alignment vertical="center"/>
    </xf>
    <xf numFmtId="4" fontId="1" fillId="0" borderId="0" xfId="0" applyNumberFormat="1" applyFont="1">
      <alignment vertical="center"/>
    </xf>
    <xf numFmtId="0" fontId="2" fillId="0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8" fillId="0" borderId="0" xfId="52" applyFont="1" applyFill="1" applyAlignment="1">
      <alignment vertical="center"/>
    </xf>
    <xf numFmtId="0" fontId="9" fillId="0" borderId="0" xfId="0" applyFont="1" applyFill="1" applyAlignment="1">
      <alignment vertical="center"/>
    </xf>
    <xf numFmtId="4" fontId="10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 applyProtection="1">
      <alignment vertical="center"/>
    </xf>
    <xf numFmtId="176" fontId="9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vertical="center"/>
    </xf>
    <xf numFmtId="176" fontId="10" fillId="0" borderId="0" xfId="0" applyNumberFormat="1" applyFont="1" applyFill="1" applyAlignment="1">
      <alignment vertical="center"/>
    </xf>
    <xf numFmtId="0" fontId="11" fillId="0" borderId="6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176" fontId="12" fillId="0" borderId="0" xfId="0" applyNumberFormat="1" applyFont="1" applyFill="1" applyAlignment="1" applyProtection="1">
      <alignment horizontal="center" vertical="center"/>
    </xf>
    <xf numFmtId="0" fontId="13" fillId="0" borderId="0" xfId="52" applyFont="1" applyFill="1" applyAlignment="1" applyProtection="1">
      <alignment horizontal="left" vertical="center"/>
    </xf>
    <xf numFmtId="176" fontId="8" fillId="0" borderId="0" xfId="52" applyNumberFormat="1" applyFont="1" applyFill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57" fontId="16" fillId="0" borderId="11" xfId="1" applyNumberFormat="1" applyFont="1" applyFill="1" applyBorder="1" applyAlignment="1">
      <alignment horizontal="center" vertical="center" wrapText="1"/>
    </xf>
    <xf numFmtId="176" fontId="9" fillId="0" borderId="0" xfId="0" applyNumberFormat="1" applyFont="1" applyFill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vertical="center"/>
    </xf>
    <xf numFmtId="176" fontId="18" fillId="0" borderId="11" xfId="52" applyNumberFormat="1" applyFont="1" applyFill="1" applyBorder="1">
      <alignment vertical="center"/>
    </xf>
    <xf numFmtId="176" fontId="4" fillId="0" borderId="0" xfId="0" applyNumberFormat="1" applyFont="1" applyFill="1" applyAlignment="1">
      <alignment vertical="center"/>
    </xf>
    <xf numFmtId="176" fontId="18" fillId="8" borderId="11" xfId="52" applyNumberFormat="1" applyFont="1" applyFill="1" applyBorder="1">
      <alignment vertical="center"/>
    </xf>
    <xf numFmtId="3" fontId="19" fillId="0" borderId="0" xfId="0" applyNumberFormat="1" applyFont="1" applyFill="1" applyAlignment="1">
      <alignment vertical="center"/>
    </xf>
    <xf numFmtId="0" fontId="17" fillId="0" borderId="11" xfId="0" applyFont="1" applyFill="1" applyBorder="1" applyAlignment="1">
      <alignment vertical="center"/>
    </xf>
    <xf numFmtId="176" fontId="8" fillId="0" borderId="11" xfId="52" applyNumberFormat="1" applyFont="1" applyFill="1" applyBorder="1">
      <alignment vertical="center"/>
    </xf>
    <xf numFmtId="4" fontId="18" fillId="0" borderId="11" xfId="52" applyNumberFormat="1" applyFont="1" applyFill="1" applyBorder="1">
      <alignment vertical="center"/>
    </xf>
    <xf numFmtId="43" fontId="9" fillId="0" borderId="0" xfId="0" applyNumberFormat="1" applyFont="1" applyFill="1" applyAlignment="1">
      <alignment vertical="center"/>
    </xf>
    <xf numFmtId="178" fontId="9" fillId="0" borderId="0" xfId="0" applyNumberFormat="1" applyFont="1" applyFill="1" applyAlignment="1">
      <alignment vertical="center"/>
    </xf>
    <xf numFmtId="0" fontId="17" fillId="9" borderId="11" xfId="0" applyFont="1" applyFill="1" applyBorder="1" applyAlignment="1">
      <alignment horizontal="center" vertical="center"/>
    </xf>
    <xf numFmtId="0" fontId="17" fillId="9" borderId="11" xfId="0" applyFont="1" applyFill="1" applyBorder="1" applyAlignment="1">
      <alignment vertical="center"/>
    </xf>
    <xf numFmtId="176" fontId="8" fillId="9" borderId="11" xfId="52" applyNumberFormat="1" applyFont="1" applyFill="1" applyBorder="1">
      <alignment vertical="center"/>
    </xf>
    <xf numFmtId="176" fontId="18" fillId="9" borderId="11" xfId="52" applyNumberFormat="1" applyFont="1" applyFill="1" applyBorder="1">
      <alignment vertical="center"/>
    </xf>
    <xf numFmtId="0" fontId="20" fillId="0" borderId="0" xfId="52" applyFont="1" applyFill="1">
      <alignment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vertical="center"/>
    </xf>
    <xf numFmtId="176" fontId="8" fillId="3" borderId="11" xfId="52" applyNumberFormat="1" applyFont="1" applyFill="1" applyBorder="1">
      <alignment vertical="center"/>
    </xf>
    <xf numFmtId="176" fontId="18" fillId="3" borderId="11" xfId="52" applyNumberFormat="1" applyFont="1" applyFill="1" applyBorder="1">
      <alignment vertical="center"/>
    </xf>
    <xf numFmtId="4" fontId="9" fillId="0" borderId="0" xfId="0" applyNumberFormat="1" applyFont="1" applyFill="1" applyAlignment="1" applyProtection="1">
      <alignment vertical="center"/>
    </xf>
    <xf numFmtId="4" fontId="9" fillId="0" borderId="0" xfId="0" applyNumberFormat="1" applyFont="1" applyFill="1" applyAlignment="1">
      <alignment vertical="center"/>
    </xf>
    <xf numFmtId="4" fontId="9" fillId="5" borderId="0" xfId="0" applyNumberFormat="1" applyFont="1" applyFill="1" applyAlignment="1">
      <alignment horizontal="right" vertical="center"/>
    </xf>
    <xf numFmtId="176" fontId="9" fillId="5" borderId="0" xfId="0" applyNumberFormat="1" applyFont="1" applyFill="1" applyAlignment="1">
      <alignment vertical="center"/>
    </xf>
    <xf numFmtId="4" fontId="9" fillId="5" borderId="0" xfId="0" applyNumberFormat="1" applyFont="1" applyFill="1" applyAlignment="1">
      <alignment vertical="center"/>
    </xf>
    <xf numFmtId="0" fontId="21" fillId="10" borderId="0" xfId="0" applyFont="1" applyFill="1" applyBorder="1" applyAlignment="1">
      <alignment horizontal="right" vertical="center"/>
    </xf>
    <xf numFmtId="176" fontId="9" fillId="10" borderId="0" xfId="0" applyNumberFormat="1" applyFont="1" applyFill="1" applyAlignment="1">
      <alignment vertical="center"/>
    </xf>
    <xf numFmtId="4" fontId="9" fillId="10" borderId="0" xfId="0" applyNumberFormat="1" applyFont="1" applyFill="1" applyAlignment="1">
      <alignment vertical="center"/>
    </xf>
    <xf numFmtId="0" fontId="21" fillId="6" borderId="0" xfId="0" applyFont="1" applyFill="1" applyBorder="1" applyAlignment="1">
      <alignment horizontal="right" vertical="center"/>
    </xf>
    <xf numFmtId="176" fontId="9" fillId="6" borderId="0" xfId="0" applyNumberFormat="1" applyFont="1" applyFill="1" applyAlignment="1">
      <alignment vertical="center"/>
    </xf>
    <xf numFmtId="4" fontId="9" fillId="6" borderId="0" xfId="0" applyNumberFormat="1" applyFont="1" applyFill="1" applyAlignment="1">
      <alignment vertical="center"/>
    </xf>
    <xf numFmtId="0" fontId="21" fillId="11" borderId="0" xfId="0" applyFont="1" applyFill="1" applyBorder="1" applyAlignment="1">
      <alignment horizontal="right" vertical="center"/>
    </xf>
    <xf numFmtId="176" fontId="9" fillId="11" borderId="0" xfId="0" applyNumberFormat="1" applyFont="1" applyFill="1" applyAlignment="1">
      <alignment vertical="center"/>
    </xf>
    <xf numFmtId="4" fontId="9" fillId="11" borderId="0" xfId="0" applyNumberFormat="1" applyFont="1" applyFill="1" applyAlignment="1">
      <alignment vertical="center"/>
    </xf>
    <xf numFmtId="0" fontId="22" fillId="12" borderId="0" xfId="0" applyFont="1" applyFill="1" applyBorder="1" applyAlignment="1">
      <alignment horizontal="right" vertical="center"/>
    </xf>
    <xf numFmtId="176" fontId="9" fillId="12" borderId="0" xfId="0" applyNumberFormat="1" applyFont="1" applyFill="1" applyAlignment="1">
      <alignment vertical="center"/>
    </xf>
    <xf numFmtId="4" fontId="9" fillId="12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right" vertical="center"/>
    </xf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>
      <alignment horizontal="right" vertical="center"/>
    </xf>
    <xf numFmtId="176" fontId="1" fillId="0" borderId="0" xfId="1" applyNumberFormat="1" applyFont="1" applyFill="1" applyBorder="1" applyAlignment="1">
      <alignment vertical="center"/>
    </xf>
    <xf numFmtId="176" fontId="22" fillId="0" borderId="0" xfId="1" applyNumberFormat="1" applyFont="1" applyFill="1" applyBorder="1" applyAlignment="1">
      <alignment vertical="center"/>
    </xf>
    <xf numFmtId="176" fontId="5" fillId="0" borderId="0" xfId="0" applyNumberFormat="1" applyFont="1" applyFill="1" applyAlignment="1">
      <alignment vertical="center"/>
    </xf>
    <xf numFmtId="176" fontId="15" fillId="0" borderId="11" xfId="0" applyNumberFormat="1" applyFont="1" applyFill="1" applyBorder="1" applyAlignment="1" quotePrefix="1">
      <alignment horizontal="center" vertical="center"/>
    </xf>
    <xf numFmtId="57" fontId="16" fillId="0" borderId="11" xfId="1" applyNumberFormat="1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9" xfId="49"/>
    <cellStyle name="常规 6" xfId="50"/>
    <cellStyle name="常规 10" xfId="51"/>
    <cellStyle name="常规 2" xfId="52"/>
    <cellStyle name="常规 3" xfId="53"/>
    <cellStyle name="千位分隔 3" xfId="54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'成本费用分布（EAS）'!$DC$12</c:f>
              <c:strCache>
                <c:ptCount val="1"/>
                <c:pt idx="0">
                  <c:v>佣金费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'成本费用分布（EAS）'!$DB$14:$DB$16</c:f>
              <c:numCache>
                <c:formatCode>yyyy"年"m"月"</c:formatCode>
                <c:ptCount val="3"/>
                <c:pt idx="0" c:formatCode="yyyy&quot;年&quot;m&quot;月&quot;">
                  <c:v>45992</c:v>
                </c:pt>
                <c:pt idx="1" c:formatCode="yyyy&quot;年&quot;m&quot;月&quot;">
                  <c:v>45627</c:v>
                </c:pt>
                <c:pt idx="2" c:formatCode="yyyy&quot;年&quot;m&quot;月&quot;">
                  <c:v>45261</c:v>
                </c:pt>
              </c:numCache>
            </c:numRef>
          </c:cat>
          <c:val>
            <c:numRef>
              <c:f>'成本费用分布（EAS）'!$DC$14:$DC$16</c:f>
              <c:numCache>
                <c:formatCode>_ * #,##0_ ;_ * \-#,##0_ ;_ * "-"??_ ;_ @_ </c:formatCode>
                <c:ptCount val="3"/>
                <c:pt idx="0">
                  <c:v>2045.348388</c:v>
                </c:pt>
                <c:pt idx="1">
                  <c:v>2086.796424</c:v>
                </c:pt>
                <c:pt idx="2">
                  <c:v>4252.921512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72314422"/>
        <c:axId val="845832691"/>
      </c:barChart>
      <c:dateAx>
        <c:axId val="7231442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832691"/>
        <c:crosses val="autoZero"/>
        <c:auto val="1"/>
        <c:lblOffset val="100"/>
        <c:baseTimeUnit val="years"/>
      </c:dateAx>
      <c:valAx>
        <c:axId val="845832691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144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a777ab-fb69-42f4-b1c0-f6f7f560b9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'成本费用分布（EAS）'!$DC$20</c:f>
              <c:strCache>
                <c:ptCount val="1"/>
                <c:pt idx="0">
                  <c:v>推广费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'成本费用分布（EAS）'!$DB$21:$DB$23</c:f>
              <c:numCache>
                <c:formatCode>yyyy"年"m"月"</c:formatCode>
                <c:ptCount val="3"/>
                <c:pt idx="0" c:formatCode="yyyy&quot;年&quot;m&quot;月&quot;">
                  <c:v>45992</c:v>
                </c:pt>
                <c:pt idx="1" c:formatCode="yyyy&quot;年&quot;m&quot;月&quot;">
                  <c:v>45627</c:v>
                </c:pt>
                <c:pt idx="2" c:formatCode="yyyy&quot;年&quot;m&quot;月&quot;">
                  <c:v>45261</c:v>
                </c:pt>
              </c:numCache>
            </c:numRef>
          </c:cat>
          <c:val>
            <c:numRef>
              <c:f>'成本费用分布（EAS）'!$DC$21:$DC$23</c:f>
              <c:numCache>
                <c:formatCode>_ * #,##0_ ;_ * \-#,##0_ ;_ * "-"??_ ;_ @_ </c:formatCode>
                <c:ptCount val="3"/>
                <c:pt idx="0">
                  <c:v>1323.744515</c:v>
                </c:pt>
                <c:pt idx="1">
                  <c:v>2099.515276</c:v>
                </c:pt>
                <c:pt idx="2">
                  <c:v>5825.181653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72314422"/>
        <c:axId val="845832691"/>
      </c:barChart>
      <c:dateAx>
        <c:axId val="7231442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832691"/>
        <c:crosses val="autoZero"/>
        <c:auto val="1"/>
        <c:lblOffset val="100"/>
        <c:baseTimeUnit val="years"/>
      </c:dateAx>
      <c:valAx>
        <c:axId val="845832691"/>
        <c:scaling>
          <c:orientation val="minMax"/>
        </c:scaling>
        <c:delete val="1"/>
        <c:axPos val="b"/>
        <c:numFmt formatCode="_ * #,##0_ ;_ * \-#,##0_ ;_ * &quot;-&quot;??_ ;_ 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144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16b86f-7a02-47a9-8479-798821a716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'成本费用分布（EAS）'!$DC$35</c:f>
              <c:strCache>
                <c:ptCount val="1"/>
                <c:pt idx="0">
                  <c:v>佣金率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'成本费用分布（EAS）'!$DB$36:$DB$38</c:f>
              <c:numCache>
                <c:formatCode>yyyy"年"m"月"</c:formatCode>
                <c:ptCount val="3"/>
                <c:pt idx="0" c:formatCode="yyyy&quot;年&quot;m&quot;月&quot;">
                  <c:v>45992</c:v>
                </c:pt>
                <c:pt idx="1" c:formatCode="yyyy&quot;年&quot;m&quot;月&quot;">
                  <c:v>45627</c:v>
                </c:pt>
                <c:pt idx="2" c:formatCode="yyyy&quot;年&quot;m&quot;月&quot;">
                  <c:v>45261</c:v>
                </c:pt>
              </c:numCache>
            </c:numRef>
          </c:cat>
          <c:val>
            <c:numRef>
              <c:f>'成本费用分布（EAS）'!$DC$36:$DC$38</c:f>
              <c:numCache>
                <c:formatCode>0.00%</c:formatCode>
                <c:ptCount val="3"/>
                <c:pt idx="0">
                  <c:v>0.0179186312866252</c:v>
                </c:pt>
                <c:pt idx="1">
                  <c:v>0.00995588897889711</c:v>
                </c:pt>
                <c:pt idx="2">
                  <c:v>0.00937806135659941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72314422"/>
        <c:axId val="845832691"/>
      </c:barChart>
      <c:dateAx>
        <c:axId val="7231442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832691"/>
        <c:crosses val="autoZero"/>
        <c:auto val="1"/>
        <c:lblOffset val="100"/>
        <c:baseTimeUnit val="years"/>
      </c:dateAx>
      <c:valAx>
        <c:axId val="845832691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144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22d5ec3-6475-46cf-9c74-948ff2d246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'成本费用分布（EAS）'!$DC$42</c:f>
              <c:strCache>
                <c:ptCount val="1"/>
                <c:pt idx="0">
                  <c:v>推广费用率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'成本费用分布（EAS）'!$DB$43:$DB$45</c:f>
              <c:numCache>
                <c:formatCode>yyyy"年"m"月"</c:formatCode>
                <c:ptCount val="3"/>
                <c:pt idx="0" c:formatCode="yyyy&quot;年&quot;m&quot;月&quot;">
                  <c:v>45992</c:v>
                </c:pt>
                <c:pt idx="1" c:formatCode="yyyy&quot;年&quot;m&quot;月&quot;">
                  <c:v>45627</c:v>
                </c:pt>
                <c:pt idx="2" c:formatCode="yyyy&quot;年&quot;m&quot;月&quot;">
                  <c:v>45261</c:v>
                </c:pt>
              </c:numCache>
            </c:numRef>
          </c:cat>
          <c:val>
            <c:numRef>
              <c:f>'成本费用分布（EAS）'!$DC$43:$DC$45</c:f>
              <c:numCache>
                <c:formatCode>0.00%</c:formatCode>
                <c:ptCount val="3"/>
                <c:pt idx="0">
                  <c:v>0.0109404666988174</c:v>
                </c:pt>
                <c:pt idx="1">
                  <c:v>0.00944959367986298</c:v>
                </c:pt>
                <c:pt idx="2">
                  <c:v>0.0121179542822173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72314422"/>
        <c:axId val="845832691"/>
      </c:barChart>
      <c:dateAx>
        <c:axId val="7231442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832691"/>
        <c:crosses val="autoZero"/>
        <c:auto val="1"/>
        <c:lblOffset val="100"/>
        <c:baseTimeUnit val="years"/>
      </c:dateAx>
      <c:valAx>
        <c:axId val="845832691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3144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b98fbd0-87e0-49c2-bfad-8bc90146b0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108</xdr:col>
      <xdr:colOff>114300</xdr:colOff>
      <xdr:row>9</xdr:row>
      <xdr:rowOff>53340</xdr:rowOff>
    </xdr:from>
    <xdr:to>
      <xdr:col>113</xdr:col>
      <xdr:colOff>571500</xdr:colOff>
      <xdr:row>19</xdr:row>
      <xdr:rowOff>5080</xdr:rowOff>
    </xdr:to>
    <xdr:graphicFrame>
      <xdr:nvGraphicFramePr>
        <xdr:cNvPr id="2" name="图表 1"/>
        <xdr:cNvGraphicFramePr/>
      </xdr:nvGraphicFramePr>
      <xdr:xfrm>
        <a:off x="14595475" y="1805940"/>
        <a:ext cx="4371975" cy="1602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108</xdr:col>
      <xdr:colOff>114300</xdr:colOff>
      <xdr:row>21</xdr:row>
      <xdr:rowOff>95250</xdr:rowOff>
    </xdr:from>
    <xdr:to>
      <xdr:col>113</xdr:col>
      <xdr:colOff>599440</xdr:colOff>
      <xdr:row>31</xdr:row>
      <xdr:rowOff>59055</xdr:rowOff>
    </xdr:to>
    <xdr:graphicFrame>
      <xdr:nvGraphicFramePr>
        <xdr:cNvPr id="3" name="图表 2"/>
        <xdr:cNvGraphicFramePr/>
      </xdr:nvGraphicFramePr>
      <xdr:xfrm>
        <a:off x="14595475" y="3867150"/>
        <a:ext cx="4399915" cy="148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108</xdr:col>
      <xdr:colOff>104775</xdr:colOff>
      <xdr:row>32</xdr:row>
      <xdr:rowOff>104775</xdr:rowOff>
    </xdr:from>
    <xdr:to>
      <xdr:col>113</xdr:col>
      <xdr:colOff>589915</xdr:colOff>
      <xdr:row>42</xdr:row>
      <xdr:rowOff>68580</xdr:rowOff>
    </xdr:to>
    <xdr:graphicFrame>
      <xdr:nvGraphicFramePr>
        <xdr:cNvPr id="5" name="图表 4"/>
        <xdr:cNvGraphicFramePr/>
      </xdr:nvGraphicFramePr>
      <xdr:xfrm>
        <a:off x="14585950" y="5553075"/>
        <a:ext cx="4399915" cy="148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108</xdr:col>
      <xdr:colOff>152400</xdr:colOff>
      <xdr:row>43</xdr:row>
      <xdr:rowOff>28575</xdr:rowOff>
    </xdr:from>
    <xdr:to>
      <xdr:col>113</xdr:col>
      <xdr:colOff>637540</xdr:colOff>
      <xdr:row>51</xdr:row>
      <xdr:rowOff>144780</xdr:rowOff>
    </xdr:to>
    <xdr:graphicFrame>
      <xdr:nvGraphicFramePr>
        <xdr:cNvPr id="6" name="图表 5"/>
        <xdr:cNvGraphicFramePr/>
      </xdr:nvGraphicFramePr>
      <xdr:xfrm>
        <a:off x="14633575" y="7153275"/>
        <a:ext cx="4399915" cy="1335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jj526\AppData\Roaming\kingsoft\office6\backup\&#21512;&#24182;&#36807;&#31243;&#24213;&#31295;&#65288;&#27169;&#29256;&#20998;&#20139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tencent%20files\2421946355\filerecv\&#22825;&#35782;&#20844;&#21496;&#27719;&#24635;&#21450;&#25253;&#34920;-2017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2018&#24180;&#23613;&#35843;&#36164;&#26009;\&#28145;&#21019;&#25237;&#36164;&#26009;\&#20844;&#21496;&#21333;&#20307;&#25253;&#34920;(1)\&#20844;&#21496;&#21333;&#20307;&#25253;&#34920;\&#25910;&#20837;&#25104;&#26412;-&#32435;&#368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111&#36130;&#21153;&#25253;&#21578;\2&#12289;EAS&#21512;&#24182;&#25253;&#34920;202111\2111&#25910;&#20837;&#25104;&#26412;&#36153;&#29992;&#26126;&#32454;&#21450;&#30740;&#21457;&#36153;&#65288;&#32929;&#19996;+EAS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112&#36130;&#21153;&#25253;&#21578;\2&#12289;EAS&#21512;&#24182;&#25253;&#34920;202112\2112&#25910;&#20837;&#25104;&#26412;&#36153;&#29992;&#26126;&#32454;&#21450;&#30740;&#21457;&#36153;&#65288;&#32929;&#19996;+EAS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201&#36130;&#21153;&#25253;&#21578;\2&#12289;EAS&#21512;&#24182;&#25253;&#34920;202201\2201&#25910;&#20837;&#25104;&#26412;&#36153;&#29992;&#26126;&#32454;&#21450;&#30740;&#21457;&#36153;&#65288;&#32929;&#19996;+EAS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jj\AppData\Roaming\kingsoft\office6\backup\1-1&#12289;&#36130;&#21153;&#20998;&#26512;&#25968;&#25454;-&#38144;&#21806;&#30408;&#21033;&#20998;&#26512;22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206&#36130;&#21153;&#25253;&#21578;\2&#12289;EAS&#21512;&#24182;&#25253;&#34920;202206\2206&#25910;&#20837;&#25104;&#26412;&#36153;&#29992;&#26126;&#32454;&#21450;&#30740;&#21457;&#36153;&#65288;&#32929;&#19996;+EAS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02207&#36130;&#21153;&#25253;&#21578;\2&#12289;EAS&#21512;&#24182;&#25253;&#34920;202207\2207&#25910;&#20837;&#25104;&#26412;&#36153;&#29992;&#26126;&#32454;&#21450;&#30740;&#21457;&#36153;&#65288;&#32929;&#19996;+EAS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&#38598;&#22242;&#20844;&#21496;&#36130;&#21153;&#25253;&#21578;\2212&#25910;&#20837;&#25104;&#26412;&#36153;&#29992;&#26126;&#32454;&#21450;&#30740;&#21457;&#36153;&#65288;&#32929;&#19996;+EAS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119;&#31108;&#38598;&#22242;&#36130;&#21153;&#20998;&#26512;&#25253;&#21578;\2023&#24180;&#24230;\202310&#36130;&#21153;&#25253;&#21578;\2&#12289;EAS&#21512;&#24182;&#25253;&#34920;202310\2023&#24180;&#20998;&#26376;&#21033;&#28070;&#34920;&#65288;EAS-&#31119;&#31108;&#25511;&#32929;&#65289;-20231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119;&#31108;&#38598;&#22242;&#36130;&#21153;&#20998;&#26512;&#25253;&#21578;\2024&#24180;&#24230;&#36130;&#21153;&#25253;&#21578;\2404&#25910;&#20837;&#25104;&#26412;&#36153;&#29992;&#26126;&#32454;&#21450;&#30740;&#21457;&#36153;&#65288;&#31119;&#31108;&#25511;&#32929;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503&#25910;&#20837;&#25104;&#26412;&#36153;&#29992;&#26126;&#32454;&#21450;&#30740;&#21457;&#36153;&#65288;&#31119;&#31108;&#25511;&#32929;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&#25439;&#30410;-2025&#24180;10&#26399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25439;&#30410;-2025&#24180;11&#26399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M&#31119;&#31108;&#38598;&#22242;&#36130;&#21153;&#20998;&#26512;&#25253;&#21578;\2025&#24180;&#24230;&#36130;&#21153;&#25253;&#21578;\202512&#36130;&#21153;&#25253;&#21578;\2&#12289;EAS&#21512;&#24182;&#25253;&#34920;2512&#26376;&#65288;&#25913;&#65289;\2025&#24180;&#20998;&#26376;&#21033;&#28070;&#34920;&#65288;EAS-&#31119;&#31108;&#25511;&#32929;&#65289;-2025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目录"/>
      <sheetName val="参数表"/>
      <sheetName val="未审资产负债表 "/>
      <sheetName val="未审利润表 "/>
      <sheetName val="资产负债表汇总（合并报表格式）"/>
      <sheetName val="资产负债表汇总（个别报表格式）"/>
      <sheetName val="利润表汇总（合并报表格式）"/>
      <sheetName val="利润表汇总（个别报表格式）"/>
      <sheetName val="未分配利润汇总"/>
      <sheetName val="投资抵销分录原始数据"/>
      <sheetName val="本年抵消分录汇总"/>
      <sheetName val="上年抵消分录汇总"/>
      <sheetName val="合并、母公司资产负债表"/>
      <sheetName val="合并资产负债表 "/>
      <sheetName val="合并、母公司利润表"/>
      <sheetName val="合并利润表 "/>
      <sheetName val="合并、母公司现金流量表 "/>
      <sheetName val="合并现金流量表"/>
      <sheetName val="合并所有者权益变动表 (分年打印)"/>
      <sheetName val="合并所有者权益变动表"/>
      <sheetName val="资产负债表合并底稿"/>
      <sheetName val="期初资产负债表试算平衡表"/>
      <sheetName val="本年利润表合并底稿"/>
      <sheetName val="期初利润表试算平衡"/>
      <sheetName val="合并现金流量表合并底稿"/>
      <sheetName val="现金流量表（个别报表）"/>
      <sheetName val="未分配利润合并底稿"/>
      <sheetName val="Sheet2"/>
      <sheetName val="资产负债表-2017"/>
      <sheetName val="5月分录"/>
      <sheetName val="会计分录序时簿-201801"/>
      <sheetName val="会计分录序时簿"/>
      <sheetName val="土建表三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建行5505"/>
      <sheetName val="招行0203"/>
      <sheetName val="2015（账单分类）"/>
      <sheetName val="201601-201609（账单分类）"/>
      <sheetName val="5月分录"/>
      <sheetName val="6月分录"/>
      <sheetName val="7月分录"/>
      <sheetName val="8月分录"/>
      <sheetName val="9月分录"/>
      <sheetName val="10月分录"/>
      <sheetName val="11月分录"/>
      <sheetName val="科目余额表-2017"/>
      <sheetName val="科目余额表（最末级）"/>
      <sheetName val="资产负债表-2017"/>
      <sheetName val="利润表-2017"/>
      <sheetName val="税金"/>
      <sheetName val="房租租赁&amp;物业费"/>
      <sheetName val="进项发票认证-210709"/>
      <sheetName val="房租"/>
      <sheetName val="电信发票"/>
      <sheetName val="Sheet1"/>
      <sheetName val="明细分类账"/>
      <sheetName val="表三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核算项目明细账"/>
      <sheetName val="明细分类账"/>
      <sheetName val="会计科目"/>
      <sheetName val="凭证录入"/>
      <sheetName val="11-1"/>
      <sheetName val="资产负债表-201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111成本费用（EAS）"/>
      <sheetName val="2110成本费用（EAS）"/>
      <sheetName val="2109成本费用（EAS）"/>
      <sheetName val="2108成本费用（EAS）"/>
      <sheetName val="2108成本费用（投资公司）"/>
      <sheetName val="2107成本费用（EAS）"/>
      <sheetName val="2107成本费用（股东）"/>
      <sheetName val="2106成本费用（EAS） "/>
      <sheetName val="2106成本费用（股东）"/>
      <sheetName val="2105成本费用（EAS）"/>
      <sheetName val="2105成本费用（股东）"/>
      <sheetName val="2104成本费用（EAS）"/>
      <sheetName val="2104成本费用（股东）"/>
      <sheetName val="2103成本费用（EAS）"/>
      <sheetName val="2103成本费用（股东）"/>
      <sheetName val="2102成本费用（EAS）"/>
      <sheetName val="2102成本费用（股东）"/>
      <sheetName val="2101成本费用（EAS）"/>
      <sheetName val="2101成本费用（股东）"/>
      <sheetName val="汇兑损益21年"/>
    </sheetNames>
    <sheetDataSet>
      <sheetData sheetId="0">
        <row r="7">
          <cell r="AC7">
            <v>380790.25</v>
          </cell>
        </row>
        <row r="9">
          <cell r="AC9">
            <v>2813742.45</v>
          </cell>
        </row>
        <row r="10">
          <cell r="AC10">
            <v>63941725.89</v>
          </cell>
        </row>
        <row r="11">
          <cell r="AC11">
            <v>75146885.49</v>
          </cell>
        </row>
        <row r="13">
          <cell r="AC13">
            <v>44441.5</v>
          </cell>
        </row>
        <row r="15">
          <cell r="AC15">
            <v>897733.18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112成本费用（EAS）"/>
      <sheetName val="2111成本费用（EAS）"/>
      <sheetName val="2110成本费用（EAS）"/>
      <sheetName val="2109成本费用（EAS）"/>
      <sheetName val="2108成本费用（EAS）"/>
      <sheetName val="2108成本费用（投资公司）"/>
      <sheetName val="2107成本费用（EAS）"/>
      <sheetName val="2107成本费用（股东）"/>
      <sheetName val="2106成本费用（EAS） "/>
      <sheetName val="2106成本费用（股东）"/>
      <sheetName val="2105成本费用（EAS）"/>
      <sheetName val="2105成本费用（股东）"/>
      <sheetName val="2104成本费用（EAS）"/>
      <sheetName val="2104成本费用（股东）"/>
      <sheetName val="2103成本费用（EAS）"/>
      <sheetName val="2103成本费用（股东）"/>
      <sheetName val="2102成本费用（EAS）"/>
      <sheetName val="2102成本费用（股东）"/>
      <sheetName val="2101成本费用（EAS）"/>
      <sheetName val="2101成本费用（股东）"/>
      <sheetName val="汇兑损益21年"/>
      <sheetName val="Sheet1"/>
    </sheetNames>
    <sheetDataSet>
      <sheetData sheetId="0">
        <row r="7">
          <cell r="AC7">
            <v>448282.350000001</v>
          </cell>
        </row>
        <row r="9">
          <cell r="AC9">
            <v>2983553.77</v>
          </cell>
        </row>
        <row r="10">
          <cell r="AC10">
            <v>69150570.52</v>
          </cell>
        </row>
        <row r="11">
          <cell r="AC11">
            <v>95935275.77</v>
          </cell>
        </row>
        <row r="13">
          <cell r="AC13">
            <v>44441.5</v>
          </cell>
        </row>
        <row r="15">
          <cell r="AC15">
            <v>897733.18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201成本费用（EAS）"/>
      <sheetName val="Sheet1"/>
    </sheetNames>
    <sheetDataSet>
      <sheetData sheetId="0" refreshError="1">
        <row r="165">
          <cell r="AC165">
            <v>20230.03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经营概况整体变化情况"/>
      <sheetName val="体内经营概况"/>
      <sheetName val="投资公司GMV"/>
      <sheetName val="GMV销售额波动分析（分月、年）"/>
      <sheetName val="GMV销售平台占比"/>
      <sheetName val="收入组成（分收入类型）"/>
      <sheetName val="分月收入成本汇总（未抵消）"/>
      <sheetName val="分商品大类毛利（抵消后） "/>
      <sheetName val="返点中间单据"/>
      <sheetName val="代运营中间单据"/>
      <sheetName val="推广拉新"/>
      <sheetName val="游戏开发"/>
      <sheetName val="核算项目明细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H8">
            <v>5418744.9</v>
          </cell>
        </row>
        <row r="9">
          <cell r="H9">
            <v>314015.1</v>
          </cell>
        </row>
        <row r="10">
          <cell r="H10">
            <v>18113103.31</v>
          </cell>
        </row>
        <row r="11">
          <cell r="H11">
            <v>43734120.13</v>
          </cell>
        </row>
        <row r="27">
          <cell r="H27">
            <v>4979412.26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5987463.78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201成本费用（EAS）"/>
      <sheetName val="2202成本费用（EAS）"/>
      <sheetName val="2203成本费用（EAS）"/>
      <sheetName val="2204成本费用（EAS）"/>
      <sheetName val="2205成本费用（EAS）"/>
      <sheetName val="2206成本费用（EAS）"/>
    </sheetNames>
    <sheetDataSet>
      <sheetData sheetId="0"/>
      <sheetData sheetId="1"/>
      <sheetData sheetId="2"/>
      <sheetData sheetId="3"/>
      <sheetData sheetId="4"/>
      <sheetData sheetId="5">
        <row r="14">
          <cell r="AD14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2201成本费用（EAS）"/>
      <sheetName val="2202成本费用（EAS）"/>
      <sheetName val="2203成本费用（EAS）"/>
      <sheetName val="2204成本费用（EAS）"/>
      <sheetName val="2205成本费用（EAS）"/>
      <sheetName val="2206成本费用（EAS）"/>
      <sheetName val="2207成本费用（EAS）"/>
    </sheetNames>
    <sheetDataSet>
      <sheetData sheetId="0"/>
      <sheetData sheetId="1"/>
      <sheetData sheetId="2"/>
      <sheetData sheetId="3"/>
      <sheetData sheetId="4"/>
      <sheetData sheetId="5">
        <row r="10">
          <cell r="AD10">
            <v>42375813.28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2201成本费用（EAS）"/>
      <sheetName val="2202成本费用（EAS）"/>
      <sheetName val="2203成本费用（EAS）"/>
      <sheetName val="2204成本费用（EAS）"/>
      <sheetName val="2205成本费用（EAS）"/>
      <sheetName val="2206成本费用（EAS）"/>
      <sheetName val="2207成本费用（EAS）"/>
      <sheetName val="2208成本费用（EAS）"/>
      <sheetName val="2209成本费用（EAS）"/>
      <sheetName val="2210成本费用（EAS）"/>
      <sheetName val="2211成本费用（EAS）"/>
      <sheetName val="2212成本费用（EAS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L7">
            <v>4000421.52</v>
          </cell>
        </row>
        <row r="8">
          <cell r="AL8">
            <v>874400.039999999</v>
          </cell>
        </row>
        <row r="9">
          <cell r="AL9">
            <v>76464809.75</v>
          </cell>
        </row>
        <row r="10">
          <cell r="AL10">
            <v>71226102.53</v>
          </cell>
        </row>
        <row r="11">
          <cell r="AL11">
            <v>28301.93</v>
          </cell>
        </row>
        <row r="12">
          <cell r="AL12">
            <v>443094.92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23年关联交易抵消明细（福禄集团）"/>
      <sheetName val="23年分月利润汇总（控股）"/>
      <sheetName val="福禄控股"/>
      <sheetName val="23年分月利润汇总 (香港)"/>
      <sheetName val="福禄（香港）"/>
      <sheetName val="23年分月利润汇总 (科技)"/>
      <sheetName val="福禄（武汉）"/>
      <sheetName val="天津如意"/>
      <sheetName val="海南福禄"/>
      <sheetName val="海南一分"/>
      <sheetName val="海南二分"/>
      <sheetName val="上海禄至"/>
      <sheetName val="23年分月利润汇总 (福禄)"/>
      <sheetName val="武汉福禄"/>
      <sheetName val="武汉一起游"/>
      <sheetName val="武汉立硕"/>
      <sheetName val="武汉天识"/>
      <sheetName val="武汉搜卡"/>
      <sheetName val="新疆福禄"/>
      <sheetName val="喀什一起玩"/>
      <sheetName val="武汉亿禄"/>
      <sheetName val="新疆葫芦娃"/>
      <sheetName val="西藏葫芦娃"/>
      <sheetName val="武汉福禄私募基金"/>
      <sheetName val="杭州分公司"/>
      <sheetName val="鄂州福禄2304月注销"/>
      <sheetName val="武汉福穗"/>
      <sheetName val="上海分公司"/>
      <sheetName val="湖北禄马"/>
      <sheetName val="福禄福擎"/>
      <sheetName val="武昌分公司"/>
      <sheetName val="福禄福佑"/>
      <sheetName val="福禄传媒"/>
      <sheetName val="杭州福之福禄"/>
      <sheetName val="周口福蕊"/>
      <sheetName val="西藏数云"/>
      <sheetName val="西藏供应链"/>
      <sheetName val="23年分月利润汇总 (西藏)"/>
      <sheetName val="湖北氪金"/>
      <sheetName val="西藏福禄"/>
      <sheetName val="武汉福禄创新"/>
      <sheetName val="福建福禄"/>
      <sheetName val="河南福禄"/>
      <sheetName val="江西福禄"/>
      <sheetName val="鄂州福源"/>
      <sheetName val="上海灵盟（2304月剔除合并范围）"/>
    </sheetNames>
    <sheetDataSet>
      <sheetData sheetId="0"/>
      <sheetData sheetId="1">
        <row r="24">
          <cell r="Q24">
            <v>89396323.8399973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401成本费用（EAS）"/>
      <sheetName val="2402成本费用（EAS）"/>
      <sheetName val="2403成本费用（EAS）"/>
      <sheetName val="2404成本费用（EAS）"/>
      <sheetName val="利息收入"/>
    </sheetNames>
    <sheetDataSet>
      <sheetData sheetId="0" refreshError="1"/>
      <sheetData sheetId="1" refreshError="1"/>
      <sheetData sheetId="2" refreshError="1"/>
      <sheetData sheetId="3" refreshError="1">
        <row r="7">
          <cell r="AU7">
            <v>2709893.21</v>
          </cell>
        </row>
        <row r="30">
          <cell r="AU30">
            <v>1119131001.97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501成本费用（EAS）"/>
      <sheetName val="2502成本费用（EAS）"/>
      <sheetName val="2503成本费用（EAS）"/>
      <sheetName val="2404成本费用（EAS）"/>
      <sheetName val="2405成本费用（EAS）"/>
      <sheetName val="2406成本费用（EAS）"/>
      <sheetName val="2407成本费用（EAS）"/>
      <sheetName val="2408成本费用（EAS）"/>
      <sheetName val="2409成本费用（EAS）"/>
      <sheetName val="2410成本费用（EAS）"/>
      <sheetName val="2411成本费用（EAS）"/>
      <sheetName val="2412成本费用（EAS）"/>
      <sheetName val="2312成本费用（EAS） (汇算清缴)"/>
      <sheetName val="损益表简表"/>
      <sheetName val="非经营性损益"/>
    </sheetNames>
    <sheetDataSet>
      <sheetData sheetId="0" refreshError="1"/>
      <sheetData sheetId="1" refreshError="1"/>
      <sheetData sheetId="2" refreshError="1">
        <row r="7">
          <cell r="BB7">
            <v>1746396.28</v>
          </cell>
        </row>
        <row r="8">
          <cell r="BB8">
            <v>0</v>
          </cell>
        </row>
        <row r="9">
          <cell r="BB9">
            <v>21108795.74</v>
          </cell>
        </row>
        <row r="10">
          <cell r="BB10">
            <v>12413079.5</v>
          </cell>
        </row>
        <row r="11">
          <cell r="BB11">
            <v>628335.04</v>
          </cell>
        </row>
        <row r="12">
          <cell r="BB12">
            <v>39049564.82</v>
          </cell>
        </row>
        <row r="14">
          <cell r="BB14">
            <v>1956049.86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损益S02"/>
      <sheetName val="损益S02（业务中心）"/>
      <sheetName val="抵消明细"/>
      <sheetName val="经营报表（审计口径）"/>
    </sheetNames>
    <sheetDataSet>
      <sheetData sheetId="0"/>
      <sheetData sheetId="1"/>
      <sheetData sheetId="2"/>
      <sheetData sheetId="3">
        <row r="49">
          <cell r="C49">
            <v>63459874.51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损益S02"/>
      <sheetName val="损益S02（业务中心）"/>
      <sheetName val="抵消明细"/>
      <sheetName val="经营报表（审计口径）"/>
    </sheetNames>
    <sheetDataSet>
      <sheetData sheetId="0"/>
      <sheetData sheetId="1"/>
      <sheetData sheetId="2"/>
      <sheetData sheetId="3">
        <row r="49">
          <cell r="C49">
            <v>66195787.65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分红款"/>
      <sheetName val="25年关联交易抵消明细（福禄集团）"/>
      <sheetName val="25年分月利润汇总（控股）"/>
      <sheetName val="福禄控股"/>
      <sheetName val="25年分月利润汇总 (香港)"/>
      <sheetName val="福禄（香港）"/>
      <sheetName val="25年分月利润汇总 (科技)"/>
      <sheetName val="福禄（武汉）"/>
      <sheetName val="天津如意"/>
      <sheetName val="海南福禄"/>
      <sheetName val="海南一分"/>
      <sheetName val="海南二分"/>
      <sheetName val="上海禄至"/>
      <sheetName val="南京宏昇"/>
      <sheetName val="25年分月利润汇总 (福禄)"/>
      <sheetName val="武汉福禄"/>
      <sheetName val="武汉一起游"/>
      <sheetName val="武汉立硕"/>
      <sheetName val="武汉天识"/>
      <sheetName val="武汉搜卡"/>
      <sheetName val="新疆福禄"/>
      <sheetName val="喀什一起玩"/>
      <sheetName val="武汉亿禄"/>
      <sheetName val="传媒一分"/>
      <sheetName val="传媒二分"/>
      <sheetName val="福禄共想"/>
      <sheetName val="江苏福之禄至"/>
      <sheetName val="福禄相随"/>
      <sheetName val="新疆葫芦娃"/>
      <sheetName val="武汉福悦"/>
      <sheetName val="沭阳数宇=灌南福禄"/>
      <sheetName val="新沂福之禄至"/>
      <sheetName val="福之禄至上海分公司"/>
      <sheetName val="西藏葫芦娃"/>
      <sheetName val="武汉福禄私募基金"/>
      <sheetName val="杭州分公司"/>
      <sheetName val="武汉福穗"/>
      <sheetName val="上海分公司"/>
      <sheetName val="湖北禄马"/>
      <sheetName val="福禄福擎"/>
      <sheetName val="武昌分公司"/>
      <sheetName val="新疆福佑"/>
      <sheetName val="福禄传媒"/>
      <sheetName val="杭州福之福禄"/>
      <sheetName val="周口福蕊"/>
      <sheetName val="武汉数云"/>
      <sheetName val="武汉供应链"/>
      <sheetName val="咸宁福蕊"/>
      <sheetName val="武汉福福文化"/>
      <sheetName val="武汉福韵"/>
      <sheetName val="武汉福游"/>
      <sheetName val="25年分月利润汇总 (西藏)"/>
      <sheetName val="湖北氪金"/>
      <sheetName val="西藏福禄"/>
      <sheetName val="武汉福禄创新"/>
      <sheetName val="福建福禄"/>
      <sheetName val="武汉福禄信息"/>
      <sheetName val="江西福禄"/>
      <sheetName val="鄂州福源"/>
      <sheetName val="湖北福之禄至"/>
      <sheetName val="新沂福云"/>
    </sheetNames>
    <sheetDataSet>
      <sheetData sheetId="0"/>
      <sheetData sheetId="1"/>
      <sheetData sheetId="2">
        <row r="25">
          <cell r="Q25">
            <v>57603018.9299998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N6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O15" sqref="BO15"/>
    </sheetView>
  </sheetViews>
  <sheetFormatPr defaultColWidth="9" defaultRowHeight="13.5"/>
  <cols>
    <col min="1" max="1" width="5.75" style="114" customWidth="1"/>
    <col min="2" max="2" width="31.1666666666667" style="111" customWidth="1"/>
    <col min="3" max="5" width="13.5" style="115" hidden="1" customWidth="1"/>
    <col min="6" max="9" width="14.4166666666667" style="115" hidden="1" customWidth="1"/>
    <col min="10" max="14" width="14.4166666666667" style="111" hidden="1" customWidth="1"/>
    <col min="15" max="17" width="13.5" style="116" hidden="1" customWidth="1"/>
    <col min="18" max="18" width="13.9166666666667" style="116" hidden="1" customWidth="1"/>
    <col min="19" max="26" width="14.4166666666667" style="116" hidden="1" customWidth="1"/>
    <col min="27" max="28" width="13.5" style="116" hidden="1" customWidth="1"/>
    <col min="29" max="29" width="13.9166666666667" style="116" hidden="1" customWidth="1"/>
    <col min="30" max="37" width="14.4166666666667" style="116" hidden="1" customWidth="1"/>
    <col min="38" max="38" width="14.4166666666667" style="116" customWidth="1"/>
    <col min="39" max="39" width="15.3333333333333" style="116" hidden="1" customWidth="1"/>
    <col min="40" max="41" width="13.5" style="116" hidden="1" customWidth="1"/>
    <col min="42" max="42" width="13.9166666666667" style="116" hidden="1" customWidth="1"/>
    <col min="43" max="49" width="14.4166666666667" style="116" hidden="1" customWidth="1"/>
    <col min="50" max="50" width="14.4166666666667" style="116" customWidth="1"/>
    <col min="51" max="61" width="14.4166666666667" style="116" hidden="1" customWidth="1"/>
    <col min="62" max="62" width="14.4166666666667" style="116" customWidth="1"/>
    <col min="63" max="63" width="16" style="117"/>
    <col min="64" max="64" width="17" style="117" customWidth="1"/>
    <col min="65" max="65" width="14" style="117" customWidth="1"/>
    <col min="66" max="66" width="14.75" style="116" customWidth="1"/>
    <col min="67" max="67" width="11.125" style="116" customWidth="1"/>
    <col min="68" max="69" width="11.125" style="116"/>
    <col min="70" max="16384" width="9" style="116"/>
  </cols>
  <sheetData>
    <row r="1" ht="30.95" customHeight="1" spans="1:65">
      <c r="A1" s="118" t="s">
        <v>0</v>
      </c>
      <c r="B1" s="119"/>
      <c r="C1" s="120"/>
      <c r="D1" s="120"/>
      <c r="E1" s="120"/>
      <c r="F1" s="120"/>
      <c r="G1" s="120"/>
      <c r="H1" s="120"/>
      <c r="I1" s="120"/>
      <c r="J1" s="119"/>
      <c r="K1" s="119"/>
      <c r="L1" s="119"/>
      <c r="M1" s="119"/>
      <c r="N1" s="119"/>
    </row>
    <row r="2" s="110" customFormat="1" ht="18" customHeight="1" spans="1:65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2"/>
      <c r="BL2" s="122"/>
      <c r="BM2" s="122"/>
    </row>
    <row r="3" s="111" customFormat="1" ht="26.1" customHeight="1" spans="1:65">
      <c r="A3" s="123" t="s">
        <v>2</v>
      </c>
      <c r="B3" s="123" t="s">
        <v>3</v>
      </c>
      <c r="C3" s="171" t="s">
        <v>4</v>
      </c>
      <c r="D3" s="124" t="s">
        <v>5</v>
      </c>
      <c r="E3" s="124" t="s">
        <v>6</v>
      </c>
      <c r="F3" s="124" t="s">
        <v>7</v>
      </c>
      <c r="G3" s="124" t="s">
        <v>8</v>
      </c>
      <c r="H3" s="124" t="s">
        <v>9</v>
      </c>
      <c r="I3" s="124" t="s">
        <v>10</v>
      </c>
      <c r="J3" s="125" t="s">
        <v>11</v>
      </c>
      <c r="K3" s="125" t="s">
        <v>12</v>
      </c>
      <c r="L3" s="125" t="s">
        <v>13</v>
      </c>
      <c r="M3" s="125" t="s">
        <v>14</v>
      </c>
      <c r="N3" s="125" t="s">
        <v>15</v>
      </c>
      <c r="O3" s="172" t="s">
        <v>16</v>
      </c>
      <c r="P3" s="126" t="s">
        <v>17</v>
      </c>
      <c r="Q3" s="126" t="s">
        <v>18</v>
      </c>
      <c r="R3" s="126" t="s">
        <v>19</v>
      </c>
      <c r="S3" s="126" t="s">
        <v>20</v>
      </c>
      <c r="T3" s="126" t="s">
        <v>21</v>
      </c>
      <c r="U3" s="126" t="s">
        <v>22</v>
      </c>
      <c r="V3" s="126" t="s">
        <v>23</v>
      </c>
      <c r="W3" s="126" t="s">
        <v>24</v>
      </c>
      <c r="X3" s="126" t="s">
        <v>25</v>
      </c>
      <c r="Y3" s="126" t="s">
        <v>26</v>
      </c>
      <c r="Z3" s="126" t="s">
        <v>27</v>
      </c>
      <c r="AA3" s="172" t="s">
        <v>28</v>
      </c>
      <c r="AB3" s="126" t="s">
        <v>29</v>
      </c>
      <c r="AC3" s="126" t="s">
        <v>30</v>
      </c>
      <c r="AD3" s="126" t="s">
        <v>31</v>
      </c>
      <c r="AE3" s="126" t="s">
        <v>32</v>
      </c>
      <c r="AF3" s="126" t="s">
        <v>33</v>
      </c>
      <c r="AG3" s="126" t="s">
        <v>34</v>
      </c>
      <c r="AH3" s="126" t="s">
        <v>35</v>
      </c>
      <c r="AI3" s="126" t="s">
        <v>36</v>
      </c>
      <c r="AJ3" s="126" t="s">
        <v>37</v>
      </c>
      <c r="AK3" s="126" t="s">
        <v>38</v>
      </c>
      <c r="AL3" s="126" t="s">
        <v>39</v>
      </c>
      <c r="AM3" s="126">
        <v>45292</v>
      </c>
      <c r="AN3" s="126">
        <v>45323</v>
      </c>
      <c r="AO3" s="126">
        <v>45352</v>
      </c>
      <c r="AP3" s="126">
        <v>45383</v>
      </c>
      <c r="AQ3" s="126">
        <v>45413</v>
      </c>
      <c r="AR3" s="126">
        <v>45444</v>
      </c>
      <c r="AS3" s="126">
        <v>45474</v>
      </c>
      <c r="AT3" s="126">
        <v>45505</v>
      </c>
      <c r="AU3" s="126">
        <v>45536</v>
      </c>
      <c r="AV3" s="126">
        <v>45566</v>
      </c>
      <c r="AW3" s="126">
        <v>45597</v>
      </c>
      <c r="AX3" s="126">
        <v>45627</v>
      </c>
      <c r="AY3" s="126">
        <v>45658</v>
      </c>
      <c r="AZ3" s="126">
        <v>45689</v>
      </c>
      <c r="BA3" s="126">
        <v>45717</v>
      </c>
      <c r="BB3" s="126">
        <v>45748</v>
      </c>
      <c r="BC3" s="126">
        <v>45778</v>
      </c>
      <c r="BD3" s="126">
        <v>45809</v>
      </c>
      <c r="BE3" s="126">
        <v>45839</v>
      </c>
      <c r="BF3" s="126">
        <v>45870</v>
      </c>
      <c r="BG3" s="126">
        <v>45901</v>
      </c>
      <c r="BH3" s="126">
        <v>45931</v>
      </c>
      <c r="BI3" s="126">
        <v>45962</v>
      </c>
      <c r="BJ3" s="126">
        <v>45992</v>
      </c>
      <c r="BK3" s="115"/>
      <c r="BL3" s="127" t="s">
        <v>40</v>
      </c>
      <c r="BM3" s="115"/>
    </row>
    <row r="4" s="111" customFormat="1" ht="18" customHeight="1" spans="1:65">
      <c r="A4" s="128" t="s">
        <v>41</v>
      </c>
      <c r="B4" s="129" t="s">
        <v>42</v>
      </c>
      <c r="C4" s="130" t="e">
        <f>#REF!-C7-C8-C9-C10-C11-C12-C13</f>
        <v>#REF!</v>
      </c>
      <c r="D4" s="130" t="e">
        <f>#REF!-D7-D8-D9-D10-D11-D12-D13</f>
        <v>#REF!</v>
      </c>
      <c r="E4" s="130" t="e">
        <f>#REF!-E7-E8-E9-E10-E11-E12-E13</f>
        <v>#REF!</v>
      </c>
      <c r="F4" s="130" t="e">
        <f>#REF!-F7-F8-F9-F10-F11-F12-F13</f>
        <v>#REF!</v>
      </c>
      <c r="G4" s="130" t="e">
        <f>#REF!-G7-G8-G9-G10-G11-G12-G13</f>
        <v>#REF!</v>
      </c>
      <c r="H4" s="130" t="e">
        <f>#REF!-H7-H8-H9-H10-H11-H12-H13</f>
        <v>#REF!</v>
      </c>
      <c r="I4" s="130" t="e">
        <f>#REF!-I7-I8-I9-I10-I11-I12-I13</f>
        <v>#REF!</v>
      </c>
      <c r="J4" s="130" t="e">
        <f>#REF!-J7-J8-J9-J10-J11-J12-J13</f>
        <v>#REF!</v>
      </c>
      <c r="K4" s="130" t="e">
        <f>#REF!-K7-K8-K9-K10-K11-K12-K13</f>
        <v>#REF!</v>
      </c>
      <c r="L4" s="130" t="e">
        <f>#REF!-L7-L8-L9-L10-L11-L12-L13</f>
        <v>#REF!</v>
      </c>
      <c r="M4" s="130" t="e">
        <f>#REF!-M7-M8-M9-M10-M11-M12-M13</f>
        <v>#REF!</v>
      </c>
      <c r="N4" s="130" t="e">
        <f>#REF!-N7-N8-N9-N10-N11-N12-N13</f>
        <v>#REF!</v>
      </c>
      <c r="O4" s="130" t="e">
        <f>#REF!-O7-O8-O9-O10-O11-O12-O13</f>
        <v>#REF!</v>
      </c>
      <c r="P4" s="130" t="e">
        <f>#REF!-P7-P8-P9-P10-P11-P12-P13</f>
        <v>#REF!</v>
      </c>
      <c r="Q4" s="130" t="e">
        <f>#REF!-Q7-Q8-Q9-Q10-Q11-Q12-Q13</f>
        <v>#REF!</v>
      </c>
      <c r="R4" s="130" t="e">
        <f>#REF!-R7-R8-R9-R10-R11-R12-R13</f>
        <v>#REF!</v>
      </c>
      <c r="S4" s="130" t="e">
        <f>#REF!-S7-S8-S9-S10-S11-S12-S13</f>
        <v>#REF!</v>
      </c>
      <c r="T4" s="130" t="e">
        <f>#REF!-T7-T8-T9-T10-T11-T12-T13</f>
        <v>#REF!</v>
      </c>
      <c r="U4" s="130" t="e">
        <f>#REF!-U7-U8-U9-U10-U11-U12-U13</f>
        <v>#REF!</v>
      </c>
      <c r="V4" s="130" t="e">
        <f>#REF!-V7-V8-V9-V10-V11-V12-V13</f>
        <v>#REF!</v>
      </c>
      <c r="W4" s="130" t="e">
        <f>#REF!-W7-W8-W9-W10-W11-W12-W13</f>
        <v>#REF!</v>
      </c>
      <c r="X4" s="130" t="e">
        <f>#REF!-X7-X8-X9-X10-X11-X12-X13</f>
        <v>#REF!</v>
      </c>
      <c r="Y4" s="130" t="e">
        <f>#REF!-Y7-Y8-Y9-Y10-Y11-Y12-Y13</f>
        <v>#REF!</v>
      </c>
      <c r="Z4" s="130" t="e">
        <f>#REF!-Z7-Z8-Z9-Z10-Z11-Z12-Z13</f>
        <v>#REF!</v>
      </c>
      <c r="AA4" s="130" t="e">
        <f>#REF!-AA7-AA8-AA9-AA10-AA11-AA12-AA13</f>
        <v>#REF!</v>
      </c>
      <c r="AB4" s="130" t="e">
        <f>#REF!-AB7-AB8-AB9-AB10-AB11-AB12-AB13</f>
        <v>#REF!</v>
      </c>
      <c r="AC4" s="130" t="e">
        <f>#REF!-AC7-AC8-AC9-AC10-AC11-AC12-AC13</f>
        <v>#REF!</v>
      </c>
      <c r="AD4" s="130" t="e">
        <f>#REF!-AD7-AD8-AD9-AD10-AD11-AD12-AD13</f>
        <v>#REF!</v>
      </c>
      <c r="AE4" s="130" t="e">
        <f>#REF!-AE7-AE8-AE9-AE10-AE11-AE12-AE13</f>
        <v>#REF!</v>
      </c>
      <c r="AF4" s="130" t="e">
        <f>#REF!-AF7-AF8-AF9-AF10-AF11-AF12-AF13</f>
        <v>#REF!</v>
      </c>
      <c r="AG4" s="130" t="e">
        <f>#REF!-AG7-AG8-AG9-AG10-AG11-AG12-AG13</f>
        <v>#REF!</v>
      </c>
      <c r="AH4" s="130" t="e">
        <f>#REF!-AH7-AH8-AH9-AH10-AH11-AH12-AH13</f>
        <v>#REF!</v>
      </c>
      <c r="AI4" s="130" t="e">
        <f>#REF!-AI7-AI8-AI9-AI10-AI11-AI12-AI13</f>
        <v>#REF!</v>
      </c>
      <c r="AJ4" s="130" t="e">
        <f>#REF!-AJ7-AJ8-AJ9-AJ10-AJ11-AJ12-AJ13</f>
        <v>#REF!</v>
      </c>
      <c r="AK4" s="130" t="e">
        <f>#REF!-AK7-AK8-AK9-AK10-AK11-AK12-AK13</f>
        <v>#REF!</v>
      </c>
      <c r="AL4" s="130">
        <v>5523421129.96</v>
      </c>
      <c r="AM4" s="130" t="e">
        <f>#REF!-AM7-AM8-AM9-AM10-AM11-AM12-AM13</f>
        <v>#REF!</v>
      </c>
      <c r="AN4" s="130" t="e">
        <f>#REF!-AN7-AN8-AN9-AN10-AN11-AN12-AN13</f>
        <v>#REF!</v>
      </c>
      <c r="AO4" s="130" t="e">
        <f>#REF!-AO7-AO8-AO9-AO10-AO11-AO12-AO13</f>
        <v>#REF!</v>
      </c>
      <c r="AP4" s="130" t="e">
        <f>#REF!-AP7-AP8-AP9-AP10-AP11-AP12-AP13</f>
        <v>#REF!</v>
      </c>
      <c r="AQ4" s="130" t="e">
        <f>#REF!-AQ7-AQ8-AQ9-AQ10-AQ11-AQ12-AQ13</f>
        <v>#REF!</v>
      </c>
      <c r="AR4" s="130" t="e">
        <f>#REF!-AR7-AR8-AR9-AR10-AR11-AR12-AR13</f>
        <v>#REF!</v>
      </c>
      <c r="AS4" s="130" t="e">
        <f>#REF!-AS7-AS8-AS9-AS10-AS11-AS12-AS13</f>
        <v>#REF!</v>
      </c>
      <c r="AT4" s="130" t="e">
        <f>#REF!-AT7-AT8-AT9-AT10-AT11-AT12-AT13</f>
        <v>#REF!</v>
      </c>
      <c r="AU4" s="130" t="e">
        <f>#REF!-AU7-AU8-AU9-AU10-AU11-AU12-AU13</f>
        <v>#REF!</v>
      </c>
      <c r="AV4" s="130" t="e">
        <f>#REF!-AV7-AV8-AV9-AV10-AV11-AV12-AV13</f>
        <v>#REF!</v>
      </c>
      <c r="AW4" s="130" t="e">
        <f>#REF!-AW7-AW8-AW9-AW10-AW11-AW12-AW13</f>
        <v>#REF!</v>
      </c>
      <c r="AX4" s="130">
        <v>2982496001.59</v>
      </c>
      <c r="AY4" s="130" t="e">
        <f>#REF!-AY7-AY8-AY9-AY10-AY11-AY12-AY13</f>
        <v>#REF!</v>
      </c>
      <c r="AZ4" s="130" t="e">
        <f>#REF!-AZ7-AZ8-AZ9-AZ10-AZ11-AZ12-AZ13</f>
        <v>#REF!</v>
      </c>
      <c r="BA4" s="130" t="e">
        <f>#REF!-BA7-BA8-BA9-BA10-BA11-BA12-BA13</f>
        <v>#REF!</v>
      </c>
      <c r="BB4" s="130">
        <v>927918894.85</v>
      </c>
      <c r="BC4" s="130" t="e">
        <f>#REF!-BC7-BC8-BC9-BC10-BC11-BC12-BC13</f>
        <v>#REF!</v>
      </c>
      <c r="BD4" s="130" t="e">
        <f>#REF!-BD7-BD8-BD9-BD10-BD11-BD12-BD13</f>
        <v>#REF!</v>
      </c>
      <c r="BE4" s="130" t="e">
        <f>#REF!-BE7-BE8-BE9-BE10-BE11-BE12-BE13</f>
        <v>#REF!</v>
      </c>
      <c r="BF4" s="130" t="e">
        <f>#REF!-BF7-BF8-BF9-BF10-BF11-BF12-BF13</f>
        <v>#REF!</v>
      </c>
      <c r="BG4" s="130" t="e">
        <f>#REF!-BG7-BG8-BG9-BG10-BG11-BG12-BG13</f>
        <v>#REF!</v>
      </c>
      <c r="BH4" s="130">
        <v>2519595306.91</v>
      </c>
      <c r="BI4" s="130">
        <v>2749425357.97264</v>
      </c>
      <c r="BJ4" s="130">
        <f>3199126091.27-11125101.41</f>
        <v>3188000989.86</v>
      </c>
      <c r="BK4" s="115"/>
      <c r="BL4" s="115">
        <f>BJ4-AX4</f>
        <v>205504988.27</v>
      </c>
      <c r="BM4" s="115"/>
    </row>
    <row r="5" s="111" customFormat="1" ht="18" customHeight="1" spans="1:65">
      <c r="A5" s="128" t="s">
        <v>43</v>
      </c>
      <c r="B5" s="129" t="s">
        <v>44</v>
      </c>
      <c r="C5" s="130" t="e">
        <f>#REF!</f>
        <v>#REF!</v>
      </c>
      <c r="D5" s="130" t="e">
        <f>#REF!</f>
        <v>#REF!</v>
      </c>
      <c r="E5" s="130" t="e">
        <f>#REF!</f>
        <v>#REF!</v>
      </c>
      <c r="F5" s="130" t="e">
        <f>#REF!</f>
        <v>#REF!</v>
      </c>
      <c r="G5" s="130" t="e">
        <f>#REF!</f>
        <v>#REF!</v>
      </c>
      <c r="H5" s="130" t="e">
        <f>#REF!</f>
        <v>#REF!</v>
      </c>
      <c r="I5" s="130" t="e">
        <f>#REF!</f>
        <v>#REF!</v>
      </c>
      <c r="J5" s="130" t="e">
        <f>#REF!</f>
        <v>#REF!</v>
      </c>
      <c r="K5" s="130" t="e">
        <f>#REF!</f>
        <v>#REF!</v>
      </c>
      <c r="L5" s="130" t="e">
        <f>#REF!</f>
        <v>#REF!</v>
      </c>
      <c r="M5" s="130" t="e">
        <f>#REF!</f>
        <v>#REF!</v>
      </c>
      <c r="N5" s="130" t="e">
        <f>#REF!</f>
        <v>#REF!</v>
      </c>
      <c r="O5" s="130" t="e">
        <f>#REF!</f>
        <v>#REF!</v>
      </c>
      <c r="P5" s="130" t="e">
        <f>#REF!</f>
        <v>#REF!</v>
      </c>
      <c r="Q5" s="130" t="e">
        <f>#REF!</f>
        <v>#REF!</v>
      </c>
      <c r="R5" s="130" t="e">
        <f>#REF!</f>
        <v>#REF!</v>
      </c>
      <c r="S5" s="130" t="e">
        <f>#REF!</f>
        <v>#REF!</v>
      </c>
      <c r="T5" s="130" t="e">
        <f>#REF!</f>
        <v>#REF!</v>
      </c>
      <c r="U5" s="130" t="e">
        <f>#REF!</f>
        <v>#REF!</v>
      </c>
      <c r="V5" s="130" t="e">
        <f>#REF!</f>
        <v>#REF!</v>
      </c>
      <c r="W5" s="130" t="e">
        <f>#REF!</f>
        <v>#REF!</v>
      </c>
      <c r="X5" s="130" t="e">
        <f>#REF!</f>
        <v>#REF!</v>
      </c>
      <c r="Y5" s="130" t="e">
        <f>#REF!</f>
        <v>#REF!</v>
      </c>
      <c r="Z5" s="130" t="e">
        <f>#REF!</f>
        <v>#REF!</v>
      </c>
      <c r="AA5" s="130" t="e">
        <f>#REF!</f>
        <v>#REF!</v>
      </c>
      <c r="AB5" s="130" t="e">
        <f>#REF!</f>
        <v>#REF!</v>
      </c>
      <c r="AC5" s="130" t="e">
        <f>#REF!</f>
        <v>#REF!</v>
      </c>
      <c r="AD5" s="130" t="e">
        <f>#REF!</f>
        <v>#REF!</v>
      </c>
      <c r="AE5" s="130" t="e">
        <f>#REF!</f>
        <v>#REF!</v>
      </c>
      <c r="AF5" s="130" t="e">
        <f>#REF!</f>
        <v>#REF!</v>
      </c>
      <c r="AG5" s="130" t="e">
        <f>#REF!</f>
        <v>#REF!</v>
      </c>
      <c r="AH5" s="130" t="e">
        <f>#REF!</f>
        <v>#REF!</v>
      </c>
      <c r="AI5" s="130" t="e">
        <f>#REF!</f>
        <v>#REF!</v>
      </c>
      <c r="AJ5" s="130" t="e">
        <f>#REF!</f>
        <v>#REF!</v>
      </c>
      <c r="AK5" s="130" t="e">
        <f>#REF!</f>
        <v>#REF!</v>
      </c>
      <c r="AL5" s="130">
        <v>5580616592.56</v>
      </c>
      <c r="AM5" s="130" t="e">
        <f>#REF!</f>
        <v>#REF!</v>
      </c>
      <c r="AN5" s="130" t="e">
        <f>#REF!</f>
        <v>#REF!</v>
      </c>
      <c r="AO5" s="130" t="e">
        <f>#REF!</f>
        <v>#REF!</v>
      </c>
      <c r="AP5" s="130" t="e">
        <f>#REF!</f>
        <v>#REF!</v>
      </c>
      <c r="AQ5" s="130" t="e">
        <f>#REF!</f>
        <v>#REF!</v>
      </c>
      <c r="AR5" s="130" t="e">
        <f>#REF!</f>
        <v>#REF!</v>
      </c>
      <c r="AS5" s="130" t="e">
        <f>#REF!</f>
        <v>#REF!</v>
      </c>
      <c r="AT5" s="130" t="e">
        <f>#REF!</f>
        <v>#REF!</v>
      </c>
      <c r="AU5" s="130" t="e">
        <f>#REF!</f>
        <v>#REF!</v>
      </c>
      <c r="AV5" s="130" t="e">
        <f>#REF!</f>
        <v>#REF!</v>
      </c>
      <c r="AW5" s="130" t="e">
        <f>#REF!</f>
        <v>#REF!</v>
      </c>
      <c r="AX5" s="130">
        <v>3039212553.21967</v>
      </c>
      <c r="AY5" s="130" t="e">
        <f>#REF!</f>
        <v>#REF!</v>
      </c>
      <c r="AZ5" s="130" t="e">
        <f>#REF!</f>
        <v>#REF!</v>
      </c>
      <c r="BA5" s="130" t="e">
        <f>#REF!</f>
        <v>#REF!</v>
      </c>
      <c r="BB5" s="130">
        <v>917248757.86</v>
      </c>
      <c r="BC5" s="130" t="e">
        <f>#REF!</f>
        <v>#REF!</v>
      </c>
      <c r="BD5" s="130" t="e">
        <f>#REF!</f>
        <v>#REF!</v>
      </c>
      <c r="BE5" s="130" t="e">
        <f>#REF!</f>
        <v>#REF!</v>
      </c>
      <c r="BF5" s="130" t="e">
        <f>#REF!</f>
        <v>#REF!</v>
      </c>
      <c r="BG5" s="130" t="e">
        <f>#REF!</f>
        <v>#REF!</v>
      </c>
      <c r="BH5" s="130">
        <v>2450500469.36</v>
      </c>
      <c r="BI5" s="130">
        <v>2670747796.65264</v>
      </c>
      <c r="BJ5" s="130">
        <v>3100363452.35</v>
      </c>
      <c r="BK5" s="115" t="e">
        <f>AP5-'[12]2404成本费用（EAS）'!$AU$30</f>
        <v>#REF!</v>
      </c>
      <c r="BL5" s="115">
        <f t="shared" ref="BL5:BL50" si="0">BJ5-AX5</f>
        <v>61150899.1303301</v>
      </c>
      <c r="BM5" s="115"/>
    </row>
    <row r="6" s="111" customFormat="1" ht="18" customHeight="1" spans="1:65">
      <c r="A6" s="128" t="s">
        <v>45</v>
      </c>
      <c r="B6" s="129" t="s">
        <v>46</v>
      </c>
      <c r="C6" s="130" t="e">
        <f>C4-C5</f>
        <v>#REF!</v>
      </c>
      <c r="D6" s="130" t="e">
        <f>D4-D5</f>
        <v>#REF!</v>
      </c>
      <c r="E6" s="130" t="e">
        <f>E4-E5</f>
        <v>#REF!</v>
      </c>
      <c r="F6" s="130" t="e">
        <f>F4-F5</f>
        <v>#REF!</v>
      </c>
      <c r="G6" s="130" t="e">
        <f t="shared" ref="G6:BG6" si="1">G4-G5</f>
        <v>#REF!</v>
      </c>
      <c r="H6" s="130" t="e">
        <f t="shared" si="1"/>
        <v>#REF!</v>
      </c>
      <c r="I6" s="130" t="e">
        <f t="shared" si="1"/>
        <v>#REF!</v>
      </c>
      <c r="J6" s="130" t="e">
        <f t="shared" si="1"/>
        <v>#REF!</v>
      </c>
      <c r="K6" s="130" t="e">
        <f t="shared" si="1"/>
        <v>#REF!</v>
      </c>
      <c r="L6" s="130" t="e">
        <f t="shared" si="1"/>
        <v>#REF!</v>
      </c>
      <c r="M6" s="130" t="e">
        <f t="shared" si="1"/>
        <v>#REF!</v>
      </c>
      <c r="N6" s="130" t="e">
        <f t="shared" si="1"/>
        <v>#REF!</v>
      </c>
      <c r="O6" s="130" t="e">
        <f t="shared" si="1"/>
        <v>#REF!</v>
      </c>
      <c r="P6" s="130" t="e">
        <f t="shared" si="1"/>
        <v>#REF!</v>
      </c>
      <c r="Q6" s="130" t="e">
        <f t="shared" si="1"/>
        <v>#REF!</v>
      </c>
      <c r="R6" s="130" t="e">
        <f t="shared" si="1"/>
        <v>#REF!</v>
      </c>
      <c r="S6" s="130" t="e">
        <f t="shared" si="1"/>
        <v>#REF!</v>
      </c>
      <c r="T6" s="130" t="e">
        <f t="shared" si="1"/>
        <v>#REF!</v>
      </c>
      <c r="U6" s="130" t="e">
        <f t="shared" si="1"/>
        <v>#REF!</v>
      </c>
      <c r="V6" s="130" t="e">
        <f t="shared" si="1"/>
        <v>#REF!</v>
      </c>
      <c r="W6" s="130" t="e">
        <f t="shared" si="1"/>
        <v>#REF!</v>
      </c>
      <c r="X6" s="130" t="e">
        <f t="shared" si="1"/>
        <v>#REF!</v>
      </c>
      <c r="Y6" s="130" t="e">
        <f t="shared" si="1"/>
        <v>#REF!</v>
      </c>
      <c r="Z6" s="130" t="e">
        <f t="shared" si="1"/>
        <v>#REF!</v>
      </c>
      <c r="AA6" s="130" t="e">
        <f t="shared" si="1"/>
        <v>#REF!</v>
      </c>
      <c r="AB6" s="130" t="e">
        <f t="shared" si="1"/>
        <v>#REF!</v>
      </c>
      <c r="AC6" s="130" t="e">
        <f t="shared" si="1"/>
        <v>#REF!</v>
      </c>
      <c r="AD6" s="130" t="e">
        <f t="shared" si="1"/>
        <v>#REF!</v>
      </c>
      <c r="AE6" s="130" t="e">
        <f t="shared" si="1"/>
        <v>#REF!</v>
      </c>
      <c r="AF6" s="130" t="e">
        <f t="shared" si="1"/>
        <v>#REF!</v>
      </c>
      <c r="AG6" s="130" t="e">
        <f t="shared" si="1"/>
        <v>#REF!</v>
      </c>
      <c r="AH6" s="130" t="e">
        <f t="shared" si="1"/>
        <v>#REF!</v>
      </c>
      <c r="AI6" s="130" t="e">
        <f t="shared" si="1"/>
        <v>#REF!</v>
      </c>
      <c r="AJ6" s="130" t="e">
        <f t="shared" si="1"/>
        <v>#REF!</v>
      </c>
      <c r="AK6" s="130" t="e">
        <f t="shared" si="1"/>
        <v>#REF!</v>
      </c>
      <c r="AL6" s="130">
        <v>-57195462.5999994</v>
      </c>
      <c r="AM6" s="130" t="e">
        <f t="shared" si="1"/>
        <v>#REF!</v>
      </c>
      <c r="AN6" s="130" t="e">
        <f t="shared" si="1"/>
        <v>#REF!</v>
      </c>
      <c r="AO6" s="130" t="e">
        <f t="shared" si="1"/>
        <v>#REF!</v>
      </c>
      <c r="AP6" s="130" t="e">
        <f t="shared" si="1"/>
        <v>#REF!</v>
      </c>
      <c r="AQ6" s="130" t="e">
        <f t="shared" si="1"/>
        <v>#REF!</v>
      </c>
      <c r="AR6" s="130" t="e">
        <f t="shared" si="1"/>
        <v>#REF!</v>
      </c>
      <c r="AS6" s="130" t="e">
        <f t="shared" si="1"/>
        <v>#REF!</v>
      </c>
      <c r="AT6" s="130" t="e">
        <f t="shared" si="1"/>
        <v>#REF!</v>
      </c>
      <c r="AU6" s="130" t="e">
        <f t="shared" si="1"/>
        <v>#REF!</v>
      </c>
      <c r="AV6" s="130" t="e">
        <f t="shared" si="1"/>
        <v>#REF!</v>
      </c>
      <c r="AW6" s="130" t="e">
        <f t="shared" si="1"/>
        <v>#REF!</v>
      </c>
      <c r="AX6" s="130">
        <v>-56716551.6296706</v>
      </c>
      <c r="AY6" s="130" t="e">
        <f t="shared" si="1"/>
        <v>#REF!</v>
      </c>
      <c r="AZ6" s="130" t="e">
        <f t="shared" si="1"/>
        <v>#REF!</v>
      </c>
      <c r="BA6" s="130" t="e">
        <f t="shared" si="1"/>
        <v>#REF!</v>
      </c>
      <c r="BB6" s="130">
        <v>10670136.99</v>
      </c>
      <c r="BC6" s="130" t="e">
        <f t="shared" si="1"/>
        <v>#REF!</v>
      </c>
      <c r="BD6" s="130" t="e">
        <f t="shared" si="1"/>
        <v>#REF!</v>
      </c>
      <c r="BE6" s="130" t="e">
        <f t="shared" si="1"/>
        <v>#REF!</v>
      </c>
      <c r="BF6" s="130" t="e">
        <f t="shared" si="1"/>
        <v>#REF!</v>
      </c>
      <c r="BG6" s="130" t="e">
        <f t="shared" si="1"/>
        <v>#REF!</v>
      </c>
      <c r="BH6" s="130">
        <v>69094837.55</v>
      </c>
      <c r="BI6" s="130">
        <v>78677561.32</v>
      </c>
      <c r="BJ6" s="130">
        <f>BJ4-BJ5</f>
        <v>87637537.5100002</v>
      </c>
      <c r="BK6" s="115"/>
      <c r="BL6" s="115">
        <f t="shared" si="0"/>
        <v>144354089.139671</v>
      </c>
      <c r="BM6" s="131"/>
    </row>
    <row r="7" s="111" customFormat="1" ht="18" customHeight="1" spans="1:65">
      <c r="A7" s="128" t="s">
        <v>47</v>
      </c>
      <c r="B7" s="129" t="s">
        <v>48</v>
      </c>
      <c r="C7" s="130">
        <v>15633095.87</v>
      </c>
      <c r="D7" s="130">
        <v>41034939.69</v>
      </c>
      <c r="E7" s="130">
        <f>74010097.4796227+ROUND(2853900/1.06,2)</f>
        <v>76702455.9696227</v>
      </c>
      <c r="F7" s="130">
        <f>83298774.6+ROUND(2853900/1.06,2)</f>
        <v>85991133.09</v>
      </c>
      <c r="G7" s="130">
        <v>105516138.34</v>
      </c>
      <c r="H7" s="130">
        <v>153726027.18</v>
      </c>
      <c r="I7" s="130">
        <v>165319032.69</v>
      </c>
      <c r="J7" s="130">
        <v>195155167.04</v>
      </c>
      <c r="K7" s="130">
        <v>219066923.19</v>
      </c>
      <c r="L7" s="130">
        <v>230219693.03</v>
      </c>
      <c r="M7" s="130">
        <v>283523992.02</v>
      </c>
      <c r="N7" s="130">
        <f>326387655.05+ROUND(3299000/1.06,2)</f>
        <v>329499919.2</v>
      </c>
      <c r="O7" s="130">
        <v>19274684.47</v>
      </c>
      <c r="P7" s="130">
        <v>32120842.6</v>
      </c>
      <c r="Q7" s="130">
        <v>56020713.96</v>
      </c>
      <c r="R7" s="130">
        <v>72209454.22</v>
      </c>
      <c r="S7" s="130">
        <v>100841046.52</v>
      </c>
      <c r="T7" s="130">
        <v>136301051.9</v>
      </c>
      <c r="U7" s="130">
        <v>162902031.28</v>
      </c>
      <c r="V7" s="130">
        <v>209546351.49</v>
      </c>
      <c r="W7" s="130">
        <v>241444949.74</v>
      </c>
      <c r="X7" s="130">
        <v>275809486.68</v>
      </c>
      <c r="Y7" s="130">
        <v>334353449.5</v>
      </c>
      <c r="Z7" s="130">
        <v>402889760.7</v>
      </c>
      <c r="AA7" s="130">
        <v>44769656.66</v>
      </c>
      <c r="AB7" s="130">
        <v>75071978.14</v>
      </c>
      <c r="AC7" s="130">
        <v>100923535.98</v>
      </c>
      <c r="AD7" s="130">
        <v>122941189.88</v>
      </c>
      <c r="AE7" s="130">
        <v>158051126.85</v>
      </c>
      <c r="AF7" s="130">
        <v>211688696.6</v>
      </c>
      <c r="AG7" s="130">
        <v>244854221.02</v>
      </c>
      <c r="AH7" s="130">
        <v>280425359.53</v>
      </c>
      <c r="AI7" s="130">
        <v>306821964.73</v>
      </c>
      <c r="AJ7" s="130">
        <v>334371430.68</v>
      </c>
      <c r="AK7" s="130">
        <v>381438196.9</v>
      </c>
      <c r="AL7" s="130">
        <v>424888558.09</v>
      </c>
      <c r="AM7" s="132">
        <f>22558107.88</f>
        <v>22558107.88</v>
      </c>
      <c r="AN7" s="132">
        <f>22558107.88+23405244.17</f>
        <v>45963352.05</v>
      </c>
      <c r="AO7" s="132">
        <f>22558107.88+23405244.17+27007463.62</f>
        <v>72970815.67</v>
      </c>
      <c r="AP7" s="132">
        <f>22558107.88+23405244.17+27007463.62+20429764.16</f>
        <v>93400579.83</v>
      </c>
      <c r="AQ7" s="132">
        <f>22558107.88+23405244.17+27007463.62+20429764.16+19532060.94</f>
        <v>112932640.77</v>
      </c>
      <c r="AR7" s="132">
        <f>22558107.88+23405244.17+27007463.62+20429764.16+19532060.94+21729930.21</f>
        <v>134662570.98</v>
      </c>
      <c r="AS7" s="132">
        <f>22558107.88+23405244.17+27007463.62+20429764.16+19532060.94+21729930.21+15580356.73</f>
        <v>150242927.71</v>
      </c>
      <c r="AT7" s="132">
        <f>22558107.88+23405244.17+27007463.62+20429764.16+19532060.94+21729930.21+15580356.73+13245739.73</f>
        <v>163488667.44</v>
      </c>
      <c r="AU7" s="132">
        <f>22558107.88+23405244.17+27007463.62+20429764.16+19532060.94+21729930.21+15580356.73+13245739.73+12054353.46</f>
        <v>175543020.9</v>
      </c>
      <c r="AV7" s="132">
        <v>184590525.56</v>
      </c>
      <c r="AW7" s="132">
        <v>197876414.96</v>
      </c>
      <c r="AX7" s="132">
        <v>211165191.05</v>
      </c>
      <c r="AY7" s="132">
        <v>16855930.17</v>
      </c>
      <c r="AZ7" s="132">
        <f>16855931.17+12357833.71</f>
        <v>29213764.88</v>
      </c>
      <c r="BA7" s="132">
        <f>16855931.17+12357833.71+5507586.85</f>
        <v>34721351.73</v>
      </c>
      <c r="BB7" s="132">
        <f>16855931.17+12357833.71+5507586.85+4912591.66</f>
        <v>39633943.39</v>
      </c>
      <c r="BC7" s="132">
        <f>16855931.17+12357833.71+5507586.85+4912591.66+7057089.46</f>
        <v>46691032.85</v>
      </c>
      <c r="BD7" s="132">
        <f>16855931.17+12357833.71+5507586.85+4912591.66+7057089.46+9695356.65</f>
        <v>56386389.5</v>
      </c>
      <c r="BE7" s="132">
        <f>16855931.17+12357833.71+5507586.85+4912591.66+7057089.46+9695356.65+4741411.74</f>
        <v>61127801.24</v>
      </c>
      <c r="BF7" s="132">
        <f>16855931.17+12357833.71+5507586.85+4912591.66+7057089.46+9695356.65+4741411.74+6817429.75</f>
        <v>67945230.99</v>
      </c>
      <c r="BG7" s="132">
        <f>16855931.17+12357833.71+5507586.85+4912591.66+7057089.46+9695356.65+4741411.74+6817429.75</f>
        <v>67945230.99</v>
      </c>
      <c r="BH7" s="132">
        <v>55204501.35</v>
      </c>
      <c r="BI7" s="132">
        <v>57566741.88</v>
      </c>
      <c r="BJ7" s="132">
        <v>64941628.13</v>
      </c>
      <c r="BK7" s="115"/>
      <c r="BL7" s="115">
        <f t="shared" si="0"/>
        <v>-146223562.92</v>
      </c>
      <c r="BM7" s="133"/>
    </row>
    <row r="8" s="111" customFormat="1" ht="18" customHeight="1" spans="1:65">
      <c r="A8" s="128" t="s">
        <v>49</v>
      </c>
      <c r="B8" s="129" t="s">
        <v>50</v>
      </c>
      <c r="C8" s="130">
        <v>486.75</v>
      </c>
      <c r="D8" s="130">
        <v>2741.35</v>
      </c>
      <c r="E8" s="130">
        <v>21768.8900000006</v>
      </c>
      <c r="F8" s="130">
        <v>31028.7900000066</v>
      </c>
      <c r="G8" s="130">
        <v>41045.84</v>
      </c>
      <c r="H8" s="130">
        <v>103974.84</v>
      </c>
      <c r="I8" s="130">
        <v>158604.28</v>
      </c>
      <c r="J8" s="130">
        <v>223616</v>
      </c>
      <c r="K8" s="130">
        <v>255513.16</v>
      </c>
      <c r="L8" s="130">
        <v>309456.6</v>
      </c>
      <c r="M8" s="130">
        <f>'[4]2111成本费用（EAS）'!$AC$7</f>
        <v>380790.25</v>
      </c>
      <c r="N8" s="130">
        <f>'[5]2112成本费用（EAS）'!$AC$7</f>
        <v>448282.350000001</v>
      </c>
      <c r="O8" s="130">
        <v>83713.35</v>
      </c>
      <c r="P8" s="130">
        <v>181153.95</v>
      </c>
      <c r="Q8" s="130">
        <v>340015.12</v>
      </c>
      <c r="R8" s="130">
        <v>353629.51</v>
      </c>
      <c r="S8" s="130">
        <f>'[7]分月收入成本汇总（未抵消）'!$H$8-'[7]分月收入成本汇总（未抵消）'!$H$27</f>
        <v>439332.640000001</v>
      </c>
      <c r="T8" s="130">
        <v>1805447.08</v>
      </c>
      <c r="U8" s="130">
        <v>1901414.79</v>
      </c>
      <c r="V8" s="130">
        <v>2598026.1</v>
      </c>
      <c r="W8" s="130">
        <v>2697546.29</v>
      </c>
      <c r="X8" s="130">
        <v>3509809.21</v>
      </c>
      <c r="Y8" s="130">
        <v>3662954</v>
      </c>
      <c r="Z8" s="130">
        <f>'[10]2212成本费用（EAS）'!$AL$7</f>
        <v>4000421.52</v>
      </c>
      <c r="AA8" s="130">
        <v>114658.58</v>
      </c>
      <c r="AB8" s="130">
        <v>146154.09</v>
      </c>
      <c r="AC8" s="130">
        <v>427507.84</v>
      </c>
      <c r="AD8" s="130">
        <v>707085.11</v>
      </c>
      <c r="AE8" s="130">
        <v>1745620.88</v>
      </c>
      <c r="AF8" s="130">
        <v>2342559.75</v>
      </c>
      <c r="AG8" s="130">
        <v>2782841.24</v>
      </c>
      <c r="AH8" s="130">
        <v>2799611.69</v>
      </c>
      <c r="AI8" s="130">
        <v>4470624.84999999</v>
      </c>
      <c r="AJ8" s="130">
        <v>4647384.79</v>
      </c>
      <c r="AK8" s="130">
        <v>4856503.91</v>
      </c>
      <c r="AL8" s="130">
        <v>7001451.58</v>
      </c>
      <c r="AM8" s="130">
        <v>1294761</v>
      </c>
      <c r="AN8" s="130">
        <v>1781125.89</v>
      </c>
      <c r="AO8" s="130">
        <v>1781125.89</v>
      </c>
      <c r="AP8" s="130">
        <v>2709893.21</v>
      </c>
      <c r="AQ8" s="130">
        <v>3250251.93</v>
      </c>
      <c r="AR8" s="130">
        <v>3718929.76</v>
      </c>
      <c r="AS8" s="130">
        <v>3988718.41</v>
      </c>
      <c r="AT8" s="130">
        <v>4502549.45</v>
      </c>
      <c r="AU8" s="130">
        <v>5225028.67</v>
      </c>
      <c r="AV8" s="130">
        <v>5313866.13</v>
      </c>
      <c r="AW8" s="130">
        <v>5528449.94</v>
      </c>
      <c r="AX8" s="130">
        <v>9951032.26</v>
      </c>
      <c r="AY8" s="130">
        <v>530188.69</v>
      </c>
      <c r="AZ8" s="130">
        <v>1150018.38</v>
      </c>
      <c r="BA8" s="130">
        <f>'[13]2503成本费用（EAS）'!$BB$7</f>
        <v>1746396.28</v>
      </c>
      <c r="BB8" s="130">
        <v>2195894.73</v>
      </c>
      <c r="BC8" s="130" t="e">
        <f>#REF!</f>
        <v>#REF!</v>
      </c>
      <c r="BD8" s="130" t="e">
        <f>#REF!</f>
        <v>#REF!</v>
      </c>
      <c r="BE8" s="130" t="e">
        <f>#REF!</f>
        <v>#REF!</v>
      </c>
      <c r="BF8" s="130" t="e">
        <f>#REF!</f>
        <v>#REF!</v>
      </c>
      <c r="BG8" s="130" t="e">
        <f>#REF!</f>
        <v>#REF!</v>
      </c>
      <c r="BH8" s="130">
        <v>12636672.12</v>
      </c>
      <c r="BI8" s="130">
        <v>12861807.88</v>
      </c>
      <c r="BJ8" s="130">
        <v>13300585.72</v>
      </c>
      <c r="BK8" s="115">
        <f>AP8-'[12]2404成本费用（EAS）'!$AU$7</f>
        <v>0</v>
      </c>
      <c r="BL8" s="115">
        <f t="shared" si="0"/>
        <v>3349553.46</v>
      </c>
      <c r="BM8" s="131"/>
    </row>
    <row r="9" s="111" customFormat="1" ht="18" customHeight="1" spans="1:65">
      <c r="A9" s="128" t="s">
        <v>51</v>
      </c>
      <c r="B9" s="129" t="s">
        <v>52</v>
      </c>
      <c r="C9" s="130">
        <v>0</v>
      </c>
      <c r="D9" s="130">
        <v>12264.15</v>
      </c>
      <c r="E9" s="130">
        <v>12264.15</v>
      </c>
      <c r="F9" s="130">
        <v>532867.92</v>
      </c>
      <c r="G9" s="130">
        <v>545132.07</v>
      </c>
      <c r="H9" s="130">
        <v>2615629.24</v>
      </c>
      <c r="I9" s="130">
        <v>2615629.24</v>
      </c>
      <c r="J9" s="130">
        <v>2615629.24</v>
      </c>
      <c r="K9" s="130">
        <v>2672233.02</v>
      </c>
      <c r="L9" s="130">
        <v>2813742.45</v>
      </c>
      <c r="M9" s="130">
        <f>'[4]2111成本费用（EAS）'!$AC$9</f>
        <v>2813742.45</v>
      </c>
      <c r="N9" s="130">
        <f>'[5]2112成本费用（EAS）'!$AC$9</f>
        <v>2983553.77</v>
      </c>
      <c r="O9" s="130">
        <v>0</v>
      </c>
      <c r="P9" s="130">
        <v>0</v>
      </c>
      <c r="Q9" s="130">
        <v>200807.55</v>
      </c>
      <c r="R9" s="130">
        <v>200807.55</v>
      </c>
      <c r="S9" s="130">
        <f>'[7]分月收入成本汇总（未抵消）'!$H$9-'[7]分月收入成本汇总（未抵消）'!$H$28</f>
        <v>314015.1</v>
      </c>
      <c r="T9" s="130">
        <v>370618.87</v>
      </c>
      <c r="U9" s="130">
        <v>483826.42</v>
      </c>
      <c r="V9" s="130">
        <v>540430.19</v>
      </c>
      <c r="W9" s="130">
        <v>709864.15</v>
      </c>
      <c r="X9" s="130">
        <v>755147.17</v>
      </c>
      <c r="Y9" s="130">
        <v>868267.979999999</v>
      </c>
      <c r="Z9" s="130">
        <f>'[10]2212成本费用（EAS）'!$AL$8</f>
        <v>874400.039999999</v>
      </c>
      <c r="AA9" s="130">
        <v>0</v>
      </c>
      <c r="AB9" s="130">
        <v>0</v>
      </c>
      <c r="AC9" s="130">
        <v>50471.7</v>
      </c>
      <c r="AD9" s="130">
        <v>50471.7</v>
      </c>
      <c r="AE9" s="130">
        <v>-7763.27</v>
      </c>
      <c r="AF9" s="130">
        <v>121785.79</v>
      </c>
      <c r="AG9" s="130">
        <v>140653.71</v>
      </c>
      <c r="AH9" s="130">
        <v>140653.71</v>
      </c>
      <c r="AI9" s="130">
        <v>485936.73</v>
      </c>
      <c r="AJ9" s="130">
        <v>485936.73</v>
      </c>
      <c r="AK9" s="130">
        <v>485936.73</v>
      </c>
      <c r="AL9" s="130">
        <v>485936.73</v>
      </c>
      <c r="AM9" s="130">
        <v>-94339.62</v>
      </c>
      <c r="AN9" s="130">
        <v>-94339.62</v>
      </c>
      <c r="AO9" s="130">
        <v>-94339.62</v>
      </c>
      <c r="AP9" s="130">
        <v>-94339.62</v>
      </c>
      <c r="AQ9" s="130">
        <v>-94339.62</v>
      </c>
      <c r="AR9" s="130">
        <v>-94339.62</v>
      </c>
      <c r="AS9" s="130">
        <v>-94339.62</v>
      </c>
      <c r="AT9" s="130">
        <v>-94339.62</v>
      </c>
      <c r="AU9" s="130">
        <v>-94339.62</v>
      </c>
      <c r="AV9" s="130">
        <v>-94339.62</v>
      </c>
      <c r="AW9" s="130">
        <v>-94339.62</v>
      </c>
      <c r="AX9" s="130">
        <v>-94339.62</v>
      </c>
      <c r="AY9" s="130">
        <v>0</v>
      </c>
      <c r="AZ9" s="130">
        <v>0</v>
      </c>
      <c r="BA9" s="130">
        <f>'[13]2503成本费用（EAS）'!$BB$8</f>
        <v>0</v>
      </c>
      <c r="BB9" s="130">
        <v>0</v>
      </c>
      <c r="BC9" s="130">
        <v>0</v>
      </c>
      <c r="BD9" s="130">
        <v>0</v>
      </c>
      <c r="BE9" s="130">
        <v>0</v>
      </c>
      <c r="BF9" s="130">
        <v>0</v>
      </c>
      <c r="BG9" s="130">
        <v>0</v>
      </c>
      <c r="BH9" s="130">
        <v>0</v>
      </c>
      <c r="BI9" s="130">
        <v>0</v>
      </c>
      <c r="BJ9" s="130">
        <v>0</v>
      </c>
      <c r="BK9" s="115"/>
      <c r="BL9" s="115">
        <f t="shared" si="0"/>
        <v>94339.62</v>
      </c>
      <c r="BM9" s="115"/>
    </row>
    <row r="10" s="111" customFormat="1" ht="18" customHeight="1" spans="1:65">
      <c r="A10" s="128" t="s">
        <v>53</v>
      </c>
      <c r="B10" s="129" t="s">
        <v>54</v>
      </c>
      <c r="C10" s="130">
        <v>2328230.32</v>
      </c>
      <c r="D10" s="130">
        <v>10653516.18</v>
      </c>
      <c r="E10" s="130">
        <v>16845357.02</v>
      </c>
      <c r="F10" s="130">
        <v>19271755.86</v>
      </c>
      <c r="G10" s="130">
        <v>23948263.23</v>
      </c>
      <c r="H10" s="130">
        <v>32215539.56</v>
      </c>
      <c r="I10" s="130">
        <v>35803421.66</v>
      </c>
      <c r="J10" s="130">
        <v>39540460.55</v>
      </c>
      <c r="K10" s="130">
        <v>45813910.69</v>
      </c>
      <c r="L10" s="130">
        <v>49724099.46</v>
      </c>
      <c r="M10" s="130">
        <f>'[4]2111成本费用（EAS）'!$AC$10</f>
        <v>63941725.89</v>
      </c>
      <c r="N10" s="130">
        <f>'[5]2112成本费用（EAS）'!$AC$10</f>
        <v>69150570.52</v>
      </c>
      <c r="O10" s="130">
        <v>1982299.41</v>
      </c>
      <c r="P10" s="130">
        <v>10556838.39</v>
      </c>
      <c r="Q10" s="130">
        <v>13303592.4</v>
      </c>
      <c r="R10" s="130">
        <v>14998976.51</v>
      </c>
      <c r="S10" s="130">
        <f>'[7]分月收入成本汇总（未抵消）'!$H$10-'[7]分月收入成本汇总（未抵消）'!$H$29</f>
        <v>18113103.31</v>
      </c>
      <c r="T10" s="130">
        <v>30075246.32</v>
      </c>
      <c r="U10" s="130">
        <v>35690769.62</v>
      </c>
      <c r="V10" s="130">
        <v>42237236.68</v>
      </c>
      <c r="W10" s="130">
        <v>44615722.08</v>
      </c>
      <c r="X10" s="130">
        <v>53573140.87</v>
      </c>
      <c r="Y10" s="130">
        <v>67984515.43</v>
      </c>
      <c r="Z10" s="130">
        <f>'[10]2212成本费用（EAS）'!$AL$9</f>
        <v>76464809.75</v>
      </c>
      <c r="AA10" s="130">
        <v>7335310.35</v>
      </c>
      <c r="AB10" s="130">
        <v>10686805.36</v>
      </c>
      <c r="AC10" s="130">
        <v>14326969.11</v>
      </c>
      <c r="AD10" s="130">
        <v>20319447.05</v>
      </c>
      <c r="AE10" s="130">
        <v>24429709.8</v>
      </c>
      <c r="AF10" s="130">
        <v>35910234</v>
      </c>
      <c r="AG10" s="130">
        <v>42048405.83</v>
      </c>
      <c r="AH10" s="130">
        <v>46765041.5</v>
      </c>
      <c r="AI10" s="130">
        <v>54671481.61</v>
      </c>
      <c r="AJ10" s="130">
        <v>62125227.05</v>
      </c>
      <c r="AK10" s="130">
        <v>76278363.71</v>
      </c>
      <c r="AL10" s="130">
        <v>89465418.84</v>
      </c>
      <c r="AM10" s="130">
        <v>6199246.17</v>
      </c>
      <c r="AN10" s="130">
        <v>18108806.17</v>
      </c>
      <c r="AO10" s="130">
        <v>18108806.17</v>
      </c>
      <c r="AP10" s="130">
        <v>38640964.66</v>
      </c>
      <c r="AQ10" s="130">
        <v>52134930.04</v>
      </c>
      <c r="AR10" s="130">
        <v>66253107.11</v>
      </c>
      <c r="AS10" s="130">
        <v>71792548.87</v>
      </c>
      <c r="AT10" s="130">
        <v>80077861.04</v>
      </c>
      <c r="AU10" s="130">
        <v>86549260.14</v>
      </c>
      <c r="AV10" s="130">
        <v>94807852.68</v>
      </c>
      <c r="AW10" s="130">
        <v>108872598.8</v>
      </c>
      <c r="AX10" s="130">
        <v>119425917.86</v>
      </c>
      <c r="AY10" s="130">
        <v>7086067.89</v>
      </c>
      <c r="AZ10" s="130">
        <v>15452219.17</v>
      </c>
      <c r="BA10" s="130">
        <f>'[13]2503成本费用（EAS）'!$BB$9</f>
        <v>21108795.74</v>
      </c>
      <c r="BB10" s="130">
        <v>25095397.79</v>
      </c>
      <c r="BC10" s="130" t="e">
        <f>#REF!</f>
        <v>#REF!</v>
      </c>
      <c r="BD10" s="130" t="e">
        <f>#REF!</f>
        <v>#REF!</v>
      </c>
      <c r="BE10" s="130" t="e">
        <f>#REF!</f>
        <v>#REF!</v>
      </c>
      <c r="BF10" s="130" t="e">
        <f>#REF!</f>
        <v>#REF!</v>
      </c>
      <c r="BG10" s="130" t="e">
        <f>#REF!</f>
        <v>#REF!</v>
      </c>
      <c r="BH10" s="130">
        <v>81121926.32</v>
      </c>
      <c r="BI10" s="130">
        <v>99685567.66</v>
      </c>
      <c r="BJ10" s="130">
        <v>112506550.4</v>
      </c>
      <c r="BK10" s="115"/>
      <c r="BL10" s="115">
        <f t="shared" si="0"/>
        <v>-6919367.45999999</v>
      </c>
      <c r="BM10" s="115"/>
    </row>
    <row r="11" s="111" customFormat="1" ht="18" customHeight="1" spans="1:65">
      <c r="A11" s="128" t="s">
        <v>55</v>
      </c>
      <c r="B11" s="129" t="s">
        <v>56</v>
      </c>
      <c r="C11" s="130">
        <v>1513546.14</v>
      </c>
      <c r="D11" s="130">
        <v>1823265.11</v>
      </c>
      <c r="E11" s="130">
        <v>3454050.51</v>
      </c>
      <c r="F11" s="130">
        <v>7715000.62</v>
      </c>
      <c r="G11" s="130">
        <v>12576754.85</v>
      </c>
      <c r="H11" s="130">
        <v>21588036.54</v>
      </c>
      <c r="I11" s="130">
        <v>29608849.3</v>
      </c>
      <c r="J11" s="130">
        <v>33886793.76</v>
      </c>
      <c r="K11" s="130">
        <v>41912997.15</v>
      </c>
      <c r="L11" s="130">
        <v>54566053.28</v>
      </c>
      <c r="M11" s="130">
        <f>'[4]2111成本费用（EAS）'!$AC$11</f>
        <v>75146885.49</v>
      </c>
      <c r="N11" s="130">
        <f>'[5]2112成本费用（EAS）'!$AC$11</f>
        <v>95935275.77</v>
      </c>
      <c r="O11" s="130">
        <v>16924670.48</v>
      </c>
      <c r="P11" s="130">
        <v>22694333.93</v>
      </c>
      <c r="Q11" s="130">
        <v>31883395.56</v>
      </c>
      <c r="R11" s="130">
        <v>35678368.99</v>
      </c>
      <c r="S11" s="130">
        <f>'[7]分月收入成本汇总（未抵消）'!$H$11-'[7]分月收入成本汇总（未抵消）'!$H$30</f>
        <v>37746656.35</v>
      </c>
      <c r="T11" s="130">
        <f>'[9]2206成本费用（EAS）'!$AD$10</f>
        <v>42375813.28</v>
      </c>
      <c r="U11" s="130">
        <v>47930124.41</v>
      </c>
      <c r="V11" s="130">
        <v>53884497.32</v>
      </c>
      <c r="W11" s="130">
        <v>59801623.63</v>
      </c>
      <c r="X11" s="130">
        <v>64013977.48</v>
      </c>
      <c r="Y11" s="130">
        <v>69016797.07</v>
      </c>
      <c r="Z11" s="130">
        <f>'[10]2212成本费用（EAS）'!$AL$10</f>
        <v>71226102.53</v>
      </c>
      <c r="AA11" s="130">
        <v>722863.54</v>
      </c>
      <c r="AB11" s="130">
        <v>2158416.48</v>
      </c>
      <c r="AC11" s="130">
        <v>7390194.75</v>
      </c>
      <c r="AD11" s="130">
        <v>22626600.02</v>
      </c>
      <c r="AE11" s="130">
        <v>25636957.64</v>
      </c>
      <c r="AF11" s="130">
        <v>30906800.23</v>
      </c>
      <c r="AG11" s="130">
        <v>37509533.65</v>
      </c>
      <c r="AH11" s="130">
        <v>44109062.81</v>
      </c>
      <c r="AI11" s="130">
        <v>48118312.08</v>
      </c>
      <c r="AJ11" s="130">
        <v>53496482.29</v>
      </c>
      <c r="AK11" s="130">
        <v>65597875.91</v>
      </c>
      <c r="AL11" s="130">
        <v>77824807.11</v>
      </c>
      <c r="AM11" s="130">
        <v>16653371.42</v>
      </c>
      <c r="AN11" s="130">
        <v>21305204.28</v>
      </c>
      <c r="AO11" s="130">
        <v>21305204.28</v>
      </c>
      <c r="AP11" s="130">
        <v>33026962.66</v>
      </c>
      <c r="AQ11" s="130">
        <v>35048611.89</v>
      </c>
      <c r="AR11" s="130">
        <v>37006387.31</v>
      </c>
      <c r="AS11" s="130">
        <v>40535794.33</v>
      </c>
      <c r="AT11" s="130">
        <v>42821210.47</v>
      </c>
      <c r="AU11" s="130">
        <v>43364195.7</v>
      </c>
      <c r="AV11" s="130">
        <v>47240823.21</v>
      </c>
      <c r="AW11" s="130">
        <v>53934310.44</v>
      </c>
      <c r="AX11" s="130">
        <v>59780432.25</v>
      </c>
      <c r="AY11" s="130">
        <v>3532679.81</v>
      </c>
      <c r="AZ11" s="130">
        <v>7149503.75</v>
      </c>
      <c r="BA11" s="130">
        <f>'[13]2503成本费用（EAS）'!$BB$10</f>
        <v>12413079.5</v>
      </c>
      <c r="BB11" s="130">
        <v>24626486.21</v>
      </c>
      <c r="BC11" s="130" t="e">
        <f>#REF!</f>
        <v>#REF!</v>
      </c>
      <c r="BD11" s="130" t="e">
        <f>#REF!</f>
        <v>#REF!</v>
      </c>
      <c r="BE11" s="130" t="e">
        <f>#REF!</f>
        <v>#REF!</v>
      </c>
      <c r="BF11" s="130" t="e">
        <f>#REF!</f>
        <v>#REF!</v>
      </c>
      <c r="BG11" s="130" t="e">
        <f>#REF!</f>
        <v>#REF!</v>
      </c>
      <c r="BH11" s="130">
        <v>84014114.24</v>
      </c>
      <c r="BI11" s="130">
        <v>90771979.05</v>
      </c>
      <c r="BJ11" s="130">
        <v>94946249.91</v>
      </c>
      <c r="BK11" s="115"/>
      <c r="BL11" s="115">
        <f t="shared" si="0"/>
        <v>35165817.66</v>
      </c>
      <c r="BM11" s="115"/>
    </row>
    <row r="12" s="111" customFormat="1" ht="18" customHeight="1" spans="1:65">
      <c r="A12" s="128" t="s">
        <v>57</v>
      </c>
      <c r="B12" s="129" t="s">
        <v>58</v>
      </c>
      <c r="C12" s="130">
        <v>784</v>
      </c>
      <c r="D12" s="130">
        <v>44441.5</v>
      </c>
      <c r="E12" s="130">
        <v>44441.5</v>
      </c>
      <c r="F12" s="130">
        <v>44441.5</v>
      </c>
      <c r="G12" s="130">
        <v>44441.5</v>
      </c>
      <c r="H12" s="130">
        <v>44441.5</v>
      </c>
      <c r="I12" s="130">
        <v>44441.5</v>
      </c>
      <c r="J12" s="130">
        <v>44441.5</v>
      </c>
      <c r="K12" s="130">
        <v>44441.5</v>
      </c>
      <c r="L12" s="130">
        <v>44441.5</v>
      </c>
      <c r="M12" s="130">
        <f>'[4]2111成本费用（EAS）'!$AC$13</f>
        <v>44441.5</v>
      </c>
      <c r="N12" s="130">
        <f>'[5]2112成本费用（EAS）'!$AC$13</f>
        <v>44441.5</v>
      </c>
      <c r="O12" s="130">
        <v>0</v>
      </c>
      <c r="P12" s="130">
        <v>0</v>
      </c>
      <c r="Q12" s="130">
        <v>0</v>
      </c>
      <c r="R12" s="130">
        <v>0</v>
      </c>
      <c r="S12" s="130">
        <v>0</v>
      </c>
      <c r="T12" s="130">
        <v>0.02</v>
      </c>
      <c r="U12" s="130">
        <v>0.04</v>
      </c>
      <c r="V12" s="130">
        <v>0.04</v>
      </c>
      <c r="W12" s="130">
        <v>28301.93</v>
      </c>
      <c r="X12" s="130">
        <v>28301.93</v>
      </c>
      <c r="Y12" s="130">
        <v>28301.93</v>
      </c>
      <c r="Z12" s="130">
        <f>'[10]2212成本费用（EAS）'!$AL$11+'[10]2212成本费用（EAS）'!$AL$12</f>
        <v>471396.85</v>
      </c>
      <c r="AA12" s="130">
        <v>311603.78</v>
      </c>
      <c r="AB12" s="130">
        <v>545566.04</v>
      </c>
      <c r="AC12" s="130">
        <v>833663.71</v>
      </c>
      <c r="AD12" s="130">
        <v>1260879.21</v>
      </c>
      <c r="AE12" s="130">
        <v>1553721.06</v>
      </c>
      <c r="AF12" s="130">
        <v>2625951.27</v>
      </c>
      <c r="AG12" s="130">
        <v>3216205.76</v>
      </c>
      <c r="AH12" s="130">
        <v>5943072.66</v>
      </c>
      <c r="AI12" s="130">
        <v>43788556.5</v>
      </c>
      <c r="AJ12" s="130">
        <v>73681438.76</v>
      </c>
      <c r="AK12" s="130">
        <v>123639871.37</v>
      </c>
      <c r="AL12" s="130">
        <v>201018673.46</v>
      </c>
      <c r="AM12" s="130">
        <v>68951638.6</v>
      </c>
      <c r="AN12" s="130">
        <v>132437570</v>
      </c>
      <c r="AO12" s="130">
        <v>132437570</v>
      </c>
      <c r="AP12" s="130">
        <v>240292572.47</v>
      </c>
      <c r="AQ12" s="130">
        <v>291400799.98</v>
      </c>
      <c r="AR12" s="130">
        <v>371109271.72</v>
      </c>
      <c r="AS12" s="130">
        <v>513856312.99</v>
      </c>
      <c r="AT12" s="130">
        <v>539882147.01</v>
      </c>
      <c r="AU12" s="130">
        <v>576004972.6</v>
      </c>
      <c r="AV12" s="130">
        <v>603254631.61</v>
      </c>
      <c r="AW12" s="130">
        <v>623858422.22</v>
      </c>
      <c r="AX12" s="130">
        <v>641354683.9</v>
      </c>
      <c r="AY12" s="130">
        <v>12779641.68</v>
      </c>
      <c r="AZ12" s="130">
        <v>24808693.76</v>
      </c>
      <c r="BA12" s="130">
        <f>'[13]2503成本费用（EAS）'!$BB$11+'[13]2503成本费用（EAS）'!$BB$12</f>
        <v>39677899.86</v>
      </c>
      <c r="BB12" s="130">
        <v>56391494.09</v>
      </c>
      <c r="BC12" s="130" t="e">
        <f>#REF!</f>
        <v>#REF!</v>
      </c>
      <c r="BD12" s="130" t="e">
        <f>#REF!</f>
        <v>#REF!</v>
      </c>
      <c r="BE12" s="130" t="e">
        <f>#REF!</f>
        <v>#REF!</v>
      </c>
      <c r="BF12" s="130" t="e">
        <f>#REF!</f>
        <v>#REF!</v>
      </c>
      <c r="BG12" s="130" t="e">
        <f>#REF!</f>
        <v>#REF!</v>
      </c>
      <c r="BH12" s="130">
        <v>272060276.88</v>
      </c>
      <c r="BI12" s="130">
        <v>308062620.33</v>
      </c>
      <c r="BJ12" s="130">
        <v>312599777.59</v>
      </c>
      <c r="BK12" s="115"/>
      <c r="BL12" s="115">
        <f t="shared" si="0"/>
        <v>-328754906.31</v>
      </c>
      <c r="BM12" s="115"/>
    </row>
    <row r="13" s="111" customFormat="1" ht="18" customHeight="1" spans="1:65">
      <c r="A13" s="128" t="s">
        <v>59</v>
      </c>
      <c r="B13" s="129" t="s">
        <v>60</v>
      </c>
      <c r="C13" s="130">
        <v>0</v>
      </c>
      <c r="D13" s="130">
        <v>0</v>
      </c>
      <c r="E13" s="130">
        <v>0</v>
      </c>
      <c r="F13" s="130">
        <v>0</v>
      </c>
      <c r="G13" s="130">
        <v>0</v>
      </c>
      <c r="H13" s="130">
        <v>897733.18</v>
      </c>
      <c r="I13" s="130">
        <v>897733.18</v>
      </c>
      <c r="J13" s="130">
        <v>897733.18</v>
      </c>
      <c r="K13" s="130">
        <v>897733.18</v>
      </c>
      <c r="L13" s="130">
        <v>897733.18</v>
      </c>
      <c r="M13" s="130">
        <f>'[4]2111成本费用（EAS）'!$AC$15</f>
        <v>897733.18</v>
      </c>
      <c r="N13" s="130">
        <f>'[5]2112成本费用（EAS）'!$AC$15</f>
        <v>897733.18</v>
      </c>
      <c r="O13" s="130">
        <v>0</v>
      </c>
      <c r="P13" s="130">
        <v>0</v>
      </c>
      <c r="Q13" s="130">
        <v>0</v>
      </c>
      <c r="R13" s="130">
        <v>0</v>
      </c>
      <c r="S13" s="130">
        <v>0</v>
      </c>
      <c r="T13" s="130">
        <f>'[8]2206成本费用（EAS）'!$AD$14</f>
        <v>0</v>
      </c>
      <c r="U13" s="130">
        <v>0</v>
      </c>
      <c r="V13" s="130">
        <v>0</v>
      </c>
      <c r="W13" s="130">
        <v>0</v>
      </c>
      <c r="X13" s="130">
        <v>0</v>
      </c>
      <c r="Y13" s="130">
        <v>0</v>
      </c>
      <c r="Z13" s="130">
        <v>0</v>
      </c>
      <c r="AA13" s="130">
        <v>0</v>
      </c>
      <c r="AB13" s="130">
        <v>0</v>
      </c>
      <c r="AC13" s="130">
        <v>0</v>
      </c>
      <c r="AD13" s="130">
        <v>0</v>
      </c>
      <c r="AE13" s="130">
        <v>0</v>
      </c>
      <c r="AF13" s="130">
        <v>0</v>
      </c>
      <c r="AG13" s="130">
        <v>0</v>
      </c>
      <c r="AH13" s="130">
        <v>0</v>
      </c>
      <c r="AI13" s="130">
        <v>0</v>
      </c>
      <c r="AJ13" s="130">
        <v>0</v>
      </c>
      <c r="AK13" s="130">
        <v>0</v>
      </c>
      <c r="AL13" s="130">
        <v>9253417.11</v>
      </c>
      <c r="AM13" s="130">
        <v>0</v>
      </c>
      <c r="AN13" s="130">
        <v>0</v>
      </c>
      <c r="AO13" s="130">
        <v>0</v>
      </c>
      <c r="AP13" s="130">
        <v>203861.36</v>
      </c>
      <c r="AQ13" s="130">
        <v>675753.59</v>
      </c>
      <c r="AR13" s="130">
        <v>1349977.92</v>
      </c>
      <c r="AS13" s="130">
        <v>2393905.79</v>
      </c>
      <c r="AT13" s="130">
        <v>2945750.59</v>
      </c>
      <c r="AU13" s="130">
        <v>3597370.73</v>
      </c>
      <c r="AV13" s="130">
        <v>3956032.97</v>
      </c>
      <c r="AW13" s="130">
        <v>4378236.01</v>
      </c>
      <c r="AX13" s="130">
        <v>6917353.41</v>
      </c>
      <c r="AY13" s="130">
        <v>630250.41</v>
      </c>
      <c r="AZ13" s="130">
        <v>1067938.55</v>
      </c>
      <c r="BA13" s="130">
        <f>'[13]2503成本费用（EAS）'!$BB$14</f>
        <v>1956049.86</v>
      </c>
      <c r="BB13" s="130">
        <v>3239925.96</v>
      </c>
      <c r="BC13" s="130" t="e">
        <f>#REF!</f>
        <v>#REF!</v>
      </c>
      <c r="BD13" s="130" t="e">
        <f>#REF!</f>
        <v>#REF!</v>
      </c>
      <c r="BE13" s="130" t="e">
        <f>#REF!</f>
        <v>#REF!</v>
      </c>
      <c r="BF13" s="130" t="e">
        <f>#REF!</f>
        <v>#REF!</v>
      </c>
      <c r="BG13" s="130" t="e">
        <f>#REF!</f>
        <v>#REF!</v>
      </c>
      <c r="BH13" s="130">
        <v>8332381.96</v>
      </c>
      <c r="BI13" s="130">
        <v>9496029.78</v>
      </c>
      <c r="BJ13" s="130">
        <v>12186028.19</v>
      </c>
      <c r="BK13" s="115"/>
      <c r="BL13" s="115">
        <f t="shared" si="0"/>
        <v>5268674.78</v>
      </c>
      <c r="BM13" s="115"/>
    </row>
    <row r="14" s="111" customFormat="1" ht="18" customHeight="1" spans="1:65">
      <c r="A14" s="128" t="s">
        <v>61</v>
      </c>
      <c r="B14" s="129" t="s">
        <v>62</v>
      </c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>
        <v>28815803.46</v>
      </c>
      <c r="BK14" s="115"/>
      <c r="BL14" s="115">
        <f t="shared" si="0"/>
        <v>28815803.46</v>
      </c>
      <c r="BM14" s="115"/>
    </row>
    <row r="15" s="111" customFormat="1" ht="18" customHeight="1" spans="1:65">
      <c r="A15" s="128" t="s">
        <v>63</v>
      </c>
      <c r="B15" s="129" t="s">
        <v>64</v>
      </c>
      <c r="C15" s="130" t="e">
        <f>SUM(C16:C21)</f>
        <v>#REF!</v>
      </c>
      <c r="D15" s="130" t="e">
        <f>SUM(D16:D21)</f>
        <v>#REF!</v>
      </c>
      <c r="E15" s="130" t="e">
        <f>SUM(E16:E21)</f>
        <v>#REF!</v>
      </c>
      <c r="F15" s="130" t="e">
        <f>SUM(F16:F21)</f>
        <v>#REF!</v>
      </c>
      <c r="G15" s="130" t="e">
        <f t="shared" ref="G15:BG15" si="2">SUM(G16:G21)</f>
        <v>#REF!</v>
      </c>
      <c r="H15" s="130" t="e">
        <f t="shared" si="2"/>
        <v>#REF!</v>
      </c>
      <c r="I15" s="130" t="e">
        <f t="shared" si="2"/>
        <v>#REF!</v>
      </c>
      <c r="J15" s="130" t="e">
        <f t="shared" si="2"/>
        <v>#REF!</v>
      </c>
      <c r="K15" s="130" t="e">
        <f t="shared" si="2"/>
        <v>#REF!</v>
      </c>
      <c r="L15" s="130" t="e">
        <f t="shared" si="2"/>
        <v>#REF!</v>
      </c>
      <c r="M15" s="130" t="e">
        <f t="shared" si="2"/>
        <v>#REF!</v>
      </c>
      <c r="N15" s="130" t="e">
        <f t="shared" si="2"/>
        <v>#REF!</v>
      </c>
      <c r="O15" s="130" t="e">
        <f t="shared" si="2"/>
        <v>#REF!</v>
      </c>
      <c r="P15" s="130" t="e">
        <f t="shared" si="2"/>
        <v>#REF!</v>
      </c>
      <c r="Q15" s="130" t="e">
        <f t="shared" si="2"/>
        <v>#REF!</v>
      </c>
      <c r="R15" s="130" t="e">
        <f t="shared" si="2"/>
        <v>#REF!</v>
      </c>
      <c r="S15" s="130" t="e">
        <f t="shared" si="2"/>
        <v>#REF!</v>
      </c>
      <c r="T15" s="130" t="e">
        <f t="shared" si="2"/>
        <v>#REF!</v>
      </c>
      <c r="U15" s="130" t="e">
        <f t="shared" si="2"/>
        <v>#REF!</v>
      </c>
      <c r="V15" s="130" t="e">
        <f t="shared" si="2"/>
        <v>#REF!</v>
      </c>
      <c r="W15" s="130" t="e">
        <f t="shared" si="2"/>
        <v>#REF!</v>
      </c>
      <c r="X15" s="130" t="e">
        <f t="shared" si="2"/>
        <v>#REF!</v>
      </c>
      <c r="Y15" s="130" t="e">
        <f t="shared" si="2"/>
        <v>#REF!</v>
      </c>
      <c r="Z15" s="130" t="e">
        <f t="shared" si="2"/>
        <v>#REF!</v>
      </c>
      <c r="AA15" s="130" t="e">
        <f t="shared" si="2"/>
        <v>#REF!</v>
      </c>
      <c r="AB15" s="130" t="e">
        <f t="shared" si="2"/>
        <v>#REF!</v>
      </c>
      <c r="AC15" s="130" t="e">
        <f t="shared" si="2"/>
        <v>#REF!</v>
      </c>
      <c r="AD15" s="130" t="e">
        <f t="shared" si="2"/>
        <v>#REF!</v>
      </c>
      <c r="AE15" s="130" t="e">
        <f t="shared" si="2"/>
        <v>#REF!</v>
      </c>
      <c r="AF15" s="130" t="e">
        <f t="shared" si="2"/>
        <v>#REF!</v>
      </c>
      <c r="AG15" s="130" t="e">
        <f t="shared" si="2"/>
        <v>#REF!</v>
      </c>
      <c r="AH15" s="130" t="e">
        <f t="shared" si="2"/>
        <v>#REF!</v>
      </c>
      <c r="AI15" s="130" t="e">
        <f t="shared" si="2"/>
        <v>#REF!</v>
      </c>
      <c r="AJ15" s="130" t="e">
        <f t="shared" si="2"/>
        <v>#REF!</v>
      </c>
      <c r="AK15" s="130" t="e">
        <f t="shared" si="2"/>
        <v>#REF!</v>
      </c>
      <c r="AL15" s="130">
        <v>341782366.27</v>
      </c>
      <c r="AM15" s="130" t="e">
        <f t="shared" si="2"/>
        <v>#REF!</v>
      </c>
      <c r="AN15" s="130" t="e">
        <f t="shared" si="2"/>
        <v>#REF!</v>
      </c>
      <c r="AO15" s="130" t="e">
        <f t="shared" si="2"/>
        <v>#REF!</v>
      </c>
      <c r="AP15" s="130" t="e">
        <f t="shared" si="2"/>
        <v>#REF!</v>
      </c>
      <c r="AQ15" s="130" t="e">
        <f t="shared" si="2"/>
        <v>#REF!</v>
      </c>
      <c r="AR15" s="130" t="e">
        <f t="shared" si="2"/>
        <v>#REF!</v>
      </c>
      <c r="AS15" s="130" t="e">
        <f t="shared" si="2"/>
        <v>#REF!</v>
      </c>
      <c r="AT15" s="130" t="e">
        <f t="shared" si="2"/>
        <v>#REF!</v>
      </c>
      <c r="AU15" s="130" t="e">
        <f t="shared" si="2"/>
        <v>#REF!</v>
      </c>
      <c r="AV15" s="130" t="e">
        <f t="shared" si="2"/>
        <v>#REF!</v>
      </c>
      <c r="AW15" s="130" t="e">
        <f t="shared" si="2"/>
        <v>#REF!</v>
      </c>
      <c r="AX15" s="130">
        <v>755616272.57</v>
      </c>
      <c r="AY15" s="130" t="e">
        <f t="shared" si="2"/>
        <v>#REF!</v>
      </c>
      <c r="AZ15" s="130" t="e">
        <f t="shared" si="2"/>
        <v>#REF!</v>
      </c>
      <c r="BA15" s="130" t="e">
        <f t="shared" si="2"/>
        <v>#REF!</v>
      </c>
      <c r="BB15" s="130" t="e">
        <f t="shared" si="2"/>
        <v>#REF!</v>
      </c>
      <c r="BC15" s="130" t="e">
        <f t="shared" si="2"/>
        <v>#REF!</v>
      </c>
      <c r="BD15" s="130" t="e">
        <f t="shared" si="2"/>
        <v>#REF!</v>
      </c>
      <c r="BE15" s="130" t="e">
        <f t="shared" si="2"/>
        <v>#REF!</v>
      </c>
      <c r="BF15" s="130" t="e">
        <f t="shared" si="2"/>
        <v>#REF!</v>
      </c>
      <c r="BG15" s="130" t="e">
        <f t="shared" si="2"/>
        <v>#REF!</v>
      </c>
      <c r="BH15" s="130">
        <v>404604276.13</v>
      </c>
      <c r="BI15" s="130">
        <v>454890145.26</v>
      </c>
      <c r="BJ15" s="130">
        <v>472805309.31</v>
      </c>
      <c r="BK15" s="115"/>
      <c r="BL15" s="115">
        <f t="shared" si="0"/>
        <v>-282810963.26</v>
      </c>
      <c r="BM15" s="115"/>
    </row>
    <row r="16" s="111" customFormat="1" ht="18" customHeight="1" spans="1:65">
      <c r="A16" s="128">
        <v>1.1</v>
      </c>
      <c r="B16" s="134" t="s">
        <v>65</v>
      </c>
      <c r="C16" s="135" t="e">
        <f>#REF!</f>
        <v>#REF!</v>
      </c>
      <c r="D16" s="135" t="e">
        <f>#REF!</f>
        <v>#REF!</v>
      </c>
      <c r="E16" s="135" t="e">
        <f>#REF!</f>
        <v>#REF!</v>
      </c>
      <c r="F16" s="135" t="e">
        <f>#REF!</f>
        <v>#REF!</v>
      </c>
      <c r="G16" s="135" t="e">
        <f>#REF!</f>
        <v>#REF!</v>
      </c>
      <c r="H16" s="135" t="e">
        <f>#REF!</f>
        <v>#REF!</v>
      </c>
      <c r="I16" s="135" t="e">
        <f>#REF!</f>
        <v>#REF!</v>
      </c>
      <c r="J16" s="135" t="e">
        <f>#REF!</f>
        <v>#REF!</v>
      </c>
      <c r="K16" s="135" t="e">
        <f>#REF!</f>
        <v>#REF!</v>
      </c>
      <c r="L16" s="135" t="e">
        <f>#REF!</f>
        <v>#REF!</v>
      </c>
      <c r="M16" s="135" t="e">
        <f>#REF!</f>
        <v>#REF!</v>
      </c>
      <c r="N16" s="135" t="e">
        <f>#REF!</f>
        <v>#REF!</v>
      </c>
      <c r="O16" s="135" t="e">
        <f>#REF!</f>
        <v>#REF!</v>
      </c>
      <c r="P16" s="135" t="e">
        <f>#REF!</f>
        <v>#REF!</v>
      </c>
      <c r="Q16" s="135" t="e">
        <f>#REF!</f>
        <v>#REF!</v>
      </c>
      <c r="R16" s="135" t="e">
        <f>#REF!</f>
        <v>#REF!</v>
      </c>
      <c r="S16" s="135" t="e">
        <f>#REF!</f>
        <v>#REF!</v>
      </c>
      <c r="T16" s="135" t="e">
        <f>#REF!</f>
        <v>#REF!</v>
      </c>
      <c r="U16" s="135" t="e">
        <f>#REF!</f>
        <v>#REF!</v>
      </c>
      <c r="V16" s="135" t="e">
        <f>#REF!</f>
        <v>#REF!</v>
      </c>
      <c r="W16" s="135" t="e">
        <f>#REF!</f>
        <v>#REF!</v>
      </c>
      <c r="X16" s="135" t="e">
        <f>#REF!</f>
        <v>#REF!</v>
      </c>
      <c r="Y16" s="135" t="e">
        <f>#REF!</f>
        <v>#REF!</v>
      </c>
      <c r="Z16" s="135" t="e">
        <f>#REF!</f>
        <v>#REF!</v>
      </c>
      <c r="AA16" s="135" t="e">
        <f>#REF!</f>
        <v>#REF!</v>
      </c>
      <c r="AB16" s="135" t="e">
        <f>#REF!</f>
        <v>#REF!</v>
      </c>
      <c r="AC16" s="135" t="e">
        <f>#REF!</f>
        <v>#REF!</v>
      </c>
      <c r="AD16" s="135" t="e">
        <f>#REF!</f>
        <v>#REF!</v>
      </c>
      <c r="AE16" s="135" t="e">
        <f>#REF!</f>
        <v>#REF!</v>
      </c>
      <c r="AF16" s="135" t="e">
        <f>#REF!</f>
        <v>#REF!</v>
      </c>
      <c r="AG16" s="135" t="e">
        <f>#REF!</f>
        <v>#REF!</v>
      </c>
      <c r="AH16" s="135" t="e">
        <f>#REF!</f>
        <v>#REF!</v>
      </c>
      <c r="AI16" s="135" t="e">
        <f>#REF!</f>
        <v>#REF!</v>
      </c>
      <c r="AJ16" s="135" t="e">
        <f>#REF!</f>
        <v>#REF!</v>
      </c>
      <c r="AK16" s="135" t="e">
        <f>#REF!</f>
        <v>#REF!</v>
      </c>
      <c r="AL16" s="135">
        <v>42529215.12</v>
      </c>
      <c r="AM16" s="135" t="e">
        <f>#REF!</f>
        <v>#REF!</v>
      </c>
      <c r="AN16" s="135" t="e">
        <f>#REF!</f>
        <v>#REF!</v>
      </c>
      <c r="AO16" s="135" t="e">
        <f>#REF!</f>
        <v>#REF!</v>
      </c>
      <c r="AP16" s="135" t="e">
        <f>#REF!</f>
        <v>#REF!</v>
      </c>
      <c r="AQ16" s="135" t="e">
        <f>#REF!</f>
        <v>#REF!</v>
      </c>
      <c r="AR16" s="135" t="e">
        <f>#REF!</f>
        <v>#REF!</v>
      </c>
      <c r="AS16" s="135" t="e">
        <f>#REF!</f>
        <v>#REF!</v>
      </c>
      <c r="AT16" s="135" t="e">
        <f>#REF!</f>
        <v>#REF!</v>
      </c>
      <c r="AU16" s="135" t="e">
        <f>#REF!</f>
        <v>#REF!</v>
      </c>
      <c r="AV16" s="135" t="e">
        <f>#REF!</f>
        <v>#REF!</v>
      </c>
      <c r="AW16" s="135" t="e">
        <f>#REF!</f>
        <v>#REF!</v>
      </c>
      <c r="AX16" s="135">
        <v>20867964.24</v>
      </c>
      <c r="AY16" s="135" t="e">
        <f>#REF!</f>
        <v>#REF!</v>
      </c>
      <c r="AZ16" s="135" t="e">
        <f>#REF!</f>
        <v>#REF!</v>
      </c>
      <c r="BA16" s="135" t="e">
        <f>#REF!</f>
        <v>#REF!</v>
      </c>
      <c r="BB16" s="135">
        <v>5009720.78</v>
      </c>
      <c r="BC16" s="135" t="e">
        <f>#REF!</f>
        <v>#REF!</v>
      </c>
      <c r="BD16" s="135" t="e">
        <f>#REF!</f>
        <v>#REF!</v>
      </c>
      <c r="BE16" s="135" t="e">
        <f>#REF!</f>
        <v>#REF!</v>
      </c>
      <c r="BF16" s="135" t="e">
        <f>#REF!</f>
        <v>#REF!</v>
      </c>
      <c r="BG16" s="135" t="e">
        <f>#REF!</f>
        <v>#REF!</v>
      </c>
      <c r="BH16" s="130">
        <v>16310003.08</v>
      </c>
      <c r="BI16" s="135">
        <v>18481225.02</v>
      </c>
      <c r="BJ16" s="135">
        <v>20453483.88</v>
      </c>
      <c r="BK16" s="115"/>
      <c r="BL16" s="115">
        <f t="shared" si="0"/>
        <v>-414480.359999999</v>
      </c>
      <c r="BM16" s="115"/>
    </row>
    <row r="17" s="111" customFormat="1" ht="18" customHeight="1" spans="1:66">
      <c r="A17" s="128">
        <v>1.2</v>
      </c>
      <c r="B17" s="134" t="s">
        <v>66</v>
      </c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 t="e">
        <f>#REF!</f>
        <v>#REF!</v>
      </c>
      <c r="P17" s="135" t="e">
        <f>#REF!</f>
        <v>#REF!</v>
      </c>
      <c r="Q17" s="135" t="e">
        <f>#REF!</f>
        <v>#REF!</v>
      </c>
      <c r="R17" s="135" t="e">
        <f>#REF!</f>
        <v>#REF!</v>
      </c>
      <c r="S17" s="135" t="e">
        <f>#REF!</f>
        <v>#REF!</v>
      </c>
      <c r="T17" s="135" t="e">
        <f>#REF!</f>
        <v>#REF!</v>
      </c>
      <c r="U17" s="135" t="e">
        <f>#REF!</f>
        <v>#REF!</v>
      </c>
      <c r="V17" s="135" t="e">
        <f>#REF!</f>
        <v>#REF!</v>
      </c>
      <c r="W17" s="135" t="e">
        <f>#REF!</f>
        <v>#REF!</v>
      </c>
      <c r="X17" s="135" t="e">
        <f>#REF!</f>
        <v>#REF!</v>
      </c>
      <c r="Y17" s="135" t="e">
        <f>#REF!</f>
        <v>#REF!</v>
      </c>
      <c r="Z17" s="135" t="e">
        <f>#REF!</f>
        <v>#REF!</v>
      </c>
      <c r="AA17" s="135" t="e">
        <f>#REF!</f>
        <v>#REF!</v>
      </c>
      <c r="AB17" s="135" t="e">
        <f>#REF!</f>
        <v>#REF!</v>
      </c>
      <c r="AC17" s="135" t="e">
        <f>#REF!</f>
        <v>#REF!</v>
      </c>
      <c r="AD17" s="135" t="e">
        <f>#REF!</f>
        <v>#REF!</v>
      </c>
      <c r="AE17" s="135" t="e">
        <f>#REF!</f>
        <v>#REF!</v>
      </c>
      <c r="AF17" s="135" t="e">
        <f>#REF!</f>
        <v>#REF!</v>
      </c>
      <c r="AG17" s="135" t="e">
        <f>#REF!</f>
        <v>#REF!</v>
      </c>
      <c r="AH17" s="135" t="e">
        <f>#REF!</f>
        <v>#REF!</v>
      </c>
      <c r="AI17" s="135" t="e">
        <f>#REF!</f>
        <v>#REF!</v>
      </c>
      <c r="AJ17" s="135" t="e">
        <f>#REF!</f>
        <v>#REF!</v>
      </c>
      <c r="AK17" s="135" t="e">
        <f>#REF!</f>
        <v>#REF!</v>
      </c>
      <c r="AL17" s="135">
        <v>8377888.24000001</v>
      </c>
      <c r="AM17" s="135" t="e">
        <f>#REF!</f>
        <v>#REF!</v>
      </c>
      <c r="AN17" s="135" t="e">
        <f>#REF!</f>
        <v>#REF!</v>
      </c>
      <c r="AO17" s="135" t="e">
        <f>#REF!</f>
        <v>#REF!</v>
      </c>
      <c r="AP17" s="135" t="e">
        <f>#REF!</f>
        <v>#REF!</v>
      </c>
      <c r="AQ17" s="135" t="e">
        <f>#REF!</f>
        <v>#REF!</v>
      </c>
      <c r="AR17" s="135" t="e">
        <f>#REF!</f>
        <v>#REF!</v>
      </c>
      <c r="AS17" s="135" t="e">
        <f>#REF!</f>
        <v>#REF!</v>
      </c>
      <c r="AT17" s="135" t="e">
        <f>#REF!</f>
        <v>#REF!</v>
      </c>
      <c r="AU17" s="135" t="e">
        <f>#REF!</f>
        <v>#REF!</v>
      </c>
      <c r="AV17" s="135" t="e">
        <f>#REF!</f>
        <v>#REF!</v>
      </c>
      <c r="AW17" s="135" t="e">
        <f>#REF!</f>
        <v>#REF!</v>
      </c>
      <c r="AX17" s="135">
        <v>14264535.3</v>
      </c>
      <c r="AY17" s="135" t="e">
        <f>#REF!</f>
        <v>#REF!</v>
      </c>
      <c r="AZ17" s="135" t="e">
        <f>#REF!</f>
        <v>#REF!</v>
      </c>
      <c r="BA17" s="135" t="e">
        <f>#REF!</f>
        <v>#REF!</v>
      </c>
      <c r="BB17" s="135">
        <v>1135344.22</v>
      </c>
      <c r="BC17" s="135" t="e">
        <f>#REF!</f>
        <v>#REF!</v>
      </c>
      <c r="BD17" s="135" t="e">
        <f>#REF!</f>
        <v>#REF!</v>
      </c>
      <c r="BE17" s="135" t="e">
        <f>#REF!</f>
        <v>#REF!</v>
      </c>
      <c r="BF17" s="135" t="e">
        <f>#REF!</f>
        <v>#REF!</v>
      </c>
      <c r="BG17" s="135" t="e">
        <f>#REF!</f>
        <v>#REF!</v>
      </c>
      <c r="BH17" s="130">
        <v>12455178.93</v>
      </c>
      <c r="BI17" s="135">
        <v>12725140.77</v>
      </c>
      <c r="BJ17" s="135">
        <v>17536834.83</v>
      </c>
      <c r="BK17" s="115"/>
      <c r="BL17" s="115">
        <f t="shared" si="0"/>
        <v>3272299.53</v>
      </c>
      <c r="BM17" s="115"/>
    </row>
    <row r="18" s="111" customFormat="1" ht="18" customHeight="1" spans="1:66">
      <c r="A18" s="128">
        <v>1.3</v>
      </c>
      <c r="B18" s="134" t="s">
        <v>67</v>
      </c>
      <c r="C18" s="135" t="e">
        <f>#REF!</f>
        <v>#REF!</v>
      </c>
      <c r="D18" s="135" t="e">
        <f>#REF!</f>
        <v>#REF!</v>
      </c>
      <c r="E18" s="135" t="e">
        <f>#REF!</f>
        <v>#REF!</v>
      </c>
      <c r="F18" s="135" t="e">
        <f>#REF!</f>
        <v>#REF!</v>
      </c>
      <c r="G18" s="135" t="e">
        <f>#REF!</f>
        <v>#REF!</v>
      </c>
      <c r="H18" s="135" t="e">
        <f>#REF!</f>
        <v>#REF!</v>
      </c>
      <c r="I18" s="135" t="e">
        <f>#REF!</f>
        <v>#REF!</v>
      </c>
      <c r="J18" s="135" t="e">
        <f>#REF!</f>
        <v>#REF!</v>
      </c>
      <c r="K18" s="135" t="e">
        <f>#REF!</f>
        <v>#REF!</v>
      </c>
      <c r="L18" s="135" t="e">
        <f>#REF!</f>
        <v>#REF!</v>
      </c>
      <c r="M18" s="135" t="e">
        <f>#REF!</f>
        <v>#REF!</v>
      </c>
      <c r="N18" s="135" t="e">
        <f>#REF!</f>
        <v>#REF!</v>
      </c>
      <c r="O18" s="135" t="e">
        <f>#REF!</f>
        <v>#REF!</v>
      </c>
      <c r="P18" s="135" t="e">
        <f>#REF!</f>
        <v>#REF!</v>
      </c>
      <c r="Q18" s="135" t="e">
        <f>#REF!</f>
        <v>#REF!</v>
      </c>
      <c r="R18" s="135" t="e">
        <f>#REF!</f>
        <v>#REF!</v>
      </c>
      <c r="S18" s="135" t="e">
        <f>#REF!</f>
        <v>#REF!</v>
      </c>
      <c r="T18" s="135" t="e">
        <f>#REF!</f>
        <v>#REF!</v>
      </c>
      <c r="U18" s="135" t="e">
        <f>#REF!</f>
        <v>#REF!</v>
      </c>
      <c r="V18" s="135" t="e">
        <f>#REF!</f>
        <v>#REF!</v>
      </c>
      <c r="W18" s="135" t="e">
        <f>#REF!</f>
        <v>#REF!</v>
      </c>
      <c r="X18" s="135" t="e">
        <f>#REF!</f>
        <v>#REF!</v>
      </c>
      <c r="Y18" s="135" t="e">
        <f>#REF!</f>
        <v>#REF!</v>
      </c>
      <c r="Z18" s="135" t="e">
        <f>#REF!</f>
        <v>#REF!</v>
      </c>
      <c r="AA18" s="135" t="e">
        <f>#REF!</f>
        <v>#REF!</v>
      </c>
      <c r="AB18" s="135" t="e">
        <f>#REF!</f>
        <v>#REF!</v>
      </c>
      <c r="AC18" s="135" t="e">
        <f>#REF!</f>
        <v>#REF!</v>
      </c>
      <c r="AD18" s="135" t="e">
        <f>#REF!</f>
        <v>#REF!</v>
      </c>
      <c r="AE18" s="135" t="e">
        <f>#REF!</f>
        <v>#REF!</v>
      </c>
      <c r="AF18" s="135" t="e">
        <f>#REF!</f>
        <v>#REF!</v>
      </c>
      <c r="AG18" s="135" t="e">
        <f>#REF!</f>
        <v>#REF!</v>
      </c>
      <c r="AH18" s="135" t="e">
        <f>#REF!</f>
        <v>#REF!</v>
      </c>
      <c r="AI18" s="135" t="e">
        <f>#REF!</f>
        <v>#REF!</v>
      </c>
      <c r="AJ18" s="135" t="e">
        <f>#REF!</f>
        <v>#REF!</v>
      </c>
      <c r="AK18" s="135" t="e">
        <f>#REF!</f>
        <v>#REF!</v>
      </c>
      <c r="AL18" s="135">
        <v>431818.16</v>
      </c>
      <c r="AM18" s="135" t="e">
        <f>#REF!</f>
        <v>#REF!</v>
      </c>
      <c r="AN18" s="135" t="e">
        <f>#REF!</f>
        <v>#REF!</v>
      </c>
      <c r="AO18" s="135" t="e">
        <f>#REF!</f>
        <v>#REF!</v>
      </c>
      <c r="AP18" s="135" t="e">
        <f>#REF!</f>
        <v>#REF!</v>
      </c>
      <c r="AQ18" s="135" t="e">
        <f>#REF!</f>
        <v>#REF!</v>
      </c>
      <c r="AR18" s="135" t="e">
        <f>#REF!</f>
        <v>#REF!</v>
      </c>
      <c r="AS18" s="135" t="e">
        <f>#REF!</f>
        <v>#REF!</v>
      </c>
      <c r="AT18" s="135" t="e">
        <f>#REF!</f>
        <v>#REF!</v>
      </c>
      <c r="AU18" s="135" t="e">
        <f>#REF!</f>
        <v>#REF!</v>
      </c>
      <c r="AV18" s="135" t="e">
        <f>#REF!</f>
        <v>#REF!</v>
      </c>
      <c r="AW18" s="135" t="e">
        <f>#REF!</f>
        <v>#REF!</v>
      </c>
      <c r="AX18" s="135">
        <v>0</v>
      </c>
      <c r="AY18" s="135" t="e">
        <f>#REF!</f>
        <v>#REF!</v>
      </c>
      <c r="AZ18" s="135" t="e">
        <f>#REF!</f>
        <v>#REF!</v>
      </c>
      <c r="BA18" s="135" t="e">
        <f>#REF!</f>
        <v>#REF!</v>
      </c>
      <c r="BB18" s="135"/>
      <c r="BC18" s="135"/>
      <c r="BD18" s="135"/>
      <c r="BE18" s="135"/>
      <c r="BF18" s="135"/>
      <c r="BG18" s="135"/>
      <c r="BH18" s="130">
        <v>0</v>
      </c>
      <c r="BI18" s="135">
        <v>0</v>
      </c>
      <c r="BJ18" s="135">
        <v>0</v>
      </c>
      <c r="BK18" s="115"/>
      <c r="BL18" s="115">
        <f t="shared" si="0"/>
        <v>0</v>
      </c>
      <c r="BM18" s="115"/>
    </row>
    <row r="19" s="111" customFormat="1" ht="18" customHeight="1" spans="1:66">
      <c r="A19" s="128">
        <v>1.4</v>
      </c>
      <c r="B19" s="134" t="s">
        <v>68</v>
      </c>
      <c r="C19" s="135" t="e">
        <f>#REF!</f>
        <v>#REF!</v>
      </c>
      <c r="D19" s="135" t="e">
        <f>#REF!</f>
        <v>#REF!</v>
      </c>
      <c r="E19" s="135" t="e">
        <f>#REF!</f>
        <v>#REF!</v>
      </c>
      <c r="F19" s="135" t="e">
        <f>#REF!</f>
        <v>#REF!</v>
      </c>
      <c r="G19" s="135" t="e">
        <f>#REF!</f>
        <v>#REF!</v>
      </c>
      <c r="H19" s="135" t="e">
        <f>#REF!</f>
        <v>#REF!</v>
      </c>
      <c r="I19" s="135" t="e">
        <f>#REF!</f>
        <v>#REF!</v>
      </c>
      <c r="J19" s="135" t="e">
        <f>#REF!</f>
        <v>#REF!</v>
      </c>
      <c r="K19" s="135" t="e">
        <f>#REF!</f>
        <v>#REF!</v>
      </c>
      <c r="L19" s="135" t="e">
        <f>#REF!</f>
        <v>#REF!</v>
      </c>
      <c r="M19" s="135" t="e">
        <f>#REF!</f>
        <v>#REF!</v>
      </c>
      <c r="N19" s="135" t="e">
        <f>#REF!</f>
        <v>#REF!</v>
      </c>
      <c r="O19" s="135" t="e">
        <f>#REF!</f>
        <v>#REF!</v>
      </c>
      <c r="P19" s="135" t="e">
        <f>#REF!</f>
        <v>#REF!</v>
      </c>
      <c r="Q19" s="135" t="e">
        <f>#REF!</f>
        <v>#REF!</v>
      </c>
      <c r="R19" s="135" t="e">
        <f>#REF!</f>
        <v>#REF!</v>
      </c>
      <c r="S19" s="135" t="e">
        <f>#REF!</f>
        <v>#REF!</v>
      </c>
      <c r="T19" s="135" t="e">
        <f>#REF!</f>
        <v>#REF!</v>
      </c>
      <c r="U19" s="135" t="e">
        <f>#REF!</f>
        <v>#REF!</v>
      </c>
      <c r="V19" s="135" t="e">
        <f>#REF!</f>
        <v>#REF!</v>
      </c>
      <c r="W19" s="135" t="e">
        <f>#REF!</f>
        <v>#REF!</v>
      </c>
      <c r="X19" s="135" t="e">
        <f>#REF!</f>
        <v>#REF!</v>
      </c>
      <c r="Y19" s="135" t="e">
        <f>#REF!</f>
        <v>#REF!</v>
      </c>
      <c r="Z19" s="135" t="e">
        <f>#REF!</f>
        <v>#REF!</v>
      </c>
      <c r="AA19" s="135" t="e">
        <f>#REF!</f>
        <v>#REF!</v>
      </c>
      <c r="AB19" s="135" t="e">
        <f>#REF!</f>
        <v>#REF!</v>
      </c>
      <c r="AC19" s="135" t="e">
        <f>#REF!</f>
        <v>#REF!</v>
      </c>
      <c r="AD19" s="135" t="e">
        <f>#REF!</f>
        <v>#REF!</v>
      </c>
      <c r="AE19" s="135" t="e">
        <f>#REF!</f>
        <v>#REF!</v>
      </c>
      <c r="AF19" s="135" t="e">
        <f>#REF!</f>
        <v>#REF!</v>
      </c>
      <c r="AG19" s="135" t="e">
        <f>#REF!</f>
        <v>#REF!</v>
      </c>
      <c r="AH19" s="135" t="e">
        <f>#REF!</f>
        <v>#REF!</v>
      </c>
      <c r="AI19" s="135" t="e">
        <f>#REF!</f>
        <v>#REF!</v>
      </c>
      <c r="AJ19" s="135" t="e">
        <f>#REF!</f>
        <v>#REF!</v>
      </c>
      <c r="AK19" s="135" t="e">
        <f>#REF!</f>
        <v>#REF!</v>
      </c>
      <c r="AL19" s="135">
        <v>13488648.84</v>
      </c>
      <c r="AM19" s="135" t="e">
        <f>#REF!</f>
        <v>#REF!</v>
      </c>
      <c r="AN19" s="135" t="e">
        <f>#REF!</f>
        <v>#REF!</v>
      </c>
      <c r="AO19" s="135" t="e">
        <f>#REF!</f>
        <v>#REF!</v>
      </c>
      <c r="AP19" s="135" t="e">
        <f>#REF!</f>
        <v>#REF!</v>
      </c>
      <c r="AQ19" s="135" t="e">
        <f>#REF!</f>
        <v>#REF!</v>
      </c>
      <c r="AR19" s="135" t="e">
        <f>#REF!</f>
        <v>#REF!</v>
      </c>
      <c r="AS19" s="135" t="e">
        <f>#REF!</f>
        <v>#REF!</v>
      </c>
      <c r="AT19" s="135" t="e">
        <f>#REF!</f>
        <v>#REF!</v>
      </c>
      <c r="AU19" s="135" t="e">
        <f>#REF!</f>
        <v>#REF!</v>
      </c>
      <c r="AV19" s="135" t="e">
        <f>#REF!</f>
        <v>#REF!</v>
      </c>
      <c r="AW19" s="135" t="e">
        <f>#REF!</f>
        <v>#REF!</v>
      </c>
      <c r="AX19" s="135">
        <v>17762841.07</v>
      </c>
      <c r="AY19" s="135" t="e">
        <f>#REF!</f>
        <v>#REF!</v>
      </c>
      <c r="AZ19" s="135" t="e">
        <f>#REF!</f>
        <v>#REF!</v>
      </c>
      <c r="BA19" s="135" t="e">
        <f>#REF!</f>
        <v>#REF!</v>
      </c>
      <c r="BB19" s="135" t="e">
        <f>#REF!</f>
        <v>#REF!</v>
      </c>
      <c r="BC19" s="135" t="e">
        <f>#REF!</f>
        <v>#REF!</v>
      </c>
      <c r="BD19" s="135" t="e">
        <f>#REF!</f>
        <v>#REF!</v>
      </c>
      <c r="BE19" s="135" t="e">
        <f>#REF!</f>
        <v>#REF!</v>
      </c>
      <c r="BF19" s="135" t="e">
        <f>#REF!</f>
        <v>#REF!</v>
      </c>
      <c r="BG19" s="135" t="e">
        <f>#REF!</f>
        <v>#REF!</v>
      </c>
      <c r="BH19" s="130">
        <v>19683073.43</v>
      </c>
      <c r="BI19" s="135">
        <v>24855794.85</v>
      </c>
      <c r="BJ19" s="135">
        <v>27259155.36</v>
      </c>
      <c r="BK19" s="115"/>
      <c r="BL19" s="115">
        <f t="shared" si="0"/>
        <v>9496314.29</v>
      </c>
      <c r="BM19" s="115"/>
    </row>
    <row r="20" s="111" customFormat="1" ht="18" customHeight="1" spans="1:66">
      <c r="A20" s="128">
        <v>1.5</v>
      </c>
      <c r="B20" s="134" t="s">
        <v>69</v>
      </c>
      <c r="C20" s="135" t="e">
        <f>#REF!</f>
        <v>#REF!</v>
      </c>
      <c r="D20" s="135" t="e">
        <f>#REF!</f>
        <v>#REF!</v>
      </c>
      <c r="E20" s="135" t="e">
        <f>#REF!</f>
        <v>#REF!</v>
      </c>
      <c r="F20" s="135" t="e">
        <f>#REF!</f>
        <v>#REF!</v>
      </c>
      <c r="G20" s="135" t="e">
        <f>#REF!</f>
        <v>#REF!</v>
      </c>
      <c r="H20" s="135" t="e">
        <f>#REF!</f>
        <v>#REF!</v>
      </c>
      <c r="I20" s="135" t="e">
        <f>#REF!</f>
        <v>#REF!</v>
      </c>
      <c r="J20" s="135" t="e">
        <f>#REF!</f>
        <v>#REF!</v>
      </c>
      <c r="K20" s="135" t="e">
        <f>#REF!</f>
        <v>#REF!</v>
      </c>
      <c r="L20" s="135" t="e">
        <f>#REF!</f>
        <v>#REF!</v>
      </c>
      <c r="M20" s="135" t="e">
        <f>#REF!</f>
        <v>#REF!</v>
      </c>
      <c r="N20" s="135" t="e">
        <f>#REF!</f>
        <v>#REF!</v>
      </c>
      <c r="O20" s="135" t="e">
        <f>#REF!</f>
        <v>#REF!</v>
      </c>
      <c r="P20" s="135" t="e">
        <f>#REF!</f>
        <v>#REF!</v>
      </c>
      <c r="Q20" s="135" t="e">
        <f>#REF!</f>
        <v>#REF!</v>
      </c>
      <c r="R20" s="135" t="e">
        <f>#REF!</f>
        <v>#REF!</v>
      </c>
      <c r="S20" s="135" t="e">
        <f>#REF!</f>
        <v>#REF!</v>
      </c>
      <c r="T20" s="135" t="e">
        <f>#REF!</f>
        <v>#REF!</v>
      </c>
      <c r="U20" s="135" t="e">
        <f>#REF!</f>
        <v>#REF!</v>
      </c>
      <c r="V20" s="135" t="e">
        <f>#REF!</f>
        <v>#REF!</v>
      </c>
      <c r="W20" s="135" t="e">
        <f>#REF!</f>
        <v>#REF!</v>
      </c>
      <c r="X20" s="135" t="e">
        <f>#REF!</f>
        <v>#REF!</v>
      </c>
      <c r="Y20" s="135" t="e">
        <f>#REF!</f>
        <v>#REF!</v>
      </c>
      <c r="Z20" s="135" t="e">
        <f>#REF!</f>
        <v>#REF!</v>
      </c>
      <c r="AA20" s="135" t="e">
        <f>#REF!</f>
        <v>#REF!</v>
      </c>
      <c r="AB20" s="135" t="e">
        <f>#REF!</f>
        <v>#REF!</v>
      </c>
      <c r="AC20" s="135" t="e">
        <f>#REF!</f>
        <v>#REF!</v>
      </c>
      <c r="AD20" s="135" t="e">
        <f>#REF!</f>
        <v>#REF!</v>
      </c>
      <c r="AE20" s="135" t="e">
        <f>#REF!</f>
        <v>#REF!</v>
      </c>
      <c r="AF20" s="135" t="e">
        <f>#REF!</f>
        <v>#REF!</v>
      </c>
      <c r="AG20" s="135" t="e">
        <f>#REF!</f>
        <v>#REF!</v>
      </c>
      <c r="AH20" s="135" t="e">
        <f>#REF!</f>
        <v>#REF!</v>
      </c>
      <c r="AI20" s="135" t="e">
        <f>#REF!</f>
        <v>#REF!</v>
      </c>
      <c r="AJ20" s="135" t="e">
        <f>#REF!</f>
        <v>#REF!</v>
      </c>
      <c r="AK20" s="135" t="e">
        <f>#REF!</f>
        <v>#REF!</v>
      </c>
      <c r="AL20" s="135">
        <v>73092714.44</v>
      </c>
      <c r="AM20" s="135" t="e">
        <f>#REF!</f>
        <v>#REF!</v>
      </c>
      <c r="AN20" s="135" t="e">
        <f>#REF!</f>
        <v>#REF!</v>
      </c>
      <c r="AO20" s="135" t="e">
        <f>#REF!</f>
        <v>#REF!</v>
      </c>
      <c r="AP20" s="135" t="e">
        <f>#REF!</f>
        <v>#REF!</v>
      </c>
      <c r="AQ20" s="135" t="e">
        <f>#REF!</f>
        <v>#REF!</v>
      </c>
      <c r="AR20" s="135" t="e">
        <f>#REF!</f>
        <v>#REF!</v>
      </c>
      <c r="AS20" s="135" t="e">
        <f>#REF!</f>
        <v>#REF!</v>
      </c>
      <c r="AT20" s="135" t="e">
        <f>#REF!</f>
        <v>#REF!</v>
      </c>
      <c r="AU20" s="135" t="e">
        <f>#REF!</f>
        <v>#REF!</v>
      </c>
      <c r="AV20" s="135" t="e">
        <f>#REF!</f>
        <v>#REF!</v>
      </c>
      <c r="AW20" s="135" t="e">
        <f>#REF!</f>
        <v>#REF!</v>
      </c>
      <c r="AX20" s="135">
        <v>54754108.41</v>
      </c>
      <c r="AY20" s="135" t="e">
        <f>#REF!</f>
        <v>#REF!</v>
      </c>
      <c r="AZ20" s="135" t="e">
        <f>#REF!</f>
        <v>#REF!</v>
      </c>
      <c r="BA20" s="135" t="e">
        <f>#REF!</f>
        <v>#REF!</v>
      </c>
      <c r="BB20" s="135">
        <v>22736621.08</v>
      </c>
      <c r="BC20" s="135" t="e">
        <f>#REF!</f>
        <v>#REF!</v>
      </c>
      <c r="BD20" s="135" t="e">
        <f>#REF!</f>
        <v>#REF!</v>
      </c>
      <c r="BE20" s="135" t="e">
        <f>#REF!</f>
        <v>#REF!</v>
      </c>
      <c r="BF20" s="135" t="e">
        <f>#REF!</f>
        <v>#REF!</v>
      </c>
      <c r="BG20" s="135" t="e">
        <f>#REF!</f>
        <v>#REF!</v>
      </c>
      <c r="BH20" s="130">
        <v>84889333.49</v>
      </c>
      <c r="BI20" s="135">
        <v>91846764.55</v>
      </c>
      <c r="BJ20" s="135">
        <v>96169770.22</v>
      </c>
      <c r="BK20" s="115"/>
      <c r="BL20" s="115">
        <f t="shared" si="0"/>
        <v>41415661.81</v>
      </c>
      <c r="BM20" s="115"/>
    </row>
    <row r="21" s="111" customFormat="1" ht="18" customHeight="1" spans="1:66">
      <c r="A21" s="128">
        <v>1.6</v>
      </c>
      <c r="B21" s="134" t="s">
        <v>70</v>
      </c>
      <c r="C21" s="135" t="e">
        <f>#REF!</f>
        <v>#REF!</v>
      </c>
      <c r="D21" s="135" t="e">
        <f>#REF!</f>
        <v>#REF!</v>
      </c>
      <c r="E21" s="135" t="e">
        <f>#REF!</f>
        <v>#REF!</v>
      </c>
      <c r="F21" s="135" t="e">
        <f>#REF!</f>
        <v>#REF!</v>
      </c>
      <c r="G21" s="135" t="e">
        <f>#REF!</f>
        <v>#REF!</v>
      </c>
      <c r="H21" s="135" t="e">
        <f>#REF!</f>
        <v>#REF!</v>
      </c>
      <c r="I21" s="135" t="e">
        <f>#REF!</f>
        <v>#REF!</v>
      </c>
      <c r="J21" s="135" t="e">
        <f>#REF!</f>
        <v>#REF!</v>
      </c>
      <c r="K21" s="135" t="e">
        <f>#REF!</f>
        <v>#REF!</v>
      </c>
      <c r="L21" s="135" t="e">
        <f>#REF!</f>
        <v>#REF!</v>
      </c>
      <c r="M21" s="135" t="e">
        <f>#REF!</f>
        <v>#REF!</v>
      </c>
      <c r="N21" s="135" t="e">
        <f>#REF!</f>
        <v>#REF!</v>
      </c>
      <c r="O21" s="135" t="e">
        <f>#REF!</f>
        <v>#REF!</v>
      </c>
      <c r="P21" s="135" t="e">
        <f>#REF!</f>
        <v>#REF!</v>
      </c>
      <c r="Q21" s="135" t="e">
        <f>#REF!</f>
        <v>#REF!</v>
      </c>
      <c r="R21" s="135" t="e">
        <f>#REF!</f>
        <v>#REF!</v>
      </c>
      <c r="S21" s="135" t="e">
        <f>#REF!</f>
        <v>#REF!</v>
      </c>
      <c r="T21" s="135" t="e">
        <f>#REF!</f>
        <v>#REF!</v>
      </c>
      <c r="U21" s="135" t="e">
        <f>#REF!</f>
        <v>#REF!</v>
      </c>
      <c r="V21" s="135" t="e">
        <f>#REF!</f>
        <v>#REF!</v>
      </c>
      <c r="W21" s="135" t="e">
        <f>#REF!</f>
        <v>#REF!</v>
      </c>
      <c r="X21" s="135" t="e">
        <f>#REF!</f>
        <v>#REF!</v>
      </c>
      <c r="Y21" s="135" t="e">
        <f>#REF!</f>
        <v>#REF!</v>
      </c>
      <c r="Z21" s="135" t="e">
        <f>#REF!</f>
        <v>#REF!</v>
      </c>
      <c r="AA21" s="135" t="e">
        <f>#REF!</f>
        <v>#REF!</v>
      </c>
      <c r="AB21" s="135" t="e">
        <f>#REF!</f>
        <v>#REF!</v>
      </c>
      <c r="AC21" s="135" t="e">
        <f>#REF!</f>
        <v>#REF!</v>
      </c>
      <c r="AD21" s="135" t="e">
        <f>#REF!</f>
        <v>#REF!</v>
      </c>
      <c r="AE21" s="135" t="e">
        <f>#REF!</f>
        <v>#REF!</v>
      </c>
      <c r="AF21" s="135" t="e">
        <f>#REF!</f>
        <v>#REF!</v>
      </c>
      <c r="AG21" s="135" t="e">
        <f>#REF!</f>
        <v>#REF!</v>
      </c>
      <c r="AH21" s="135" t="e">
        <f>#REF!</f>
        <v>#REF!</v>
      </c>
      <c r="AI21" s="135" t="e">
        <f>#REF!</f>
        <v>#REF!</v>
      </c>
      <c r="AJ21" s="135" t="e">
        <f>#REF!</f>
        <v>#REF!</v>
      </c>
      <c r="AK21" s="135" t="e">
        <f>#REF!</f>
        <v>#REF!</v>
      </c>
      <c r="AL21" s="135">
        <v>203862081.47</v>
      </c>
      <c r="AM21" s="135" t="e">
        <f>#REF!</f>
        <v>#REF!</v>
      </c>
      <c r="AN21" s="135" t="e">
        <f>#REF!</f>
        <v>#REF!</v>
      </c>
      <c r="AO21" s="135" t="e">
        <f>#REF!</f>
        <v>#REF!</v>
      </c>
      <c r="AP21" s="135" t="e">
        <f>#REF!</f>
        <v>#REF!</v>
      </c>
      <c r="AQ21" s="135" t="e">
        <f>#REF!</f>
        <v>#REF!</v>
      </c>
      <c r="AR21" s="135" t="e">
        <f>#REF!</f>
        <v>#REF!</v>
      </c>
      <c r="AS21" s="135" t="e">
        <f>#REF!</f>
        <v>#REF!</v>
      </c>
      <c r="AT21" s="135" t="e">
        <f>#REF!</f>
        <v>#REF!</v>
      </c>
      <c r="AU21" s="135" t="e">
        <f>#REF!</f>
        <v>#REF!</v>
      </c>
      <c r="AV21" s="135" t="e">
        <f>#REF!</f>
        <v>#REF!</v>
      </c>
      <c r="AW21" s="135" t="e">
        <f>#REF!</f>
        <v>#REF!</v>
      </c>
      <c r="AX21" s="135">
        <v>647966823.55</v>
      </c>
      <c r="AY21" s="135" t="e">
        <f>#REF!</f>
        <v>#REF!</v>
      </c>
      <c r="AZ21" s="135" t="e">
        <f>#REF!</f>
        <v>#REF!</v>
      </c>
      <c r="BA21" s="135" t="e">
        <f>#REF!</f>
        <v>#REF!</v>
      </c>
      <c r="BB21" s="135">
        <v>56143938.83</v>
      </c>
      <c r="BC21" s="135" t="e">
        <f>#REF!</f>
        <v>#REF!</v>
      </c>
      <c r="BD21" s="135" t="e">
        <f>#REF!</f>
        <v>#REF!</v>
      </c>
      <c r="BE21" s="135" t="e">
        <f>#REF!</f>
        <v>#REF!</v>
      </c>
      <c r="BF21" s="135" t="e">
        <f>#REF!</f>
        <v>#REF!</v>
      </c>
      <c r="BG21" s="135" t="e">
        <f>#REF!</f>
        <v>#REF!</v>
      </c>
      <c r="BH21" s="130">
        <v>271266687.2</v>
      </c>
      <c r="BI21" s="135">
        <v>306981220.07</v>
      </c>
      <c r="BJ21" s="135">
        <v>311386065.02</v>
      </c>
      <c r="BK21" s="115"/>
      <c r="BL21" s="115">
        <f t="shared" si="0"/>
        <v>-336580758.53</v>
      </c>
      <c r="BM21" s="115"/>
    </row>
    <row r="22" s="111" customFormat="1" ht="18" customHeight="1" spans="1:66">
      <c r="A22" s="128" t="s">
        <v>71</v>
      </c>
      <c r="B22" s="129" t="s">
        <v>72</v>
      </c>
      <c r="C22" s="136" t="e">
        <f>C6+C7+C8+C9+C10+C11+C12+C13-C15</f>
        <v>#REF!</v>
      </c>
      <c r="D22" s="136" t="e">
        <f>D6+D7+D8+D9+D10+D11+D12+D13-D15</f>
        <v>#REF!</v>
      </c>
      <c r="E22" s="136" t="e">
        <f>E6+E7+E8+E9+E10+E11+E12+E13-E15</f>
        <v>#REF!</v>
      </c>
      <c r="F22" s="136" t="e">
        <f>F6+F7+F8+F9+F10+F11+F12+F13-F15</f>
        <v>#REF!</v>
      </c>
      <c r="G22" s="136" t="e">
        <f t="shared" ref="G22:BB22" si="3">G6+G7+G8+G9+G10+G11+G12+G13-G15</f>
        <v>#REF!</v>
      </c>
      <c r="H22" s="136" t="e">
        <f t="shared" si="3"/>
        <v>#REF!</v>
      </c>
      <c r="I22" s="136" t="e">
        <f t="shared" si="3"/>
        <v>#REF!</v>
      </c>
      <c r="J22" s="136" t="e">
        <f t="shared" si="3"/>
        <v>#REF!</v>
      </c>
      <c r="K22" s="136" t="e">
        <f t="shared" si="3"/>
        <v>#REF!</v>
      </c>
      <c r="L22" s="136" t="e">
        <f t="shared" si="3"/>
        <v>#REF!</v>
      </c>
      <c r="M22" s="136" t="e">
        <f t="shared" si="3"/>
        <v>#REF!</v>
      </c>
      <c r="N22" s="136" t="e">
        <f t="shared" si="3"/>
        <v>#REF!</v>
      </c>
      <c r="O22" s="136" t="e">
        <f t="shared" si="3"/>
        <v>#REF!</v>
      </c>
      <c r="P22" s="136" t="e">
        <f t="shared" si="3"/>
        <v>#REF!</v>
      </c>
      <c r="Q22" s="136" t="e">
        <f t="shared" si="3"/>
        <v>#REF!</v>
      </c>
      <c r="R22" s="136" t="e">
        <f t="shared" si="3"/>
        <v>#REF!</v>
      </c>
      <c r="S22" s="136" t="e">
        <f t="shared" si="3"/>
        <v>#REF!</v>
      </c>
      <c r="T22" s="136" t="e">
        <f t="shared" si="3"/>
        <v>#REF!</v>
      </c>
      <c r="U22" s="136" t="e">
        <f t="shared" si="3"/>
        <v>#REF!</v>
      </c>
      <c r="V22" s="136" t="e">
        <f t="shared" si="3"/>
        <v>#REF!</v>
      </c>
      <c r="W22" s="136" t="e">
        <f t="shared" si="3"/>
        <v>#REF!</v>
      </c>
      <c r="X22" s="136" t="e">
        <f t="shared" si="3"/>
        <v>#REF!</v>
      </c>
      <c r="Y22" s="136" t="e">
        <f t="shared" si="3"/>
        <v>#REF!</v>
      </c>
      <c r="Z22" s="136" t="e">
        <f t="shared" si="3"/>
        <v>#REF!</v>
      </c>
      <c r="AA22" s="136" t="e">
        <f t="shared" si="3"/>
        <v>#REF!</v>
      </c>
      <c r="AB22" s="136" t="e">
        <f t="shared" si="3"/>
        <v>#REF!</v>
      </c>
      <c r="AC22" s="136" t="e">
        <f t="shared" si="3"/>
        <v>#REF!</v>
      </c>
      <c r="AD22" s="136" t="e">
        <f t="shared" si="3"/>
        <v>#REF!</v>
      </c>
      <c r="AE22" s="136" t="e">
        <f t="shared" si="3"/>
        <v>#REF!</v>
      </c>
      <c r="AF22" s="136" t="e">
        <f t="shared" si="3"/>
        <v>#REF!</v>
      </c>
      <c r="AG22" s="136" t="e">
        <f t="shared" si="3"/>
        <v>#REF!</v>
      </c>
      <c r="AH22" s="136" t="e">
        <f t="shared" si="3"/>
        <v>#REF!</v>
      </c>
      <c r="AI22" s="136" t="e">
        <f t="shared" si="3"/>
        <v>#REF!</v>
      </c>
      <c r="AJ22" s="136" t="e">
        <f t="shared" si="3"/>
        <v>#REF!</v>
      </c>
      <c r="AK22" s="136" t="e">
        <f t="shared" si="3"/>
        <v>#REF!</v>
      </c>
      <c r="AL22" s="136">
        <v>410960434.050001</v>
      </c>
      <c r="AM22" s="136" t="e">
        <f t="shared" si="3"/>
        <v>#REF!</v>
      </c>
      <c r="AN22" s="136" t="e">
        <f t="shared" si="3"/>
        <v>#REF!</v>
      </c>
      <c r="AO22" s="136" t="e">
        <f t="shared" si="3"/>
        <v>#REF!</v>
      </c>
      <c r="AP22" s="136" t="e">
        <f t="shared" si="3"/>
        <v>#REF!</v>
      </c>
      <c r="AQ22" s="136" t="e">
        <f t="shared" si="3"/>
        <v>#REF!</v>
      </c>
      <c r="AR22" s="136" t="e">
        <f t="shared" si="3"/>
        <v>#REF!</v>
      </c>
      <c r="AS22" s="136" t="e">
        <f t="shared" si="3"/>
        <v>#REF!</v>
      </c>
      <c r="AT22" s="136" t="e">
        <f t="shared" si="3"/>
        <v>#REF!</v>
      </c>
      <c r="AU22" s="136" t="e">
        <f t="shared" si="3"/>
        <v>#REF!</v>
      </c>
      <c r="AV22" s="136" t="e">
        <f t="shared" si="3"/>
        <v>#REF!</v>
      </c>
      <c r="AW22" s="136" t="e">
        <f t="shared" si="3"/>
        <v>#REF!</v>
      </c>
      <c r="AX22" s="136">
        <v>236167446.910329</v>
      </c>
      <c r="AY22" s="136" t="e">
        <f t="shared" si="3"/>
        <v>#REF!</v>
      </c>
      <c r="AZ22" s="136" t="e">
        <f t="shared" si="3"/>
        <v>#REF!</v>
      </c>
      <c r="BA22" s="136" t="e">
        <f t="shared" si="3"/>
        <v>#REF!</v>
      </c>
      <c r="BB22" s="136">
        <v>71749081.7</v>
      </c>
      <c r="BC22" s="136" t="e">
        <f>BC6+BC7+BC8+BC9+BC10+BC11+BC12+BC13-BC15</f>
        <v>#REF!</v>
      </c>
      <c r="BD22" s="136" t="e">
        <f>BD6+BD7+BD8+BD9+BD10+BD11+BD12+BD13-BD15</f>
        <v>#REF!</v>
      </c>
      <c r="BE22" s="136" t="e">
        <f>BE6+BE7+BE8+BE9+BE10+BE11+BE12+BE13-BE15</f>
        <v>#REF!</v>
      </c>
      <c r="BF22" s="136" t="e">
        <f>BF6+BF7+BF8+BF9+BF10+BF11+BF12+BF13-BF15</f>
        <v>#REF!</v>
      </c>
      <c r="BG22" s="136" t="e">
        <f>BG6+BG7+BG8+BG9+BG10+BG11+BG12+BG13-BG15</f>
        <v>#REF!</v>
      </c>
      <c r="BH22" s="130">
        <v>177860434.29</v>
      </c>
      <c r="BI22" s="136">
        <v>202232162.64</v>
      </c>
      <c r="BJ22" s="136">
        <f>BJ6+BJ7+BJ8+BJ9+BJ10+BJ11+BJ12+BJ13+BJ14-BJ15</f>
        <v>254128851.6</v>
      </c>
      <c r="BK22" s="115">
        <f>BJ22+BJ16-BJ14</f>
        <v>245766532.02</v>
      </c>
      <c r="BL22" s="115">
        <f t="shared" si="0"/>
        <v>17961404.689671</v>
      </c>
      <c r="BM22" s="115">
        <f>BL22-BL23-BL38</f>
        <v>71820622.859671</v>
      </c>
      <c r="BN22" s="137"/>
    </row>
    <row r="23" s="111" customFormat="1" ht="18" customHeight="1" spans="1:66">
      <c r="A23" s="128" t="s">
        <v>73</v>
      </c>
      <c r="B23" s="129" t="s">
        <v>74</v>
      </c>
      <c r="C23" s="130" t="e">
        <f>C24+C27+C35+C36</f>
        <v>#REF!</v>
      </c>
      <c r="D23" s="130" t="e">
        <f>D24+D27+D35+D36</f>
        <v>#REF!</v>
      </c>
      <c r="E23" s="130" t="e">
        <f>E24+E27+E35+E36</f>
        <v>#REF!</v>
      </c>
      <c r="F23" s="130" t="e">
        <f>F24+F27+F35+F36</f>
        <v>#REF!</v>
      </c>
      <c r="G23" s="130" t="e">
        <f t="shared" ref="G23:BB23" si="4">G24+G27+G35+G36</f>
        <v>#REF!</v>
      </c>
      <c r="H23" s="130" t="e">
        <f t="shared" si="4"/>
        <v>#REF!</v>
      </c>
      <c r="I23" s="130" t="e">
        <f t="shared" si="4"/>
        <v>#REF!</v>
      </c>
      <c r="J23" s="130" t="e">
        <f t="shared" si="4"/>
        <v>#REF!</v>
      </c>
      <c r="K23" s="130" t="e">
        <f t="shared" si="4"/>
        <v>#REF!</v>
      </c>
      <c r="L23" s="130" t="e">
        <f t="shared" si="4"/>
        <v>#REF!</v>
      </c>
      <c r="M23" s="130" t="e">
        <f t="shared" si="4"/>
        <v>#REF!</v>
      </c>
      <c r="N23" s="130" t="e">
        <f t="shared" si="4"/>
        <v>#REF!</v>
      </c>
      <c r="O23" s="130" t="e">
        <f t="shared" si="4"/>
        <v>#REF!</v>
      </c>
      <c r="P23" s="130" t="e">
        <f t="shared" si="4"/>
        <v>#REF!</v>
      </c>
      <c r="Q23" s="130" t="e">
        <f t="shared" si="4"/>
        <v>#REF!</v>
      </c>
      <c r="R23" s="130" t="e">
        <f t="shared" si="4"/>
        <v>#REF!</v>
      </c>
      <c r="S23" s="130" t="e">
        <f t="shared" si="4"/>
        <v>#REF!</v>
      </c>
      <c r="T23" s="130" t="e">
        <f t="shared" si="4"/>
        <v>#REF!</v>
      </c>
      <c r="U23" s="130" t="e">
        <f t="shared" si="4"/>
        <v>#REF!</v>
      </c>
      <c r="V23" s="130" t="e">
        <f t="shared" si="4"/>
        <v>#REF!</v>
      </c>
      <c r="W23" s="130" t="e">
        <f t="shared" si="4"/>
        <v>#REF!</v>
      </c>
      <c r="X23" s="130" t="e">
        <f t="shared" si="4"/>
        <v>#REF!</v>
      </c>
      <c r="Y23" s="130" t="e">
        <f t="shared" si="4"/>
        <v>#REF!</v>
      </c>
      <c r="Z23" s="130" t="e">
        <f t="shared" si="4"/>
        <v>#REF!</v>
      </c>
      <c r="AA23" s="130" t="e">
        <f t="shared" si="4"/>
        <v>#REF!</v>
      </c>
      <c r="AB23" s="130" t="e">
        <f t="shared" si="4"/>
        <v>#REF!</v>
      </c>
      <c r="AC23" s="130" t="e">
        <f t="shared" si="4"/>
        <v>#REF!</v>
      </c>
      <c r="AD23" s="130" t="e">
        <f t="shared" si="4"/>
        <v>#REF!</v>
      </c>
      <c r="AE23" s="130" t="e">
        <f t="shared" si="4"/>
        <v>#REF!</v>
      </c>
      <c r="AF23" s="130" t="e">
        <f t="shared" si="4"/>
        <v>#REF!</v>
      </c>
      <c r="AG23" s="130" t="e">
        <f t="shared" si="4"/>
        <v>#REF!</v>
      </c>
      <c r="AH23" s="130" t="e">
        <f t="shared" si="4"/>
        <v>#REF!</v>
      </c>
      <c r="AI23" s="130" t="e">
        <f t="shared" si="4"/>
        <v>#REF!</v>
      </c>
      <c r="AJ23" s="130" t="e">
        <f t="shared" si="4"/>
        <v>#REF!</v>
      </c>
      <c r="AK23" s="130" t="e">
        <f t="shared" si="4"/>
        <v>#REF!</v>
      </c>
      <c r="AL23" s="130">
        <v>238810853.16</v>
      </c>
      <c r="AM23" s="130" t="e">
        <f t="shared" si="4"/>
        <v>#REF!</v>
      </c>
      <c r="AN23" s="130" t="e">
        <f t="shared" si="4"/>
        <v>#REF!</v>
      </c>
      <c r="AO23" s="130" t="e">
        <f t="shared" si="4"/>
        <v>#REF!</v>
      </c>
      <c r="AP23" s="130" t="e">
        <f t="shared" si="4"/>
        <v>#REF!</v>
      </c>
      <c r="AQ23" s="130" t="e">
        <f t="shared" si="4"/>
        <v>#REF!</v>
      </c>
      <c r="AR23" s="130" t="e">
        <f t="shared" si="4"/>
        <v>#REF!</v>
      </c>
      <c r="AS23" s="130" t="e">
        <f t="shared" si="4"/>
        <v>#REF!</v>
      </c>
      <c r="AT23" s="130" t="e">
        <f t="shared" si="4"/>
        <v>#REF!</v>
      </c>
      <c r="AU23" s="130" t="e">
        <f t="shared" si="4"/>
        <v>#REF!</v>
      </c>
      <c r="AV23" s="130" t="e">
        <f t="shared" si="4"/>
        <v>#REF!</v>
      </c>
      <c r="AW23" s="130" t="e">
        <f t="shared" si="4"/>
        <v>#REF!</v>
      </c>
      <c r="AX23" s="130">
        <v>163420393.75</v>
      </c>
      <c r="AY23" s="130" t="e">
        <f t="shared" si="4"/>
        <v>#REF!</v>
      </c>
      <c r="AZ23" s="130" t="e">
        <f t="shared" si="4"/>
        <v>#REF!</v>
      </c>
      <c r="BA23" s="130" t="e">
        <f t="shared" si="4"/>
        <v>#REF!</v>
      </c>
      <c r="BB23" s="130">
        <v>37678366.83</v>
      </c>
      <c r="BC23" s="130" t="e">
        <f>BC24+BC27+BC35+BC36</f>
        <v>#REF!</v>
      </c>
      <c r="BD23" s="130" t="e">
        <f>BD24+BD27+BD35+BD36</f>
        <v>#REF!</v>
      </c>
      <c r="BE23" s="130" t="e">
        <f>BE24+BE27+BE35+BE36</f>
        <v>#REF!</v>
      </c>
      <c r="BF23" s="130" t="e">
        <f>BF24+BF27+BF35+BF36</f>
        <v>#REF!</v>
      </c>
      <c r="BG23" s="130" t="e">
        <f>BG24+BG27+BG35+BG36</f>
        <v>#REF!</v>
      </c>
      <c r="BH23" s="130">
        <v>89271194.46</v>
      </c>
      <c r="BI23" s="130">
        <v>98327631.43</v>
      </c>
      <c r="BJ23" s="130">
        <f>125550481.87-0.01-11125101.41+323310</f>
        <v>114748690.45</v>
      </c>
      <c r="BK23" s="138">
        <f>BK22*1.06/10000</f>
        <v>26051.25239412</v>
      </c>
      <c r="BL23" s="115">
        <f t="shared" si="0"/>
        <v>-48671703.3</v>
      </c>
      <c r="BM23" s="115"/>
      <c r="BN23" s="137"/>
    </row>
    <row r="24" s="111" customFormat="1" ht="18" customHeight="1" spans="1:66">
      <c r="A24" s="139">
        <v>1</v>
      </c>
      <c r="B24" s="140" t="s">
        <v>75</v>
      </c>
      <c r="C24" s="141" t="e">
        <f>C25+C26</f>
        <v>#REF!</v>
      </c>
      <c r="D24" s="141" t="e">
        <f>D25+D26</f>
        <v>#REF!</v>
      </c>
      <c r="E24" s="141" t="e">
        <f>E25+E26</f>
        <v>#REF!</v>
      </c>
      <c r="F24" s="141" t="e">
        <f>F25+F26</f>
        <v>#REF!</v>
      </c>
      <c r="G24" s="141" t="e">
        <f t="shared" ref="G24:BB24" si="5">G25+G26</f>
        <v>#REF!</v>
      </c>
      <c r="H24" s="141" t="e">
        <f t="shared" si="5"/>
        <v>#REF!</v>
      </c>
      <c r="I24" s="141" t="e">
        <f t="shared" si="5"/>
        <v>#REF!</v>
      </c>
      <c r="J24" s="141" t="e">
        <f t="shared" si="5"/>
        <v>#REF!</v>
      </c>
      <c r="K24" s="141" t="e">
        <f t="shared" si="5"/>
        <v>#REF!</v>
      </c>
      <c r="L24" s="141" t="e">
        <f t="shared" si="5"/>
        <v>#REF!</v>
      </c>
      <c r="M24" s="141" t="e">
        <f t="shared" si="5"/>
        <v>#REF!</v>
      </c>
      <c r="N24" s="141" t="e">
        <f t="shared" si="5"/>
        <v>#REF!</v>
      </c>
      <c r="O24" s="141" t="e">
        <f t="shared" si="5"/>
        <v>#REF!</v>
      </c>
      <c r="P24" s="141" t="e">
        <f t="shared" si="5"/>
        <v>#REF!</v>
      </c>
      <c r="Q24" s="141" t="e">
        <f t="shared" si="5"/>
        <v>#REF!</v>
      </c>
      <c r="R24" s="141" t="e">
        <f t="shared" si="5"/>
        <v>#REF!</v>
      </c>
      <c r="S24" s="141" t="e">
        <f t="shared" si="5"/>
        <v>#REF!</v>
      </c>
      <c r="T24" s="141" t="e">
        <f t="shared" si="5"/>
        <v>#REF!</v>
      </c>
      <c r="U24" s="141" t="e">
        <f t="shared" si="5"/>
        <v>#REF!</v>
      </c>
      <c r="V24" s="141" t="e">
        <f t="shared" si="5"/>
        <v>#REF!</v>
      </c>
      <c r="W24" s="141" t="e">
        <f t="shared" si="5"/>
        <v>#REF!</v>
      </c>
      <c r="X24" s="141" t="e">
        <f t="shared" si="5"/>
        <v>#REF!</v>
      </c>
      <c r="Y24" s="141" t="e">
        <f t="shared" si="5"/>
        <v>#REF!</v>
      </c>
      <c r="Z24" s="141" t="e">
        <f t="shared" si="5"/>
        <v>#REF!</v>
      </c>
      <c r="AA24" s="141" t="e">
        <f t="shared" si="5"/>
        <v>#REF!</v>
      </c>
      <c r="AB24" s="141" t="e">
        <f t="shared" si="5"/>
        <v>#REF!</v>
      </c>
      <c r="AC24" s="141" t="e">
        <f t="shared" si="5"/>
        <v>#REF!</v>
      </c>
      <c r="AD24" s="141" t="e">
        <f t="shared" si="5"/>
        <v>#REF!</v>
      </c>
      <c r="AE24" s="141" t="e">
        <f t="shared" si="5"/>
        <v>#REF!</v>
      </c>
      <c r="AF24" s="141" t="e">
        <f t="shared" si="5"/>
        <v>#REF!</v>
      </c>
      <c r="AG24" s="141" t="e">
        <f t="shared" si="5"/>
        <v>#REF!</v>
      </c>
      <c r="AH24" s="141" t="e">
        <f t="shared" si="5"/>
        <v>#REF!</v>
      </c>
      <c r="AI24" s="141" t="e">
        <f t="shared" si="5"/>
        <v>#REF!</v>
      </c>
      <c r="AJ24" s="141" t="e">
        <f t="shared" si="5"/>
        <v>#REF!</v>
      </c>
      <c r="AK24" s="141" t="e">
        <f t="shared" si="5"/>
        <v>#REF!</v>
      </c>
      <c r="AL24" s="141">
        <v>130423801.58</v>
      </c>
      <c r="AM24" s="141" t="e">
        <f t="shared" si="5"/>
        <v>#REF!</v>
      </c>
      <c r="AN24" s="141" t="e">
        <f t="shared" si="5"/>
        <v>#REF!</v>
      </c>
      <c r="AO24" s="141" t="e">
        <f t="shared" si="5"/>
        <v>#REF!</v>
      </c>
      <c r="AP24" s="141" t="e">
        <f t="shared" si="5"/>
        <v>#REF!</v>
      </c>
      <c r="AQ24" s="141" t="e">
        <f t="shared" si="5"/>
        <v>#REF!</v>
      </c>
      <c r="AR24" s="141" t="e">
        <f t="shared" si="5"/>
        <v>#REF!</v>
      </c>
      <c r="AS24" s="141" t="e">
        <f t="shared" si="5"/>
        <v>#REF!</v>
      </c>
      <c r="AT24" s="141" t="e">
        <f t="shared" si="5"/>
        <v>#REF!</v>
      </c>
      <c r="AU24" s="141" t="e">
        <f t="shared" si="5"/>
        <v>#REF!</v>
      </c>
      <c r="AV24" s="141" t="e">
        <f t="shared" si="5"/>
        <v>#REF!</v>
      </c>
      <c r="AW24" s="141" t="e">
        <f t="shared" si="5"/>
        <v>#REF!</v>
      </c>
      <c r="AX24" s="141">
        <v>101046684.01</v>
      </c>
      <c r="AY24" s="141" t="e">
        <f t="shared" si="5"/>
        <v>#REF!</v>
      </c>
      <c r="AZ24" s="141" t="e">
        <f t="shared" si="5"/>
        <v>#REF!</v>
      </c>
      <c r="BA24" s="141" t="e">
        <f t="shared" si="5"/>
        <v>#REF!</v>
      </c>
      <c r="BB24" s="141">
        <v>26758677.96</v>
      </c>
      <c r="BC24" s="141" t="e">
        <f>BC25+BC26</f>
        <v>#REF!</v>
      </c>
      <c r="BD24" s="141" t="e">
        <f>BD25+BD26</f>
        <v>#REF!</v>
      </c>
      <c r="BE24" s="141" t="e">
        <f>BE25+BE26</f>
        <v>#REF!</v>
      </c>
      <c r="BF24" s="141" t="e">
        <f>BF25+BF26</f>
        <v>#REF!</v>
      </c>
      <c r="BG24" s="141" t="e">
        <f>BG25+BG26</f>
        <v>#REF!</v>
      </c>
      <c r="BH24" s="142">
        <v>62377259.66</v>
      </c>
      <c r="BI24" s="141">
        <v>68314324.78</v>
      </c>
      <c r="BJ24" s="141">
        <v>80877268.6</v>
      </c>
      <c r="BK24" s="115"/>
      <c r="BL24" s="115">
        <f t="shared" si="0"/>
        <v>-20169415.41</v>
      </c>
      <c r="BM24" s="115"/>
      <c r="BN24" s="137"/>
    </row>
    <row r="25" s="111" customFormat="1" ht="18" customHeight="1" spans="1:66">
      <c r="A25" s="128">
        <v>1.1</v>
      </c>
      <c r="B25" s="134" t="s">
        <v>76</v>
      </c>
      <c r="C25" s="135" t="e">
        <f>#REF!+#REF!</f>
        <v>#REF!</v>
      </c>
      <c r="D25" s="135" t="e">
        <f>#REF!+#REF!</f>
        <v>#REF!</v>
      </c>
      <c r="E25" s="135" t="e">
        <f>#REF!+#REF!</f>
        <v>#REF!</v>
      </c>
      <c r="F25" s="135" t="e">
        <f>#REF!+#REF!</f>
        <v>#REF!</v>
      </c>
      <c r="G25" s="135" t="e">
        <f>#REF!+#REF!</f>
        <v>#REF!</v>
      </c>
      <c r="H25" s="135" t="e">
        <f>#REF!+#REF!</f>
        <v>#REF!</v>
      </c>
      <c r="I25" s="135" t="e">
        <f>#REF!+#REF!</f>
        <v>#REF!</v>
      </c>
      <c r="J25" s="135" t="e">
        <f>#REF!+#REF!</f>
        <v>#REF!</v>
      </c>
      <c r="K25" s="135" t="e">
        <f>#REF!+#REF!</f>
        <v>#REF!</v>
      </c>
      <c r="L25" s="135" t="e">
        <f>#REF!+#REF!</f>
        <v>#REF!</v>
      </c>
      <c r="M25" s="135" t="e">
        <f>#REF!+#REF!</f>
        <v>#REF!</v>
      </c>
      <c r="N25" s="135" t="e">
        <f>#REF!+#REF!</f>
        <v>#REF!</v>
      </c>
      <c r="O25" s="135" t="e">
        <f>#REF!+#REF!</f>
        <v>#REF!</v>
      </c>
      <c r="P25" s="135" t="e">
        <f>#REF!+#REF!</f>
        <v>#REF!</v>
      </c>
      <c r="Q25" s="135" t="e">
        <f>#REF!+#REF!</f>
        <v>#REF!</v>
      </c>
      <c r="R25" s="135" t="e">
        <f>#REF!+#REF!</f>
        <v>#REF!</v>
      </c>
      <c r="S25" s="135" t="e">
        <f>#REF!+#REF!</f>
        <v>#REF!</v>
      </c>
      <c r="T25" s="135" t="e">
        <f>#REF!+#REF!</f>
        <v>#REF!</v>
      </c>
      <c r="U25" s="135" t="e">
        <f>#REF!+#REF!</f>
        <v>#REF!</v>
      </c>
      <c r="V25" s="135" t="e">
        <f>#REF!+#REF!</f>
        <v>#REF!</v>
      </c>
      <c r="W25" s="135" t="e">
        <f>#REF!+#REF!</f>
        <v>#REF!</v>
      </c>
      <c r="X25" s="135" t="e">
        <f>#REF!+#REF!</f>
        <v>#REF!</v>
      </c>
      <c r="Y25" s="135" t="e">
        <f>#REF!+#REF!</f>
        <v>#REF!</v>
      </c>
      <c r="Z25" s="135" t="e">
        <f>#REF!+#REF!</f>
        <v>#REF!</v>
      </c>
      <c r="AA25" s="135" t="e">
        <f>#REF!+#REF!</f>
        <v>#REF!</v>
      </c>
      <c r="AB25" s="135" t="e">
        <f>#REF!+#REF!</f>
        <v>#REF!</v>
      </c>
      <c r="AC25" s="135" t="e">
        <f>#REF!+#REF!</f>
        <v>#REF!</v>
      </c>
      <c r="AD25" s="135" t="e">
        <f>#REF!+#REF!</f>
        <v>#REF!</v>
      </c>
      <c r="AE25" s="135" t="e">
        <f>#REF!+#REF!</f>
        <v>#REF!</v>
      </c>
      <c r="AF25" s="135" t="e">
        <f>#REF!+#REF!</f>
        <v>#REF!</v>
      </c>
      <c r="AG25" s="135" t="e">
        <f>#REF!+#REF!</f>
        <v>#REF!</v>
      </c>
      <c r="AH25" s="135" t="e">
        <f>#REF!+#REF!</f>
        <v>#REF!</v>
      </c>
      <c r="AI25" s="135" t="e">
        <f>#REF!+#REF!</f>
        <v>#REF!</v>
      </c>
      <c r="AJ25" s="135" t="e">
        <f>#REF!+#REF!</f>
        <v>#REF!</v>
      </c>
      <c r="AK25" s="135" t="e">
        <f>#REF!+#REF!</f>
        <v>#REF!</v>
      </c>
      <c r="AL25" s="135">
        <v>90779937.97</v>
      </c>
      <c r="AM25" s="135" t="e">
        <f>#REF!+#REF!</f>
        <v>#REF!</v>
      </c>
      <c r="AN25" s="135" t="e">
        <f>#REF!+#REF!</f>
        <v>#REF!</v>
      </c>
      <c r="AO25" s="135" t="e">
        <f>#REF!+#REF!</f>
        <v>#REF!</v>
      </c>
      <c r="AP25" s="135" t="e">
        <f>#REF!+#REF!</f>
        <v>#REF!</v>
      </c>
      <c r="AQ25" s="135" t="e">
        <f>#REF!+#REF!</f>
        <v>#REF!</v>
      </c>
      <c r="AR25" s="135" t="e">
        <f>#REF!+#REF!</f>
        <v>#REF!</v>
      </c>
      <c r="AS25" s="135" t="e">
        <f>#REF!+#REF!</f>
        <v>#REF!</v>
      </c>
      <c r="AT25" s="135" t="e">
        <f>#REF!+#REF!</f>
        <v>#REF!</v>
      </c>
      <c r="AU25" s="135" t="e">
        <f>#REF!+#REF!</f>
        <v>#REF!</v>
      </c>
      <c r="AV25" s="135" t="e">
        <f>#REF!+#REF!</f>
        <v>#REF!</v>
      </c>
      <c r="AW25" s="135" t="e">
        <f>#REF!+#REF!</f>
        <v>#REF!</v>
      </c>
      <c r="AX25" s="135">
        <v>70391752.94</v>
      </c>
      <c r="AY25" s="135" t="e">
        <f>#REF!+#REF!</f>
        <v>#REF!</v>
      </c>
      <c r="AZ25" s="135" t="e">
        <f>#REF!+#REF!</f>
        <v>#REF!</v>
      </c>
      <c r="BA25" s="135" t="e">
        <f>#REF!+#REF!</f>
        <v>#REF!</v>
      </c>
      <c r="BB25" s="135">
        <v>19935260.67</v>
      </c>
      <c r="BC25" s="135" t="e">
        <f>#REF!+#REF!</f>
        <v>#REF!</v>
      </c>
      <c r="BD25" s="135" t="e">
        <f>#REF!+#REF!</f>
        <v>#REF!</v>
      </c>
      <c r="BE25" s="135" t="e">
        <f>#REF!+#REF!</f>
        <v>#REF!</v>
      </c>
      <c r="BF25" s="135" t="e">
        <f>#REF!+#REF!</f>
        <v>#REF!</v>
      </c>
      <c r="BG25" s="135" t="e">
        <f>#REF!+#REF!</f>
        <v>#REF!</v>
      </c>
      <c r="BH25" s="130">
        <v>44928021.16</v>
      </c>
      <c r="BI25" s="135">
        <v>49173720.58</v>
      </c>
      <c r="BJ25" s="135">
        <v>57548353.48</v>
      </c>
      <c r="BK25" s="138"/>
      <c r="BL25" s="115">
        <f t="shared" si="0"/>
        <v>-12843399.46</v>
      </c>
      <c r="BM25" s="115"/>
      <c r="BN25" s="137"/>
    </row>
    <row r="26" s="111" customFormat="1" ht="18" customHeight="1" spans="1:66">
      <c r="A26" s="128">
        <v>1.2</v>
      </c>
      <c r="B26" s="134" t="s">
        <v>77</v>
      </c>
      <c r="C26" s="135" t="e">
        <f>#REF!</f>
        <v>#REF!</v>
      </c>
      <c r="D26" s="135" t="e">
        <f>#REF!</f>
        <v>#REF!</v>
      </c>
      <c r="E26" s="135" t="e">
        <f>#REF!</f>
        <v>#REF!</v>
      </c>
      <c r="F26" s="135" t="e">
        <f>#REF!</f>
        <v>#REF!</v>
      </c>
      <c r="G26" s="135" t="e">
        <f>#REF!</f>
        <v>#REF!</v>
      </c>
      <c r="H26" s="135" t="e">
        <f>#REF!</f>
        <v>#REF!</v>
      </c>
      <c r="I26" s="135" t="e">
        <f>#REF!</f>
        <v>#REF!</v>
      </c>
      <c r="J26" s="135" t="e">
        <f>#REF!</f>
        <v>#REF!</v>
      </c>
      <c r="K26" s="135" t="e">
        <f>#REF!</f>
        <v>#REF!</v>
      </c>
      <c r="L26" s="135" t="e">
        <f>#REF!</f>
        <v>#REF!</v>
      </c>
      <c r="M26" s="135" t="e">
        <f>#REF!</f>
        <v>#REF!</v>
      </c>
      <c r="N26" s="135" t="e">
        <f>#REF!</f>
        <v>#REF!</v>
      </c>
      <c r="O26" s="135" t="e">
        <f>#REF!</f>
        <v>#REF!</v>
      </c>
      <c r="P26" s="135" t="e">
        <f>#REF!</f>
        <v>#REF!</v>
      </c>
      <c r="Q26" s="135" t="e">
        <f>#REF!</f>
        <v>#REF!</v>
      </c>
      <c r="R26" s="135" t="e">
        <f>#REF!</f>
        <v>#REF!</v>
      </c>
      <c r="S26" s="135" t="e">
        <f>#REF!</f>
        <v>#REF!</v>
      </c>
      <c r="T26" s="135" t="e">
        <f>#REF!</f>
        <v>#REF!</v>
      </c>
      <c r="U26" s="135" t="e">
        <f>#REF!</f>
        <v>#REF!</v>
      </c>
      <c r="V26" s="135" t="e">
        <f>#REF!</f>
        <v>#REF!</v>
      </c>
      <c r="W26" s="135" t="e">
        <f>#REF!</f>
        <v>#REF!</v>
      </c>
      <c r="X26" s="135" t="e">
        <f>#REF!</f>
        <v>#REF!</v>
      </c>
      <c r="Y26" s="135" t="e">
        <f>#REF!</f>
        <v>#REF!</v>
      </c>
      <c r="Z26" s="135" t="e">
        <f>#REF!</f>
        <v>#REF!</v>
      </c>
      <c r="AA26" s="135" t="e">
        <f>#REF!</f>
        <v>#REF!</v>
      </c>
      <c r="AB26" s="135" t="e">
        <f>#REF!</f>
        <v>#REF!</v>
      </c>
      <c r="AC26" s="135" t="e">
        <f>#REF!</f>
        <v>#REF!</v>
      </c>
      <c r="AD26" s="135" t="e">
        <f>#REF!</f>
        <v>#REF!</v>
      </c>
      <c r="AE26" s="135" t="e">
        <f>#REF!</f>
        <v>#REF!</v>
      </c>
      <c r="AF26" s="135" t="e">
        <f>#REF!</f>
        <v>#REF!</v>
      </c>
      <c r="AG26" s="135" t="e">
        <f>#REF!</f>
        <v>#REF!</v>
      </c>
      <c r="AH26" s="135" t="e">
        <f>#REF!</f>
        <v>#REF!</v>
      </c>
      <c r="AI26" s="135" t="e">
        <f>#REF!</f>
        <v>#REF!</v>
      </c>
      <c r="AJ26" s="135" t="e">
        <f>#REF!</f>
        <v>#REF!</v>
      </c>
      <c r="AK26" s="135" t="e">
        <f>#REF!</f>
        <v>#REF!</v>
      </c>
      <c r="AL26" s="135">
        <v>39643863.61</v>
      </c>
      <c r="AM26" s="135" t="e">
        <f>#REF!</f>
        <v>#REF!</v>
      </c>
      <c r="AN26" s="135" t="e">
        <f>#REF!</f>
        <v>#REF!</v>
      </c>
      <c r="AO26" s="135" t="e">
        <f>#REF!</f>
        <v>#REF!</v>
      </c>
      <c r="AP26" s="135" t="e">
        <f>#REF!</f>
        <v>#REF!</v>
      </c>
      <c r="AQ26" s="135" t="e">
        <f>#REF!</f>
        <v>#REF!</v>
      </c>
      <c r="AR26" s="135" t="e">
        <f>#REF!</f>
        <v>#REF!</v>
      </c>
      <c r="AS26" s="135" t="e">
        <f>#REF!</f>
        <v>#REF!</v>
      </c>
      <c r="AT26" s="135" t="e">
        <f>#REF!</f>
        <v>#REF!</v>
      </c>
      <c r="AU26" s="135" t="e">
        <f>#REF!</f>
        <v>#REF!</v>
      </c>
      <c r="AV26" s="135" t="e">
        <f>#REF!</f>
        <v>#REF!</v>
      </c>
      <c r="AW26" s="135" t="e">
        <f>#REF!</f>
        <v>#REF!</v>
      </c>
      <c r="AX26" s="135">
        <v>30654931.07</v>
      </c>
      <c r="AY26" s="135" t="e">
        <f>#REF!</f>
        <v>#REF!</v>
      </c>
      <c r="AZ26" s="135" t="e">
        <f>#REF!</f>
        <v>#REF!</v>
      </c>
      <c r="BA26" s="135" t="e">
        <f>#REF!</f>
        <v>#REF!</v>
      </c>
      <c r="BB26" s="135">
        <v>6823417.29</v>
      </c>
      <c r="BC26" s="135" t="e">
        <f>#REF!</f>
        <v>#REF!</v>
      </c>
      <c r="BD26" s="135" t="e">
        <f>#REF!</f>
        <v>#REF!</v>
      </c>
      <c r="BE26" s="135" t="e">
        <f>#REF!</f>
        <v>#REF!</v>
      </c>
      <c r="BF26" s="135" t="e">
        <f>#REF!</f>
        <v>#REF!</v>
      </c>
      <c r="BG26" s="135" t="e">
        <f>#REF!</f>
        <v>#REF!</v>
      </c>
      <c r="BH26" s="130">
        <v>17449238.5</v>
      </c>
      <c r="BI26" s="135">
        <v>19140604.2</v>
      </c>
      <c r="BJ26" s="135">
        <v>23328915.12</v>
      </c>
      <c r="BK26" s="138"/>
      <c r="BL26" s="115">
        <f t="shared" si="0"/>
        <v>-7326015.95</v>
      </c>
      <c r="BM26" s="115"/>
      <c r="BN26" s="137"/>
    </row>
    <row r="27" s="111" customFormat="1" ht="18" customHeight="1" spans="1:66">
      <c r="A27" s="128">
        <v>2</v>
      </c>
      <c r="B27" s="140" t="s">
        <v>78</v>
      </c>
      <c r="C27" s="141" t="e">
        <f>SUM(C28:C34)</f>
        <v>#REF!</v>
      </c>
      <c r="D27" s="141" t="e">
        <f>SUM(D28:D34)</f>
        <v>#REF!</v>
      </c>
      <c r="E27" s="141" t="e">
        <f>SUM(E28:E34)</f>
        <v>#REF!</v>
      </c>
      <c r="F27" s="141" t="e">
        <f>SUM(F28:F34)</f>
        <v>#REF!</v>
      </c>
      <c r="G27" s="141" t="e">
        <f t="shared" ref="G27:BG27" si="6">SUM(G28:G34)</f>
        <v>#REF!</v>
      </c>
      <c r="H27" s="141" t="e">
        <f t="shared" si="6"/>
        <v>#REF!</v>
      </c>
      <c r="I27" s="141" t="e">
        <f t="shared" si="6"/>
        <v>#REF!</v>
      </c>
      <c r="J27" s="141" t="e">
        <f t="shared" si="6"/>
        <v>#REF!</v>
      </c>
      <c r="K27" s="141" t="e">
        <f t="shared" si="6"/>
        <v>#REF!</v>
      </c>
      <c r="L27" s="141" t="e">
        <f t="shared" si="6"/>
        <v>#REF!</v>
      </c>
      <c r="M27" s="141" t="e">
        <f t="shared" si="6"/>
        <v>#REF!</v>
      </c>
      <c r="N27" s="141" t="e">
        <f t="shared" si="6"/>
        <v>#REF!</v>
      </c>
      <c r="O27" s="141" t="e">
        <f t="shared" si="6"/>
        <v>#REF!</v>
      </c>
      <c r="P27" s="141" t="e">
        <f t="shared" si="6"/>
        <v>#REF!</v>
      </c>
      <c r="Q27" s="141" t="e">
        <f t="shared" si="6"/>
        <v>#REF!</v>
      </c>
      <c r="R27" s="141" t="e">
        <f t="shared" si="6"/>
        <v>#REF!</v>
      </c>
      <c r="S27" s="141" t="e">
        <f t="shared" si="6"/>
        <v>#REF!</v>
      </c>
      <c r="T27" s="141" t="e">
        <f t="shared" si="6"/>
        <v>#REF!</v>
      </c>
      <c r="U27" s="141" t="e">
        <f t="shared" si="6"/>
        <v>#REF!</v>
      </c>
      <c r="V27" s="141" t="e">
        <f t="shared" si="6"/>
        <v>#REF!</v>
      </c>
      <c r="W27" s="141" t="e">
        <f t="shared" si="6"/>
        <v>#REF!</v>
      </c>
      <c r="X27" s="141" t="e">
        <f t="shared" si="6"/>
        <v>#REF!</v>
      </c>
      <c r="Y27" s="141" t="e">
        <f t="shared" si="6"/>
        <v>#REF!</v>
      </c>
      <c r="Z27" s="141" t="e">
        <f t="shared" si="6"/>
        <v>#REF!</v>
      </c>
      <c r="AA27" s="141" t="e">
        <f t="shared" si="6"/>
        <v>#REF!</v>
      </c>
      <c r="AB27" s="141" t="e">
        <f t="shared" si="6"/>
        <v>#REF!</v>
      </c>
      <c r="AC27" s="141" t="e">
        <f t="shared" si="6"/>
        <v>#REF!</v>
      </c>
      <c r="AD27" s="141" t="e">
        <f t="shared" si="6"/>
        <v>#REF!</v>
      </c>
      <c r="AE27" s="141" t="e">
        <f t="shared" si="6"/>
        <v>#REF!</v>
      </c>
      <c r="AF27" s="141" t="e">
        <f t="shared" si="6"/>
        <v>#REF!</v>
      </c>
      <c r="AG27" s="141" t="e">
        <f t="shared" si="6"/>
        <v>#REF!</v>
      </c>
      <c r="AH27" s="141" t="e">
        <f t="shared" si="6"/>
        <v>#REF!</v>
      </c>
      <c r="AI27" s="141" t="e">
        <f t="shared" si="6"/>
        <v>#REF!</v>
      </c>
      <c r="AJ27" s="141" t="e">
        <f t="shared" si="6"/>
        <v>#REF!</v>
      </c>
      <c r="AK27" s="141" t="e">
        <f t="shared" si="6"/>
        <v>#REF!</v>
      </c>
      <c r="AL27" s="141">
        <v>99286505.06</v>
      </c>
      <c r="AM27" s="141" t="e">
        <f t="shared" si="6"/>
        <v>#REF!</v>
      </c>
      <c r="AN27" s="141" t="e">
        <f t="shared" si="6"/>
        <v>#REF!</v>
      </c>
      <c r="AO27" s="141" t="e">
        <f t="shared" si="6"/>
        <v>#REF!</v>
      </c>
      <c r="AP27" s="141" t="e">
        <f t="shared" si="6"/>
        <v>#REF!</v>
      </c>
      <c r="AQ27" s="141" t="e">
        <f t="shared" si="6"/>
        <v>#REF!</v>
      </c>
      <c r="AR27" s="141" t="e">
        <f t="shared" si="6"/>
        <v>#REF!</v>
      </c>
      <c r="AS27" s="141" t="e">
        <f t="shared" si="6"/>
        <v>#REF!</v>
      </c>
      <c r="AT27" s="141" t="e">
        <f t="shared" si="6"/>
        <v>#REF!</v>
      </c>
      <c r="AU27" s="141" t="e">
        <f t="shared" si="6"/>
        <v>#REF!</v>
      </c>
      <c r="AV27" s="141" t="e">
        <f t="shared" si="6"/>
        <v>#REF!</v>
      </c>
      <c r="AW27" s="141" t="e">
        <f t="shared" si="6"/>
        <v>#REF!</v>
      </c>
      <c r="AX27" s="141">
        <v>53858654.86</v>
      </c>
      <c r="AY27" s="141" t="e">
        <f t="shared" si="6"/>
        <v>#REF!</v>
      </c>
      <c r="AZ27" s="141" t="e">
        <f t="shared" si="6"/>
        <v>#REF!</v>
      </c>
      <c r="BA27" s="141" t="e">
        <f t="shared" si="6"/>
        <v>#REF!</v>
      </c>
      <c r="BB27" s="141">
        <f t="shared" si="6"/>
        <v>9741892.53</v>
      </c>
      <c r="BC27" s="141" t="e">
        <f t="shared" si="6"/>
        <v>#REF!</v>
      </c>
      <c r="BD27" s="141" t="e">
        <f t="shared" si="6"/>
        <v>#REF!</v>
      </c>
      <c r="BE27" s="141" t="e">
        <f t="shared" si="6"/>
        <v>#REF!</v>
      </c>
      <c r="BF27" s="141" t="e">
        <f t="shared" si="6"/>
        <v>#REF!</v>
      </c>
      <c r="BG27" s="141" t="e">
        <f t="shared" si="6"/>
        <v>#REF!</v>
      </c>
      <c r="BH27" s="142">
        <v>22315017.74</v>
      </c>
      <c r="BI27" s="141">
        <v>24770878.06</v>
      </c>
      <c r="BJ27" s="141">
        <f>40911850.25-0.01-11125101.41</f>
        <v>29786748.83</v>
      </c>
      <c r="BK27" s="115"/>
      <c r="BL27" s="115">
        <f t="shared" si="0"/>
        <v>-24071906.03</v>
      </c>
      <c r="BM27" s="115"/>
      <c r="BN27" s="137"/>
    </row>
    <row r="28" s="111" customFormat="1" ht="18" customHeight="1" spans="1:66">
      <c r="A28" s="128">
        <v>1.3</v>
      </c>
      <c r="B28" s="134" t="s">
        <v>79</v>
      </c>
      <c r="C28" s="135" t="e">
        <f>#REF!</f>
        <v>#REF!</v>
      </c>
      <c r="D28" s="135" t="e">
        <f>#REF!</f>
        <v>#REF!</v>
      </c>
      <c r="E28" s="135" t="e">
        <f>#REF!</f>
        <v>#REF!</v>
      </c>
      <c r="F28" s="135" t="e">
        <f>#REF!</f>
        <v>#REF!</v>
      </c>
      <c r="G28" s="135" t="e">
        <f>#REF!</f>
        <v>#REF!</v>
      </c>
      <c r="H28" s="135" t="e">
        <f>#REF!</f>
        <v>#REF!</v>
      </c>
      <c r="I28" s="135" t="e">
        <f>#REF!</f>
        <v>#REF!</v>
      </c>
      <c r="J28" s="135" t="e">
        <f>#REF!</f>
        <v>#REF!</v>
      </c>
      <c r="K28" s="135" t="e">
        <f>#REF!</f>
        <v>#REF!</v>
      </c>
      <c r="L28" s="135" t="e">
        <f>#REF!</f>
        <v>#REF!</v>
      </c>
      <c r="M28" s="135" t="e">
        <f>#REF!</f>
        <v>#REF!</v>
      </c>
      <c r="N28" s="135" t="e">
        <f>#REF!</f>
        <v>#REF!</v>
      </c>
      <c r="O28" s="135" t="e">
        <f>#REF!</f>
        <v>#REF!</v>
      </c>
      <c r="P28" s="135" t="e">
        <f>#REF!</f>
        <v>#REF!</v>
      </c>
      <c r="Q28" s="135" t="e">
        <f>#REF!</f>
        <v>#REF!</v>
      </c>
      <c r="R28" s="135" t="e">
        <f>#REF!</f>
        <v>#REF!</v>
      </c>
      <c r="S28" s="135" t="e">
        <f>#REF!</f>
        <v>#REF!</v>
      </c>
      <c r="T28" s="135" t="e">
        <f>#REF!</f>
        <v>#REF!</v>
      </c>
      <c r="U28" s="135" t="e">
        <f>#REF!</f>
        <v>#REF!</v>
      </c>
      <c r="V28" s="135" t="e">
        <f>#REF!</f>
        <v>#REF!</v>
      </c>
      <c r="W28" s="135" t="e">
        <f>#REF!</f>
        <v>#REF!</v>
      </c>
      <c r="X28" s="135" t="e">
        <f>#REF!</f>
        <v>#REF!</v>
      </c>
      <c r="Y28" s="135" t="e">
        <f>#REF!</f>
        <v>#REF!</v>
      </c>
      <c r="Z28" s="135" t="e">
        <f>#REF!</f>
        <v>#REF!</v>
      </c>
      <c r="AA28" s="135" t="e">
        <f>#REF!</f>
        <v>#REF!</v>
      </c>
      <c r="AB28" s="135" t="e">
        <f>#REF!</f>
        <v>#REF!</v>
      </c>
      <c r="AC28" s="135" t="e">
        <f>#REF!</f>
        <v>#REF!</v>
      </c>
      <c r="AD28" s="135" t="e">
        <f>#REF!</f>
        <v>#REF!</v>
      </c>
      <c r="AE28" s="135" t="e">
        <f>#REF!</f>
        <v>#REF!</v>
      </c>
      <c r="AF28" s="135" t="e">
        <f>#REF!</f>
        <v>#REF!</v>
      </c>
      <c r="AG28" s="135" t="e">
        <f>#REF!</f>
        <v>#REF!</v>
      </c>
      <c r="AH28" s="135" t="e">
        <f>#REF!</f>
        <v>#REF!</v>
      </c>
      <c r="AI28" s="135" t="e">
        <f>#REF!</f>
        <v>#REF!</v>
      </c>
      <c r="AJ28" s="135" t="e">
        <f>#REF!</f>
        <v>#REF!</v>
      </c>
      <c r="AK28" s="135" t="e">
        <f>#REF!</f>
        <v>#REF!</v>
      </c>
      <c r="AL28" s="135">
        <v>3089902.63</v>
      </c>
      <c r="AM28" s="135" t="e">
        <f>#REF!</f>
        <v>#REF!</v>
      </c>
      <c r="AN28" s="135" t="e">
        <f>#REF!</f>
        <v>#REF!</v>
      </c>
      <c r="AO28" s="135" t="e">
        <f>#REF!</f>
        <v>#REF!</v>
      </c>
      <c r="AP28" s="135" t="e">
        <f>#REF!</f>
        <v>#REF!</v>
      </c>
      <c r="AQ28" s="135" t="e">
        <f>#REF!</f>
        <v>#REF!</v>
      </c>
      <c r="AR28" s="135" t="e">
        <f>#REF!</f>
        <v>#REF!</v>
      </c>
      <c r="AS28" s="135" t="e">
        <f>#REF!</f>
        <v>#REF!</v>
      </c>
      <c r="AT28" s="135" t="e">
        <f>#REF!</f>
        <v>#REF!</v>
      </c>
      <c r="AU28" s="135" t="e">
        <f>#REF!</f>
        <v>#REF!</v>
      </c>
      <c r="AV28" s="135" t="e">
        <f>#REF!</f>
        <v>#REF!</v>
      </c>
      <c r="AW28" s="135" t="e">
        <f>#REF!</f>
        <v>#REF!</v>
      </c>
      <c r="AX28" s="135">
        <v>1194300.05</v>
      </c>
      <c r="AY28" s="135" t="e">
        <f>#REF!</f>
        <v>#REF!</v>
      </c>
      <c r="AZ28" s="135" t="e">
        <f>#REF!</f>
        <v>#REF!</v>
      </c>
      <c r="BA28" s="135" t="e">
        <f>#REF!</f>
        <v>#REF!</v>
      </c>
      <c r="BB28" s="135">
        <v>309823.16</v>
      </c>
      <c r="BC28" s="135" t="e">
        <f>#REF!</f>
        <v>#REF!</v>
      </c>
      <c r="BD28" s="135" t="e">
        <f>#REF!</f>
        <v>#REF!</v>
      </c>
      <c r="BE28" s="135" t="e">
        <f>#REF!</f>
        <v>#REF!</v>
      </c>
      <c r="BF28" s="135" t="e">
        <f>#REF!</f>
        <v>#REF!</v>
      </c>
      <c r="BG28" s="135" t="e">
        <f>#REF!</f>
        <v>#REF!</v>
      </c>
      <c r="BH28" s="130">
        <v>542950.63</v>
      </c>
      <c r="BI28" s="135">
        <v>549506.9</v>
      </c>
      <c r="BJ28" s="135">
        <v>721915.64</v>
      </c>
      <c r="BK28" s="115"/>
      <c r="BL28" s="115">
        <f t="shared" si="0"/>
        <v>-472384.41</v>
      </c>
      <c r="BM28" s="115"/>
    </row>
    <row r="29" s="111" customFormat="1" ht="18" customHeight="1" spans="1:66">
      <c r="A29" s="128">
        <v>1.1</v>
      </c>
      <c r="B29" s="134" t="s">
        <v>80</v>
      </c>
      <c r="C29" s="135" t="e">
        <f>#REF!</f>
        <v>#REF!</v>
      </c>
      <c r="D29" s="135" t="e">
        <f>#REF!</f>
        <v>#REF!</v>
      </c>
      <c r="E29" s="135" t="e">
        <f>#REF!</f>
        <v>#REF!</v>
      </c>
      <c r="F29" s="135" t="e">
        <f>#REF!</f>
        <v>#REF!</v>
      </c>
      <c r="G29" s="135" t="e">
        <f>#REF!</f>
        <v>#REF!</v>
      </c>
      <c r="H29" s="135" t="e">
        <f>#REF!</f>
        <v>#REF!</v>
      </c>
      <c r="I29" s="135" t="e">
        <f>#REF!</f>
        <v>#REF!</v>
      </c>
      <c r="J29" s="135" t="e">
        <f>#REF!</f>
        <v>#REF!</v>
      </c>
      <c r="K29" s="135" t="e">
        <f>#REF!</f>
        <v>#REF!</v>
      </c>
      <c r="L29" s="135" t="e">
        <f>#REF!</f>
        <v>#REF!</v>
      </c>
      <c r="M29" s="135" t="e">
        <f>#REF!</f>
        <v>#REF!</v>
      </c>
      <c r="N29" s="135" t="e">
        <f>#REF!</f>
        <v>#REF!</v>
      </c>
      <c r="O29" s="135" t="e">
        <f>#REF!</f>
        <v>#REF!</v>
      </c>
      <c r="P29" s="135" t="e">
        <f>#REF!</f>
        <v>#REF!</v>
      </c>
      <c r="Q29" s="135" t="e">
        <f>#REF!</f>
        <v>#REF!</v>
      </c>
      <c r="R29" s="135" t="e">
        <f>#REF!</f>
        <v>#REF!</v>
      </c>
      <c r="S29" s="135" t="e">
        <f>#REF!</f>
        <v>#REF!</v>
      </c>
      <c r="T29" s="135" t="e">
        <f>#REF!</f>
        <v>#REF!</v>
      </c>
      <c r="U29" s="135" t="e">
        <f>#REF!</f>
        <v>#REF!</v>
      </c>
      <c r="V29" s="135" t="e">
        <f>#REF!</f>
        <v>#REF!</v>
      </c>
      <c r="W29" s="135" t="e">
        <f>#REF!</f>
        <v>#REF!</v>
      </c>
      <c r="X29" s="135" t="e">
        <f>#REF!</f>
        <v>#REF!</v>
      </c>
      <c r="Y29" s="135" t="e">
        <f>#REF!</f>
        <v>#REF!</v>
      </c>
      <c r="Z29" s="135" t="e">
        <f>#REF!</f>
        <v>#REF!</v>
      </c>
      <c r="AA29" s="135" t="e">
        <f>#REF!</f>
        <v>#REF!</v>
      </c>
      <c r="AB29" s="135" t="e">
        <f>#REF!</f>
        <v>#REF!</v>
      </c>
      <c r="AC29" s="135" t="e">
        <f>#REF!</f>
        <v>#REF!</v>
      </c>
      <c r="AD29" s="135" t="e">
        <f>#REF!</f>
        <v>#REF!</v>
      </c>
      <c r="AE29" s="135" t="e">
        <f>#REF!</f>
        <v>#REF!</v>
      </c>
      <c r="AF29" s="135" t="e">
        <f>#REF!</f>
        <v>#REF!</v>
      </c>
      <c r="AG29" s="135" t="e">
        <f>#REF!</f>
        <v>#REF!</v>
      </c>
      <c r="AH29" s="135" t="e">
        <f>#REF!</f>
        <v>#REF!</v>
      </c>
      <c r="AI29" s="135" t="e">
        <f>#REF!</f>
        <v>#REF!</v>
      </c>
      <c r="AJ29" s="135" t="e">
        <f>#REF!</f>
        <v>#REF!</v>
      </c>
      <c r="AK29" s="135" t="e">
        <f>#REF!</f>
        <v>#REF!</v>
      </c>
      <c r="AL29" s="135">
        <v>50391209.44</v>
      </c>
      <c r="AM29" s="135" t="e">
        <f>#REF!</f>
        <v>#REF!</v>
      </c>
      <c r="AN29" s="135" t="e">
        <f>#REF!</f>
        <v>#REF!</v>
      </c>
      <c r="AO29" s="135" t="e">
        <f>#REF!</f>
        <v>#REF!</v>
      </c>
      <c r="AP29" s="135" t="e">
        <f>#REF!</f>
        <v>#REF!</v>
      </c>
      <c r="AQ29" s="135" t="e">
        <f>#REF!</f>
        <v>#REF!</v>
      </c>
      <c r="AR29" s="135" t="e">
        <f>#REF!</f>
        <v>#REF!</v>
      </c>
      <c r="AS29" s="135" t="e">
        <f>#REF!</f>
        <v>#REF!</v>
      </c>
      <c r="AT29" s="135" t="e">
        <f>#REF!</f>
        <v>#REF!</v>
      </c>
      <c r="AU29" s="135" t="e">
        <f>#REF!</f>
        <v>#REF!</v>
      </c>
      <c r="AV29" s="135" t="e">
        <f>#REF!</f>
        <v>#REF!</v>
      </c>
      <c r="AW29" s="135" t="e">
        <f>#REF!</f>
        <v>#REF!</v>
      </c>
      <c r="AX29" s="135">
        <v>19379441.44</v>
      </c>
      <c r="AY29" s="135" t="e">
        <f>#REF!</f>
        <v>#REF!</v>
      </c>
      <c r="AZ29" s="135" t="e">
        <f>#REF!</f>
        <v>#REF!</v>
      </c>
      <c r="BA29" s="135" t="e">
        <f>#REF!</f>
        <v>#REF!</v>
      </c>
      <c r="BB29" s="135">
        <v>2931380.14</v>
      </c>
      <c r="BC29" s="135" t="e">
        <f>#REF!</f>
        <v>#REF!</v>
      </c>
      <c r="BD29" s="135" t="e">
        <f>#REF!</f>
        <v>#REF!</v>
      </c>
      <c r="BE29" s="135" t="e">
        <f>#REF!</f>
        <v>#REF!</v>
      </c>
      <c r="BF29" s="135" t="e">
        <f>#REF!</f>
        <v>#REF!</v>
      </c>
      <c r="BG29" s="135" t="e">
        <f>#REF!</f>
        <v>#REF!</v>
      </c>
      <c r="BH29" s="130">
        <v>7659793.15</v>
      </c>
      <c r="BI29" s="135">
        <v>8919872.67</v>
      </c>
      <c r="BJ29" s="135">
        <v>10617480.18</v>
      </c>
      <c r="BK29" s="115"/>
      <c r="BL29" s="115">
        <f t="shared" si="0"/>
        <v>-8761961.26</v>
      </c>
      <c r="BM29" s="115"/>
    </row>
    <row r="30" s="111" customFormat="1" ht="18" customHeight="1" spans="1:66">
      <c r="A30" s="128">
        <v>1.4</v>
      </c>
      <c r="B30" s="134" t="s">
        <v>81</v>
      </c>
      <c r="C30" s="135" t="e">
        <f>#REF!</f>
        <v>#REF!</v>
      </c>
      <c r="D30" s="135" t="e">
        <f>#REF!</f>
        <v>#REF!</v>
      </c>
      <c r="E30" s="135" t="e">
        <f>#REF!</f>
        <v>#REF!</v>
      </c>
      <c r="F30" s="135" t="e">
        <f>#REF!</f>
        <v>#REF!</v>
      </c>
      <c r="G30" s="135" t="e">
        <f>#REF!</f>
        <v>#REF!</v>
      </c>
      <c r="H30" s="135" t="e">
        <f>#REF!</f>
        <v>#REF!</v>
      </c>
      <c r="I30" s="135" t="e">
        <f>#REF!</f>
        <v>#REF!</v>
      </c>
      <c r="J30" s="135" t="e">
        <f>#REF!</f>
        <v>#REF!</v>
      </c>
      <c r="K30" s="135" t="e">
        <f>#REF!</f>
        <v>#REF!</v>
      </c>
      <c r="L30" s="135" t="e">
        <f>#REF!</f>
        <v>#REF!</v>
      </c>
      <c r="M30" s="135" t="e">
        <f>#REF!</f>
        <v>#REF!</v>
      </c>
      <c r="N30" s="135" t="e">
        <f>#REF!</f>
        <v>#REF!</v>
      </c>
      <c r="O30" s="135" t="e">
        <f>#REF!</f>
        <v>#REF!</v>
      </c>
      <c r="P30" s="135" t="e">
        <f>#REF!</f>
        <v>#REF!</v>
      </c>
      <c r="Q30" s="135" t="e">
        <f>#REF!</f>
        <v>#REF!</v>
      </c>
      <c r="R30" s="135" t="e">
        <f>#REF!</f>
        <v>#REF!</v>
      </c>
      <c r="S30" s="135" t="e">
        <f>#REF!</f>
        <v>#REF!</v>
      </c>
      <c r="T30" s="135" t="e">
        <f>#REF!</f>
        <v>#REF!</v>
      </c>
      <c r="U30" s="135" t="e">
        <f>#REF!</f>
        <v>#REF!</v>
      </c>
      <c r="V30" s="135" t="e">
        <f>#REF!</f>
        <v>#REF!</v>
      </c>
      <c r="W30" s="135" t="e">
        <f>#REF!</f>
        <v>#REF!</v>
      </c>
      <c r="X30" s="135" t="e">
        <f>#REF!</f>
        <v>#REF!</v>
      </c>
      <c r="Y30" s="135" t="e">
        <f>#REF!</f>
        <v>#REF!</v>
      </c>
      <c r="Z30" s="135" t="e">
        <f>#REF!</f>
        <v>#REF!</v>
      </c>
      <c r="AA30" s="135" t="e">
        <f>#REF!</f>
        <v>#REF!</v>
      </c>
      <c r="AB30" s="135" t="e">
        <f>#REF!</f>
        <v>#REF!</v>
      </c>
      <c r="AC30" s="135" t="e">
        <f>#REF!</f>
        <v>#REF!</v>
      </c>
      <c r="AD30" s="135" t="e">
        <f>#REF!</f>
        <v>#REF!</v>
      </c>
      <c r="AE30" s="135" t="e">
        <f>#REF!</f>
        <v>#REF!</v>
      </c>
      <c r="AF30" s="135" t="e">
        <f>#REF!</f>
        <v>#REF!</v>
      </c>
      <c r="AG30" s="135" t="e">
        <f>#REF!</f>
        <v>#REF!</v>
      </c>
      <c r="AH30" s="135" t="e">
        <f>#REF!</f>
        <v>#REF!</v>
      </c>
      <c r="AI30" s="135" t="e">
        <f>#REF!</f>
        <v>#REF!</v>
      </c>
      <c r="AJ30" s="135" t="e">
        <f>#REF!</f>
        <v>#REF!</v>
      </c>
      <c r="AK30" s="135" t="e">
        <f>#REF!</f>
        <v>#REF!</v>
      </c>
      <c r="AL30" s="135">
        <v>7860607.09</v>
      </c>
      <c r="AM30" s="135" t="e">
        <f>#REF!</f>
        <v>#REF!</v>
      </c>
      <c r="AN30" s="135" t="e">
        <f>#REF!</f>
        <v>#REF!</v>
      </c>
      <c r="AO30" s="135" t="e">
        <f>#REF!</f>
        <v>#REF!</v>
      </c>
      <c r="AP30" s="135" t="e">
        <f>#REF!</f>
        <v>#REF!</v>
      </c>
      <c r="AQ30" s="135" t="e">
        <f>#REF!</f>
        <v>#REF!</v>
      </c>
      <c r="AR30" s="135" t="e">
        <f>#REF!</f>
        <v>#REF!</v>
      </c>
      <c r="AS30" s="135" t="e">
        <f>#REF!</f>
        <v>#REF!</v>
      </c>
      <c r="AT30" s="135" t="e">
        <f>#REF!</f>
        <v>#REF!</v>
      </c>
      <c r="AU30" s="135" t="e">
        <f>#REF!</f>
        <v>#REF!</v>
      </c>
      <c r="AV30" s="135" t="e">
        <f>#REF!</f>
        <v>#REF!</v>
      </c>
      <c r="AW30" s="135" t="e">
        <f>#REF!</f>
        <v>#REF!</v>
      </c>
      <c r="AX30" s="135">
        <v>1615711.32</v>
      </c>
      <c r="AY30" s="135" t="e">
        <f>#REF!</f>
        <v>#REF!</v>
      </c>
      <c r="AZ30" s="135" t="e">
        <f>#REF!</f>
        <v>#REF!</v>
      </c>
      <c r="BA30" s="135" t="e">
        <f>#REF!</f>
        <v>#REF!</v>
      </c>
      <c r="BB30" s="135">
        <v>227029.47</v>
      </c>
      <c r="BC30" s="135" t="e">
        <f>#REF!</f>
        <v>#REF!</v>
      </c>
      <c r="BD30" s="135" t="e">
        <f>#REF!</f>
        <v>#REF!</v>
      </c>
      <c r="BE30" s="135" t="e">
        <f>#REF!</f>
        <v>#REF!</v>
      </c>
      <c r="BF30" s="135" t="e">
        <f>#REF!</f>
        <v>#REF!</v>
      </c>
      <c r="BG30" s="135" t="e">
        <f>#REF!</f>
        <v>#REF!</v>
      </c>
      <c r="BH30" s="130">
        <v>669463.01</v>
      </c>
      <c r="BI30" s="135">
        <v>704257.25</v>
      </c>
      <c r="BJ30" s="135">
        <f>13745066.38-11125101.41</f>
        <v>2619964.97</v>
      </c>
      <c r="BK30" s="143"/>
      <c r="BL30" s="115">
        <f t="shared" si="0"/>
        <v>1004253.65</v>
      </c>
      <c r="BM30" s="115"/>
    </row>
    <row r="31" s="111" customFormat="1" ht="18" customHeight="1" spans="1:66">
      <c r="A31" s="128">
        <v>2.1</v>
      </c>
      <c r="B31" s="134" t="s">
        <v>82</v>
      </c>
      <c r="C31" s="135" t="e">
        <f>#REF!+#REF!+#REF!</f>
        <v>#REF!</v>
      </c>
      <c r="D31" s="135" t="e">
        <f>#REF!+#REF!+#REF!</f>
        <v>#REF!</v>
      </c>
      <c r="E31" s="135" t="e">
        <f>#REF!+#REF!+#REF!</f>
        <v>#REF!</v>
      </c>
      <c r="F31" s="135" t="e">
        <f>#REF!+#REF!+#REF!</f>
        <v>#REF!</v>
      </c>
      <c r="G31" s="135" t="e">
        <f>#REF!+#REF!+#REF!</f>
        <v>#REF!</v>
      </c>
      <c r="H31" s="135" t="e">
        <f>#REF!+#REF!+#REF!</f>
        <v>#REF!</v>
      </c>
      <c r="I31" s="135" t="e">
        <f>#REF!+#REF!+#REF!</f>
        <v>#REF!</v>
      </c>
      <c r="J31" s="135" t="e">
        <f>#REF!+#REF!+#REF!</f>
        <v>#REF!</v>
      </c>
      <c r="K31" s="135" t="e">
        <f>#REF!+#REF!+#REF!</f>
        <v>#REF!</v>
      </c>
      <c r="L31" s="135" t="e">
        <f>#REF!+#REF!+#REF!</f>
        <v>#REF!</v>
      </c>
      <c r="M31" s="135" t="e">
        <f>#REF!+#REF!+#REF!</f>
        <v>#REF!</v>
      </c>
      <c r="N31" s="135" t="e">
        <f>#REF!+#REF!+#REF!</f>
        <v>#REF!</v>
      </c>
      <c r="O31" s="135" t="e">
        <f>#REF!+#REF!+#REF!</f>
        <v>#REF!</v>
      </c>
      <c r="P31" s="135" t="e">
        <f>#REF!+#REF!+#REF!</f>
        <v>#REF!</v>
      </c>
      <c r="Q31" s="135" t="e">
        <f>#REF!+#REF!+#REF!</f>
        <v>#REF!</v>
      </c>
      <c r="R31" s="135" t="e">
        <f>#REF!+#REF!+#REF!</f>
        <v>#REF!</v>
      </c>
      <c r="S31" s="135" t="e">
        <f>#REF!+#REF!+#REF!</f>
        <v>#REF!</v>
      </c>
      <c r="T31" s="135" t="e">
        <f>#REF!+#REF!+#REF!</f>
        <v>#REF!</v>
      </c>
      <c r="U31" s="135" t="e">
        <f>#REF!+#REF!+#REF!</f>
        <v>#REF!</v>
      </c>
      <c r="V31" s="135" t="e">
        <f>#REF!+#REF!+#REF!</f>
        <v>#REF!</v>
      </c>
      <c r="W31" s="135" t="e">
        <f>#REF!+#REF!+#REF!</f>
        <v>#REF!</v>
      </c>
      <c r="X31" s="135" t="e">
        <f>#REF!+#REF!+#REF!</f>
        <v>#REF!</v>
      </c>
      <c r="Y31" s="135" t="e">
        <f>#REF!+#REF!+#REF!</f>
        <v>#REF!</v>
      </c>
      <c r="Z31" s="135" t="e">
        <f>#REF!+#REF!+#REF!</f>
        <v>#REF!</v>
      </c>
      <c r="AA31" s="135" t="e">
        <f>#REF!+#REF!+#REF!</f>
        <v>#REF!</v>
      </c>
      <c r="AB31" s="135" t="e">
        <f>#REF!+#REF!+#REF!</f>
        <v>#REF!</v>
      </c>
      <c r="AC31" s="135" t="e">
        <f>#REF!+#REF!+#REF!</f>
        <v>#REF!</v>
      </c>
      <c r="AD31" s="135" t="e">
        <f>#REF!+#REF!+#REF!</f>
        <v>#REF!</v>
      </c>
      <c r="AE31" s="135" t="e">
        <f>#REF!+#REF!+#REF!</f>
        <v>#REF!</v>
      </c>
      <c r="AF31" s="135" t="e">
        <f>#REF!+#REF!+#REF!</f>
        <v>#REF!</v>
      </c>
      <c r="AG31" s="135" t="e">
        <f>#REF!+#REF!+#REF!</f>
        <v>#REF!</v>
      </c>
      <c r="AH31" s="135" t="e">
        <f>#REF!+#REF!+#REF!</f>
        <v>#REF!</v>
      </c>
      <c r="AI31" s="135" t="e">
        <f>#REF!+#REF!+#REF!</f>
        <v>#REF!</v>
      </c>
      <c r="AJ31" s="135" t="e">
        <f>#REF!+#REF!+#REF!</f>
        <v>#REF!</v>
      </c>
      <c r="AK31" s="135" t="e">
        <f>#REF!+#REF!+#REF!</f>
        <v>#REF!</v>
      </c>
      <c r="AL31" s="135">
        <v>1434426.43</v>
      </c>
      <c r="AM31" s="135" t="e">
        <f>#REF!+#REF!+#REF!</f>
        <v>#REF!</v>
      </c>
      <c r="AN31" s="135" t="e">
        <f>#REF!+#REF!+#REF!</f>
        <v>#REF!</v>
      </c>
      <c r="AO31" s="135" t="e">
        <f>#REF!+#REF!+#REF!</f>
        <v>#REF!</v>
      </c>
      <c r="AP31" s="135" t="e">
        <f>#REF!+#REF!+#REF!</f>
        <v>#REF!</v>
      </c>
      <c r="AQ31" s="135" t="e">
        <f>#REF!+#REF!+#REF!</f>
        <v>#REF!</v>
      </c>
      <c r="AR31" s="135" t="e">
        <f>#REF!+#REF!+#REF!</f>
        <v>#REF!</v>
      </c>
      <c r="AS31" s="135" t="e">
        <f>#REF!+#REF!+#REF!</f>
        <v>#REF!</v>
      </c>
      <c r="AT31" s="135" t="e">
        <f>#REF!+#REF!+#REF!</f>
        <v>#REF!</v>
      </c>
      <c r="AU31" s="135" t="e">
        <f>#REF!+#REF!+#REF!</f>
        <v>#REF!</v>
      </c>
      <c r="AV31" s="135" t="e">
        <f>#REF!+#REF!+#REF!</f>
        <v>#REF!</v>
      </c>
      <c r="AW31" s="135" t="e">
        <f>#REF!+#REF!+#REF!</f>
        <v>#REF!</v>
      </c>
      <c r="AX31" s="135">
        <v>629978.8</v>
      </c>
      <c r="AY31" s="135" t="e">
        <f>#REF!+#REF!+#REF!</f>
        <v>#REF!</v>
      </c>
      <c r="AZ31" s="135" t="e">
        <f>#REF!+#REF!+#REF!</f>
        <v>#REF!</v>
      </c>
      <c r="BA31" s="135" t="e">
        <f>#REF!+#REF!+#REF!</f>
        <v>#REF!</v>
      </c>
      <c r="BB31" s="135">
        <v>239047.94</v>
      </c>
      <c r="BC31" s="135" t="e">
        <f>#REF!+#REF!+#REF!</f>
        <v>#REF!</v>
      </c>
      <c r="BD31" s="135" t="e">
        <f>#REF!+#REF!+#REF!</f>
        <v>#REF!</v>
      </c>
      <c r="BE31" s="135" t="e">
        <f>#REF!+#REF!+#REF!</f>
        <v>#REF!</v>
      </c>
      <c r="BF31" s="135" t="e">
        <f>#REF!+#REF!+#REF!</f>
        <v>#REF!</v>
      </c>
      <c r="BG31" s="135" t="e">
        <f>#REF!+#REF!+#REF!</f>
        <v>#REF!</v>
      </c>
      <c r="BH31" s="130">
        <v>505581.8</v>
      </c>
      <c r="BI31" s="135">
        <v>558888.42</v>
      </c>
      <c r="BJ31" s="135">
        <v>650882.58</v>
      </c>
      <c r="BK31" s="115"/>
      <c r="BL31" s="115">
        <f t="shared" si="0"/>
        <v>20903.7799999999</v>
      </c>
      <c r="BM31" s="115"/>
    </row>
    <row r="32" s="111" customFormat="1" ht="18" customHeight="1" spans="1:66">
      <c r="A32" s="128">
        <v>2.4</v>
      </c>
      <c r="B32" s="134" t="s">
        <v>83</v>
      </c>
      <c r="C32" s="135" t="e">
        <f>#REF!+#REF!</f>
        <v>#REF!</v>
      </c>
      <c r="D32" s="135" t="e">
        <f>#REF!+#REF!</f>
        <v>#REF!</v>
      </c>
      <c r="E32" s="135" t="e">
        <f>#REF!+#REF!</f>
        <v>#REF!</v>
      </c>
      <c r="F32" s="135" t="e">
        <f>#REF!+#REF!</f>
        <v>#REF!</v>
      </c>
      <c r="G32" s="135" t="e">
        <f>#REF!+#REF!</f>
        <v>#REF!</v>
      </c>
      <c r="H32" s="135" t="e">
        <f>#REF!+#REF!</f>
        <v>#REF!</v>
      </c>
      <c r="I32" s="135" t="e">
        <f>#REF!+#REF!</f>
        <v>#REF!</v>
      </c>
      <c r="J32" s="135" t="e">
        <f>#REF!+#REF!</f>
        <v>#REF!</v>
      </c>
      <c r="K32" s="135" t="e">
        <f>#REF!+#REF!</f>
        <v>#REF!</v>
      </c>
      <c r="L32" s="135" t="e">
        <f>#REF!+#REF!</f>
        <v>#REF!</v>
      </c>
      <c r="M32" s="135" t="e">
        <f>#REF!+#REF!</f>
        <v>#REF!</v>
      </c>
      <c r="N32" s="135" t="e">
        <f>#REF!+#REF!</f>
        <v>#REF!</v>
      </c>
      <c r="O32" s="135" t="e">
        <f>#REF!+#REF!</f>
        <v>#REF!</v>
      </c>
      <c r="P32" s="135" t="e">
        <f>#REF!+#REF!</f>
        <v>#REF!</v>
      </c>
      <c r="Q32" s="135" t="e">
        <f>#REF!+#REF!</f>
        <v>#REF!</v>
      </c>
      <c r="R32" s="135" t="e">
        <f>#REF!+#REF!</f>
        <v>#REF!</v>
      </c>
      <c r="S32" s="135" t="e">
        <f>#REF!+#REF!</f>
        <v>#REF!</v>
      </c>
      <c r="T32" s="135" t="e">
        <f>#REF!+#REF!</f>
        <v>#REF!</v>
      </c>
      <c r="U32" s="135" t="e">
        <f>#REF!+#REF!</f>
        <v>#REF!</v>
      </c>
      <c r="V32" s="135" t="e">
        <f>#REF!+#REF!</f>
        <v>#REF!</v>
      </c>
      <c r="W32" s="135" t="e">
        <f>#REF!+#REF!</f>
        <v>#REF!</v>
      </c>
      <c r="X32" s="135" t="e">
        <f>#REF!+#REF!</f>
        <v>#REF!</v>
      </c>
      <c r="Y32" s="135" t="e">
        <f>#REF!+#REF!</f>
        <v>#REF!</v>
      </c>
      <c r="Z32" s="135" t="e">
        <f>#REF!+#REF!</f>
        <v>#REF!</v>
      </c>
      <c r="AA32" s="135" t="e">
        <f>#REF!+#REF!</f>
        <v>#REF!</v>
      </c>
      <c r="AB32" s="135" t="e">
        <f>#REF!+#REF!</f>
        <v>#REF!</v>
      </c>
      <c r="AC32" s="135" t="e">
        <f>#REF!+#REF!</f>
        <v>#REF!</v>
      </c>
      <c r="AD32" s="135" t="e">
        <f>#REF!+#REF!</f>
        <v>#REF!</v>
      </c>
      <c r="AE32" s="135" t="e">
        <f>#REF!+#REF!</f>
        <v>#REF!</v>
      </c>
      <c r="AF32" s="135" t="e">
        <f>#REF!+#REF!</f>
        <v>#REF!</v>
      </c>
      <c r="AG32" s="135" t="e">
        <f>#REF!+#REF!</f>
        <v>#REF!</v>
      </c>
      <c r="AH32" s="135" t="e">
        <f>#REF!+#REF!</f>
        <v>#REF!</v>
      </c>
      <c r="AI32" s="135" t="e">
        <f>#REF!+#REF!</f>
        <v>#REF!</v>
      </c>
      <c r="AJ32" s="135" t="e">
        <f>#REF!+#REF!</f>
        <v>#REF!</v>
      </c>
      <c r="AK32" s="135" t="e">
        <f>#REF!+#REF!</f>
        <v>#REF!</v>
      </c>
      <c r="AL32" s="135">
        <v>5924275.5</v>
      </c>
      <c r="AM32" s="135" t="e">
        <f>#REF!+#REF!</f>
        <v>#REF!</v>
      </c>
      <c r="AN32" s="135" t="e">
        <f>#REF!+#REF!</f>
        <v>#REF!</v>
      </c>
      <c r="AO32" s="135" t="e">
        <f>#REF!+#REF!</f>
        <v>#REF!</v>
      </c>
      <c r="AP32" s="135" t="e">
        <f>#REF!+#REF!</f>
        <v>#REF!</v>
      </c>
      <c r="AQ32" s="135" t="e">
        <f>#REF!+#REF!</f>
        <v>#REF!</v>
      </c>
      <c r="AR32" s="135" t="e">
        <f>#REF!+#REF!</f>
        <v>#REF!</v>
      </c>
      <c r="AS32" s="135" t="e">
        <f>#REF!+#REF!</f>
        <v>#REF!</v>
      </c>
      <c r="AT32" s="135" t="e">
        <f>#REF!+#REF!</f>
        <v>#REF!</v>
      </c>
      <c r="AU32" s="135" t="e">
        <f>#REF!+#REF!</f>
        <v>#REF!</v>
      </c>
      <c r="AV32" s="135" t="e">
        <f>#REF!+#REF!</f>
        <v>#REF!</v>
      </c>
      <c r="AW32" s="135" t="e">
        <f>#REF!+#REF!</f>
        <v>#REF!</v>
      </c>
      <c r="AX32" s="135">
        <v>4852838.64</v>
      </c>
      <c r="AY32" s="135" t="e">
        <f>#REF!+#REF!</f>
        <v>#REF!</v>
      </c>
      <c r="AZ32" s="135" t="e">
        <f>#REF!+#REF!</f>
        <v>#REF!</v>
      </c>
      <c r="BA32" s="135" t="e">
        <f>#REF!+#REF!</f>
        <v>#REF!</v>
      </c>
      <c r="BB32" s="135">
        <v>1371743.58</v>
      </c>
      <c r="BC32" s="135" t="e">
        <f>#REF!+#REF!</f>
        <v>#REF!</v>
      </c>
      <c r="BD32" s="135" t="e">
        <f>#REF!+#REF!</f>
        <v>#REF!</v>
      </c>
      <c r="BE32" s="135" t="e">
        <f>#REF!+#REF!</f>
        <v>#REF!</v>
      </c>
      <c r="BF32" s="135" t="e">
        <f>#REF!+#REF!</f>
        <v>#REF!</v>
      </c>
      <c r="BG32" s="135" t="e">
        <f>#REF!+#REF!</f>
        <v>#REF!</v>
      </c>
      <c r="BH32" s="130">
        <v>3204807.68</v>
      </c>
      <c r="BI32" s="135">
        <v>3525317</v>
      </c>
      <c r="BJ32" s="135">
        <f>3711620.25-0.01</f>
        <v>3711620.24</v>
      </c>
      <c r="BK32" s="115"/>
      <c r="BL32" s="115">
        <f t="shared" si="0"/>
        <v>-1141218.4</v>
      </c>
      <c r="BM32" s="115"/>
    </row>
    <row r="33" s="111" customFormat="1" ht="18" customHeight="1" spans="1:65">
      <c r="A33" s="128">
        <v>2.2</v>
      </c>
      <c r="B33" s="134" t="s">
        <v>84</v>
      </c>
      <c r="C33" s="135" t="e">
        <f>#REF!+#REF!</f>
        <v>#REF!</v>
      </c>
      <c r="D33" s="135" t="e">
        <f>#REF!+#REF!</f>
        <v>#REF!</v>
      </c>
      <c r="E33" s="135" t="e">
        <f>#REF!+#REF!</f>
        <v>#REF!</v>
      </c>
      <c r="F33" s="135" t="e">
        <f>#REF!+#REF!</f>
        <v>#REF!</v>
      </c>
      <c r="G33" s="135" t="e">
        <f>#REF!+#REF!</f>
        <v>#REF!</v>
      </c>
      <c r="H33" s="135" t="e">
        <f>#REF!+#REF!</f>
        <v>#REF!</v>
      </c>
      <c r="I33" s="135" t="e">
        <f>#REF!+#REF!</f>
        <v>#REF!</v>
      </c>
      <c r="J33" s="135" t="e">
        <f>#REF!+#REF!</f>
        <v>#REF!</v>
      </c>
      <c r="K33" s="135" t="e">
        <f>#REF!+#REF!</f>
        <v>#REF!</v>
      </c>
      <c r="L33" s="135" t="e">
        <f>#REF!+#REF!</f>
        <v>#REF!</v>
      </c>
      <c r="M33" s="135" t="e">
        <f>#REF!+#REF!</f>
        <v>#REF!</v>
      </c>
      <c r="N33" s="135" t="e">
        <f>#REF!+#REF!</f>
        <v>#REF!</v>
      </c>
      <c r="O33" s="135" t="e">
        <f>#REF!+#REF!</f>
        <v>#REF!</v>
      </c>
      <c r="P33" s="135" t="e">
        <f>#REF!+#REF!</f>
        <v>#REF!</v>
      </c>
      <c r="Q33" s="135" t="e">
        <f>#REF!+#REF!</f>
        <v>#REF!</v>
      </c>
      <c r="R33" s="135" t="e">
        <f>#REF!+#REF!</f>
        <v>#REF!</v>
      </c>
      <c r="S33" s="135" t="e">
        <f>#REF!+#REF!</f>
        <v>#REF!</v>
      </c>
      <c r="T33" s="135" t="e">
        <f>#REF!+#REF!</f>
        <v>#REF!</v>
      </c>
      <c r="U33" s="135" t="e">
        <f>#REF!+#REF!</f>
        <v>#REF!</v>
      </c>
      <c r="V33" s="135" t="e">
        <f>#REF!+#REF!</f>
        <v>#REF!</v>
      </c>
      <c r="W33" s="135" t="e">
        <f>#REF!+#REF!</f>
        <v>#REF!</v>
      </c>
      <c r="X33" s="135" t="e">
        <f>#REF!+#REF!</f>
        <v>#REF!</v>
      </c>
      <c r="Y33" s="135" t="e">
        <f>#REF!+#REF!</f>
        <v>#REF!</v>
      </c>
      <c r="Z33" s="135" t="e">
        <f>#REF!+#REF!</f>
        <v>#REF!</v>
      </c>
      <c r="AA33" s="135" t="e">
        <f>#REF!+#REF!</f>
        <v>#REF!</v>
      </c>
      <c r="AB33" s="135" t="e">
        <f>#REF!+#REF!</f>
        <v>#REF!</v>
      </c>
      <c r="AC33" s="135" t="e">
        <f>#REF!+#REF!</f>
        <v>#REF!</v>
      </c>
      <c r="AD33" s="135" t="e">
        <f>#REF!+#REF!</f>
        <v>#REF!</v>
      </c>
      <c r="AE33" s="135" t="e">
        <f>#REF!+#REF!</f>
        <v>#REF!</v>
      </c>
      <c r="AF33" s="135" t="e">
        <f>#REF!+#REF!</f>
        <v>#REF!</v>
      </c>
      <c r="AG33" s="135" t="e">
        <f>#REF!+#REF!</f>
        <v>#REF!</v>
      </c>
      <c r="AH33" s="135" t="e">
        <f>#REF!+#REF!</f>
        <v>#REF!</v>
      </c>
      <c r="AI33" s="135" t="e">
        <f>#REF!+#REF!</f>
        <v>#REF!</v>
      </c>
      <c r="AJ33" s="135" t="e">
        <f>#REF!+#REF!</f>
        <v>#REF!</v>
      </c>
      <c r="AK33" s="135" t="e">
        <f>#REF!+#REF!</f>
        <v>#REF!</v>
      </c>
      <c r="AL33" s="135">
        <v>9482713.34</v>
      </c>
      <c r="AM33" s="135" t="e">
        <f>#REF!+#REF!</f>
        <v>#REF!</v>
      </c>
      <c r="AN33" s="135" t="e">
        <f>#REF!+#REF!</f>
        <v>#REF!</v>
      </c>
      <c r="AO33" s="135" t="e">
        <f>#REF!+#REF!</f>
        <v>#REF!</v>
      </c>
      <c r="AP33" s="135" t="e">
        <f>#REF!+#REF!</f>
        <v>#REF!</v>
      </c>
      <c r="AQ33" s="135" t="e">
        <f>#REF!+#REF!</f>
        <v>#REF!</v>
      </c>
      <c r="AR33" s="135" t="e">
        <f>#REF!+#REF!</f>
        <v>#REF!</v>
      </c>
      <c r="AS33" s="135" t="e">
        <f>#REF!+#REF!</f>
        <v>#REF!</v>
      </c>
      <c r="AT33" s="135" t="e">
        <f>#REF!+#REF!</f>
        <v>#REF!</v>
      </c>
      <c r="AU33" s="135" t="e">
        <f>#REF!+#REF!</f>
        <v>#REF!</v>
      </c>
      <c r="AV33" s="135" t="e">
        <f>#REF!+#REF!</f>
        <v>#REF!</v>
      </c>
      <c r="AW33" s="135" t="e">
        <f>#REF!+#REF!</f>
        <v>#REF!</v>
      </c>
      <c r="AX33" s="135">
        <v>8633920.93</v>
      </c>
      <c r="AY33" s="135" t="e">
        <f>#REF!+#REF!</f>
        <v>#REF!</v>
      </c>
      <c r="AZ33" s="135" t="e">
        <f>#REF!+#REF!</f>
        <v>#REF!</v>
      </c>
      <c r="BA33" s="135" t="e">
        <f>#REF!+#REF!</f>
        <v>#REF!</v>
      </c>
      <c r="BB33" s="135">
        <v>1979584.74</v>
      </c>
      <c r="BC33" s="135" t="e">
        <f>#REF!+#REF!</f>
        <v>#REF!</v>
      </c>
      <c r="BD33" s="135" t="e">
        <f>#REF!+#REF!</f>
        <v>#REF!</v>
      </c>
      <c r="BE33" s="135" t="e">
        <f>#REF!+#REF!</f>
        <v>#REF!</v>
      </c>
      <c r="BF33" s="135" t="e">
        <f>#REF!+#REF!</f>
        <v>#REF!</v>
      </c>
      <c r="BG33" s="135" t="e">
        <f>#REF!+#REF!</f>
        <v>#REF!</v>
      </c>
      <c r="BH33" s="130">
        <v>4565051.48</v>
      </c>
      <c r="BI33" s="135">
        <v>4992321.69</v>
      </c>
      <c r="BJ33" s="135">
        <v>5709873.24</v>
      </c>
      <c r="BK33" s="115"/>
      <c r="BL33" s="115">
        <f t="shared" si="0"/>
        <v>-2924047.69</v>
      </c>
      <c r="BM33" s="115"/>
    </row>
    <row r="34" s="111" customFormat="1" ht="18" customHeight="1" spans="1:65">
      <c r="A34" s="128">
        <v>2.3</v>
      </c>
      <c r="B34" s="134" t="s">
        <v>85</v>
      </c>
      <c r="C34" s="135" t="e">
        <f>#REF!</f>
        <v>#REF!</v>
      </c>
      <c r="D34" s="135" t="e">
        <f>#REF!</f>
        <v>#REF!</v>
      </c>
      <c r="E34" s="135" t="e">
        <f>#REF!</f>
        <v>#REF!</v>
      </c>
      <c r="F34" s="135" t="e">
        <f>#REF!</f>
        <v>#REF!</v>
      </c>
      <c r="G34" s="135" t="e">
        <f>#REF!</f>
        <v>#REF!</v>
      </c>
      <c r="H34" s="135" t="e">
        <f>#REF!</f>
        <v>#REF!</v>
      </c>
      <c r="I34" s="135" t="e">
        <f>#REF!</f>
        <v>#REF!</v>
      </c>
      <c r="J34" s="135" t="e">
        <f>#REF!</f>
        <v>#REF!</v>
      </c>
      <c r="K34" s="135" t="e">
        <f>#REF!</f>
        <v>#REF!</v>
      </c>
      <c r="L34" s="135" t="e">
        <f>#REF!</f>
        <v>#REF!</v>
      </c>
      <c r="M34" s="135" t="e">
        <f>#REF!</f>
        <v>#REF!</v>
      </c>
      <c r="N34" s="135" t="e">
        <f>#REF!</f>
        <v>#REF!</v>
      </c>
      <c r="O34" s="135" t="e">
        <f>#REF!</f>
        <v>#REF!</v>
      </c>
      <c r="P34" s="135" t="e">
        <f>#REF!</f>
        <v>#REF!</v>
      </c>
      <c r="Q34" s="135" t="e">
        <f>#REF!</f>
        <v>#REF!</v>
      </c>
      <c r="R34" s="135" t="e">
        <f>#REF!</f>
        <v>#REF!</v>
      </c>
      <c r="S34" s="135" t="e">
        <f>#REF!</f>
        <v>#REF!</v>
      </c>
      <c r="T34" s="135" t="e">
        <f>#REF!</f>
        <v>#REF!</v>
      </c>
      <c r="U34" s="135" t="e">
        <f>#REF!</f>
        <v>#REF!</v>
      </c>
      <c r="V34" s="135" t="e">
        <f>#REF!</f>
        <v>#REF!</v>
      </c>
      <c r="W34" s="135" t="e">
        <f>#REF!</f>
        <v>#REF!</v>
      </c>
      <c r="X34" s="135" t="e">
        <f>#REF!</f>
        <v>#REF!</v>
      </c>
      <c r="Y34" s="135" t="e">
        <f>#REF!</f>
        <v>#REF!</v>
      </c>
      <c r="Z34" s="135" t="e">
        <f>#REF!</f>
        <v>#REF!</v>
      </c>
      <c r="AA34" s="135" t="e">
        <f>#REF!</f>
        <v>#REF!</v>
      </c>
      <c r="AB34" s="135" t="e">
        <f>#REF!</f>
        <v>#REF!</v>
      </c>
      <c r="AC34" s="135" t="e">
        <f>#REF!</f>
        <v>#REF!</v>
      </c>
      <c r="AD34" s="135" t="e">
        <f>#REF!</f>
        <v>#REF!</v>
      </c>
      <c r="AE34" s="135" t="e">
        <f>#REF!</f>
        <v>#REF!</v>
      </c>
      <c r="AF34" s="135" t="e">
        <f>#REF!</f>
        <v>#REF!</v>
      </c>
      <c r="AG34" s="135" t="e">
        <f>#REF!</f>
        <v>#REF!</v>
      </c>
      <c r="AH34" s="135" t="e">
        <f>#REF!</f>
        <v>#REF!</v>
      </c>
      <c r="AI34" s="135" t="e">
        <f>#REF!</f>
        <v>#REF!</v>
      </c>
      <c r="AJ34" s="135" t="e">
        <f>#REF!</f>
        <v>#REF!</v>
      </c>
      <c r="AK34" s="135" t="e">
        <f>#REF!</f>
        <v>#REF!</v>
      </c>
      <c r="AL34" s="135">
        <v>21103370.63</v>
      </c>
      <c r="AM34" s="135" t="e">
        <f>#REF!</f>
        <v>#REF!</v>
      </c>
      <c r="AN34" s="135" t="e">
        <f>#REF!</f>
        <v>#REF!</v>
      </c>
      <c r="AO34" s="135" t="e">
        <f>#REF!</f>
        <v>#REF!</v>
      </c>
      <c r="AP34" s="135" t="e">
        <f>#REF!</f>
        <v>#REF!</v>
      </c>
      <c r="AQ34" s="135" t="e">
        <f>#REF!</f>
        <v>#REF!</v>
      </c>
      <c r="AR34" s="135" t="e">
        <f>#REF!</f>
        <v>#REF!</v>
      </c>
      <c r="AS34" s="135" t="e">
        <f>#REF!</f>
        <v>#REF!</v>
      </c>
      <c r="AT34" s="135" t="e">
        <f>#REF!</f>
        <v>#REF!</v>
      </c>
      <c r="AU34" s="135" t="e">
        <f>#REF!</f>
        <v>#REF!</v>
      </c>
      <c r="AV34" s="135" t="e">
        <f>#REF!</f>
        <v>#REF!</v>
      </c>
      <c r="AW34" s="135" t="e">
        <f>#REF!</f>
        <v>#REF!</v>
      </c>
      <c r="AX34" s="135">
        <v>17552463.68</v>
      </c>
      <c r="AY34" s="135" t="e">
        <f>#REF!</f>
        <v>#REF!</v>
      </c>
      <c r="AZ34" s="135" t="e">
        <f>#REF!</f>
        <v>#REF!</v>
      </c>
      <c r="BA34" s="135" t="e">
        <f>#REF!</f>
        <v>#REF!</v>
      </c>
      <c r="BB34" s="135">
        <v>2683283.5</v>
      </c>
      <c r="BC34" s="135" t="e">
        <f>#REF!</f>
        <v>#REF!</v>
      </c>
      <c r="BD34" s="135" t="e">
        <f>#REF!</f>
        <v>#REF!</v>
      </c>
      <c r="BE34" s="135" t="e">
        <f>#REF!</f>
        <v>#REF!</v>
      </c>
      <c r="BF34" s="135" t="e">
        <f>#REF!</f>
        <v>#REF!</v>
      </c>
      <c r="BG34" s="135" t="e">
        <f>#REF!</f>
        <v>#REF!</v>
      </c>
      <c r="BH34" s="130">
        <v>5167369.99</v>
      </c>
      <c r="BI34" s="135">
        <v>5520714.13</v>
      </c>
      <c r="BJ34" s="135">
        <v>5755011.98</v>
      </c>
      <c r="BK34" s="115"/>
      <c r="BL34" s="115">
        <f t="shared" si="0"/>
        <v>-11797451.7</v>
      </c>
      <c r="BM34" s="115"/>
    </row>
    <row r="35" s="111" customFormat="1" ht="18" customHeight="1" spans="1:65">
      <c r="A35" s="139">
        <v>3</v>
      </c>
      <c r="B35" s="140" t="s">
        <v>86</v>
      </c>
      <c r="C35" s="141" t="e">
        <f>#REF!</f>
        <v>#REF!</v>
      </c>
      <c r="D35" s="141" t="e">
        <f>#REF!</f>
        <v>#REF!</v>
      </c>
      <c r="E35" s="141" t="e">
        <f>#REF!</f>
        <v>#REF!</v>
      </c>
      <c r="F35" s="141" t="e">
        <f>#REF!</f>
        <v>#REF!</v>
      </c>
      <c r="G35" s="141" t="e">
        <f>#REF!</f>
        <v>#REF!</v>
      </c>
      <c r="H35" s="141" t="e">
        <f>#REF!</f>
        <v>#REF!</v>
      </c>
      <c r="I35" s="141" t="e">
        <f>#REF!</f>
        <v>#REF!</v>
      </c>
      <c r="J35" s="141" t="e">
        <f>#REF!</f>
        <v>#REF!</v>
      </c>
      <c r="K35" s="141" t="e">
        <f>#REF!</f>
        <v>#REF!</v>
      </c>
      <c r="L35" s="141" t="e">
        <f>#REF!</f>
        <v>#REF!</v>
      </c>
      <c r="M35" s="141" t="e">
        <f>#REF!</f>
        <v>#REF!</v>
      </c>
      <c r="N35" s="141" t="e">
        <f>#REF!</f>
        <v>#REF!</v>
      </c>
      <c r="O35" s="141" t="e">
        <f>#REF!</f>
        <v>#REF!</v>
      </c>
      <c r="P35" s="141" t="e">
        <f>#REF!</f>
        <v>#REF!</v>
      </c>
      <c r="Q35" s="141" t="e">
        <f>#REF!</f>
        <v>#REF!</v>
      </c>
      <c r="R35" s="141" t="e">
        <f>#REF!</f>
        <v>#REF!</v>
      </c>
      <c r="S35" s="141" t="e">
        <f>#REF!</f>
        <v>#REF!</v>
      </c>
      <c r="T35" s="141" t="e">
        <f>#REF!</f>
        <v>#REF!</v>
      </c>
      <c r="U35" s="141" t="e">
        <f>#REF!</f>
        <v>#REF!</v>
      </c>
      <c r="V35" s="141" t="e">
        <f>#REF!</f>
        <v>#REF!</v>
      </c>
      <c r="W35" s="141" t="e">
        <f>#REF!</f>
        <v>#REF!</v>
      </c>
      <c r="X35" s="141" t="e">
        <f>#REF!</f>
        <v>#REF!</v>
      </c>
      <c r="Y35" s="141" t="e">
        <f>#REF!</f>
        <v>#REF!</v>
      </c>
      <c r="Z35" s="141" t="e">
        <f>#REF!</f>
        <v>#REF!</v>
      </c>
      <c r="AA35" s="141" t="e">
        <f>#REF!</f>
        <v>#REF!</v>
      </c>
      <c r="AB35" s="141" t="e">
        <f>#REF!</f>
        <v>#REF!</v>
      </c>
      <c r="AC35" s="141" t="e">
        <f>#REF!</f>
        <v>#REF!</v>
      </c>
      <c r="AD35" s="141" t="e">
        <f>#REF!</f>
        <v>#REF!</v>
      </c>
      <c r="AE35" s="141" t="e">
        <f>#REF!</f>
        <v>#REF!</v>
      </c>
      <c r="AF35" s="141" t="e">
        <f>#REF!</f>
        <v>#REF!</v>
      </c>
      <c r="AG35" s="141" t="e">
        <f>#REF!</f>
        <v>#REF!</v>
      </c>
      <c r="AH35" s="141" t="e">
        <f>#REF!</f>
        <v>#REF!</v>
      </c>
      <c r="AI35" s="141" t="e">
        <f>#REF!</f>
        <v>#REF!</v>
      </c>
      <c r="AJ35" s="141" t="e">
        <f>#REF!</f>
        <v>#REF!</v>
      </c>
      <c r="AK35" s="141" t="e">
        <f>#REF!</f>
        <v>#REF!</v>
      </c>
      <c r="AL35" s="141">
        <v>7934025.74</v>
      </c>
      <c r="AM35" s="141" t="e">
        <f>#REF!</f>
        <v>#REF!</v>
      </c>
      <c r="AN35" s="141" t="e">
        <f>#REF!</f>
        <v>#REF!</v>
      </c>
      <c r="AO35" s="141" t="e">
        <f>#REF!</f>
        <v>#REF!</v>
      </c>
      <c r="AP35" s="141" t="e">
        <f>#REF!</f>
        <v>#REF!</v>
      </c>
      <c r="AQ35" s="141" t="e">
        <f>#REF!</f>
        <v>#REF!</v>
      </c>
      <c r="AR35" s="141" t="e">
        <f>#REF!</f>
        <v>#REF!</v>
      </c>
      <c r="AS35" s="141" t="e">
        <f>#REF!</f>
        <v>#REF!</v>
      </c>
      <c r="AT35" s="141" t="e">
        <f>#REF!</f>
        <v>#REF!</v>
      </c>
      <c r="AU35" s="141" t="e">
        <f>#REF!</f>
        <v>#REF!</v>
      </c>
      <c r="AV35" s="141" t="e">
        <f>#REF!</f>
        <v>#REF!</v>
      </c>
      <c r="AW35" s="141" t="e">
        <f>#REF!</f>
        <v>#REF!</v>
      </c>
      <c r="AX35" s="141">
        <v>7054225.51</v>
      </c>
      <c r="AY35" s="141" t="e">
        <f>#REF!</f>
        <v>#REF!</v>
      </c>
      <c r="AZ35" s="141" t="e">
        <f>#REF!</f>
        <v>#REF!</v>
      </c>
      <c r="BA35" s="141" t="e">
        <f>#REF!</f>
        <v>#REF!</v>
      </c>
      <c r="BB35" s="141" t="e">
        <f>#REF!</f>
        <v>#REF!</v>
      </c>
      <c r="BC35" s="141" t="e">
        <f>#REF!</f>
        <v>#REF!</v>
      </c>
      <c r="BD35" s="141" t="e">
        <f>#REF!</f>
        <v>#REF!</v>
      </c>
      <c r="BE35" s="141" t="e">
        <f>#REF!</f>
        <v>#REF!</v>
      </c>
      <c r="BF35" s="141" t="e">
        <f>#REF!</f>
        <v>#REF!</v>
      </c>
      <c r="BG35" s="141" t="e">
        <f>#REF!</f>
        <v>#REF!</v>
      </c>
      <c r="BH35" s="142">
        <v>6209905.3</v>
      </c>
      <c r="BI35" s="141">
        <v>6988162.75</v>
      </c>
      <c r="BJ35" s="141">
        <v>8312685.51</v>
      </c>
      <c r="BK35" s="115"/>
      <c r="BL35" s="115">
        <f t="shared" si="0"/>
        <v>1258460</v>
      </c>
      <c r="BM35" s="115"/>
    </row>
    <row r="36" s="111" customFormat="1" ht="18" customHeight="1" spans="1:65">
      <c r="A36" s="144">
        <v>4</v>
      </c>
      <c r="B36" s="145" t="s">
        <v>87</v>
      </c>
      <c r="C36" s="146" t="e">
        <f>#REF!</f>
        <v>#REF!</v>
      </c>
      <c r="D36" s="146" t="e">
        <f>#REF!</f>
        <v>#REF!</v>
      </c>
      <c r="E36" s="146" t="e">
        <f>#REF!</f>
        <v>#REF!</v>
      </c>
      <c r="F36" s="146" t="e">
        <f>#REF!</f>
        <v>#REF!</v>
      </c>
      <c r="G36" s="146" t="e">
        <f>#REF!</f>
        <v>#REF!</v>
      </c>
      <c r="H36" s="146" t="e">
        <f>#REF!</f>
        <v>#REF!</v>
      </c>
      <c r="I36" s="146" t="e">
        <f>#REF!</f>
        <v>#REF!</v>
      </c>
      <c r="J36" s="146" t="e">
        <f>#REF!</f>
        <v>#REF!</v>
      </c>
      <c r="K36" s="146" t="e">
        <f>#REF!</f>
        <v>#REF!</v>
      </c>
      <c r="L36" s="146" t="e">
        <f>#REF!</f>
        <v>#REF!</v>
      </c>
      <c r="M36" s="146" t="e">
        <f>#REF!</f>
        <v>#REF!</v>
      </c>
      <c r="N36" s="146" t="e">
        <f>#REF!</f>
        <v>#REF!</v>
      </c>
      <c r="O36" s="146" t="e">
        <f>#REF!</f>
        <v>#REF!</v>
      </c>
      <c r="P36" s="146" t="e">
        <f>#REF!</f>
        <v>#REF!</v>
      </c>
      <c r="Q36" s="146" t="e">
        <f>#REF!</f>
        <v>#REF!</v>
      </c>
      <c r="R36" s="146" t="e">
        <f>#REF!</f>
        <v>#REF!</v>
      </c>
      <c r="S36" s="146" t="e">
        <f>#REF!</f>
        <v>#REF!</v>
      </c>
      <c r="T36" s="146" t="e">
        <f>#REF!</f>
        <v>#REF!</v>
      </c>
      <c r="U36" s="146" t="e">
        <f>#REF!</f>
        <v>#REF!</v>
      </c>
      <c r="V36" s="146" t="e">
        <f>#REF!</f>
        <v>#REF!</v>
      </c>
      <c r="W36" s="146" t="e">
        <f>#REF!</f>
        <v>#REF!</v>
      </c>
      <c r="X36" s="146" t="e">
        <f>#REF!</f>
        <v>#REF!</v>
      </c>
      <c r="Y36" s="146" t="e">
        <f>#REF!</f>
        <v>#REF!</v>
      </c>
      <c r="Z36" s="146" t="e">
        <f>#REF!</f>
        <v>#REF!</v>
      </c>
      <c r="AA36" s="146" t="e">
        <f>#REF!</f>
        <v>#REF!</v>
      </c>
      <c r="AB36" s="146" t="e">
        <f>#REF!</f>
        <v>#REF!</v>
      </c>
      <c r="AC36" s="146" t="e">
        <f>#REF!</f>
        <v>#REF!</v>
      </c>
      <c r="AD36" s="146" t="e">
        <f>#REF!</f>
        <v>#REF!</v>
      </c>
      <c r="AE36" s="146" t="e">
        <f>#REF!</f>
        <v>#REF!</v>
      </c>
      <c r="AF36" s="146" t="e">
        <f>#REF!</f>
        <v>#REF!</v>
      </c>
      <c r="AG36" s="146" t="e">
        <f>#REF!</f>
        <v>#REF!</v>
      </c>
      <c r="AH36" s="146" t="e">
        <f>#REF!</f>
        <v>#REF!</v>
      </c>
      <c r="AI36" s="146" t="e">
        <f>#REF!</f>
        <v>#REF!</v>
      </c>
      <c r="AJ36" s="146" t="e">
        <f>#REF!</f>
        <v>#REF!</v>
      </c>
      <c r="AK36" s="146" t="e">
        <f>#REF!</f>
        <v>#REF!</v>
      </c>
      <c r="AL36" s="146">
        <v>1166520.78</v>
      </c>
      <c r="AM36" s="146" t="e">
        <f>#REF!</f>
        <v>#REF!</v>
      </c>
      <c r="AN36" s="146" t="e">
        <f>#REF!</f>
        <v>#REF!</v>
      </c>
      <c r="AO36" s="146" t="e">
        <f>#REF!</f>
        <v>#REF!</v>
      </c>
      <c r="AP36" s="146" t="e">
        <f>#REF!</f>
        <v>#REF!</v>
      </c>
      <c r="AQ36" s="146" t="e">
        <f>#REF!</f>
        <v>#REF!</v>
      </c>
      <c r="AR36" s="146" t="e">
        <f>#REF!</f>
        <v>#REF!</v>
      </c>
      <c r="AS36" s="146" t="e">
        <f>#REF!</f>
        <v>#REF!</v>
      </c>
      <c r="AT36" s="146" t="e">
        <f>#REF!</f>
        <v>#REF!</v>
      </c>
      <c r="AU36" s="146" t="e">
        <f>#REF!</f>
        <v>#REF!</v>
      </c>
      <c r="AV36" s="146" t="e">
        <f>#REF!</f>
        <v>#REF!</v>
      </c>
      <c r="AW36" s="146" t="e">
        <f>#REF!</f>
        <v>#REF!</v>
      </c>
      <c r="AX36" s="146">
        <v>1460829.37</v>
      </c>
      <c r="AY36" s="146" t="e">
        <f>#REF!</f>
        <v>#REF!</v>
      </c>
      <c r="AZ36" s="146" t="e">
        <f>#REF!</f>
        <v>#REF!</v>
      </c>
      <c r="BA36" s="146" t="e">
        <f>#REF!</f>
        <v>#REF!</v>
      </c>
      <c r="BB36" s="146" t="e">
        <f>#REF!</f>
        <v>#REF!</v>
      </c>
      <c r="BC36" s="146" t="e">
        <f>#REF!</f>
        <v>#REF!</v>
      </c>
      <c r="BD36" s="146" t="e">
        <f>#REF!</f>
        <v>#REF!</v>
      </c>
      <c r="BE36" s="146" t="e">
        <f>#REF!</f>
        <v>#REF!</v>
      </c>
      <c r="BF36" s="146" t="e">
        <f>#REF!</f>
        <v>#REF!</v>
      </c>
      <c r="BG36" s="146" t="e">
        <f>#REF!</f>
        <v>#REF!</v>
      </c>
      <c r="BH36" s="147">
        <v>-1630988.24</v>
      </c>
      <c r="BI36" s="146">
        <v>-1745734.16</v>
      </c>
      <c r="BJ36" s="146">
        <f>-4551322.49+323310</f>
        <v>-4228012.49</v>
      </c>
      <c r="BK36" s="115"/>
      <c r="BL36" s="115">
        <f t="shared" si="0"/>
        <v>-5688841.86</v>
      </c>
      <c r="BM36" s="115"/>
    </row>
    <row r="37" s="111" customFormat="1" ht="18" customHeight="1" spans="1:65">
      <c r="A37" s="128" t="s">
        <v>88</v>
      </c>
      <c r="B37" s="129" t="s">
        <v>89</v>
      </c>
      <c r="C37" s="130" t="e">
        <f>C22-C23</f>
        <v>#REF!</v>
      </c>
      <c r="D37" s="130" t="e">
        <f>D22-D23</f>
        <v>#REF!</v>
      </c>
      <c r="E37" s="130" t="e">
        <f>E22-E23</f>
        <v>#REF!</v>
      </c>
      <c r="F37" s="130" t="e">
        <f>F22-F23</f>
        <v>#REF!</v>
      </c>
      <c r="G37" s="130" t="e">
        <f t="shared" ref="G37:BB37" si="7">G22-G23</f>
        <v>#REF!</v>
      </c>
      <c r="H37" s="130" t="e">
        <f t="shared" si="7"/>
        <v>#REF!</v>
      </c>
      <c r="I37" s="130" t="e">
        <f t="shared" si="7"/>
        <v>#REF!</v>
      </c>
      <c r="J37" s="130" t="e">
        <f t="shared" si="7"/>
        <v>#REF!</v>
      </c>
      <c r="K37" s="130" t="e">
        <f t="shared" si="7"/>
        <v>#REF!</v>
      </c>
      <c r="L37" s="130" t="e">
        <f t="shared" si="7"/>
        <v>#REF!</v>
      </c>
      <c r="M37" s="130" t="e">
        <f t="shared" si="7"/>
        <v>#REF!</v>
      </c>
      <c r="N37" s="130" t="e">
        <f t="shared" si="7"/>
        <v>#REF!</v>
      </c>
      <c r="O37" s="130" t="e">
        <f t="shared" si="7"/>
        <v>#REF!</v>
      </c>
      <c r="P37" s="130" t="e">
        <f t="shared" si="7"/>
        <v>#REF!</v>
      </c>
      <c r="Q37" s="130" t="e">
        <f t="shared" si="7"/>
        <v>#REF!</v>
      </c>
      <c r="R37" s="130" t="e">
        <f t="shared" si="7"/>
        <v>#REF!</v>
      </c>
      <c r="S37" s="130" t="e">
        <f t="shared" si="7"/>
        <v>#REF!</v>
      </c>
      <c r="T37" s="130" t="e">
        <f t="shared" si="7"/>
        <v>#REF!</v>
      </c>
      <c r="U37" s="130" t="e">
        <f t="shared" si="7"/>
        <v>#REF!</v>
      </c>
      <c r="V37" s="130" t="e">
        <f t="shared" si="7"/>
        <v>#REF!</v>
      </c>
      <c r="W37" s="130" t="e">
        <f t="shared" si="7"/>
        <v>#REF!</v>
      </c>
      <c r="X37" s="130" t="e">
        <f t="shared" si="7"/>
        <v>#REF!</v>
      </c>
      <c r="Y37" s="130" t="e">
        <f t="shared" si="7"/>
        <v>#REF!</v>
      </c>
      <c r="Z37" s="130" t="e">
        <f t="shared" si="7"/>
        <v>#REF!</v>
      </c>
      <c r="AA37" s="130" t="e">
        <f t="shared" si="7"/>
        <v>#REF!</v>
      </c>
      <c r="AB37" s="130" t="e">
        <f t="shared" si="7"/>
        <v>#REF!</v>
      </c>
      <c r="AC37" s="130" t="e">
        <f t="shared" si="7"/>
        <v>#REF!</v>
      </c>
      <c r="AD37" s="130" t="e">
        <f t="shared" si="7"/>
        <v>#REF!</v>
      </c>
      <c r="AE37" s="130" t="e">
        <f t="shared" si="7"/>
        <v>#REF!</v>
      </c>
      <c r="AF37" s="130" t="e">
        <f t="shared" si="7"/>
        <v>#REF!</v>
      </c>
      <c r="AG37" s="130" t="e">
        <f t="shared" si="7"/>
        <v>#REF!</v>
      </c>
      <c r="AH37" s="130" t="e">
        <f t="shared" si="7"/>
        <v>#REF!</v>
      </c>
      <c r="AI37" s="130" t="e">
        <f t="shared" si="7"/>
        <v>#REF!</v>
      </c>
      <c r="AJ37" s="130" t="e">
        <f t="shared" si="7"/>
        <v>#REF!</v>
      </c>
      <c r="AK37" s="130" t="e">
        <f t="shared" si="7"/>
        <v>#REF!</v>
      </c>
      <c r="AL37" s="130">
        <v>172149580.890001</v>
      </c>
      <c r="AM37" s="130" t="e">
        <f t="shared" si="7"/>
        <v>#REF!</v>
      </c>
      <c r="AN37" s="130" t="e">
        <f t="shared" si="7"/>
        <v>#REF!</v>
      </c>
      <c r="AO37" s="130" t="e">
        <f t="shared" si="7"/>
        <v>#REF!</v>
      </c>
      <c r="AP37" s="130" t="e">
        <f t="shared" si="7"/>
        <v>#REF!</v>
      </c>
      <c r="AQ37" s="130" t="e">
        <f t="shared" si="7"/>
        <v>#REF!</v>
      </c>
      <c r="AR37" s="130" t="e">
        <f t="shared" si="7"/>
        <v>#REF!</v>
      </c>
      <c r="AS37" s="130" t="e">
        <f t="shared" si="7"/>
        <v>#REF!</v>
      </c>
      <c r="AT37" s="130" t="e">
        <f t="shared" si="7"/>
        <v>#REF!</v>
      </c>
      <c r="AU37" s="130" t="e">
        <f t="shared" si="7"/>
        <v>#REF!</v>
      </c>
      <c r="AV37" s="130" t="e">
        <f t="shared" si="7"/>
        <v>#REF!</v>
      </c>
      <c r="AW37" s="130" t="e">
        <f t="shared" si="7"/>
        <v>#REF!</v>
      </c>
      <c r="AX37" s="130">
        <v>72747053.1603295</v>
      </c>
      <c r="AY37" s="130" t="e">
        <f t="shared" si="7"/>
        <v>#REF!</v>
      </c>
      <c r="AZ37" s="130" t="e">
        <f t="shared" si="7"/>
        <v>#REF!</v>
      </c>
      <c r="BA37" s="130" t="e">
        <f t="shared" si="7"/>
        <v>#REF!</v>
      </c>
      <c r="BB37" s="130">
        <v>34070714.87</v>
      </c>
      <c r="BC37" s="130" t="e">
        <f>BC22-BC23</f>
        <v>#REF!</v>
      </c>
      <c r="BD37" s="130" t="e">
        <f>BD22-BD23</f>
        <v>#REF!</v>
      </c>
      <c r="BE37" s="130" t="e">
        <f>BE22-BE23</f>
        <v>#REF!</v>
      </c>
      <c r="BF37" s="130" t="e">
        <f>BF22-BF23</f>
        <v>#REF!</v>
      </c>
      <c r="BG37" s="130" t="e">
        <f>BG22-BG23</f>
        <v>#REF!</v>
      </c>
      <c r="BH37" s="130">
        <v>88589239.83</v>
      </c>
      <c r="BI37" s="130">
        <v>103904531.21</v>
      </c>
      <c r="BJ37" s="130">
        <f>BJ22-BJ23</f>
        <v>139380161.15</v>
      </c>
      <c r="BK37" s="115">
        <f>BJ22-BJ23</f>
        <v>139380161.15</v>
      </c>
      <c r="BL37" s="115">
        <f t="shared" si="0"/>
        <v>66633107.9896705</v>
      </c>
      <c r="BM37" s="115"/>
    </row>
    <row r="38" s="111" customFormat="1" ht="18" customHeight="1" spans="1:65">
      <c r="A38" s="128" t="s">
        <v>90</v>
      </c>
      <c r="B38" s="129" t="s">
        <v>91</v>
      </c>
      <c r="C38" s="130" t="e">
        <f>SUM(C39:C44)</f>
        <v>#REF!</v>
      </c>
      <c r="D38" s="130" t="e">
        <f>SUM(D39:D44)</f>
        <v>#REF!</v>
      </c>
      <c r="E38" s="130" t="e">
        <f>SUM(E39:E44)</f>
        <v>#REF!</v>
      </c>
      <c r="F38" s="130" t="e">
        <f>SUM(F39:F44)</f>
        <v>#REF!</v>
      </c>
      <c r="G38" s="130" t="e">
        <f t="shared" ref="G38:BB38" si="8">SUM(G39:G44)</f>
        <v>#REF!</v>
      </c>
      <c r="H38" s="130" t="e">
        <f t="shared" si="8"/>
        <v>#REF!</v>
      </c>
      <c r="I38" s="130" t="e">
        <f t="shared" si="8"/>
        <v>#REF!</v>
      </c>
      <c r="J38" s="130" t="e">
        <f t="shared" si="8"/>
        <v>#REF!</v>
      </c>
      <c r="K38" s="130" t="e">
        <f t="shared" si="8"/>
        <v>#REF!</v>
      </c>
      <c r="L38" s="130" t="e">
        <f t="shared" si="8"/>
        <v>#REF!</v>
      </c>
      <c r="M38" s="130" t="e">
        <f t="shared" si="8"/>
        <v>#REF!</v>
      </c>
      <c r="N38" s="130" t="e">
        <f t="shared" si="8"/>
        <v>#REF!</v>
      </c>
      <c r="O38" s="130" t="e">
        <f t="shared" si="8"/>
        <v>#REF!</v>
      </c>
      <c r="P38" s="130" t="e">
        <f t="shared" si="8"/>
        <v>#REF!</v>
      </c>
      <c r="Q38" s="130" t="e">
        <f t="shared" si="8"/>
        <v>#REF!</v>
      </c>
      <c r="R38" s="130" t="e">
        <f t="shared" si="8"/>
        <v>#REF!</v>
      </c>
      <c r="S38" s="130" t="e">
        <f t="shared" si="8"/>
        <v>#REF!</v>
      </c>
      <c r="T38" s="130" t="e">
        <f t="shared" si="8"/>
        <v>#REF!</v>
      </c>
      <c r="U38" s="130" t="e">
        <f t="shared" si="8"/>
        <v>#REF!</v>
      </c>
      <c r="V38" s="130" t="e">
        <f t="shared" si="8"/>
        <v>#REF!</v>
      </c>
      <c r="W38" s="130" t="e">
        <f t="shared" si="8"/>
        <v>#REF!</v>
      </c>
      <c r="X38" s="130" t="e">
        <f t="shared" si="8"/>
        <v>#REF!</v>
      </c>
      <c r="Y38" s="130" t="e">
        <f t="shared" si="8"/>
        <v>#REF!</v>
      </c>
      <c r="Z38" s="130" t="e">
        <f t="shared" si="8"/>
        <v>#REF!</v>
      </c>
      <c r="AA38" s="130" t="e">
        <f t="shared" si="8"/>
        <v>#REF!</v>
      </c>
      <c r="AB38" s="130" t="e">
        <f t="shared" si="8"/>
        <v>#REF!</v>
      </c>
      <c r="AC38" s="130" t="e">
        <f t="shared" si="8"/>
        <v>#REF!</v>
      </c>
      <c r="AD38" s="130" t="e">
        <f t="shared" si="8"/>
        <v>#REF!</v>
      </c>
      <c r="AE38" s="130" t="e">
        <f t="shared" si="8"/>
        <v>#REF!</v>
      </c>
      <c r="AF38" s="130" t="e">
        <f t="shared" si="8"/>
        <v>#REF!</v>
      </c>
      <c r="AG38" s="130" t="e">
        <f t="shared" si="8"/>
        <v>#REF!</v>
      </c>
      <c r="AH38" s="130" t="e">
        <f t="shared" si="8"/>
        <v>#REF!</v>
      </c>
      <c r="AI38" s="130" t="e">
        <f t="shared" si="8"/>
        <v>#REF!</v>
      </c>
      <c r="AJ38" s="130" t="e">
        <f t="shared" si="8"/>
        <v>#REF!</v>
      </c>
      <c r="AK38" s="130" t="e">
        <f t="shared" si="8"/>
        <v>#REF!</v>
      </c>
      <c r="AL38" s="130">
        <v>69311790.17</v>
      </c>
      <c r="AM38" s="130" t="e">
        <f t="shared" si="8"/>
        <v>#REF!</v>
      </c>
      <c r="AN38" s="130" t="e">
        <f t="shared" si="8"/>
        <v>#REF!</v>
      </c>
      <c r="AO38" s="130" t="e">
        <f t="shared" si="8"/>
        <v>#REF!</v>
      </c>
      <c r="AP38" s="130" t="e">
        <f t="shared" si="8"/>
        <v>#REF!</v>
      </c>
      <c r="AQ38" s="130" t="e">
        <f t="shared" si="8"/>
        <v>#REF!</v>
      </c>
      <c r="AR38" s="130" t="e">
        <f t="shared" si="8"/>
        <v>#REF!</v>
      </c>
      <c r="AS38" s="130" t="e">
        <f t="shared" si="8"/>
        <v>#REF!</v>
      </c>
      <c r="AT38" s="130" t="e">
        <f t="shared" si="8"/>
        <v>#REF!</v>
      </c>
      <c r="AU38" s="130" t="e">
        <f t="shared" si="8"/>
        <v>#REF!</v>
      </c>
      <c r="AV38" s="130" t="e">
        <f t="shared" si="8"/>
        <v>#REF!</v>
      </c>
      <c r="AW38" s="130" t="e">
        <f t="shared" si="8"/>
        <v>#REF!</v>
      </c>
      <c r="AX38" s="130">
        <v>68015354.94</v>
      </c>
      <c r="AY38" s="130" t="e">
        <f t="shared" si="8"/>
        <v>#REF!</v>
      </c>
      <c r="AZ38" s="130" t="e">
        <f t="shared" si="8"/>
        <v>#REF!</v>
      </c>
      <c r="BA38" s="130" t="e">
        <f t="shared" si="8"/>
        <v>#REF!</v>
      </c>
      <c r="BB38" s="130">
        <v>16109885.41</v>
      </c>
      <c r="BC38" s="130" t="e">
        <f>SUM(BC39:BC44)</f>
        <v>#REF!</v>
      </c>
      <c r="BD38" s="130" t="e">
        <f>SUM(BD39:BD44)</f>
        <v>#REF!</v>
      </c>
      <c r="BE38" s="130" t="e">
        <f>SUM(BE39:BE44)</f>
        <v>#REF!</v>
      </c>
      <c r="BF38" s="130" t="e">
        <f>SUM(BF39:BF44)</f>
        <v>#REF!</v>
      </c>
      <c r="BG38" s="130" t="e">
        <f>SUM(BG39:BG44)</f>
        <v>#REF!</v>
      </c>
      <c r="BH38" s="130">
        <v>41463013.41</v>
      </c>
      <c r="BI38" s="130">
        <v>45579366.03</v>
      </c>
      <c r="BJ38" s="130">
        <v>62827840.07</v>
      </c>
      <c r="BK38" s="115"/>
      <c r="BL38" s="115">
        <f t="shared" si="0"/>
        <v>-5187514.87</v>
      </c>
      <c r="BM38" s="115"/>
    </row>
    <row r="39" s="111" customFormat="1" ht="18" customHeight="1" spans="1:65">
      <c r="A39" s="128">
        <v>1</v>
      </c>
      <c r="B39" s="134" t="s">
        <v>92</v>
      </c>
      <c r="C39" s="135" t="e">
        <f>#REF!</f>
        <v>#REF!</v>
      </c>
      <c r="D39" s="135" t="e">
        <f>#REF!</f>
        <v>#REF!</v>
      </c>
      <c r="E39" s="135" t="e">
        <f>#REF!</f>
        <v>#REF!</v>
      </c>
      <c r="F39" s="135" t="e">
        <f>#REF!</f>
        <v>#REF!</v>
      </c>
      <c r="G39" s="135" t="e">
        <f>#REF!</f>
        <v>#REF!</v>
      </c>
      <c r="H39" s="135" t="e">
        <f>#REF!</f>
        <v>#REF!</v>
      </c>
      <c r="I39" s="135" t="e">
        <f>#REF!</f>
        <v>#REF!</v>
      </c>
      <c r="J39" s="135" t="e">
        <f>#REF!</f>
        <v>#REF!</v>
      </c>
      <c r="K39" s="135" t="e">
        <f>#REF!</f>
        <v>#REF!</v>
      </c>
      <c r="L39" s="135" t="e">
        <f>#REF!</f>
        <v>#REF!</v>
      </c>
      <c r="M39" s="135" t="e">
        <f>#REF!</f>
        <v>#REF!</v>
      </c>
      <c r="N39" s="135" t="e">
        <f>#REF!</f>
        <v>#REF!</v>
      </c>
      <c r="O39" s="135" t="e">
        <f>#REF!</f>
        <v>#REF!</v>
      </c>
      <c r="P39" s="135" t="e">
        <f>#REF!</f>
        <v>#REF!</v>
      </c>
      <c r="Q39" s="135" t="e">
        <f>#REF!</f>
        <v>#REF!</v>
      </c>
      <c r="R39" s="135" t="e">
        <f>#REF!</f>
        <v>#REF!</v>
      </c>
      <c r="S39" s="135" t="e">
        <f>#REF!</f>
        <v>#REF!</v>
      </c>
      <c r="T39" s="135" t="e">
        <f>#REF!</f>
        <v>#REF!</v>
      </c>
      <c r="U39" s="135" t="e">
        <f>#REF!</f>
        <v>#REF!</v>
      </c>
      <c r="V39" s="135" t="e">
        <f>#REF!</f>
        <v>#REF!</v>
      </c>
      <c r="W39" s="135" t="e">
        <f>#REF!</f>
        <v>#REF!</v>
      </c>
      <c r="X39" s="135" t="e">
        <f>#REF!</f>
        <v>#REF!</v>
      </c>
      <c r="Y39" s="135" t="e">
        <f>#REF!</f>
        <v>#REF!</v>
      </c>
      <c r="Z39" s="135" t="e">
        <f>#REF!</f>
        <v>#REF!</v>
      </c>
      <c r="AA39" s="135" t="e">
        <f>#REF!</f>
        <v>#REF!</v>
      </c>
      <c r="AB39" s="135" t="e">
        <f>#REF!</f>
        <v>#REF!</v>
      </c>
      <c r="AC39" s="135" t="e">
        <f>#REF!</f>
        <v>#REF!</v>
      </c>
      <c r="AD39" s="135" t="e">
        <f>#REF!</f>
        <v>#REF!</v>
      </c>
      <c r="AE39" s="135" t="e">
        <f>#REF!</f>
        <v>#REF!</v>
      </c>
      <c r="AF39" s="135" t="e">
        <f>#REF!</f>
        <v>#REF!</v>
      </c>
      <c r="AG39" s="135" t="e">
        <f>#REF!</f>
        <v>#REF!</v>
      </c>
      <c r="AH39" s="135" t="e">
        <f>#REF!</f>
        <v>#REF!</v>
      </c>
      <c r="AI39" s="135" t="e">
        <f>#REF!</f>
        <v>#REF!</v>
      </c>
      <c r="AJ39" s="135" t="e">
        <f>#REF!</f>
        <v>#REF!</v>
      </c>
      <c r="AK39" s="135" t="e">
        <f>#REF!</f>
        <v>#REF!</v>
      </c>
      <c r="AL39" s="135">
        <v>36877571.31</v>
      </c>
      <c r="AM39" s="135" t="e">
        <f>#REF!</f>
        <v>#REF!</v>
      </c>
      <c r="AN39" s="135" t="e">
        <f>#REF!</f>
        <v>#REF!</v>
      </c>
      <c r="AO39" s="135" t="e">
        <f>#REF!</f>
        <v>#REF!</v>
      </c>
      <c r="AP39" s="135" t="e">
        <f>#REF!</f>
        <v>#REF!</v>
      </c>
      <c r="AQ39" s="135" t="e">
        <f>#REF!</f>
        <v>#REF!</v>
      </c>
      <c r="AR39" s="135" t="e">
        <f>#REF!</f>
        <v>#REF!</v>
      </c>
      <c r="AS39" s="135" t="e">
        <f>#REF!</f>
        <v>#REF!</v>
      </c>
      <c r="AT39" s="135" t="e">
        <f>#REF!</f>
        <v>#REF!</v>
      </c>
      <c r="AU39" s="135" t="e">
        <f>#REF!</f>
        <v>#REF!</v>
      </c>
      <c r="AV39" s="135" t="e">
        <f>#REF!</f>
        <v>#REF!</v>
      </c>
      <c r="AW39" s="135" t="e">
        <f>#REF!</f>
        <v>#REF!</v>
      </c>
      <c r="AX39" s="135">
        <v>39774915.94</v>
      </c>
      <c r="AY39" s="135" t="e">
        <f>#REF!</f>
        <v>#REF!</v>
      </c>
      <c r="AZ39" s="135" t="e">
        <f>#REF!</f>
        <v>#REF!</v>
      </c>
      <c r="BA39" s="135" t="e">
        <f>#REF!</f>
        <v>#REF!</v>
      </c>
      <c r="BB39" s="135">
        <v>8646056.36</v>
      </c>
      <c r="BC39" s="135" t="e">
        <f>#REF!</f>
        <v>#REF!</v>
      </c>
      <c r="BD39" s="135" t="e">
        <f>#REF!</f>
        <v>#REF!</v>
      </c>
      <c r="BE39" s="135" t="e">
        <f>#REF!</f>
        <v>#REF!</v>
      </c>
      <c r="BF39" s="135" t="e">
        <f>#REF!</f>
        <v>#REF!</v>
      </c>
      <c r="BG39" s="135" t="e">
        <f>#REF!</f>
        <v>#REF!</v>
      </c>
      <c r="BH39" s="130">
        <v>21638075.17</v>
      </c>
      <c r="BI39" s="135">
        <v>23826791.97</v>
      </c>
      <c r="BJ39" s="135">
        <v>33978073.83</v>
      </c>
      <c r="BK39" s="115"/>
      <c r="BL39" s="115">
        <f t="shared" si="0"/>
        <v>-5796842.11</v>
      </c>
      <c r="BM39" s="115"/>
    </row>
    <row r="40" s="111" customFormat="1" ht="18" customHeight="1" spans="1:65">
      <c r="A40" s="128">
        <v>2</v>
      </c>
      <c r="B40" s="134" t="s">
        <v>93</v>
      </c>
      <c r="C40" s="135" t="e">
        <f>#REF!</f>
        <v>#REF!</v>
      </c>
      <c r="D40" s="135" t="e">
        <f>#REF!</f>
        <v>#REF!</v>
      </c>
      <c r="E40" s="135" t="e">
        <f>#REF!</f>
        <v>#REF!</v>
      </c>
      <c r="F40" s="135" t="e">
        <f>#REF!-#REF!</f>
        <v>#REF!</v>
      </c>
      <c r="G40" s="135" t="e">
        <f>#REF!-#REF!</f>
        <v>#REF!</v>
      </c>
      <c r="H40" s="135" t="e">
        <f>#REF!-#REF!</f>
        <v>#REF!</v>
      </c>
      <c r="I40" s="135" t="e">
        <f>#REF!-#REF!</f>
        <v>#REF!</v>
      </c>
      <c r="J40" s="135" t="e">
        <f>#REF!-#REF!</f>
        <v>#REF!</v>
      </c>
      <c r="K40" s="135" t="e">
        <f>#REF!-#REF!</f>
        <v>#REF!</v>
      </c>
      <c r="L40" s="135" t="e">
        <f>#REF!-#REF!</f>
        <v>#REF!</v>
      </c>
      <c r="M40" s="135" t="e">
        <f>#REF!-#REF!</f>
        <v>#REF!</v>
      </c>
      <c r="N40" s="135" t="e">
        <f>#REF!-#REF!</f>
        <v>#REF!</v>
      </c>
      <c r="O40" s="135" t="e">
        <f>#REF!-#REF!</f>
        <v>#REF!</v>
      </c>
      <c r="P40" s="135" t="e">
        <f>#REF!-#REF!</f>
        <v>#REF!</v>
      </c>
      <c r="Q40" s="135" t="e">
        <f>#REF!-#REF!</f>
        <v>#REF!</v>
      </c>
      <c r="R40" s="135" t="e">
        <f>#REF!-#REF!</f>
        <v>#REF!</v>
      </c>
      <c r="S40" s="135" t="e">
        <f>#REF!-#REF!</f>
        <v>#REF!</v>
      </c>
      <c r="T40" s="135" t="e">
        <f>#REF!-#REF!</f>
        <v>#REF!</v>
      </c>
      <c r="U40" s="135" t="e">
        <f>#REF!-#REF!</f>
        <v>#REF!</v>
      </c>
      <c r="V40" s="135" t="e">
        <f>#REF!-#REF!</f>
        <v>#REF!</v>
      </c>
      <c r="W40" s="135" t="e">
        <f>#REF!-#REF!</f>
        <v>#REF!</v>
      </c>
      <c r="X40" s="135" t="e">
        <f>#REF!-#REF!</f>
        <v>#REF!</v>
      </c>
      <c r="Y40" s="135" t="e">
        <f>#REF!-#REF!</f>
        <v>#REF!</v>
      </c>
      <c r="Z40" s="135" t="e">
        <f>#REF!-#REF!</f>
        <v>#REF!</v>
      </c>
      <c r="AA40" s="135" t="e">
        <f>#REF!-#REF!</f>
        <v>#REF!</v>
      </c>
      <c r="AB40" s="135" t="e">
        <f>#REF!-#REF!</f>
        <v>#REF!</v>
      </c>
      <c r="AC40" s="135" t="e">
        <f>#REF!-#REF!</f>
        <v>#REF!</v>
      </c>
      <c r="AD40" s="135" t="e">
        <f>#REF!-#REF!</f>
        <v>#REF!</v>
      </c>
      <c r="AE40" s="135" t="e">
        <f>#REF!-#REF!</f>
        <v>#REF!</v>
      </c>
      <c r="AF40" s="135" t="e">
        <f>#REF!-#REF!</f>
        <v>#REF!</v>
      </c>
      <c r="AG40" s="135" t="e">
        <f>#REF!-#REF!</f>
        <v>#REF!</v>
      </c>
      <c r="AH40" s="135" t="e">
        <f>#REF!-#REF!</f>
        <v>#REF!</v>
      </c>
      <c r="AI40" s="135" t="e">
        <f>#REF!-#REF!</f>
        <v>#REF!</v>
      </c>
      <c r="AJ40" s="135" t="e">
        <f>#REF!-#REF!</f>
        <v>#REF!</v>
      </c>
      <c r="AK40" s="135" t="e">
        <f>#REF!-#REF!</f>
        <v>#REF!</v>
      </c>
      <c r="AL40" s="135">
        <v>7145135.02</v>
      </c>
      <c r="AM40" s="135" t="e">
        <f>#REF!-#REF!</f>
        <v>#REF!</v>
      </c>
      <c r="AN40" s="135" t="e">
        <f>#REF!-#REF!</f>
        <v>#REF!</v>
      </c>
      <c r="AO40" s="135" t="e">
        <f>#REF!-#REF!</f>
        <v>#REF!</v>
      </c>
      <c r="AP40" s="135">
        <v>2319166.6</v>
      </c>
      <c r="AQ40" s="135" t="e">
        <f>#REF!-#REF!</f>
        <v>#REF!</v>
      </c>
      <c r="AR40" s="135" t="e">
        <f>#REF!-#REF!</f>
        <v>#REF!</v>
      </c>
      <c r="AS40" s="135" t="e">
        <f>#REF!-#REF!</f>
        <v>#REF!</v>
      </c>
      <c r="AT40" s="135" t="e">
        <f>#REF!-#REF!</f>
        <v>#REF!</v>
      </c>
      <c r="AU40" s="135" t="e">
        <f>#REF!-#REF!</f>
        <v>#REF!</v>
      </c>
      <c r="AV40" s="135" t="e">
        <f>#REF!-#REF!</f>
        <v>#REF!</v>
      </c>
      <c r="AW40" s="135" t="e">
        <f>#REF!-#REF!</f>
        <v>#REF!</v>
      </c>
      <c r="AX40" s="135">
        <v>6392907.35000002</v>
      </c>
      <c r="AY40" s="135" t="e">
        <f>#REF!-#REF!</f>
        <v>#REF!</v>
      </c>
      <c r="AZ40" s="135" t="e">
        <f>#REF!-#REF!</f>
        <v>#REF!</v>
      </c>
      <c r="BA40" s="135" t="e">
        <f>#REF!-#REF!</f>
        <v>#REF!</v>
      </c>
      <c r="BB40" s="135">
        <v>1501893.29</v>
      </c>
      <c r="BC40" s="135" t="e">
        <f>#REF!-#REF!</f>
        <v>#REF!</v>
      </c>
      <c r="BD40" s="135" t="e">
        <f>#REF!-#REF!</f>
        <v>#REF!</v>
      </c>
      <c r="BE40" s="135" t="e">
        <f>#REF!-#REF!</f>
        <v>#REF!</v>
      </c>
      <c r="BF40" s="135" t="e">
        <f>#REF!-#REF!</f>
        <v>#REF!</v>
      </c>
      <c r="BG40" s="135" t="e">
        <f>#REF!-#REF!</f>
        <v>#REF!</v>
      </c>
      <c r="BH40" s="130">
        <v>4224841.09</v>
      </c>
      <c r="BI40" s="135">
        <v>4527129.44</v>
      </c>
      <c r="BJ40" s="135">
        <v>4798634.78</v>
      </c>
      <c r="BK40" s="115"/>
      <c r="BL40" s="115">
        <f t="shared" si="0"/>
        <v>-1594272.57000002</v>
      </c>
      <c r="BM40" s="115"/>
    </row>
    <row r="41" s="111" customFormat="1" ht="18" customHeight="1" spans="1:65">
      <c r="A41" s="128">
        <v>3</v>
      </c>
      <c r="B41" s="134" t="s">
        <v>94</v>
      </c>
      <c r="C41" s="135" t="e">
        <f>#REF!</f>
        <v>#REF!</v>
      </c>
      <c r="D41" s="135" t="e">
        <f>#REF!</f>
        <v>#REF!</v>
      </c>
      <c r="E41" s="135" t="e">
        <f>#REF!</f>
        <v>#REF!</v>
      </c>
      <c r="F41" s="135" t="e">
        <f>#REF!</f>
        <v>#REF!</v>
      </c>
      <c r="G41" s="135" t="e">
        <f>#REF!</f>
        <v>#REF!</v>
      </c>
      <c r="H41" s="135" t="e">
        <f>#REF!</f>
        <v>#REF!</v>
      </c>
      <c r="I41" s="135" t="e">
        <f>#REF!</f>
        <v>#REF!</v>
      </c>
      <c r="J41" s="135" t="e">
        <f>#REF!</f>
        <v>#REF!</v>
      </c>
      <c r="K41" s="135" t="e">
        <f>#REF!</f>
        <v>#REF!</v>
      </c>
      <c r="L41" s="135" t="e">
        <f>#REF!</f>
        <v>#REF!</v>
      </c>
      <c r="M41" s="135" t="e">
        <f>#REF!</f>
        <v>#REF!</v>
      </c>
      <c r="N41" s="135" t="e">
        <f>#REF!</f>
        <v>#REF!</v>
      </c>
      <c r="O41" s="135" t="e">
        <f>#REF!</f>
        <v>#REF!</v>
      </c>
      <c r="P41" s="135" t="e">
        <f>#REF!</f>
        <v>#REF!</v>
      </c>
      <c r="Q41" s="135" t="e">
        <f>#REF!</f>
        <v>#REF!</v>
      </c>
      <c r="R41" s="135" t="e">
        <f>#REF!</f>
        <v>#REF!</v>
      </c>
      <c r="S41" s="135" t="e">
        <f>#REF!</f>
        <v>#REF!</v>
      </c>
      <c r="T41" s="135" t="e">
        <f>#REF!</f>
        <v>#REF!</v>
      </c>
      <c r="U41" s="135" t="e">
        <f>#REF!</f>
        <v>#REF!</v>
      </c>
      <c r="V41" s="135" t="e">
        <f>#REF!</f>
        <v>#REF!</v>
      </c>
      <c r="W41" s="135" t="e">
        <f>#REF!</f>
        <v>#REF!</v>
      </c>
      <c r="X41" s="135" t="e">
        <f>#REF!</f>
        <v>#REF!</v>
      </c>
      <c r="Y41" s="135" t="e">
        <f>#REF!</f>
        <v>#REF!</v>
      </c>
      <c r="Z41" s="135" t="e">
        <f>#REF!</f>
        <v>#REF!</v>
      </c>
      <c r="AA41" s="135" t="e">
        <f>#REF!</f>
        <v>#REF!</v>
      </c>
      <c r="AB41" s="135" t="e">
        <f>#REF!</f>
        <v>#REF!</v>
      </c>
      <c r="AC41" s="135" t="e">
        <f>#REF!</f>
        <v>#REF!</v>
      </c>
      <c r="AD41" s="135" t="e">
        <f>#REF!</f>
        <v>#REF!</v>
      </c>
      <c r="AE41" s="135" t="e">
        <f>#REF!</f>
        <v>#REF!</v>
      </c>
      <c r="AF41" s="135" t="e">
        <f>#REF!</f>
        <v>#REF!</v>
      </c>
      <c r="AG41" s="135" t="e">
        <f>#REF!</f>
        <v>#REF!</v>
      </c>
      <c r="AH41" s="135" t="e">
        <f>#REF!</f>
        <v>#REF!</v>
      </c>
      <c r="AI41" s="135" t="e">
        <f>#REF!</f>
        <v>#REF!</v>
      </c>
      <c r="AJ41" s="135" t="e">
        <f>#REF!</f>
        <v>#REF!</v>
      </c>
      <c r="AK41" s="135" t="e">
        <f>#REF!</f>
        <v>#REF!</v>
      </c>
      <c r="AL41" s="135">
        <v>7959525.29</v>
      </c>
      <c r="AM41" s="135" t="e">
        <f>#REF!</f>
        <v>#REF!</v>
      </c>
      <c r="AN41" s="135" t="e">
        <f>#REF!</f>
        <v>#REF!</v>
      </c>
      <c r="AO41" s="135" t="e">
        <f>#REF!</f>
        <v>#REF!</v>
      </c>
      <c r="AP41" s="135" t="e">
        <f>#REF!</f>
        <v>#REF!</v>
      </c>
      <c r="AQ41" s="135" t="e">
        <f>#REF!</f>
        <v>#REF!</v>
      </c>
      <c r="AR41" s="135" t="e">
        <f>#REF!</f>
        <v>#REF!</v>
      </c>
      <c r="AS41" s="135" t="e">
        <f>#REF!</f>
        <v>#REF!</v>
      </c>
      <c r="AT41" s="135" t="e">
        <f>#REF!</f>
        <v>#REF!</v>
      </c>
      <c r="AU41" s="135" t="e">
        <f>#REF!</f>
        <v>#REF!</v>
      </c>
      <c r="AV41" s="135" t="e">
        <f>#REF!</f>
        <v>#REF!</v>
      </c>
      <c r="AW41" s="135" t="e">
        <f>#REF!</f>
        <v>#REF!</v>
      </c>
      <c r="AX41" s="135">
        <v>5134011.08</v>
      </c>
      <c r="AY41" s="135" t="e">
        <f>#REF!</f>
        <v>#REF!</v>
      </c>
      <c r="AZ41" s="135" t="e">
        <f>#REF!</f>
        <v>#REF!</v>
      </c>
      <c r="BA41" s="135" t="e">
        <f>#REF!</f>
        <v>#REF!</v>
      </c>
      <c r="BB41" s="135">
        <v>1303620.73</v>
      </c>
      <c r="BC41" s="135" t="e">
        <f>#REF!</f>
        <v>#REF!</v>
      </c>
      <c r="BD41" s="135" t="e">
        <f>#REF!</f>
        <v>#REF!</v>
      </c>
      <c r="BE41" s="135" t="e">
        <f>#REF!</f>
        <v>#REF!</v>
      </c>
      <c r="BF41" s="135" t="e">
        <f>#REF!</f>
        <v>#REF!</v>
      </c>
      <c r="BG41" s="135" t="e">
        <f>#REF!</f>
        <v>#REF!</v>
      </c>
      <c r="BH41" s="130">
        <v>3454230.99</v>
      </c>
      <c r="BI41" s="135">
        <v>3749140.06</v>
      </c>
      <c r="BJ41" s="135">
        <v>4296573.64</v>
      </c>
      <c r="BK41" s="115"/>
      <c r="BL41" s="115">
        <f t="shared" si="0"/>
        <v>-837437.44</v>
      </c>
      <c r="BM41" s="115"/>
    </row>
    <row r="42" s="111" customFormat="1" ht="18" customHeight="1" spans="1:65">
      <c r="A42" s="144">
        <v>4</v>
      </c>
      <c r="B42" s="145" t="s">
        <v>95</v>
      </c>
      <c r="C42" s="146" t="e">
        <f>#REF!-C57</f>
        <v>#REF!</v>
      </c>
      <c r="D42" s="146" t="e">
        <f>#REF!-D57</f>
        <v>#REF!</v>
      </c>
      <c r="E42" s="146" t="e">
        <f>#REF!-E57</f>
        <v>#REF!</v>
      </c>
      <c r="F42" s="146" t="e">
        <f>#REF!-F57</f>
        <v>#REF!</v>
      </c>
      <c r="G42" s="146" t="e">
        <f>#REF!-G57</f>
        <v>#REF!</v>
      </c>
      <c r="H42" s="146" t="e">
        <f>#REF!-H57</f>
        <v>#REF!</v>
      </c>
      <c r="I42" s="146" t="e">
        <f>#REF!-I57</f>
        <v>#REF!</v>
      </c>
      <c r="J42" s="146" t="e">
        <f>#REF!-J57</f>
        <v>#REF!</v>
      </c>
      <c r="K42" s="146" t="e">
        <f>#REF!-K57</f>
        <v>#REF!</v>
      </c>
      <c r="L42" s="146" t="e">
        <f>#REF!-L57</f>
        <v>#REF!</v>
      </c>
      <c r="M42" s="146" t="e">
        <f>#REF!-M57</f>
        <v>#REF!</v>
      </c>
      <c r="N42" s="146" t="e">
        <f>#REF!-N57</f>
        <v>#REF!</v>
      </c>
      <c r="O42" s="146" t="e">
        <f>#REF!-O57</f>
        <v>#REF!</v>
      </c>
      <c r="P42" s="146" t="e">
        <f>#REF!-P57</f>
        <v>#REF!</v>
      </c>
      <c r="Q42" s="146" t="e">
        <f>#REF!-Q57</f>
        <v>#REF!</v>
      </c>
      <c r="R42" s="146" t="e">
        <f>#REF!-R57</f>
        <v>#REF!</v>
      </c>
      <c r="S42" s="146" t="e">
        <f>#REF!-S57</f>
        <v>#REF!</v>
      </c>
      <c r="T42" s="146" t="e">
        <f>#REF!-T57</f>
        <v>#REF!</v>
      </c>
      <c r="U42" s="146" t="e">
        <f>#REF!-U57</f>
        <v>#REF!</v>
      </c>
      <c r="V42" s="146" t="e">
        <f>#REF!-V57</f>
        <v>#REF!</v>
      </c>
      <c r="W42" s="146" t="e">
        <f>#REF!-W57</f>
        <v>#REF!</v>
      </c>
      <c r="X42" s="146" t="e">
        <f>#REF!-X57</f>
        <v>#REF!</v>
      </c>
      <c r="Y42" s="146" t="e">
        <f>#REF!-Y57</f>
        <v>#REF!</v>
      </c>
      <c r="Z42" s="146" t="e">
        <f>#REF!-Z57</f>
        <v>#REF!</v>
      </c>
      <c r="AA42" s="146" t="e">
        <f>#REF!-AA57</f>
        <v>#REF!</v>
      </c>
      <c r="AB42" s="146" t="e">
        <f>#REF!-AB57</f>
        <v>#REF!</v>
      </c>
      <c r="AC42" s="146" t="e">
        <f>#REF!-AC57</f>
        <v>#REF!</v>
      </c>
      <c r="AD42" s="146" t="e">
        <f>#REF!-AD57</f>
        <v>#REF!</v>
      </c>
      <c r="AE42" s="146" t="e">
        <f>#REF!-AE57</f>
        <v>#REF!</v>
      </c>
      <c r="AF42" s="146" t="e">
        <f>#REF!-AF57</f>
        <v>#REF!</v>
      </c>
      <c r="AG42" s="146" t="e">
        <f>#REF!-AG57</f>
        <v>#REF!</v>
      </c>
      <c r="AH42" s="146" t="e">
        <f>#REF!-AH57</f>
        <v>#REF!</v>
      </c>
      <c r="AI42" s="146" t="e">
        <f>#REF!-AI57</f>
        <v>#REF!</v>
      </c>
      <c r="AJ42" s="146" t="e">
        <f>#REF!-AJ57</f>
        <v>#REF!</v>
      </c>
      <c r="AK42" s="146" t="e">
        <f>#REF!-AK57</f>
        <v>#REF!</v>
      </c>
      <c r="AL42" s="146">
        <v>9925959.22</v>
      </c>
      <c r="AM42" s="146" t="e">
        <f>#REF!</f>
        <v>#REF!</v>
      </c>
      <c r="AN42" s="146" t="e">
        <f>#REF!</f>
        <v>#REF!</v>
      </c>
      <c r="AO42" s="146" t="e">
        <f>#REF!</f>
        <v>#REF!</v>
      </c>
      <c r="AP42" s="146" t="e">
        <f>#REF!</f>
        <v>#REF!</v>
      </c>
      <c r="AQ42" s="146" t="e">
        <f>#REF!</f>
        <v>#REF!</v>
      </c>
      <c r="AR42" s="146" t="e">
        <f>#REF!</f>
        <v>#REF!</v>
      </c>
      <c r="AS42" s="146" t="e">
        <f>#REF!</f>
        <v>#REF!</v>
      </c>
      <c r="AT42" s="146" t="e">
        <f>#REF!</f>
        <v>#REF!</v>
      </c>
      <c r="AU42" s="146" t="e">
        <f>#REF!</f>
        <v>#REF!</v>
      </c>
      <c r="AV42" s="146" t="e">
        <f>#REF!</f>
        <v>#REF!</v>
      </c>
      <c r="AW42" s="146" t="e">
        <f>#REF!</f>
        <v>#REF!</v>
      </c>
      <c r="AX42" s="146">
        <v>8099986.64</v>
      </c>
      <c r="AY42" s="146" t="e">
        <f>#REF!</f>
        <v>#REF!</v>
      </c>
      <c r="AZ42" s="146" t="e">
        <f>#REF!</f>
        <v>#REF!</v>
      </c>
      <c r="BA42" s="146" t="e">
        <f>#REF!</f>
        <v>#REF!</v>
      </c>
      <c r="BB42" s="146">
        <v>1799164.76</v>
      </c>
      <c r="BC42" s="146" t="e">
        <f>#REF!</f>
        <v>#REF!</v>
      </c>
      <c r="BD42" s="146" t="e">
        <f>#REF!</f>
        <v>#REF!</v>
      </c>
      <c r="BE42" s="146" t="e">
        <f>#REF!</f>
        <v>#REF!</v>
      </c>
      <c r="BF42" s="146" t="e">
        <f>#REF!</f>
        <v>#REF!</v>
      </c>
      <c r="BG42" s="146" t="e">
        <f>#REF!</f>
        <v>#REF!</v>
      </c>
      <c r="BH42" s="147">
        <v>4939327.4</v>
      </c>
      <c r="BI42" s="146">
        <v>5585373.6</v>
      </c>
      <c r="BJ42" s="146">
        <v>11349956.16</v>
      </c>
      <c r="BK42" s="115"/>
      <c r="BL42" s="115">
        <f t="shared" si="0"/>
        <v>3249969.52</v>
      </c>
      <c r="BM42" s="115"/>
    </row>
    <row r="43" s="111" customFormat="1" ht="18" customHeight="1" spans="1:65">
      <c r="A43" s="128">
        <v>5</v>
      </c>
      <c r="B43" s="134" t="s">
        <v>96</v>
      </c>
      <c r="C43" s="135" t="e">
        <f>#REF!+#REF!+#REF!</f>
        <v>#REF!</v>
      </c>
      <c r="D43" s="135" t="e">
        <f>#REF!+#REF!+#REF!</f>
        <v>#REF!</v>
      </c>
      <c r="E43" s="135" t="e">
        <f>#REF!+#REF!+#REF!</f>
        <v>#REF!</v>
      </c>
      <c r="F43" s="135" t="e">
        <f>#REF!+#REF!+#REF!</f>
        <v>#REF!</v>
      </c>
      <c r="G43" s="135" t="e">
        <f>#REF!+#REF!+#REF!</f>
        <v>#REF!</v>
      </c>
      <c r="H43" s="135" t="e">
        <f>#REF!+#REF!+#REF!</f>
        <v>#REF!</v>
      </c>
      <c r="I43" s="135" t="e">
        <f>#REF!+#REF!+#REF!</f>
        <v>#REF!</v>
      </c>
      <c r="J43" s="135" t="e">
        <f>#REF!+#REF!+#REF!</f>
        <v>#REF!</v>
      </c>
      <c r="K43" s="135" t="e">
        <f>#REF!+#REF!+#REF!</f>
        <v>#REF!</v>
      </c>
      <c r="L43" s="135" t="e">
        <f>#REF!+#REF!+#REF!</f>
        <v>#REF!</v>
      </c>
      <c r="M43" s="135" t="e">
        <f>#REF!+#REF!+#REF!</f>
        <v>#REF!</v>
      </c>
      <c r="N43" s="135" t="e">
        <f>#REF!+#REF!+#REF!</f>
        <v>#REF!</v>
      </c>
      <c r="O43" s="135" t="e">
        <f>#REF!+#REF!+#REF!</f>
        <v>#REF!</v>
      </c>
      <c r="P43" s="135" t="e">
        <f>#REF!+#REF!+#REF!</f>
        <v>#REF!</v>
      </c>
      <c r="Q43" s="135" t="e">
        <f>#REF!+#REF!+#REF!</f>
        <v>#REF!</v>
      </c>
      <c r="R43" s="135" t="e">
        <f>#REF!+#REF!+#REF!</f>
        <v>#REF!</v>
      </c>
      <c r="S43" s="135" t="e">
        <f>#REF!+#REF!+#REF!</f>
        <v>#REF!</v>
      </c>
      <c r="T43" s="135" t="e">
        <f>#REF!+#REF!+#REF!</f>
        <v>#REF!</v>
      </c>
      <c r="U43" s="135" t="e">
        <f>#REF!+#REF!+#REF!</f>
        <v>#REF!</v>
      </c>
      <c r="V43" s="135" t="e">
        <f>#REF!+#REF!+#REF!</f>
        <v>#REF!</v>
      </c>
      <c r="W43" s="135" t="e">
        <f>#REF!+#REF!+#REF!</f>
        <v>#REF!</v>
      </c>
      <c r="X43" s="135" t="e">
        <f>#REF!+#REF!+#REF!</f>
        <v>#REF!</v>
      </c>
      <c r="Y43" s="135" t="e">
        <f>#REF!+#REF!+#REF!</f>
        <v>#REF!</v>
      </c>
      <c r="Z43" s="135" t="e">
        <f>#REF!+#REF!+#REF!</f>
        <v>#REF!</v>
      </c>
      <c r="AA43" s="135" t="e">
        <f>#REF!+#REF!+#REF!</f>
        <v>#REF!</v>
      </c>
      <c r="AB43" s="135" t="e">
        <f>#REF!+#REF!+#REF!</f>
        <v>#REF!</v>
      </c>
      <c r="AC43" s="135" t="e">
        <f>#REF!+#REF!+#REF!</f>
        <v>#REF!</v>
      </c>
      <c r="AD43" s="135" t="e">
        <f>#REF!+#REF!+#REF!</f>
        <v>#REF!</v>
      </c>
      <c r="AE43" s="135" t="e">
        <f>#REF!+#REF!+#REF!</f>
        <v>#REF!</v>
      </c>
      <c r="AF43" s="135" t="e">
        <f>#REF!+#REF!+#REF!</f>
        <v>#REF!</v>
      </c>
      <c r="AG43" s="135" t="e">
        <f>#REF!+#REF!+#REF!</f>
        <v>#REF!</v>
      </c>
      <c r="AH43" s="135" t="e">
        <f>#REF!+#REF!+#REF!</f>
        <v>#REF!</v>
      </c>
      <c r="AI43" s="135" t="e">
        <f>#REF!+#REF!+#REF!</f>
        <v>#REF!</v>
      </c>
      <c r="AJ43" s="135" t="e">
        <f>#REF!+#REF!+#REF!</f>
        <v>#REF!</v>
      </c>
      <c r="AK43" s="135" t="e">
        <f>#REF!+#REF!+#REF!</f>
        <v>#REF!</v>
      </c>
      <c r="AL43" s="135">
        <v>6044533.1</v>
      </c>
      <c r="AM43" s="135" t="e">
        <f>#REF!+#REF!+#REF!</f>
        <v>#REF!</v>
      </c>
      <c r="AN43" s="135" t="e">
        <f>#REF!+#REF!+#REF!</f>
        <v>#REF!</v>
      </c>
      <c r="AO43" s="135" t="e">
        <f>#REF!+#REF!+#REF!</f>
        <v>#REF!</v>
      </c>
      <c r="AP43" s="135" t="e">
        <f>#REF!+#REF!+#REF!</f>
        <v>#REF!</v>
      </c>
      <c r="AQ43" s="135" t="e">
        <f>#REF!+#REF!+#REF!</f>
        <v>#REF!</v>
      </c>
      <c r="AR43" s="135" t="e">
        <f>#REF!+#REF!+#REF!</f>
        <v>#REF!</v>
      </c>
      <c r="AS43" s="135" t="e">
        <f>#REF!+#REF!+#REF!</f>
        <v>#REF!</v>
      </c>
      <c r="AT43" s="135" t="e">
        <f>#REF!+#REF!+#REF!</f>
        <v>#REF!</v>
      </c>
      <c r="AU43" s="135" t="e">
        <f>#REF!+#REF!+#REF!</f>
        <v>#REF!</v>
      </c>
      <c r="AV43" s="135" t="e">
        <f>#REF!+#REF!+#REF!</f>
        <v>#REF!</v>
      </c>
      <c r="AW43" s="135" t="e">
        <f>#REF!+#REF!+#REF!</f>
        <v>#REF!</v>
      </c>
      <c r="AX43" s="135">
        <v>7996487.45</v>
      </c>
      <c r="AY43" s="135" t="e">
        <f>#REF!+#REF!+#REF!</f>
        <v>#REF!</v>
      </c>
      <c r="AZ43" s="135" t="e">
        <f>#REF!+#REF!+#REF!</f>
        <v>#REF!</v>
      </c>
      <c r="BA43" s="135" t="e">
        <f>#REF!+#REF!+#REF!</f>
        <v>#REF!</v>
      </c>
      <c r="BB43" s="135">
        <v>381713.08</v>
      </c>
      <c r="BC43" s="135" t="e">
        <f>#REF!+#REF!+#REF!</f>
        <v>#REF!</v>
      </c>
      <c r="BD43" s="135" t="e">
        <f>#REF!+#REF!+#REF!</f>
        <v>#REF!</v>
      </c>
      <c r="BE43" s="135" t="e">
        <f>#REF!+#REF!+#REF!</f>
        <v>#REF!</v>
      </c>
      <c r="BF43" s="135" t="e">
        <f>#REF!+#REF!+#REF!</f>
        <v>#REF!</v>
      </c>
      <c r="BG43" s="135" t="e">
        <f>#REF!+#REF!+#REF!</f>
        <v>#REF!</v>
      </c>
      <c r="BH43" s="130">
        <v>6640721.69</v>
      </c>
      <c r="BI43" s="135">
        <v>7267501.28</v>
      </c>
      <c r="BJ43" s="135">
        <v>7749806.2</v>
      </c>
      <c r="BK43" s="115"/>
      <c r="BL43" s="115">
        <f t="shared" si="0"/>
        <v>-246681.25</v>
      </c>
      <c r="BM43" s="115"/>
    </row>
    <row r="44" s="111" customFormat="1" ht="18" customHeight="1" spans="1:65">
      <c r="A44" s="128">
        <v>6</v>
      </c>
      <c r="B44" s="134" t="s">
        <v>97</v>
      </c>
      <c r="C44" s="135" t="e">
        <f>#REF!</f>
        <v>#REF!</v>
      </c>
      <c r="D44" s="135" t="e">
        <f>#REF!</f>
        <v>#REF!</v>
      </c>
      <c r="E44" s="135" t="e">
        <f>#REF!</f>
        <v>#REF!</v>
      </c>
      <c r="F44" s="135" t="e">
        <f>#REF!</f>
        <v>#REF!</v>
      </c>
      <c r="G44" s="135" t="e">
        <f>#REF!</f>
        <v>#REF!</v>
      </c>
      <c r="H44" s="135" t="e">
        <f>#REF!</f>
        <v>#REF!</v>
      </c>
      <c r="I44" s="135" t="e">
        <f>#REF!</f>
        <v>#REF!</v>
      </c>
      <c r="J44" s="135" t="e">
        <f>#REF!</f>
        <v>#REF!</v>
      </c>
      <c r="K44" s="135" t="e">
        <f>#REF!</f>
        <v>#REF!</v>
      </c>
      <c r="L44" s="135" t="e">
        <f>#REF!</f>
        <v>#REF!</v>
      </c>
      <c r="M44" s="135" t="e">
        <f>#REF!</f>
        <v>#REF!</v>
      </c>
      <c r="N44" s="135" t="e">
        <f>#REF!</f>
        <v>#REF!</v>
      </c>
      <c r="O44" s="135" t="e">
        <f>#REF!</f>
        <v>#REF!</v>
      </c>
      <c r="P44" s="135" t="e">
        <f>#REF!</f>
        <v>#REF!</v>
      </c>
      <c r="Q44" s="135" t="e">
        <f>#REF!</f>
        <v>#REF!</v>
      </c>
      <c r="R44" s="135" t="e">
        <f>#REF!</f>
        <v>#REF!</v>
      </c>
      <c r="S44" s="135" t="e">
        <f>#REF!</f>
        <v>#REF!</v>
      </c>
      <c r="T44" s="135" t="e">
        <f>#REF!</f>
        <v>#REF!</v>
      </c>
      <c r="U44" s="135" t="e">
        <f>#REF!</f>
        <v>#REF!</v>
      </c>
      <c r="V44" s="135" t="e">
        <f>#REF!</f>
        <v>#REF!</v>
      </c>
      <c r="W44" s="135" t="e">
        <f>#REF!</f>
        <v>#REF!</v>
      </c>
      <c r="X44" s="135" t="e">
        <f>#REF!</f>
        <v>#REF!</v>
      </c>
      <c r="Y44" s="135" t="e">
        <f>#REF!</f>
        <v>#REF!</v>
      </c>
      <c r="Z44" s="135" t="e">
        <f>#REF!</f>
        <v>#REF!</v>
      </c>
      <c r="AA44" s="135" t="e">
        <f>#REF!</f>
        <v>#REF!</v>
      </c>
      <c r="AB44" s="135" t="e">
        <f>#REF!</f>
        <v>#REF!</v>
      </c>
      <c r="AC44" s="135" t="e">
        <f>#REF!</f>
        <v>#REF!</v>
      </c>
      <c r="AD44" s="135" t="e">
        <f>#REF!</f>
        <v>#REF!</v>
      </c>
      <c r="AE44" s="135" t="e">
        <f>#REF!</f>
        <v>#REF!</v>
      </c>
      <c r="AF44" s="135" t="e">
        <f>#REF!</f>
        <v>#REF!</v>
      </c>
      <c r="AG44" s="135" t="e">
        <f>#REF!</f>
        <v>#REF!</v>
      </c>
      <c r="AH44" s="135" t="e">
        <f>#REF!</f>
        <v>#REF!</v>
      </c>
      <c r="AI44" s="135" t="e">
        <f>#REF!</f>
        <v>#REF!</v>
      </c>
      <c r="AJ44" s="135" t="e">
        <f>#REF!</f>
        <v>#REF!</v>
      </c>
      <c r="AK44" s="135" t="e">
        <f>#REF!</f>
        <v>#REF!</v>
      </c>
      <c r="AL44" s="135">
        <v>1359066.23</v>
      </c>
      <c r="AM44" s="135" t="e">
        <f>#REF!</f>
        <v>#REF!</v>
      </c>
      <c r="AN44" s="135" t="e">
        <f>#REF!</f>
        <v>#REF!</v>
      </c>
      <c r="AO44" s="135" t="e">
        <f>#REF!</f>
        <v>#REF!</v>
      </c>
      <c r="AP44" s="135" t="e">
        <f>#REF!</f>
        <v>#REF!</v>
      </c>
      <c r="AQ44" s="135" t="e">
        <f>#REF!</f>
        <v>#REF!</v>
      </c>
      <c r="AR44" s="135" t="e">
        <f>#REF!</f>
        <v>#REF!</v>
      </c>
      <c r="AS44" s="135" t="e">
        <f>#REF!</f>
        <v>#REF!</v>
      </c>
      <c r="AT44" s="135" t="e">
        <f>#REF!</f>
        <v>#REF!</v>
      </c>
      <c r="AU44" s="135" t="e">
        <f>#REF!</f>
        <v>#REF!</v>
      </c>
      <c r="AV44" s="135" t="e">
        <f>#REF!</f>
        <v>#REF!</v>
      </c>
      <c r="AW44" s="135" t="e">
        <f>#REF!</f>
        <v>#REF!</v>
      </c>
      <c r="AX44" s="135">
        <v>617046.48</v>
      </c>
      <c r="AY44" s="135" t="e">
        <f>#REF!</f>
        <v>#REF!</v>
      </c>
      <c r="AZ44" s="135" t="e">
        <f>#REF!</f>
        <v>#REF!</v>
      </c>
      <c r="BA44" s="135" t="e">
        <f>#REF!</f>
        <v>#REF!</v>
      </c>
      <c r="BB44" s="135">
        <v>2477437.19</v>
      </c>
      <c r="BC44" s="135" t="e">
        <f>#REF!</f>
        <v>#REF!</v>
      </c>
      <c r="BD44" s="135" t="e">
        <f>#REF!</f>
        <v>#REF!</v>
      </c>
      <c r="BE44" s="135" t="e">
        <f>#REF!</f>
        <v>#REF!</v>
      </c>
      <c r="BF44" s="135" t="e">
        <f>#REF!</f>
        <v>#REF!</v>
      </c>
      <c r="BG44" s="135" t="e">
        <f>#REF!</f>
        <v>#REF!</v>
      </c>
      <c r="BH44" s="130">
        <v>565817.07</v>
      </c>
      <c r="BI44" s="135">
        <v>623429.68</v>
      </c>
      <c r="BJ44" s="135">
        <v>654795.46</v>
      </c>
      <c r="BK44" s="115"/>
      <c r="BL44" s="115">
        <f t="shared" si="0"/>
        <v>37748.98</v>
      </c>
      <c r="BM44" s="115"/>
    </row>
    <row r="45" s="111" customFormat="1" ht="18" customHeight="1" spans="1:65">
      <c r="A45" s="128" t="s">
        <v>88</v>
      </c>
      <c r="B45" s="129" t="s">
        <v>98</v>
      </c>
      <c r="C45" s="130" t="e">
        <f>#REF!</f>
        <v>#REF!</v>
      </c>
      <c r="D45" s="130" t="e">
        <f>#REF!</f>
        <v>#REF!</v>
      </c>
      <c r="E45" s="130" t="e">
        <f>#REF!</f>
        <v>#REF!</v>
      </c>
      <c r="F45" s="130" t="e">
        <f>#REF!-#REF!</f>
        <v>#REF!</v>
      </c>
      <c r="G45" s="130" t="e">
        <f>#REF!-#REF!</f>
        <v>#REF!</v>
      </c>
      <c r="H45" s="130" t="e">
        <f>#REF!-#REF!</f>
        <v>#REF!</v>
      </c>
      <c r="I45" s="130" t="e">
        <f>#REF!-#REF!</f>
        <v>#REF!</v>
      </c>
      <c r="J45" s="130" t="e">
        <f>#REF!-#REF!</f>
        <v>#REF!</v>
      </c>
      <c r="K45" s="130" t="e">
        <f>#REF!-#REF!</f>
        <v>#REF!</v>
      </c>
      <c r="L45" s="130" t="e">
        <f>#REF!-#REF!</f>
        <v>#REF!</v>
      </c>
      <c r="M45" s="130" t="e">
        <f>#REF!-#REF!</f>
        <v>#REF!</v>
      </c>
      <c r="N45" s="130" t="e">
        <f>#REF!-#REF!</f>
        <v>#REF!</v>
      </c>
      <c r="O45" s="130" t="e">
        <f>#REF!-#REF!</f>
        <v>#REF!</v>
      </c>
      <c r="P45" s="130" t="e">
        <f>#REF!-#REF!</f>
        <v>#REF!</v>
      </c>
      <c r="Q45" s="130" t="e">
        <f>#REF!-#REF!</f>
        <v>#REF!</v>
      </c>
      <c r="R45" s="130" t="e">
        <f>#REF!-#REF!</f>
        <v>#REF!</v>
      </c>
      <c r="S45" s="130" t="e">
        <f>#REF!-#REF!</f>
        <v>#REF!</v>
      </c>
      <c r="T45" s="130" t="e">
        <f>#REF!-#REF!</f>
        <v>#REF!</v>
      </c>
      <c r="U45" s="130" t="e">
        <f>#REF!-#REF!</f>
        <v>#REF!</v>
      </c>
      <c r="V45" s="130" t="e">
        <f>#REF!-#REF!</f>
        <v>#REF!</v>
      </c>
      <c r="W45" s="130" t="e">
        <f>#REF!-#REF!</f>
        <v>#REF!</v>
      </c>
      <c r="X45" s="130" t="e">
        <f>#REF!-#REF!</f>
        <v>#REF!</v>
      </c>
      <c r="Y45" s="130" t="e">
        <f>#REF!-#REF!</f>
        <v>#REF!</v>
      </c>
      <c r="Z45" s="130" t="e">
        <f>#REF!-#REF!</f>
        <v>#REF!</v>
      </c>
      <c r="AA45" s="130" t="e">
        <f>#REF!-#REF!</f>
        <v>#REF!</v>
      </c>
      <c r="AB45" s="130" t="e">
        <f>#REF!-#REF!</f>
        <v>#REF!</v>
      </c>
      <c r="AC45" s="130" t="e">
        <f>#REF!-#REF!</f>
        <v>#REF!</v>
      </c>
      <c r="AD45" s="130" t="e">
        <f>#REF!-#REF!</f>
        <v>#REF!</v>
      </c>
      <c r="AE45" s="130" t="e">
        <f>#REF!-#REF!</f>
        <v>#REF!</v>
      </c>
      <c r="AF45" s="130" t="e">
        <f>#REF!-#REF!</f>
        <v>#REF!</v>
      </c>
      <c r="AG45" s="130" t="e">
        <f>#REF!-#REF!</f>
        <v>#REF!</v>
      </c>
      <c r="AH45" s="130" t="e">
        <f>#REF!-#REF!</f>
        <v>#REF!</v>
      </c>
      <c r="AI45" s="130" t="e">
        <f>#REF!-#REF!</f>
        <v>#REF!</v>
      </c>
      <c r="AJ45" s="130" t="e">
        <f>#REF!-#REF!</f>
        <v>#REF!</v>
      </c>
      <c r="AK45" s="130" t="e">
        <f>#REF!-#REF!</f>
        <v>#REF!</v>
      </c>
      <c r="AL45" s="130">
        <v>0</v>
      </c>
      <c r="AM45" s="130" t="e">
        <f>#REF!-#REF!</f>
        <v>#REF!</v>
      </c>
      <c r="AN45" s="130" t="e">
        <f>#REF!-#REF!</f>
        <v>#REF!</v>
      </c>
      <c r="AO45" s="130" t="e">
        <f>#REF!-#REF!</f>
        <v>#REF!</v>
      </c>
      <c r="AP45" s="130" t="e">
        <f>#REF!-#REF!</f>
        <v>#REF!</v>
      </c>
      <c r="AQ45" s="130" t="e">
        <f>#REF!-#REF!</f>
        <v>#REF!</v>
      </c>
      <c r="AR45" s="130" t="e">
        <f>#REF!-#REF!</f>
        <v>#REF!</v>
      </c>
      <c r="AS45" s="130" t="e">
        <f>#REF!-#REF!</f>
        <v>#REF!</v>
      </c>
      <c r="AT45" s="130" t="e">
        <f>#REF!-#REF!</f>
        <v>#REF!</v>
      </c>
      <c r="AU45" s="130" t="e">
        <f>#REF!-#REF!</f>
        <v>#REF!</v>
      </c>
      <c r="AV45" s="130" t="e">
        <f>#REF!-#REF!</f>
        <v>#REF!</v>
      </c>
      <c r="AW45" s="130" t="e">
        <f>#REF!-#REF!</f>
        <v>#REF!</v>
      </c>
      <c r="AX45" s="130">
        <v>0</v>
      </c>
      <c r="AY45" s="130" t="e">
        <f>#REF!-#REF!</f>
        <v>#REF!</v>
      </c>
      <c r="AZ45" s="130" t="e">
        <f>#REF!-#REF!</f>
        <v>#REF!</v>
      </c>
      <c r="BA45" s="130" t="e">
        <f>#REF!-#REF!</f>
        <v>#REF!</v>
      </c>
      <c r="BB45" s="130">
        <v>0</v>
      </c>
      <c r="BC45" s="130" t="e">
        <f>#REF!-#REF!</f>
        <v>#REF!</v>
      </c>
      <c r="BD45" s="130" t="e">
        <f>#REF!-#REF!</f>
        <v>#REF!</v>
      </c>
      <c r="BE45" s="130" t="e">
        <f>#REF!-#REF!</f>
        <v>#REF!</v>
      </c>
      <c r="BF45" s="130" t="e">
        <f>#REF!-#REF!</f>
        <v>#REF!</v>
      </c>
      <c r="BG45" s="130" t="e">
        <f>#REF!-#REF!</f>
        <v>#REF!</v>
      </c>
      <c r="BH45" s="130">
        <v>230064.58</v>
      </c>
      <c r="BI45" s="130">
        <v>227064.579999999</v>
      </c>
      <c r="BJ45" s="130">
        <v>-8370947.1</v>
      </c>
      <c r="BK45" s="115"/>
      <c r="BL45" s="115">
        <f t="shared" si="0"/>
        <v>-8370947.1</v>
      </c>
      <c r="BM45" s="115"/>
    </row>
    <row r="46" s="111" customFormat="1" ht="18" customHeight="1" spans="1:65">
      <c r="A46" s="128" t="s">
        <v>90</v>
      </c>
      <c r="B46" s="129" t="s">
        <v>99</v>
      </c>
      <c r="C46" s="130" t="e">
        <f>#REF!+#REF!+#REF!-#REF!</f>
        <v>#REF!</v>
      </c>
      <c r="D46" s="130" t="e">
        <f>#REF!+#REF!+#REF!-#REF!</f>
        <v>#REF!</v>
      </c>
      <c r="E46" s="130" t="e">
        <f>#REF!+#REF!+#REF!-#REF!</f>
        <v>#REF!</v>
      </c>
      <c r="F46" s="130" t="e">
        <f>#REF!+#REF!+#REF!-#REF!</f>
        <v>#REF!</v>
      </c>
      <c r="G46" s="130" t="e">
        <f>#REF!+#REF!+#REF!-#REF!</f>
        <v>#REF!</v>
      </c>
      <c r="H46" s="130" t="e">
        <f>#REF!+#REF!+#REF!-#REF!</f>
        <v>#REF!</v>
      </c>
      <c r="I46" s="130" t="e">
        <f>#REF!+#REF!+#REF!-#REF!</f>
        <v>#REF!</v>
      </c>
      <c r="J46" s="130" t="e">
        <f>#REF!+#REF!+#REF!-#REF!</f>
        <v>#REF!</v>
      </c>
      <c r="K46" s="130" t="e">
        <f>#REF!+#REF!+#REF!-#REF!</f>
        <v>#REF!</v>
      </c>
      <c r="L46" s="130" t="e">
        <f>#REF!+#REF!+#REF!-#REF!</f>
        <v>#REF!</v>
      </c>
      <c r="M46" s="130" t="e">
        <f>#REF!+#REF!+#REF!-#REF!</f>
        <v>#REF!</v>
      </c>
      <c r="N46" s="130" t="e">
        <f>#REF!+#REF!+#REF!-#REF!</f>
        <v>#REF!</v>
      </c>
      <c r="O46" s="130" t="e">
        <f>#REF!+#REF!+#REF!-#REF!</f>
        <v>#REF!</v>
      </c>
      <c r="P46" s="130" t="e">
        <f>#REF!+#REF!+#REF!-#REF!</f>
        <v>#REF!</v>
      </c>
      <c r="Q46" s="130" t="e">
        <f>#REF!+#REF!+#REF!-#REF!</f>
        <v>#REF!</v>
      </c>
      <c r="R46" s="130" t="e">
        <f>#REF!+#REF!+#REF!-#REF!</f>
        <v>#REF!</v>
      </c>
      <c r="S46" s="130" t="e">
        <f>#REF!+#REF!+#REF!-#REF!</f>
        <v>#REF!</v>
      </c>
      <c r="T46" s="130" t="e">
        <f>#REF!+#REF!+#REF!-#REF!</f>
        <v>#REF!</v>
      </c>
      <c r="U46" s="130" t="e">
        <f>#REF!+#REF!+#REF!-#REF!</f>
        <v>#REF!</v>
      </c>
      <c r="V46" s="130" t="e">
        <f>#REF!+#REF!+#REF!-#REF!</f>
        <v>#REF!</v>
      </c>
      <c r="W46" s="130" t="e">
        <f>#REF!+#REF!+#REF!-#REF!</f>
        <v>#REF!</v>
      </c>
      <c r="X46" s="130" t="e">
        <f>#REF!+#REF!+#REF!-#REF!</f>
        <v>#REF!</v>
      </c>
      <c r="Y46" s="130" t="e">
        <f>#REF!+#REF!+#REF!-#REF!</f>
        <v>#REF!</v>
      </c>
      <c r="Z46" s="130" t="e">
        <f>#REF!+#REF!+#REF!-#REF!</f>
        <v>#REF!</v>
      </c>
      <c r="AA46" s="130" t="e">
        <f>#REF!+#REF!+#REF!-#REF!</f>
        <v>#REF!</v>
      </c>
      <c r="AB46" s="130" t="e">
        <f>#REF!+#REF!+#REF!-#REF!</f>
        <v>#REF!</v>
      </c>
      <c r="AC46" s="130" t="e">
        <f>#REF!+#REF!+#REF!-#REF!</f>
        <v>#REF!</v>
      </c>
      <c r="AD46" s="130" t="e">
        <f>#REF!+#REF!+#REF!-#REF!</f>
        <v>#REF!</v>
      </c>
      <c r="AE46" s="130" t="e">
        <f>#REF!+#REF!+#REF!-#REF!</f>
        <v>#REF!</v>
      </c>
      <c r="AF46" s="130" t="e">
        <f>#REF!+#REF!+#REF!-#REF!</f>
        <v>#REF!</v>
      </c>
      <c r="AG46" s="130" t="e">
        <f>#REF!+#REF!+#REF!-#REF!</f>
        <v>#REF!</v>
      </c>
      <c r="AH46" s="130" t="e">
        <f>#REF!+#REF!+#REF!-#REF!</f>
        <v>#REF!</v>
      </c>
      <c r="AI46" s="130" t="e">
        <f>#REF!+#REF!+#REF!-#REF!</f>
        <v>#REF!</v>
      </c>
      <c r="AJ46" s="130" t="e">
        <f>#REF!+#REF!+#REF!-#REF!</f>
        <v>#REF!</v>
      </c>
      <c r="AK46" s="130" t="e">
        <f>#REF!+#REF!+#REF!-#REF!</f>
        <v>#REF!</v>
      </c>
      <c r="AL46" s="130">
        <v>41115377.18</v>
      </c>
      <c r="AM46" s="130" t="e">
        <f>#REF!+#REF!+#REF!-#REF!</f>
        <v>#REF!</v>
      </c>
      <c r="AN46" s="130" t="e">
        <f>#REF!+#REF!+#REF!-#REF!</f>
        <v>#REF!</v>
      </c>
      <c r="AO46" s="130" t="e">
        <f>#REF!+#REF!+#REF!-#REF!</f>
        <v>#REF!</v>
      </c>
      <c r="AP46" s="130" t="e">
        <f>#REF!+#REF!+#REF!-#REF!</f>
        <v>#REF!</v>
      </c>
      <c r="AQ46" s="130" t="e">
        <f>#REF!+#REF!+#REF!-#REF!</f>
        <v>#REF!</v>
      </c>
      <c r="AR46" s="130" t="e">
        <f>#REF!+#REF!+#REF!-#REF!</f>
        <v>#REF!</v>
      </c>
      <c r="AS46" s="130" t="e">
        <f>#REF!+#REF!+#REF!-#REF!</f>
        <v>#REF!</v>
      </c>
      <c r="AT46" s="130" t="e">
        <f>#REF!+#REF!+#REF!-#REF!</f>
        <v>#REF!</v>
      </c>
      <c r="AU46" s="130" t="e">
        <f>#REF!+#REF!+#REF!-#REF!</f>
        <v>#REF!</v>
      </c>
      <c r="AV46" s="130" t="e">
        <f>#REF!+#REF!+#REF!-#REF!</f>
        <v>#REF!</v>
      </c>
      <c r="AW46" s="130" t="e">
        <f>#REF!+#REF!+#REF!-#REF!</f>
        <v>#REF!</v>
      </c>
      <c r="AX46" s="130">
        <v>35686816.65</v>
      </c>
      <c r="AY46" s="130" t="e">
        <f>#REF!+#REF!+#REF!-#REF!</f>
        <v>#REF!</v>
      </c>
      <c r="AZ46" s="130" t="e">
        <f>#REF!+#REF!+#REF!-#REF!</f>
        <v>#REF!</v>
      </c>
      <c r="BA46" s="130" t="e">
        <f>#REF!+#REF!+#REF!-#REF!</f>
        <v>#REF!</v>
      </c>
      <c r="BB46" s="130">
        <v>4284499.02</v>
      </c>
      <c r="BC46" s="130" t="e">
        <f>#REF!+#REF!+#REF!-#REF!</f>
        <v>#REF!</v>
      </c>
      <c r="BD46" s="130" t="e">
        <f>#REF!+#REF!+#REF!-#REF!</f>
        <v>#REF!</v>
      </c>
      <c r="BE46" s="130" t="e">
        <f>#REF!+#REF!+#REF!-#REF!</f>
        <v>#REF!</v>
      </c>
      <c r="BF46" s="130" t="e">
        <f>#REF!+#REF!+#REF!-#REF!</f>
        <v>#REF!</v>
      </c>
      <c r="BG46" s="130" t="e">
        <f>#REF!+#REF!+#REF!-#REF!</f>
        <v>#REF!</v>
      </c>
      <c r="BH46" s="130">
        <v>27881908.08</v>
      </c>
      <c r="BI46" s="130">
        <v>22019382.03</v>
      </c>
      <c r="BJ46" s="130">
        <v>8188702.44</v>
      </c>
      <c r="BK46" s="115"/>
      <c r="BL46" s="115">
        <f t="shared" si="0"/>
        <v>-27498114.21</v>
      </c>
      <c r="BM46" s="115"/>
    </row>
    <row r="47" s="111" customFormat="1" ht="18" customHeight="1" spans="1:65">
      <c r="A47" s="128" t="s">
        <v>100</v>
      </c>
      <c r="B47" s="129" t="s">
        <v>101</v>
      </c>
      <c r="C47" s="130" t="e">
        <f>#REF!</f>
        <v>#REF!</v>
      </c>
      <c r="D47" s="130" t="e">
        <f>#REF!</f>
        <v>#REF!</v>
      </c>
      <c r="E47" s="130" t="e">
        <f>#REF!</f>
        <v>#REF!</v>
      </c>
      <c r="F47" s="130" t="e">
        <f>#REF!</f>
        <v>#REF!</v>
      </c>
      <c r="G47" s="130" t="e">
        <f>#REF!</f>
        <v>#REF!</v>
      </c>
      <c r="H47" s="130" t="e">
        <f>#REF!</f>
        <v>#REF!</v>
      </c>
      <c r="I47" s="130" t="e">
        <f>#REF!</f>
        <v>#REF!</v>
      </c>
      <c r="J47" s="130" t="e">
        <f>#REF!</f>
        <v>#REF!</v>
      </c>
      <c r="K47" s="130" t="e">
        <f>#REF!</f>
        <v>#REF!</v>
      </c>
      <c r="L47" s="130" t="e">
        <f>#REF!</f>
        <v>#REF!</v>
      </c>
      <c r="M47" s="130" t="e">
        <f>#REF!</f>
        <v>#REF!</v>
      </c>
      <c r="N47" s="130" t="e">
        <f>#REF!</f>
        <v>#REF!</v>
      </c>
      <c r="O47" s="130" t="e">
        <f>#REF!</f>
        <v>#REF!</v>
      </c>
      <c r="P47" s="130" t="e">
        <f>#REF!</f>
        <v>#REF!</v>
      </c>
      <c r="Q47" s="130" t="e">
        <f>#REF!</f>
        <v>#REF!</v>
      </c>
      <c r="R47" s="130" t="e">
        <f>#REF!</f>
        <v>#REF!</v>
      </c>
      <c r="S47" s="130" t="e">
        <f>#REF!</f>
        <v>#REF!</v>
      </c>
      <c r="T47" s="130" t="e">
        <f>#REF!</f>
        <v>#REF!</v>
      </c>
      <c r="U47" s="130" t="e">
        <f>#REF!</f>
        <v>#REF!</v>
      </c>
      <c r="V47" s="130" t="e">
        <f>#REF!</f>
        <v>#REF!</v>
      </c>
      <c r="W47" s="130" t="e">
        <f>#REF!</f>
        <v>#REF!</v>
      </c>
      <c r="X47" s="130" t="e">
        <f>#REF!</f>
        <v>#REF!</v>
      </c>
      <c r="Y47" s="130" t="e">
        <f>#REF!</f>
        <v>#REF!</v>
      </c>
      <c r="Z47" s="130" t="e">
        <f>#REF!</f>
        <v>#REF!</v>
      </c>
      <c r="AA47" s="130" t="e">
        <f>#REF!</f>
        <v>#REF!</v>
      </c>
      <c r="AB47" s="130" t="e">
        <f>#REF!</f>
        <v>#REF!</v>
      </c>
      <c r="AC47" s="130" t="e">
        <f>#REF!</f>
        <v>#REF!</v>
      </c>
      <c r="AD47" s="130" t="e">
        <f>#REF!</f>
        <v>#REF!</v>
      </c>
      <c r="AE47" s="130" t="e">
        <f>#REF!</f>
        <v>#REF!</v>
      </c>
      <c r="AF47" s="130" t="e">
        <f>#REF!</f>
        <v>#REF!</v>
      </c>
      <c r="AG47" s="130" t="e">
        <f>#REF!</f>
        <v>#REF!</v>
      </c>
      <c r="AH47" s="130" t="e">
        <f>#REF!</f>
        <v>#REF!</v>
      </c>
      <c r="AI47" s="130" t="e">
        <f>#REF!</f>
        <v>#REF!</v>
      </c>
      <c r="AJ47" s="130" t="e">
        <f>#REF!</f>
        <v>#REF!</v>
      </c>
      <c r="AK47" s="130" t="e">
        <f>#REF!</f>
        <v>#REF!</v>
      </c>
      <c r="AL47" s="130">
        <v>9574323.16</v>
      </c>
      <c r="AM47" s="130" t="e">
        <f>#REF!</f>
        <v>#REF!</v>
      </c>
      <c r="AN47" s="130" t="e">
        <f>#REF!</f>
        <v>#REF!</v>
      </c>
      <c r="AO47" s="130" t="e">
        <f>#REF!</f>
        <v>#REF!</v>
      </c>
      <c r="AP47" s="130" t="e">
        <f>#REF!</f>
        <v>#REF!</v>
      </c>
      <c r="AQ47" s="130" t="e">
        <f>#REF!</f>
        <v>#REF!</v>
      </c>
      <c r="AR47" s="130" t="e">
        <f>#REF!</f>
        <v>#REF!</v>
      </c>
      <c r="AS47" s="130" t="e">
        <f>#REF!</f>
        <v>#REF!</v>
      </c>
      <c r="AT47" s="130" t="e">
        <f>#REF!</f>
        <v>#REF!</v>
      </c>
      <c r="AU47" s="130" t="e">
        <f>#REF!</f>
        <v>#REF!</v>
      </c>
      <c r="AV47" s="130" t="e">
        <f>#REF!</f>
        <v>#REF!</v>
      </c>
      <c r="AW47" s="130" t="e">
        <f>#REF!</f>
        <v>#REF!</v>
      </c>
      <c r="AX47" s="130">
        <v>2356992.89</v>
      </c>
      <c r="AY47" s="130" t="e">
        <f>#REF!</f>
        <v>#REF!</v>
      </c>
      <c r="AZ47" s="130" t="e">
        <f>#REF!</f>
        <v>#REF!</v>
      </c>
      <c r="BA47" s="130" t="e">
        <f>#REF!</f>
        <v>#REF!</v>
      </c>
      <c r="BB47" s="130">
        <v>0</v>
      </c>
      <c r="BC47" s="130" t="e">
        <f>#REF!</f>
        <v>#REF!</v>
      </c>
      <c r="BD47" s="130" t="e">
        <f>#REF!</f>
        <v>#REF!</v>
      </c>
      <c r="BE47" s="130" t="e">
        <f>#REF!</f>
        <v>#REF!</v>
      </c>
      <c r="BF47" s="130" t="e">
        <f>#REF!</f>
        <v>#REF!</v>
      </c>
      <c r="BG47" s="130" t="e">
        <f>#REF!</f>
        <v>#REF!</v>
      </c>
      <c r="BH47" s="130">
        <v>266314.62</v>
      </c>
      <c r="BI47" s="130">
        <v>2798635.96</v>
      </c>
      <c r="BJ47" s="130">
        <v>2947060.57</v>
      </c>
      <c r="BK47" s="115"/>
      <c r="BL47" s="115">
        <f t="shared" si="0"/>
        <v>590067.68</v>
      </c>
      <c r="BM47" s="115"/>
    </row>
    <row r="48" s="111" customFormat="1" ht="18" customHeight="1" spans="1:65">
      <c r="A48" s="128" t="s">
        <v>102</v>
      </c>
      <c r="B48" s="129" t="s">
        <v>103</v>
      </c>
      <c r="C48" s="130" t="e">
        <f>C37-C38+C45+C46-C47</f>
        <v>#REF!</v>
      </c>
      <c r="D48" s="130" t="e">
        <f>D37-D38+D45+D46-D47</f>
        <v>#REF!</v>
      </c>
      <c r="E48" s="130" t="e">
        <f>E37-E38+E45+E46-E47</f>
        <v>#REF!</v>
      </c>
      <c r="F48" s="130" t="e">
        <f>F37-F38+F45+F46-F47</f>
        <v>#REF!</v>
      </c>
      <c r="G48" s="130" t="e">
        <f t="shared" ref="G48:BB48" si="9">G37-G38+G45+G46-G47</f>
        <v>#REF!</v>
      </c>
      <c r="H48" s="130" t="e">
        <f t="shared" si="9"/>
        <v>#REF!</v>
      </c>
      <c r="I48" s="130" t="e">
        <f t="shared" si="9"/>
        <v>#REF!</v>
      </c>
      <c r="J48" s="130" t="e">
        <f t="shared" si="9"/>
        <v>#REF!</v>
      </c>
      <c r="K48" s="130" t="e">
        <f t="shared" si="9"/>
        <v>#REF!</v>
      </c>
      <c r="L48" s="130" t="e">
        <f t="shared" si="9"/>
        <v>#REF!</v>
      </c>
      <c r="M48" s="130" t="e">
        <f t="shared" si="9"/>
        <v>#REF!</v>
      </c>
      <c r="N48" s="130" t="e">
        <f t="shared" si="9"/>
        <v>#REF!</v>
      </c>
      <c r="O48" s="130" t="e">
        <f t="shared" si="9"/>
        <v>#REF!</v>
      </c>
      <c r="P48" s="130" t="e">
        <f t="shared" si="9"/>
        <v>#REF!</v>
      </c>
      <c r="Q48" s="130" t="e">
        <f t="shared" si="9"/>
        <v>#REF!</v>
      </c>
      <c r="R48" s="130" t="e">
        <f t="shared" si="9"/>
        <v>#REF!</v>
      </c>
      <c r="S48" s="130" t="e">
        <f t="shared" si="9"/>
        <v>#REF!</v>
      </c>
      <c r="T48" s="130" t="e">
        <f t="shared" si="9"/>
        <v>#REF!</v>
      </c>
      <c r="U48" s="130" t="e">
        <f t="shared" si="9"/>
        <v>#REF!</v>
      </c>
      <c r="V48" s="130" t="e">
        <f t="shared" si="9"/>
        <v>#REF!</v>
      </c>
      <c r="W48" s="130" t="e">
        <f t="shared" si="9"/>
        <v>#REF!</v>
      </c>
      <c r="X48" s="130" t="e">
        <f t="shared" si="9"/>
        <v>#REF!</v>
      </c>
      <c r="Y48" s="130" t="e">
        <f t="shared" si="9"/>
        <v>#REF!</v>
      </c>
      <c r="Z48" s="130" t="e">
        <f t="shared" si="9"/>
        <v>#REF!</v>
      </c>
      <c r="AA48" s="130" t="e">
        <f t="shared" si="9"/>
        <v>#REF!</v>
      </c>
      <c r="AB48" s="130" t="e">
        <f t="shared" si="9"/>
        <v>#REF!</v>
      </c>
      <c r="AC48" s="130" t="e">
        <f t="shared" si="9"/>
        <v>#REF!</v>
      </c>
      <c r="AD48" s="130" t="e">
        <f t="shared" si="9"/>
        <v>#REF!</v>
      </c>
      <c r="AE48" s="130" t="e">
        <f t="shared" si="9"/>
        <v>#REF!</v>
      </c>
      <c r="AF48" s="130" t="e">
        <f t="shared" si="9"/>
        <v>#REF!</v>
      </c>
      <c r="AG48" s="130" t="e">
        <f t="shared" si="9"/>
        <v>#REF!</v>
      </c>
      <c r="AH48" s="130" t="e">
        <f t="shared" si="9"/>
        <v>#REF!</v>
      </c>
      <c r="AI48" s="130" t="e">
        <f t="shared" si="9"/>
        <v>#REF!</v>
      </c>
      <c r="AJ48" s="130" t="e">
        <f t="shared" si="9"/>
        <v>#REF!</v>
      </c>
      <c r="AK48" s="130" t="e">
        <f t="shared" si="9"/>
        <v>#REF!</v>
      </c>
      <c r="AL48" s="130">
        <v>134378844.740001</v>
      </c>
      <c r="AM48" s="130" t="e">
        <f t="shared" si="9"/>
        <v>#REF!</v>
      </c>
      <c r="AN48" s="130" t="e">
        <f t="shared" si="9"/>
        <v>#REF!</v>
      </c>
      <c r="AO48" s="130" t="e">
        <f t="shared" si="9"/>
        <v>#REF!</v>
      </c>
      <c r="AP48" s="130" t="e">
        <f t="shared" si="9"/>
        <v>#REF!</v>
      </c>
      <c r="AQ48" s="130" t="e">
        <f t="shared" si="9"/>
        <v>#REF!</v>
      </c>
      <c r="AR48" s="130" t="e">
        <f t="shared" si="9"/>
        <v>#REF!</v>
      </c>
      <c r="AS48" s="130" t="e">
        <f t="shared" si="9"/>
        <v>#REF!</v>
      </c>
      <c r="AT48" s="130" t="e">
        <f t="shared" si="9"/>
        <v>#REF!</v>
      </c>
      <c r="AU48" s="130" t="e">
        <f t="shared" si="9"/>
        <v>#REF!</v>
      </c>
      <c r="AV48" s="130" t="e">
        <f t="shared" si="9"/>
        <v>#REF!</v>
      </c>
      <c r="AW48" s="130" t="e">
        <f t="shared" si="9"/>
        <v>#REF!</v>
      </c>
      <c r="AX48" s="130">
        <v>38061521.9803294</v>
      </c>
      <c r="AY48" s="130" t="e">
        <f t="shared" si="9"/>
        <v>#REF!</v>
      </c>
      <c r="AZ48" s="130" t="e">
        <f t="shared" si="9"/>
        <v>#REF!</v>
      </c>
      <c r="BA48" s="130" t="e">
        <f t="shared" si="9"/>
        <v>#REF!</v>
      </c>
      <c r="BB48" s="130">
        <v>22245328.48</v>
      </c>
      <c r="BC48" s="130" t="e">
        <f t="shared" ref="BC48:BJ48" si="10">BC37-BC38+BC45+BC46-BC47</f>
        <v>#REF!</v>
      </c>
      <c r="BD48" s="130" t="e">
        <f t="shared" si="10"/>
        <v>#REF!</v>
      </c>
      <c r="BE48" s="130" t="e">
        <f t="shared" si="10"/>
        <v>#REF!</v>
      </c>
      <c r="BF48" s="130" t="e">
        <f t="shared" si="10"/>
        <v>#REF!</v>
      </c>
      <c r="BG48" s="130" t="e">
        <f t="shared" si="10"/>
        <v>#REF!</v>
      </c>
      <c r="BH48" s="130">
        <f t="shared" si="10"/>
        <v>74971884.46</v>
      </c>
      <c r="BI48" s="130">
        <f t="shared" si="10"/>
        <v>77772975.83</v>
      </c>
      <c r="BJ48" s="130">
        <f t="shared" si="10"/>
        <v>73423015.85</v>
      </c>
      <c r="BK48" s="115"/>
      <c r="BL48" s="115">
        <f t="shared" si="0"/>
        <v>35361493.8696706</v>
      </c>
      <c r="BM48" s="115"/>
    </row>
    <row r="49" s="111" customFormat="1" ht="18" customHeight="1" spans="1:65">
      <c r="A49" s="128" t="s">
        <v>104</v>
      </c>
      <c r="B49" s="129" t="s">
        <v>105</v>
      </c>
      <c r="C49" s="130" t="e">
        <f>#REF!</f>
        <v>#REF!</v>
      </c>
      <c r="D49" s="130" t="e">
        <f>#REF!</f>
        <v>#REF!</v>
      </c>
      <c r="E49" s="130" t="e">
        <f>#REF!</f>
        <v>#REF!</v>
      </c>
      <c r="F49" s="130" t="e">
        <f>#REF!</f>
        <v>#REF!</v>
      </c>
      <c r="G49" s="130" t="e">
        <f>#REF!</f>
        <v>#REF!</v>
      </c>
      <c r="H49" s="130" t="e">
        <f>#REF!</f>
        <v>#REF!</v>
      </c>
      <c r="I49" s="130" t="e">
        <f>#REF!</f>
        <v>#REF!</v>
      </c>
      <c r="J49" s="130" t="e">
        <f>#REF!</f>
        <v>#REF!</v>
      </c>
      <c r="K49" s="130" t="e">
        <f>#REF!</f>
        <v>#REF!</v>
      </c>
      <c r="L49" s="130" t="e">
        <f>#REF!</f>
        <v>#REF!</v>
      </c>
      <c r="M49" s="130" t="e">
        <f>#REF!</f>
        <v>#REF!</v>
      </c>
      <c r="N49" s="130" t="e">
        <f>#REF!</f>
        <v>#REF!</v>
      </c>
      <c r="O49" s="130" t="e">
        <f>#REF!</f>
        <v>#REF!</v>
      </c>
      <c r="P49" s="130" t="e">
        <f>#REF!</f>
        <v>#REF!</v>
      </c>
      <c r="Q49" s="130" t="e">
        <f>#REF!</f>
        <v>#REF!</v>
      </c>
      <c r="R49" s="130" t="e">
        <f>#REF!</f>
        <v>#REF!</v>
      </c>
      <c r="S49" s="130" t="e">
        <f>#REF!</f>
        <v>#REF!</v>
      </c>
      <c r="T49" s="130" t="e">
        <f>#REF!</f>
        <v>#REF!</v>
      </c>
      <c r="U49" s="130" t="e">
        <f>#REF!</f>
        <v>#REF!</v>
      </c>
      <c r="V49" s="130" t="e">
        <f>#REF!</f>
        <v>#REF!</v>
      </c>
      <c r="W49" s="130" t="e">
        <f>#REF!</f>
        <v>#REF!</v>
      </c>
      <c r="X49" s="130" t="e">
        <f>#REF!</f>
        <v>#REF!</v>
      </c>
      <c r="Y49" s="130" t="e">
        <f>#REF!</f>
        <v>#REF!</v>
      </c>
      <c r="Z49" s="130" t="e">
        <f>#REF!</f>
        <v>#REF!</v>
      </c>
      <c r="AA49" s="130" t="e">
        <f>#REF!</f>
        <v>#REF!</v>
      </c>
      <c r="AB49" s="130" t="e">
        <f>#REF!</f>
        <v>#REF!</v>
      </c>
      <c r="AC49" s="130" t="e">
        <f>#REF!</f>
        <v>#REF!</v>
      </c>
      <c r="AD49" s="130" t="e">
        <f>#REF!</f>
        <v>#REF!</v>
      </c>
      <c r="AE49" s="130" t="e">
        <f>#REF!</f>
        <v>#REF!</v>
      </c>
      <c r="AF49" s="130" t="e">
        <f>#REF!</f>
        <v>#REF!</v>
      </c>
      <c r="AG49" s="130" t="e">
        <f>#REF!</f>
        <v>#REF!</v>
      </c>
      <c r="AH49" s="130" t="e">
        <f>#REF!</f>
        <v>#REF!</v>
      </c>
      <c r="AI49" s="130" t="e">
        <f>#REF!</f>
        <v>#REF!</v>
      </c>
      <c r="AJ49" s="130" t="e">
        <f>#REF!</f>
        <v>#REF!</v>
      </c>
      <c r="AK49" s="130" t="e">
        <f>#REF!</f>
        <v>#REF!</v>
      </c>
      <c r="AL49" s="130">
        <v>13015129.75</v>
      </c>
      <c r="AM49" s="130" t="e">
        <f>#REF!</f>
        <v>#REF!</v>
      </c>
      <c r="AN49" s="130" t="e">
        <f>#REF!</f>
        <v>#REF!</v>
      </c>
      <c r="AO49" s="130" t="e">
        <f>#REF!</f>
        <v>#REF!</v>
      </c>
      <c r="AP49" s="130" t="e">
        <f>#REF!</f>
        <v>#REF!</v>
      </c>
      <c r="AQ49" s="130" t="e">
        <f>#REF!</f>
        <v>#REF!</v>
      </c>
      <c r="AR49" s="130" t="e">
        <f>#REF!</f>
        <v>#REF!</v>
      </c>
      <c r="AS49" s="130" t="e">
        <f>#REF!</f>
        <v>#REF!</v>
      </c>
      <c r="AT49" s="130" t="e">
        <f>#REF!</f>
        <v>#REF!</v>
      </c>
      <c r="AU49" s="130" t="e">
        <f>#REF!</f>
        <v>#REF!</v>
      </c>
      <c r="AV49" s="130" t="e">
        <f>#REF!</f>
        <v>#REF!</v>
      </c>
      <c r="AW49" s="130" t="e">
        <f>#REF!</f>
        <v>#REF!</v>
      </c>
      <c r="AX49" s="130">
        <v>7802452.71</v>
      </c>
      <c r="AY49" s="130" t="e">
        <f>#REF!</f>
        <v>#REF!</v>
      </c>
      <c r="AZ49" s="130" t="e">
        <f>#REF!</f>
        <v>#REF!</v>
      </c>
      <c r="BA49" s="130" t="e">
        <f>#REF!</f>
        <v>#REF!</v>
      </c>
      <c r="BB49" s="130">
        <v>2751381.35</v>
      </c>
      <c r="BC49" s="130" t="e">
        <f>#REF!</f>
        <v>#REF!</v>
      </c>
      <c r="BD49" s="130" t="e">
        <f>#REF!</f>
        <v>#REF!</v>
      </c>
      <c r="BE49" s="130" t="e">
        <f>#REF!</f>
        <v>#REF!</v>
      </c>
      <c r="BF49" s="130" t="e">
        <f>#REF!</f>
        <v>#REF!</v>
      </c>
      <c r="BG49" s="130" t="e">
        <f>#REF!</f>
        <v>#REF!</v>
      </c>
      <c r="BH49" s="130">
        <v>11512009.95</v>
      </c>
      <c r="BI49" s="130">
        <v>11577188.18</v>
      </c>
      <c r="BJ49" s="130">
        <v>15819996.92</v>
      </c>
      <c r="BK49" s="115"/>
      <c r="BL49" s="115">
        <f t="shared" si="0"/>
        <v>8017544.21</v>
      </c>
      <c r="BM49" s="115"/>
    </row>
    <row r="50" s="111" customFormat="1" ht="18" customHeight="1" spans="1:65">
      <c r="A50" s="128" t="s">
        <v>106</v>
      </c>
      <c r="B50" s="129" t="s">
        <v>107</v>
      </c>
      <c r="C50" s="130" t="e">
        <f>C48-C49</f>
        <v>#REF!</v>
      </c>
      <c r="D50" s="130" t="e">
        <f>D48-D49</f>
        <v>#REF!</v>
      </c>
      <c r="E50" s="130" t="e">
        <f>E48-E49</f>
        <v>#REF!</v>
      </c>
      <c r="F50" s="130" t="e">
        <f>F48-F49</f>
        <v>#REF!</v>
      </c>
      <c r="G50" s="130" t="e">
        <f t="shared" ref="G50:BB50" si="11">G48-G49</f>
        <v>#REF!</v>
      </c>
      <c r="H50" s="130" t="e">
        <f t="shared" si="11"/>
        <v>#REF!</v>
      </c>
      <c r="I50" s="130" t="e">
        <f t="shared" si="11"/>
        <v>#REF!</v>
      </c>
      <c r="J50" s="130" t="e">
        <f t="shared" si="11"/>
        <v>#REF!</v>
      </c>
      <c r="K50" s="130" t="e">
        <f t="shared" si="11"/>
        <v>#REF!</v>
      </c>
      <c r="L50" s="130" t="e">
        <f t="shared" si="11"/>
        <v>#REF!</v>
      </c>
      <c r="M50" s="130" t="e">
        <f t="shared" si="11"/>
        <v>#REF!</v>
      </c>
      <c r="N50" s="130" t="e">
        <f t="shared" si="11"/>
        <v>#REF!</v>
      </c>
      <c r="O50" s="130" t="e">
        <f t="shared" si="11"/>
        <v>#REF!</v>
      </c>
      <c r="P50" s="130" t="e">
        <f t="shared" si="11"/>
        <v>#REF!</v>
      </c>
      <c r="Q50" s="130" t="e">
        <f t="shared" si="11"/>
        <v>#REF!</v>
      </c>
      <c r="R50" s="130" t="e">
        <f t="shared" si="11"/>
        <v>#REF!</v>
      </c>
      <c r="S50" s="130" t="e">
        <f t="shared" si="11"/>
        <v>#REF!</v>
      </c>
      <c r="T50" s="130" t="e">
        <f t="shared" si="11"/>
        <v>#REF!</v>
      </c>
      <c r="U50" s="130" t="e">
        <f t="shared" si="11"/>
        <v>#REF!</v>
      </c>
      <c r="V50" s="130" t="e">
        <f t="shared" si="11"/>
        <v>#REF!</v>
      </c>
      <c r="W50" s="130" t="e">
        <f t="shared" si="11"/>
        <v>#REF!</v>
      </c>
      <c r="X50" s="130" t="e">
        <f t="shared" si="11"/>
        <v>#REF!</v>
      </c>
      <c r="Y50" s="130" t="e">
        <f t="shared" si="11"/>
        <v>#REF!</v>
      </c>
      <c r="Z50" s="130" t="e">
        <f t="shared" si="11"/>
        <v>#REF!</v>
      </c>
      <c r="AA50" s="130" t="e">
        <f t="shared" si="11"/>
        <v>#REF!</v>
      </c>
      <c r="AB50" s="130" t="e">
        <f t="shared" si="11"/>
        <v>#REF!</v>
      </c>
      <c r="AC50" s="130" t="e">
        <f t="shared" si="11"/>
        <v>#REF!</v>
      </c>
      <c r="AD50" s="130" t="e">
        <f t="shared" si="11"/>
        <v>#REF!</v>
      </c>
      <c r="AE50" s="130" t="e">
        <f t="shared" si="11"/>
        <v>#REF!</v>
      </c>
      <c r="AF50" s="130" t="e">
        <f t="shared" si="11"/>
        <v>#REF!</v>
      </c>
      <c r="AG50" s="130" t="e">
        <f t="shared" si="11"/>
        <v>#REF!</v>
      </c>
      <c r="AH50" s="130" t="e">
        <f t="shared" si="11"/>
        <v>#REF!</v>
      </c>
      <c r="AI50" s="130" t="e">
        <f t="shared" si="11"/>
        <v>#REF!</v>
      </c>
      <c r="AJ50" s="130" t="e">
        <f t="shared" si="11"/>
        <v>#REF!</v>
      </c>
      <c r="AK50" s="130" t="e">
        <f t="shared" si="11"/>
        <v>#REF!</v>
      </c>
      <c r="AL50" s="130">
        <v>121363714.990001</v>
      </c>
      <c r="AM50" s="130" t="e">
        <f t="shared" si="11"/>
        <v>#REF!</v>
      </c>
      <c r="AN50" s="130" t="e">
        <f t="shared" si="11"/>
        <v>#REF!</v>
      </c>
      <c r="AO50" s="130" t="e">
        <f t="shared" si="11"/>
        <v>#REF!</v>
      </c>
      <c r="AP50" s="130" t="e">
        <f t="shared" si="11"/>
        <v>#REF!</v>
      </c>
      <c r="AQ50" s="130" t="e">
        <f t="shared" si="11"/>
        <v>#REF!</v>
      </c>
      <c r="AR50" s="130" t="e">
        <f t="shared" si="11"/>
        <v>#REF!</v>
      </c>
      <c r="AS50" s="130" t="e">
        <f t="shared" si="11"/>
        <v>#REF!</v>
      </c>
      <c r="AT50" s="130" t="e">
        <f t="shared" si="11"/>
        <v>#REF!</v>
      </c>
      <c r="AU50" s="130" t="e">
        <f t="shared" si="11"/>
        <v>#REF!</v>
      </c>
      <c r="AV50" s="130" t="e">
        <f t="shared" si="11"/>
        <v>#REF!</v>
      </c>
      <c r="AW50" s="130" t="e">
        <f t="shared" si="11"/>
        <v>#REF!</v>
      </c>
      <c r="AX50" s="130">
        <v>30259069.2703294</v>
      </c>
      <c r="AY50" s="130" t="e">
        <f t="shared" si="11"/>
        <v>#REF!</v>
      </c>
      <c r="AZ50" s="130" t="e">
        <f t="shared" si="11"/>
        <v>#REF!</v>
      </c>
      <c r="BA50" s="130" t="e">
        <f t="shared" si="11"/>
        <v>#REF!</v>
      </c>
      <c r="BB50" s="130">
        <v>19493947.13</v>
      </c>
      <c r="BC50" s="130" t="e">
        <f t="shared" ref="BC50:BJ50" si="12">BC48-BC49</f>
        <v>#REF!</v>
      </c>
      <c r="BD50" s="130" t="e">
        <f t="shared" si="12"/>
        <v>#REF!</v>
      </c>
      <c r="BE50" s="130" t="e">
        <f t="shared" si="12"/>
        <v>#REF!</v>
      </c>
      <c r="BF50" s="130" t="e">
        <f t="shared" si="12"/>
        <v>#REF!</v>
      </c>
      <c r="BG50" s="130" t="e">
        <f t="shared" si="12"/>
        <v>#REF!</v>
      </c>
      <c r="BH50" s="130">
        <f t="shared" si="12"/>
        <v>63459874.51</v>
      </c>
      <c r="BI50" s="130">
        <f t="shared" si="12"/>
        <v>66195787.65</v>
      </c>
      <c r="BJ50" s="130">
        <f t="shared" si="12"/>
        <v>57603018.93</v>
      </c>
      <c r="BK50" s="115"/>
      <c r="BL50" s="115">
        <f t="shared" si="0"/>
        <v>27343949.6596706</v>
      </c>
      <c r="BM50" s="115"/>
    </row>
    <row r="51" s="112" customFormat="1" spans="1:65">
      <c r="A51" s="148"/>
      <c r="B51" s="149"/>
      <c r="C51" s="115"/>
      <c r="D51" s="115"/>
      <c r="E51" s="115"/>
      <c r="F51" s="115"/>
      <c r="G51" s="115"/>
      <c r="H51" s="115"/>
      <c r="I51" s="115"/>
      <c r="J51" s="149"/>
      <c r="K51" s="149"/>
      <c r="L51" s="149"/>
      <c r="M51" s="149"/>
      <c r="N51" s="149"/>
      <c r="BK51" s="117"/>
      <c r="BL51" s="117"/>
      <c r="BM51" s="117"/>
    </row>
    <row r="52" s="112" customFormat="1" spans="1:65">
      <c r="A52" s="148"/>
      <c r="B52" s="150" t="s">
        <v>108</v>
      </c>
      <c r="C52" s="151" t="e">
        <f>C50-#REF!</f>
        <v>#REF!</v>
      </c>
      <c r="D52" s="151" t="e">
        <f>D50-#REF!</f>
        <v>#REF!</v>
      </c>
      <c r="E52" s="151" t="e">
        <f>E50-#REF!</f>
        <v>#REF!</v>
      </c>
      <c r="F52" s="151" t="e">
        <f>F50-#REF!</f>
        <v>#REF!</v>
      </c>
      <c r="G52" s="151" t="e">
        <f>G50-#REF!</f>
        <v>#REF!</v>
      </c>
      <c r="H52" s="151" t="e">
        <f>H50-#REF!</f>
        <v>#REF!</v>
      </c>
      <c r="I52" s="151" t="e">
        <f>I50-#REF!</f>
        <v>#REF!</v>
      </c>
      <c r="J52" s="151" t="e">
        <f>J50-#REF!</f>
        <v>#REF!</v>
      </c>
      <c r="K52" s="151" t="e">
        <f>K50-#REF!</f>
        <v>#REF!</v>
      </c>
      <c r="L52" s="152" t="e">
        <f>L50-#REF!</f>
        <v>#REF!</v>
      </c>
      <c r="M52" s="152" t="e">
        <f>M50-#REF!</f>
        <v>#REF!</v>
      </c>
      <c r="N52" s="152" t="e">
        <f>N50-#REF!</f>
        <v>#REF!</v>
      </c>
      <c r="O52" s="149" t="e">
        <f>O50-#REF!</f>
        <v>#REF!</v>
      </c>
      <c r="P52" s="149" t="e">
        <f>P50-#REF!</f>
        <v>#REF!</v>
      </c>
      <c r="Q52" s="149" t="e">
        <f>Q50-#REF!</f>
        <v>#REF!</v>
      </c>
      <c r="R52" s="149" t="e">
        <f>R50-#REF!</f>
        <v>#REF!</v>
      </c>
      <c r="S52" s="149" t="e">
        <f>S50-#REF!</f>
        <v>#REF!</v>
      </c>
      <c r="T52" s="149" t="e">
        <f>T50-#REF!</f>
        <v>#REF!</v>
      </c>
      <c r="U52" s="149" t="e">
        <f>U50-#REF!</f>
        <v>#REF!</v>
      </c>
      <c r="V52" s="149" t="e">
        <f>V50-#REF!</f>
        <v>#REF!</v>
      </c>
      <c r="W52" s="149" t="e">
        <f>W50-#REF!</f>
        <v>#REF!</v>
      </c>
      <c r="X52" s="149" t="e">
        <f>X50-#REF!</f>
        <v>#REF!</v>
      </c>
      <c r="Y52" s="149" t="e">
        <f>Y50-#REF!</f>
        <v>#REF!</v>
      </c>
      <c r="Z52" s="149" t="e">
        <f>Z50-#REF!</f>
        <v>#REF!</v>
      </c>
      <c r="AA52" s="149" t="e">
        <f>AA50-#REF!</f>
        <v>#REF!</v>
      </c>
      <c r="AB52" s="149" t="e">
        <f>AB50-#REF!</f>
        <v>#REF!</v>
      </c>
      <c r="AC52" s="149" t="e">
        <f>AC50-#REF!</f>
        <v>#REF!</v>
      </c>
      <c r="AD52" s="149" t="e">
        <f>AD50-#REF!</f>
        <v>#REF!</v>
      </c>
      <c r="AE52" s="149" t="e">
        <f>AE50-#REF!</f>
        <v>#REF!</v>
      </c>
      <c r="AF52" s="149" t="e">
        <f>AF50-#REF!</f>
        <v>#REF!</v>
      </c>
      <c r="AG52" s="149" t="e">
        <f>AG50-#REF!</f>
        <v>#REF!</v>
      </c>
      <c r="AH52" s="149" t="e">
        <f>AH50-#REF!</f>
        <v>#REF!</v>
      </c>
      <c r="AI52" s="149" t="e">
        <f>AI50-#REF!</f>
        <v>#REF!</v>
      </c>
      <c r="AJ52" s="149" t="e">
        <f>AJ50-'[11]23年分月利润汇总（控股）'!$Q$24</f>
        <v>#REF!</v>
      </c>
      <c r="AK52" s="149" t="e">
        <f>AK50-#REF!</f>
        <v>#REF!</v>
      </c>
      <c r="AL52" s="149">
        <v>5.36441802978516e-7</v>
      </c>
      <c r="AM52" s="149">
        <v>5.02914190292358e-8</v>
      </c>
      <c r="AN52" s="149">
        <v>-4.84287738800049e-8</v>
      </c>
      <c r="AO52" s="149">
        <v>-2.04890966415405e-7</v>
      </c>
      <c r="AP52" s="149">
        <v>-0.100000359117985</v>
      </c>
      <c r="AQ52" s="149">
        <v>-1.04308128356934e-7</v>
      </c>
      <c r="AR52" s="149">
        <v>-5.14090061187744e-7</v>
      </c>
      <c r="AS52" s="149">
        <v>3.42726707458496e-7</v>
      </c>
      <c r="AT52" s="149">
        <v>8.04662704467773e-7</v>
      </c>
      <c r="AU52" s="149">
        <v>7.37607479095459e-7</v>
      </c>
      <c r="AV52" s="149">
        <v>-3.79979610443115e-7</v>
      </c>
      <c r="AW52" s="149"/>
      <c r="AX52" s="149">
        <v>-8.5681676864624e-7</v>
      </c>
      <c r="AY52" s="149" t="e">
        <f>AY50-#REF!</f>
        <v>#REF!</v>
      </c>
      <c r="AZ52" s="149" t="e">
        <f>AZ50-#REF!</f>
        <v>#REF!</v>
      </c>
      <c r="BA52" s="149" t="e">
        <f>BA50-#REF!</f>
        <v>#REF!</v>
      </c>
      <c r="BB52" s="149" t="e">
        <f>BB50-#REF!</f>
        <v>#REF!</v>
      </c>
      <c r="BC52" s="149" t="e">
        <f>BC50-#REF!</f>
        <v>#REF!</v>
      </c>
      <c r="BD52" s="149" t="e">
        <f>BD50-#REF!</f>
        <v>#REF!</v>
      </c>
      <c r="BE52" s="149" t="e">
        <f>BE50-#REF!</f>
        <v>#REF!</v>
      </c>
      <c r="BF52" s="149" t="e">
        <f>BF50-#REF!</f>
        <v>#REF!</v>
      </c>
      <c r="BG52" s="149" t="e">
        <f>BG50-#REF!</f>
        <v>#REF!</v>
      </c>
      <c r="BH52" s="149">
        <f>BH50-'[14]经营报表（审计口径）'!$C$49</f>
        <v>0</v>
      </c>
      <c r="BI52" s="149">
        <f>BI50-'[15]经营报表（审计口径）'!$C$49</f>
        <v>0</v>
      </c>
      <c r="BJ52" s="149">
        <f>BJ50-'[16]25年分月利润汇总（控股）'!$Q$25</f>
        <v>1.63912773132324e-7</v>
      </c>
      <c r="BK52" s="115"/>
      <c r="BL52" s="115"/>
      <c r="BM52" s="117"/>
    </row>
    <row r="53" s="112" customFormat="1" spans="1:65">
      <c r="A53" s="148"/>
      <c r="B53" s="149"/>
      <c r="C53" s="115"/>
      <c r="D53" s="115"/>
      <c r="E53" s="115"/>
      <c r="F53" s="115"/>
      <c r="G53" s="115"/>
      <c r="H53" s="115"/>
      <c r="I53" s="115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>
        <f>BJ50-'[16]25年分月利润汇总（控股）'!$Q$25</f>
        <v>1.63912773132324e-7</v>
      </c>
      <c r="BK53" s="115"/>
      <c r="BL53" s="115"/>
      <c r="BM53" s="117"/>
    </row>
    <row r="54" s="112" customFormat="1" spans="1:65">
      <c r="A54" s="148"/>
      <c r="B54" s="153" t="s">
        <v>109</v>
      </c>
      <c r="C54" s="154">
        <f t="shared" ref="C54:F54" si="13">C57+C58</f>
        <v>1172887.51</v>
      </c>
      <c r="D54" s="154">
        <f t="shared" si="13"/>
        <v>2029050.01</v>
      </c>
      <c r="E54" s="154">
        <f t="shared" si="13"/>
        <v>4721408.5</v>
      </c>
      <c r="F54" s="154">
        <f t="shared" si="13"/>
        <v>6286858.9</v>
      </c>
      <c r="G54" s="154">
        <f t="shared" ref="G54:S54" si="14">G57+G58</f>
        <v>7939311.54</v>
      </c>
      <c r="H54" s="154">
        <f t="shared" si="14"/>
        <v>8133148.54</v>
      </c>
      <c r="I54" s="154">
        <f t="shared" si="14"/>
        <v>8625373</v>
      </c>
      <c r="J54" s="154">
        <f t="shared" si="14"/>
        <v>8133148.54</v>
      </c>
      <c r="K54" s="154">
        <f t="shared" si="14"/>
        <v>8133148.54</v>
      </c>
      <c r="L54" s="154">
        <f t="shared" si="14"/>
        <v>8133148.54</v>
      </c>
      <c r="M54" s="154">
        <f t="shared" si="14"/>
        <v>8133148.54</v>
      </c>
      <c r="N54" s="154">
        <f t="shared" si="14"/>
        <v>8133148.54</v>
      </c>
      <c r="O54" s="149">
        <f t="shared" si="14"/>
        <v>0</v>
      </c>
      <c r="P54" s="149">
        <f t="shared" si="14"/>
        <v>0</v>
      </c>
      <c r="Q54" s="149">
        <f t="shared" si="14"/>
        <v>0</v>
      </c>
      <c r="R54" s="155">
        <f t="shared" si="14"/>
        <v>0</v>
      </c>
      <c r="S54" s="155">
        <f t="shared" si="14"/>
        <v>0</v>
      </c>
      <c r="T54" s="155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15"/>
      <c r="BL54" s="115"/>
      <c r="BM54" s="117"/>
    </row>
    <row r="55" s="112" customFormat="1" spans="1:65">
      <c r="A55" s="148"/>
      <c r="B55" s="156" t="s">
        <v>110</v>
      </c>
      <c r="C55" s="157">
        <v>2130052.83</v>
      </c>
      <c r="D55" s="157">
        <v>2276943.6</v>
      </c>
      <c r="E55" s="157">
        <v>-582760.45</v>
      </c>
      <c r="F55" s="157">
        <v>2099871.16</v>
      </c>
      <c r="G55" s="157">
        <v>3382022.44</v>
      </c>
      <c r="H55" s="157">
        <v>2975510.71</v>
      </c>
      <c r="I55" s="157">
        <v>2980458.16</v>
      </c>
      <c r="J55" s="157">
        <v>2983717.36</v>
      </c>
      <c r="K55" s="158">
        <v>2978502.14</v>
      </c>
      <c r="L55" s="158">
        <v>3008949.72</v>
      </c>
      <c r="M55" s="158">
        <v>3017306.72</v>
      </c>
      <c r="N55" s="158">
        <v>3018223.84</v>
      </c>
      <c r="O55" s="158">
        <f>'[6]2201成本费用（EAS）'!$AC$165</f>
        <v>20230.03</v>
      </c>
      <c r="P55" s="158">
        <v>32656.91</v>
      </c>
      <c r="Q55" s="158">
        <v>43062.7</v>
      </c>
      <c r="R55" s="158">
        <v>60243.620000001</v>
      </c>
      <c r="S55" s="158">
        <v>-408683.449999998</v>
      </c>
      <c r="T55" s="158">
        <v>-448954.109999999</v>
      </c>
      <c r="U55" s="149">
        <v>-465833.43</v>
      </c>
      <c r="V55" s="149">
        <v>-543286.950000005</v>
      </c>
      <c r="W55" s="149">
        <v>-642957.979999997</v>
      </c>
      <c r="X55" s="149">
        <v>-651536.579999998</v>
      </c>
      <c r="Y55" s="149">
        <v>-651979.610000007</v>
      </c>
      <c r="Z55" s="149">
        <v>-430801.239999998</v>
      </c>
      <c r="AA55" s="149">
        <v>56571.0999999968</v>
      </c>
      <c r="AB55" s="149">
        <v>21311.51</v>
      </c>
      <c r="AC55" s="149">
        <v>49373.1700000009</v>
      </c>
      <c r="AD55" s="149">
        <v>45175.3299999996</v>
      </c>
      <c r="AE55" s="149">
        <v>29064.61</v>
      </c>
      <c r="AF55" s="149">
        <v>-25107.7699999996</v>
      </c>
      <c r="AG55" s="149">
        <v>-4601.12</v>
      </c>
      <c r="AH55" s="149">
        <v>-17942.1899999985</v>
      </c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15"/>
      <c r="BL55" s="115"/>
      <c r="BM55" s="117"/>
    </row>
    <row r="56" s="112" customFormat="1" spans="1:65">
      <c r="A56" s="148"/>
      <c r="B56" s="156" t="s">
        <v>111</v>
      </c>
      <c r="C56" s="157"/>
      <c r="D56" s="157"/>
      <c r="E56" s="157">
        <v>0</v>
      </c>
      <c r="F56" s="157">
        <v>1539292</v>
      </c>
      <c r="G56" s="157">
        <v>3137057.24</v>
      </c>
      <c r="H56" s="157">
        <v>3137057.24</v>
      </c>
      <c r="I56" s="157">
        <v>3137057.24</v>
      </c>
      <c r="J56" s="157">
        <f t="shared" ref="J56:N56" si="15">3137057.24+492224.46</f>
        <v>3629281.7</v>
      </c>
      <c r="K56" s="158">
        <f t="shared" si="15"/>
        <v>3629281.7</v>
      </c>
      <c r="L56" s="158">
        <f t="shared" si="15"/>
        <v>3629281.7</v>
      </c>
      <c r="M56" s="158">
        <f t="shared" si="15"/>
        <v>3629281.7</v>
      </c>
      <c r="N56" s="158">
        <f t="shared" si="15"/>
        <v>3629281.7</v>
      </c>
      <c r="O56" s="158"/>
      <c r="P56" s="158"/>
      <c r="Q56" s="158"/>
      <c r="R56" s="158"/>
      <c r="S56" s="158"/>
      <c r="T56" s="158"/>
      <c r="U56" s="149"/>
      <c r="V56" s="149">
        <f t="shared" ref="V56:Y56" si="16">1550679.09</f>
        <v>1550679.09</v>
      </c>
      <c r="W56" s="149">
        <f t="shared" si="16"/>
        <v>1550679.09</v>
      </c>
      <c r="X56" s="149">
        <f t="shared" si="16"/>
        <v>1550679.09</v>
      </c>
      <c r="Y56" s="149">
        <f t="shared" si="16"/>
        <v>1550679.09</v>
      </c>
      <c r="Z56" s="149">
        <v>1550679.09</v>
      </c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15"/>
      <c r="BL56" s="117"/>
      <c r="BM56" s="117"/>
    </row>
    <row r="57" s="112" customFormat="1" spans="1:65">
      <c r="A57" s="148"/>
      <c r="B57" s="159" t="s">
        <v>112</v>
      </c>
      <c r="C57" s="160">
        <v>1172887.51</v>
      </c>
      <c r="D57" s="160">
        <v>2029050.01</v>
      </c>
      <c r="E57" s="160">
        <v>2029050.01</v>
      </c>
      <c r="F57" s="160">
        <v>3594500.41</v>
      </c>
      <c r="G57" s="160">
        <v>7939311.54</v>
      </c>
      <c r="H57" s="160">
        <v>8133148.54</v>
      </c>
      <c r="I57" s="160">
        <v>8625373</v>
      </c>
      <c r="J57" s="160">
        <f t="shared" ref="J57:N57" si="17">8625373-492224.46</f>
        <v>8133148.54</v>
      </c>
      <c r="K57" s="161">
        <f t="shared" si="17"/>
        <v>8133148.54</v>
      </c>
      <c r="L57" s="161">
        <f t="shared" si="17"/>
        <v>8133148.54</v>
      </c>
      <c r="M57" s="161">
        <f t="shared" si="17"/>
        <v>8133148.54</v>
      </c>
      <c r="N57" s="161">
        <f t="shared" si="17"/>
        <v>8133148.54</v>
      </c>
      <c r="O57" s="149"/>
      <c r="P57" s="149"/>
      <c r="Q57" s="149"/>
      <c r="R57" s="161"/>
      <c r="S57" s="161"/>
      <c r="T57" s="161"/>
      <c r="U57" s="149"/>
      <c r="V57" s="149">
        <v>-1550679.09</v>
      </c>
      <c r="W57" s="149">
        <f t="shared" ref="W57:Y57" si="18">-1550679.09</f>
        <v>-1550679.09</v>
      </c>
      <c r="X57" s="149">
        <f t="shared" si="18"/>
        <v>-1550679.09</v>
      </c>
      <c r="Y57" s="149">
        <f t="shared" si="18"/>
        <v>-1550679.09</v>
      </c>
      <c r="Z57" s="149">
        <v>-1550679.09</v>
      </c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15"/>
      <c r="BL57" s="117"/>
      <c r="BM57" s="117"/>
    </row>
    <row r="58" s="112" customFormat="1" ht="16" customHeight="1" spans="1:65">
      <c r="A58" s="148"/>
      <c r="B58" s="162" t="s">
        <v>113</v>
      </c>
      <c r="C58" s="163"/>
      <c r="D58" s="163"/>
      <c r="E58" s="163">
        <v>2692358.49</v>
      </c>
      <c r="F58" s="163">
        <v>2692358.49</v>
      </c>
      <c r="G58" s="163"/>
      <c r="H58" s="163"/>
      <c r="I58" s="163"/>
      <c r="J58" s="164"/>
      <c r="K58" s="164"/>
      <c r="L58" s="164"/>
      <c r="M58" s="164"/>
      <c r="N58" s="164"/>
      <c r="O58" s="149"/>
      <c r="P58" s="149"/>
      <c r="Q58" s="149"/>
      <c r="R58" s="164"/>
      <c r="S58" s="164"/>
      <c r="T58" s="164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15"/>
      <c r="BL58" s="117"/>
      <c r="BM58" s="117"/>
    </row>
    <row r="59" s="112" customFormat="1" spans="1:65">
      <c r="A59" s="148"/>
      <c r="B59" s="149"/>
      <c r="C59" s="115" t="e">
        <f t="shared" ref="C59:F59" si="19">C52-C54</f>
        <v>#REF!</v>
      </c>
      <c r="D59" s="115" t="e">
        <f t="shared" si="19"/>
        <v>#REF!</v>
      </c>
      <c r="E59" s="115" t="e">
        <f t="shared" si="19"/>
        <v>#REF!</v>
      </c>
      <c r="F59" s="115" t="e">
        <f t="shared" si="19"/>
        <v>#REF!</v>
      </c>
      <c r="G59" s="115" t="e">
        <f t="shared" ref="G59:R59" si="20">G52-G54</f>
        <v>#REF!</v>
      </c>
      <c r="H59" s="115" t="e">
        <f t="shared" si="20"/>
        <v>#REF!</v>
      </c>
      <c r="I59" s="115" t="e">
        <f t="shared" si="20"/>
        <v>#REF!</v>
      </c>
      <c r="J59" s="115" t="e">
        <f t="shared" si="20"/>
        <v>#REF!</v>
      </c>
      <c r="K59" s="115" t="e">
        <f t="shared" si="20"/>
        <v>#REF!</v>
      </c>
      <c r="L59" s="115" t="e">
        <f t="shared" si="20"/>
        <v>#REF!</v>
      </c>
      <c r="M59" s="115" t="e">
        <f t="shared" si="20"/>
        <v>#REF!</v>
      </c>
      <c r="N59" s="115" t="e">
        <f t="shared" si="20"/>
        <v>#REF!</v>
      </c>
      <c r="O59" s="149" t="e">
        <f t="shared" si="20"/>
        <v>#REF!</v>
      </c>
      <c r="P59" s="149" t="e">
        <f t="shared" si="20"/>
        <v>#REF!</v>
      </c>
      <c r="Q59" s="149" t="e">
        <f t="shared" si="20"/>
        <v>#REF!</v>
      </c>
      <c r="R59" s="149" t="e">
        <f t="shared" si="20"/>
        <v>#REF!</v>
      </c>
      <c r="BK59" s="117"/>
      <c r="BL59" s="117"/>
      <c r="BM59" s="117"/>
    </row>
    <row r="60" s="112" customFormat="1" spans="1:65">
      <c r="A60" s="148"/>
      <c r="B60" s="149"/>
      <c r="C60" s="115"/>
      <c r="D60" s="115"/>
      <c r="E60" s="115"/>
      <c r="F60" s="115"/>
      <c r="G60" s="115"/>
      <c r="H60" s="115"/>
      <c r="I60" s="115"/>
      <c r="J60" s="149"/>
      <c r="K60" s="149"/>
      <c r="L60" s="149"/>
      <c r="M60" s="149"/>
      <c r="N60" s="149"/>
      <c r="BK60" s="117"/>
      <c r="BL60" s="117"/>
      <c r="BM60" s="117"/>
    </row>
    <row r="61" s="112" customFormat="1" ht="16" customHeight="1" spans="1:65">
      <c r="A61" s="148"/>
      <c r="B61" s="165" t="s">
        <v>114</v>
      </c>
      <c r="C61" s="115" t="e">
        <f t="shared" ref="C61:H61" si="21">C22</f>
        <v>#REF!</v>
      </c>
      <c r="D61" s="115" t="e">
        <f t="shared" si="21"/>
        <v>#REF!</v>
      </c>
      <c r="E61" s="115" t="e">
        <f t="shared" si="21"/>
        <v>#REF!</v>
      </c>
      <c r="F61" s="115" t="e">
        <f t="shared" si="21"/>
        <v>#REF!</v>
      </c>
      <c r="G61" s="115" t="e">
        <f t="shared" si="21"/>
        <v>#REF!</v>
      </c>
      <c r="H61" s="115" t="e">
        <f t="shared" si="21"/>
        <v>#REF!</v>
      </c>
      <c r="I61" s="115" t="e">
        <f t="shared" ref="G61:AY61" si="22">I22</f>
        <v>#REF!</v>
      </c>
      <c r="J61" s="115" t="e">
        <f t="shared" si="22"/>
        <v>#REF!</v>
      </c>
      <c r="K61" s="115" t="e">
        <f t="shared" si="22"/>
        <v>#REF!</v>
      </c>
      <c r="L61" s="115" t="e">
        <f t="shared" si="22"/>
        <v>#REF!</v>
      </c>
      <c r="M61" s="115" t="e">
        <f t="shared" si="22"/>
        <v>#REF!</v>
      </c>
      <c r="N61" s="115" t="e">
        <f t="shared" si="22"/>
        <v>#REF!</v>
      </c>
      <c r="O61" s="115" t="e">
        <f t="shared" si="22"/>
        <v>#REF!</v>
      </c>
      <c r="P61" s="115" t="e">
        <f t="shared" si="22"/>
        <v>#REF!</v>
      </c>
      <c r="Q61" s="115" t="e">
        <f t="shared" si="22"/>
        <v>#REF!</v>
      </c>
      <c r="R61" s="115" t="e">
        <f t="shared" si="22"/>
        <v>#REF!</v>
      </c>
      <c r="S61" s="115" t="e">
        <f t="shared" si="22"/>
        <v>#REF!</v>
      </c>
      <c r="T61" s="115" t="e">
        <f t="shared" si="22"/>
        <v>#REF!</v>
      </c>
      <c r="U61" s="115" t="e">
        <f t="shared" si="22"/>
        <v>#REF!</v>
      </c>
      <c r="V61" s="115" t="e">
        <f t="shared" si="22"/>
        <v>#REF!</v>
      </c>
      <c r="W61" s="115" t="e">
        <f t="shared" si="22"/>
        <v>#REF!</v>
      </c>
      <c r="X61" s="115" t="e">
        <f t="shared" si="22"/>
        <v>#REF!</v>
      </c>
      <c r="Y61" s="115" t="e">
        <f t="shared" si="22"/>
        <v>#REF!</v>
      </c>
      <c r="Z61" s="115" t="e">
        <f t="shared" si="22"/>
        <v>#REF!</v>
      </c>
      <c r="AA61" s="115" t="e">
        <f t="shared" si="22"/>
        <v>#REF!</v>
      </c>
      <c r="AB61" s="115" t="e">
        <f t="shared" si="22"/>
        <v>#REF!</v>
      </c>
      <c r="AC61" s="115" t="e">
        <f t="shared" si="22"/>
        <v>#REF!</v>
      </c>
      <c r="AD61" s="115" t="e">
        <f t="shared" si="22"/>
        <v>#REF!</v>
      </c>
      <c r="AE61" s="115" t="e">
        <f t="shared" si="22"/>
        <v>#REF!</v>
      </c>
      <c r="AF61" s="115" t="e">
        <f t="shared" si="22"/>
        <v>#REF!</v>
      </c>
      <c r="AG61" s="115" t="e">
        <f t="shared" si="22"/>
        <v>#REF!</v>
      </c>
      <c r="AH61" s="115" t="e">
        <f t="shared" si="22"/>
        <v>#REF!</v>
      </c>
      <c r="AI61" s="115" t="e">
        <f t="shared" si="22"/>
        <v>#REF!</v>
      </c>
      <c r="AJ61" s="115" t="e">
        <f t="shared" si="22"/>
        <v>#REF!</v>
      </c>
      <c r="AK61" s="115" t="e">
        <f t="shared" si="22"/>
        <v>#REF!</v>
      </c>
      <c r="AL61" s="115">
        <f t="shared" si="22"/>
        <v>410960434.050001</v>
      </c>
      <c r="AM61" s="115" t="e">
        <f t="shared" si="22"/>
        <v>#REF!</v>
      </c>
      <c r="AN61" s="115" t="e">
        <f t="shared" si="22"/>
        <v>#REF!</v>
      </c>
      <c r="AO61" s="115" t="e">
        <f t="shared" si="22"/>
        <v>#REF!</v>
      </c>
      <c r="AP61" s="115" t="e">
        <f t="shared" si="22"/>
        <v>#REF!</v>
      </c>
      <c r="AQ61" s="115" t="e">
        <f t="shared" si="22"/>
        <v>#REF!</v>
      </c>
      <c r="AR61" s="115" t="e">
        <f t="shared" si="22"/>
        <v>#REF!</v>
      </c>
      <c r="AS61" s="115" t="e">
        <f t="shared" si="22"/>
        <v>#REF!</v>
      </c>
      <c r="AT61" s="115" t="e">
        <f t="shared" si="22"/>
        <v>#REF!</v>
      </c>
      <c r="AU61" s="115" t="e">
        <f t="shared" si="22"/>
        <v>#REF!</v>
      </c>
      <c r="AV61" s="115" t="e">
        <f t="shared" si="22"/>
        <v>#REF!</v>
      </c>
      <c r="AW61" s="115" t="e">
        <f t="shared" si="22"/>
        <v>#REF!</v>
      </c>
      <c r="AX61" s="115">
        <f t="shared" si="22"/>
        <v>236167446.910329</v>
      </c>
      <c r="AY61" s="115" t="e">
        <f t="shared" si="22"/>
        <v>#REF!</v>
      </c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7"/>
    </row>
    <row r="62" s="112" customFormat="1" ht="16" customHeight="1" spans="1:65">
      <c r="A62" s="148"/>
      <c r="B62" s="165" t="s">
        <v>115</v>
      </c>
      <c r="C62" s="115" t="e">
        <f>C61</f>
        <v>#REF!</v>
      </c>
      <c r="D62" s="115" t="e">
        <f>D61-C61</f>
        <v>#REF!</v>
      </c>
      <c r="E62" s="115" t="e">
        <f>E61-D61</f>
        <v>#REF!</v>
      </c>
      <c r="F62" s="115" t="e">
        <f>F61-E61</f>
        <v>#REF!</v>
      </c>
      <c r="G62" s="115" t="e">
        <f>G61-F61</f>
        <v>#REF!</v>
      </c>
      <c r="H62" s="115" t="e">
        <f>H61-G61</f>
        <v>#REF!</v>
      </c>
      <c r="I62" s="115" t="e">
        <f t="shared" ref="G62:N62" si="23">I61-H61</f>
        <v>#REF!</v>
      </c>
      <c r="J62" s="115" t="e">
        <f t="shared" si="23"/>
        <v>#REF!</v>
      </c>
      <c r="K62" s="115" t="e">
        <f t="shared" si="23"/>
        <v>#REF!</v>
      </c>
      <c r="L62" s="115" t="e">
        <f t="shared" si="23"/>
        <v>#REF!</v>
      </c>
      <c r="M62" s="115" t="e">
        <f t="shared" si="23"/>
        <v>#REF!</v>
      </c>
      <c r="N62" s="115" t="e">
        <f t="shared" si="23"/>
        <v>#REF!</v>
      </c>
      <c r="O62" s="115" t="e">
        <f>O61</f>
        <v>#REF!</v>
      </c>
      <c r="P62" s="115" t="e">
        <f>P61-O61</f>
        <v>#REF!</v>
      </c>
      <c r="Q62" s="115" t="e">
        <f t="shared" ref="P62:Z62" si="24">Q61-P61</f>
        <v>#REF!</v>
      </c>
      <c r="R62" s="115" t="e">
        <f t="shared" si="24"/>
        <v>#REF!</v>
      </c>
      <c r="S62" s="115" t="e">
        <f t="shared" si="24"/>
        <v>#REF!</v>
      </c>
      <c r="T62" s="115" t="e">
        <f t="shared" si="24"/>
        <v>#REF!</v>
      </c>
      <c r="U62" s="115" t="e">
        <f t="shared" si="24"/>
        <v>#REF!</v>
      </c>
      <c r="V62" s="115" t="e">
        <f t="shared" si="24"/>
        <v>#REF!</v>
      </c>
      <c r="W62" s="115" t="e">
        <f t="shared" si="24"/>
        <v>#REF!</v>
      </c>
      <c r="X62" s="115" t="e">
        <f t="shared" si="24"/>
        <v>#REF!</v>
      </c>
      <c r="Y62" s="115" t="e">
        <f t="shared" si="24"/>
        <v>#REF!</v>
      </c>
      <c r="Z62" s="115" t="e">
        <f t="shared" si="24"/>
        <v>#REF!</v>
      </c>
      <c r="AA62" s="115" t="e">
        <f>AA61</f>
        <v>#REF!</v>
      </c>
      <c r="AB62" s="115" t="e">
        <f t="shared" ref="AB62:AX62" si="25">AB61-AA61</f>
        <v>#REF!</v>
      </c>
      <c r="AC62" s="115" t="e">
        <f t="shared" si="25"/>
        <v>#REF!</v>
      </c>
      <c r="AD62" s="115" t="e">
        <f t="shared" si="25"/>
        <v>#REF!</v>
      </c>
      <c r="AE62" s="115" t="e">
        <f t="shared" si="25"/>
        <v>#REF!</v>
      </c>
      <c r="AF62" s="115" t="e">
        <f t="shared" si="25"/>
        <v>#REF!</v>
      </c>
      <c r="AG62" s="115" t="e">
        <f t="shared" si="25"/>
        <v>#REF!</v>
      </c>
      <c r="AH62" s="115" t="e">
        <f t="shared" si="25"/>
        <v>#REF!</v>
      </c>
      <c r="AI62" s="115" t="e">
        <f t="shared" si="25"/>
        <v>#REF!</v>
      </c>
      <c r="AJ62" s="115" t="e">
        <f t="shared" si="25"/>
        <v>#REF!</v>
      </c>
      <c r="AK62" s="115" t="e">
        <f t="shared" si="25"/>
        <v>#REF!</v>
      </c>
      <c r="AL62" s="115">
        <v>66292784.349999</v>
      </c>
      <c r="AM62" s="115" t="e">
        <f t="shared" si="25"/>
        <v>#REF!</v>
      </c>
      <c r="AN62" s="115" t="e">
        <f t="shared" si="25"/>
        <v>#REF!</v>
      </c>
      <c r="AO62" s="115" t="e">
        <f t="shared" si="25"/>
        <v>#REF!</v>
      </c>
      <c r="AP62" s="115" t="e">
        <f t="shared" si="25"/>
        <v>#REF!</v>
      </c>
      <c r="AQ62" s="115" t="e">
        <f t="shared" si="25"/>
        <v>#REF!</v>
      </c>
      <c r="AR62" s="115" t="e">
        <f t="shared" si="25"/>
        <v>#REF!</v>
      </c>
      <c r="AS62" s="115" t="e">
        <f t="shared" si="25"/>
        <v>#REF!</v>
      </c>
      <c r="AT62" s="115" t="e">
        <f t="shared" si="25"/>
        <v>#REF!</v>
      </c>
      <c r="AU62" s="115" t="e">
        <f t="shared" si="25"/>
        <v>#REF!</v>
      </c>
      <c r="AV62" s="115" t="e">
        <f t="shared" si="25"/>
        <v>#REF!</v>
      </c>
      <c r="AW62" s="115" t="e">
        <f t="shared" si="25"/>
        <v>#REF!</v>
      </c>
      <c r="AX62" s="115">
        <v>27265419.1436604</v>
      </c>
      <c r="AY62" s="115" t="e">
        <f>AY61</f>
        <v>#REF!</v>
      </c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7"/>
    </row>
    <row r="63" s="113" customFormat="1" ht="16" customHeight="1" spans="1:65">
      <c r="A63" s="166"/>
      <c r="B63" s="167" t="s">
        <v>116</v>
      </c>
      <c r="C63" s="168" t="e">
        <f>C50</f>
        <v>#REF!</v>
      </c>
      <c r="D63" s="168" t="e">
        <f>D50-C50</f>
        <v>#REF!</v>
      </c>
      <c r="E63" s="168" t="e">
        <f>E50-D50</f>
        <v>#REF!</v>
      </c>
      <c r="F63" s="168" t="e">
        <f>F50-E50</f>
        <v>#REF!</v>
      </c>
      <c r="G63" s="168" t="e">
        <f>G50-F50</f>
        <v>#REF!</v>
      </c>
      <c r="H63" s="168" t="e">
        <f>H50-G50</f>
        <v>#REF!</v>
      </c>
      <c r="I63" s="168" t="e">
        <f t="shared" ref="G63:N63" si="26">I50-H50</f>
        <v>#REF!</v>
      </c>
      <c r="J63" s="168" t="e">
        <f t="shared" si="26"/>
        <v>#REF!</v>
      </c>
      <c r="K63" s="168" t="e">
        <f t="shared" si="26"/>
        <v>#REF!</v>
      </c>
      <c r="L63" s="168" t="e">
        <f t="shared" si="26"/>
        <v>#REF!</v>
      </c>
      <c r="M63" s="168" t="e">
        <f t="shared" si="26"/>
        <v>#REF!</v>
      </c>
      <c r="N63" s="168" t="e">
        <f t="shared" si="26"/>
        <v>#REF!</v>
      </c>
      <c r="O63" s="131" t="e">
        <f>O50</f>
        <v>#REF!</v>
      </c>
      <c r="P63" s="131" t="e">
        <f t="shared" ref="P63:Z63" si="27">P50-O50</f>
        <v>#REF!</v>
      </c>
      <c r="Q63" s="131" t="e">
        <f t="shared" si="27"/>
        <v>#REF!</v>
      </c>
      <c r="R63" s="131" t="e">
        <f t="shared" si="27"/>
        <v>#REF!</v>
      </c>
      <c r="S63" s="131" t="e">
        <f t="shared" si="27"/>
        <v>#REF!</v>
      </c>
      <c r="T63" s="131" t="e">
        <f t="shared" si="27"/>
        <v>#REF!</v>
      </c>
      <c r="U63" s="131" t="e">
        <f t="shared" si="27"/>
        <v>#REF!</v>
      </c>
      <c r="V63" s="131" t="e">
        <f t="shared" si="27"/>
        <v>#REF!</v>
      </c>
      <c r="W63" s="131" t="e">
        <f t="shared" si="27"/>
        <v>#REF!</v>
      </c>
      <c r="X63" s="131" t="e">
        <f t="shared" si="27"/>
        <v>#REF!</v>
      </c>
      <c r="Y63" s="131" t="e">
        <f t="shared" si="27"/>
        <v>#REF!</v>
      </c>
      <c r="Z63" s="131" t="e">
        <f t="shared" si="27"/>
        <v>#REF!</v>
      </c>
      <c r="AA63" s="131" t="e">
        <f>AA50</f>
        <v>#REF!</v>
      </c>
      <c r="AB63" s="131" t="e">
        <f t="shared" ref="AB63:AX63" si="28">AB50-AA50</f>
        <v>#REF!</v>
      </c>
      <c r="AC63" s="131" t="e">
        <f t="shared" si="28"/>
        <v>#REF!</v>
      </c>
      <c r="AD63" s="131" t="e">
        <f t="shared" si="28"/>
        <v>#REF!</v>
      </c>
      <c r="AE63" s="131" t="e">
        <f t="shared" si="28"/>
        <v>#REF!</v>
      </c>
      <c r="AF63" s="131" t="e">
        <f t="shared" si="28"/>
        <v>#REF!</v>
      </c>
      <c r="AG63" s="131" t="e">
        <f t="shared" si="28"/>
        <v>#REF!</v>
      </c>
      <c r="AH63" s="131" t="e">
        <f t="shared" si="28"/>
        <v>#REF!</v>
      </c>
      <c r="AI63" s="131" t="e">
        <f t="shared" si="28"/>
        <v>#REF!</v>
      </c>
      <c r="AJ63" s="131" t="e">
        <f t="shared" si="28"/>
        <v>#REF!</v>
      </c>
      <c r="AK63" s="131" t="e">
        <f t="shared" si="28"/>
        <v>#REF!</v>
      </c>
      <c r="AL63" s="131">
        <v>15756385.639999</v>
      </c>
      <c r="AM63" s="131" t="e">
        <f t="shared" si="28"/>
        <v>#REF!</v>
      </c>
      <c r="AN63" s="131" t="e">
        <f t="shared" si="28"/>
        <v>#REF!</v>
      </c>
      <c r="AO63" s="131" t="e">
        <f t="shared" si="28"/>
        <v>#REF!</v>
      </c>
      <c r="AP63" s="131" t="e">
        <f t="shared" si="28"/>
        <v>#REF!</v>
      </c>
      <c r="AQ63" s="131" t="e">
        <f t="shared" si="28"/>
        <v>#REF!</v>
      </c>
      <c r="AR63" s="131" t="e">
        <f t="shared" si="28"/>
        <v>#REF!</v>
      </c>
      <c r="AS63" s="131" t="e">
        <f t="shared" si="28"/>
        <v>#REF!</v>
      </c>
      <c r="AT63" s="131" t="e">
        <f t="shared" si="28"/>
        <v>#REF!</v>
      </c>
      <c r="AU63" s="131" t="e">
        <f t="shared" si="28"/>
        <v>#REF!</v>
      </c>
      <c r="AV63" s="131" t="e">
        <f t="shared" si="28"/>
        <v>#REF!</v>
      </c>
      <c r="AW63" s="131" t="e">
        <f t="shared" si="28"/>
        <v>#REF!</v>
      </c>
      <c r="AX63" s="131">
        <v>-9023290.58967287</v>
      </c>
      <c r="AY63" s="131" t="e">
        <f>AY50</f>
        <v>#REF!</v>
      </c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1"/>
    </row>
    <row r="64" spans="1:65">
      <c r="B64" s="165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15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5"/>
      <c r="BL64" s="170"/>
      <c r="BM64" s="170"/>
    </row>
  </sheetData>
  <mergeCells count="2">
    <mergeCell ref="A1:N1"/>
    <mergeCell ref="A2:Z2"/>
  </mergeCells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DJ4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K35" sqref="AK35"/>
    </sheetView>
  </sheetViews>
  <sheetFormatPr defaultColWidth="9" defaultRowHeight="12"/>
  <cols>
    <col min="1" max="1" width="16.875" style="2" customWidth="1"/>
    <col min="2" max="6" width="12.5833333333333" style="2" hidden="1" customWidth="1"/>
    <col min="7" max="12" width="13.5" style="2" hidden="1" customWidth="1"/>
    <col min="13" max="13" width="13.5" style="2" customWidth="1"/>
    <col min="14" max="19" width="12.5833333333333" style="2" hidden="1" customWidth="1"/>
    <col min="20" max="21" width="13.5" style="2" hidden="1" customWidth="1"/>
    <col min="22" max="22" width="12.5833333333333" style="2" hidden="1" customWidth="1"/>
    <col min="23" max="24" width="13" style="2" hidden="1" customWidth="1"/>
    <col min="25" max="25" width="13" style="2" customWidth="1"/>
    <col min="26" max="26" width="13" style="2" hidden="1" customWidth="1"/>
    <col min="27" max="27" width="12.375" style="2" hidden="1" customWidth="1"/>
    <col min="28" max="36" width="13" style="2" hidden="1" customWidth="1"/>
    <col min="37" max="37" width="13" style="2" customWidth="1"/>
    <col min="38" max="38" width="10.5" style="2" customWidth="1"/>
    <col min="39" max="39" width="13.875" style="2" customWidth="1"/>
    <col min="40" max="40" width="13.5" style="2" customWidth="1"/>
    <col min="41" max="41" width="22.875" style="2" hidden="1" customWidth="1"/>
    <col min="42" max="42" width="5.83333333333333" style="2" customWidth="1"/>
    <col min="43" max="43" width="6.25" style="2" customWidth="1"/>
    <col min="44" max="44" width="13" style="2" customWidth="1"/>
    <col min="45" max="47" width="12.25" style="3" hidden="1" customWidth="1"/>
    <col min="48" max="56" width="12.25" style="2" hidden="1" customWidth="1"/>
    <col min="57" max="59" width="11.8333333333333" style="2" hidden="1" customWidth="1"/>
    <col min="60" max="60" width="11.625" style="2" hidden="1" customWidth="1"/>
    <col min="61" max="65" width="11.8333333333333" style="2" hidden="1" customWidth="1"/>
    <col min="66" max="67" width="11.0833333333333" style="2" hidden="1" customWidth="1"/>
    <col min="68" max="68" width="9.58333333333333" style="2" hidden="1" customWidth="1"/>
    <col min="69" max="69" width="8.875" style="2" hidden="1" customWidth="1"/>
    <col min="70" max="71" width="11.8333333333333" style="2" hidden="1" customWidth="1"/>
    <col min="72" max="72" width="9.41666666666667" style="2" hidden="1" customWidth="1"/>
    <col min="73" max="77" width="11.8333333333333" style="2" hidden="1" customWidth="1"/>
    <col min="78" max="79" width="11.0833333333333" style="2" hidden="1" customWidth="1"/>
    <col min="80" max="80" width="11.0833333333333" style="2" customWidth="1"/>
    <col min="81" max="91" width="8.875" style="2" hidden="1" customWidth="1"/>
    <col min="92" max="92" width="8.875" style="2" customWidth="1"/>
    <col min="93" max="103" width="8.875" style="2" hidden="1" customWidth="1"/>
    <col min="104" max="104" width="8.875" style="2" customWidth="1"/>
    <col min="105" max="105" width="9" style="4" customWidth="1"/>
    <col min="106" max="106" width="11.875" style="5" customWidth="1"/>
    <col min="107" max="110" width="10.5" style="3" customWidth="1"/>
    <col min="111" max="111" width="11.125" style="2"/>
    <col min="112" max="114" width="9.625" style="2" customWidth="1"/>
    <col min="115" max="16384" width="9" style="2"/>
  </cols>
  <sheetData>
    <row r="1" s="1" customFormat="1" ht="26" customHeight="1" spans="1:114">
      <c r="A1" s="6" t="s">
        <v>117</v>
      </c>
      <c r="B1" s="7" t="s">
        <v>118</v>
      </c>
      <c r="C1" s="7" t="s">
        <v>119</v>
      </c>
      <c r="D1" s="7" t="s">
        <v>120</v>
      </c>
      <c r="E1" s="7" t="s">
        <v>121</v>
      </c>
      <c r="F1" s="7" t="s">
        <v>122</v>
      </c>
      <c r="G1" s="7" t="s">
        <v>123</v>
      </c>
      <c r="H1" s="7" t="s">
        <v>124</v>
      </c>
      <c r="I1" s="7" t="s">
        <v>125</v>
      </c>
      <c r="J1" s="7" t="s">
        <v>126</v>
      </c>
      <c r="K1" s="7" t="s">
        <v>127</v>
      </c>
      <c r="L1" s="7" t="s">
        <v>128</v>
      </c>
      <c r="M1" s="7" t="s">
        <v>129</v>
      </c>
      <c r="N1" s="8" t="s">
        <v>130</v>
      </c>
      <c r="O1" s="8" t="s">
        <v>131</v>
      </c>
      <c r="P1" s="8" t="s">
        <v>132</v>
      </c>
      <c r="Q1" s="8" t="s">
        <v>133</v>
      </c>
      <c r="R1" s="8" t="s">
        <v>134</v>
      </c>
      <c r="S1" s="8" t="s">
        <v>135</v>
      </c>
      <c r="T1" s="8" t="s">
        <v>136</v>
      </c>
      <c r="U1" s="8" t="s">
        <v>137</v>
      </c>
      <c r="V1" s="8" t="s">
        <v>138</v>
      </c>
      <c r="W1" s="8" t="s">
        <v>139</v>
      </c>
      <c r="X1" s="8" t="s">
        <v>140</v>
      </c>
      <c r="Y1" s="8" t="s">
        <v>141</v>
      </c>
      <c r="Z1" s="9" t="s">
        <v>142</v>
      </c>
      <c r="AA1" s="9" t="s">
        <v>143</v>
      </c>
      <c r="AB1" s="9" t="s">
        <v>144</v>
      </c>
      <c r="AC1" s="9" t="s">
        <v>145</v>
      </c>
      <c r="AD1" s="9" t="s">
        <v>146</v>
      </c>
      <c r="AE1" s="9" t="s">
        <v>147</v>
      </c>
      <c r="AF1" s="9" t="s">
        <v>148</v>
      </c>
      <c r="AG1" s="9" t="s">
        <v>149</v>
      </c>
      <c r="AH1" s="9" t="s">
        <v>150</v>
      </c>
      <c r="AI1" s="9" t="s">
        <v>151</v>
      </c>
      <c r="AJ1" s="9" t="s">
        <v>152</v>
      </c>
      <c r="AK1" s="9" t="s">
        <v>153</v>
      </c>
      <c r="AL1" s="10" t="s">
        <v>154</v>
      </c>
      <c r="AM1" s="9" t="s">
        <v>155</v>
      </c>
      <c r="AN1" s="11" t="s">
        <v>156</v>
      </c>
      <c r="AO1" s="1" t="s">
        <v>157</v>
      </c>
      <c r="AP1" s="12"/>
      <c r="AR1" s="13" t="s">
        <v>117</v>
      </c>
      <c r="AS1" s="14" t="s">
        <v>158</v>
      </c>
      <c r="AT1" s="14" t="s">
        <v>159</v>
      </c>
      <c r="AU1" s="14" t="s">
        <v>160</v>
      </c>
      <c r="AV1" s="14" t="s">
        <v>161</v>
      </c>
      <c r="AW1" s="14" t="s">
        <v>162</v>
      </c>
      <c r="AX1" s="14" t="s">
        <v>163</v>
      </c>
      <c r="AY1" s="14" t="s">
        <v>164</v>
      </c>
      <c r="AZ1" s="14" t="s">
        <v>165</v>
      </c>
      <c r="BA1" s="14" t="s">
        <v>166</v>
      </c>
      <c r="BB1" s="14" t="s">
        <v>167</v>
      </c>
      <c r="BC1" s="14" t="s">
        <v>168</v>
      </c>
      <c r="BD1" s="14" t="s">
        <v>169</v>
      </c>
      <c r="BE1" s="14" t="s">
        <v>170</v>
      </c>
      <c r="BF1" s="14" t="s">
        <v>171</v>
      </c>
      <c r="BG1" s="14" t="s">
        <v>172</v>
      </c>
      <c r="BH1" s="14" t="s">
        <v>173</v>
      </c>
      <c r="BI1" s="14" t="s">
        <v>174</v>
      </c>
      <c r="BJ1" s="14" t="s">
        <v>175</v>
      </c>
      <c r="BK1" s="14" t="s">
        <v>175</v>
      </c>
      <c r="BL1" s="14" t="s">
        <v>176</v>
      </c>
      <c r="BM1" s="14" t="s">
        <v>173</v>
      </c>
      <c r="BN1" s="14" t="s">
        <v>173</v>
      </c>
      <c r="BO1" s="14" t="s">
        <v>177</v>
      </c>
      <c r="BP1" s="14" t="s">
        <v>178</v>
      </c>
      <c r="BQ1" s="14" t="s">
        <v>118</v>
      </c>
      <c r="BR1" s="14" t="s">
        <v>179</v>
      </c>
      <c r="BS1" s="14" t="s">
        <v>180</v>
      </c>
      <c r="BT1" s="14" t="s">
        <v>181</v>
      </c>
      <c r="BU1" s="14" t="s">
        <v>181</v>
      </c>
      <c r="BV1" s="14" t="s">
        <v>182</v>
      </c>
      <c r="BW1" s="14" t="s">
        <v>183</v>
      </c>
      <c r="BX1" s="14" t="s">
        <v>184</v>
      </c>
      <c r="BY1" s="14" t="s">
        <v>185</v>
      </c>
      <c r="BZ1" s="14" t="s">
        <v>186</v>
      </c>
      <c r="CA1" s="14" t="s">
        <v>187</v>
      </c>
      <c r="CB1" s="14" t="s">
        <v>188</v>
      </c>
      <c r="CC1" s="14" t="s">
        <v>130</v>
      </c>
      <c r="CD1" s="14" t="s">
        <v>131</v>
      </c>
      <c r="CE1" s="14" t="s">
        <v>132</v>
      </c>
      <c r="CF1" s="14" t="s">
        <v>134</v>
      </c>
      <c r="CG1" s="14" t="s">
        <v>134</v>
      </c>
      <c r="CH1" s="14" t="s">
        <v>135</v>
      </c>
      <c r="CI1" s="14" t="s">
        <v>136</v>
      </c>
      <c r="CJ1" s="14" t="s">
        <v>137</v>
      </c>
      <c r="CK1" s="14" t="s">
        <v>138</v>
      </c>
      <c r="CL1" s="14" t="s">
        <v>139</v>
      </c>
      <c r="CM1" s="14" t="s">
        <v>140</v>
      </c>
      <c r="CN1" s="14" t="s">
        <v>141</v>
      </c>
      <c r="CO1" s="15" t="s">
        <v>142</v>
      </c>
      <c r="CP1" s="15" t="s">
        <v>143</v>
      </c>
      <c r="CQ1" s="15" t="s">
        <v>144</v>
      </c>
      <c r="CR1" s="15" t="s">
        <v>146</v>
      </c>
      <c r="CS1" s="15" t="s">
        <v>146</v>
      </c>
      <c r="CT1" s="15" t="s">
        <v>147</v>
      </c>
      <c r="CU1" s="15" t="s">
        <v>148</v>
      </c>
      <c r="CV1" s="15" t="s">
        <v>149</v>
      </c>
      <c r="CW1" s="15" t="s">
        <v>150</v>
      </c>
      <c r="CX1" s="15" t="s">
        <v>151</v>
      </c>
      <c r="CY1" s="15" t="s">
        <v>152</v>
      </c>
      <c r="CZ1" s="15" t="s">
        <v>153</v>
      </c>
      <c r="DA1" s="16"/>
      <c r="DB1" s="17" t="s">
        <v>117</v>
      </c>
      <c r="DC1" s="18" t="s">
        <v>189</v>
      </c>
      <c r="DD1" s="18" t="s">
        <v>190</v>
      </c>
      <c r="DE1" s="18" t="s">
        <v>191</v>
      </c>
      <c r="DF1" s="18" t="s">
        <v>192</v>
      </c>
      <c r="DG1" s="1" t="s">
        <v>193</v>
      </c>
    </row>
    <row r="2" ht="14" customHeight="1" spans="1:114">
      <c r="A2" s="19" t="s">
        <v>194</v>
      </c>
      <c r="B2" s="20" t="e">
        <f>('权责制经营报表-EAS 2512（审计口径）'!AA24+'权责制经营报表-EAS 2512（审计口径）'!AA39)/10000+B28/10000</f>
        <v>#REF!</v>
      </c>
      <c r="C2" s="20" t="e">
        <f>('权责制经营报表-EAS 2512（审计口径）'!AB24+'权责制经营报表-EAS 2512（审计口径）'!AB39)/10000+C28/10000</f>
        <v>#REF!</v>
      </c>
      <c r="D2" s="21" t="e">
        <f>('权责制经营报表-EAS 2512（审计口径）'!AC24+'权责制经营报表-EAS 2512（审计口径）'!AC39)/10000+D28/10000</f>
        <v>#REF!</v>
      </c>
      <c r="E2" s="22" t="e">
        <f>('权责制经营报表-EAS 2512（审计口径）'!AD24+'权责制经营报表-EAS 2512（审计口径）'!AD39)/10000+E28/10000</f>
        <v>#REF!</v>
      </c>
      <c r="F2" s="23" t="e">
        <f>('权责制经营报表-EAS 2512（审计口径）'!AE24+'权责制经营报表-EAS 2512（审计口径）'!AE39)/10000+F28/10000</f>
        <v>#REF!</v>
      </c>
      <c r="G2" s="24" t="e">
        <f>('权责制经营报表-EAS 2512（审计口径）'!AF24+'权责制经营报表-EAS 2512（审计口径）'!AF39)/10000+G28/10000</f>
        <v>#REF!</v>
      </c>
      <c r="H2" s="24" t="e">
        <f>('权责制经营报表-EAS 2512（审计口径）'!AG24+'权责制经营报表-EAS 2512（审计口径）'!AG39)/10000+H28/10000</f>
        <v>#REF!</v>
      </c>
      <c r="I2" s="20" t="e">
        <f>('权责制经营报表-EAS 2512（审计口径）'!AH24+'权责制经营报表-EAS 2512（审计口径）'!AH39)/10000+I28/10000</f>
        <v>#REF!</v>
      </c>
      <c r="J2" s="24" t="e">
        <f>('权责制经营报表-EAS 2512（审计口径）'!AI24+'权责制经营报表-EAS 2512（审计口径）'!AI39)/10000+J28/10000</f>
        <v>#REF!</v>
      </c>
      <c r="K2" s="21" t="e">
        <f>('权责制经营报表-EAS 2512（审计口径）'!AJ24+'权责制经营报表-EAS 2512（审计口径）'!AJ39)/10000+K28/10000</f>
        <v>#REF!</v>
      </c>
      <c r="L2" s="22" t="e">
        <f>('权责制经营报表-EAS 2512（审计口径）'!AK24+'权责制经营报表-EAS 2512（审计口径）'!AK39)/10000+L28/10000</f>
        <v>#REF!</v>
      </c>
      <c r="M2" s="25">
        <f>('权责制经营报表-EAS 2512（审计口径）'!AL24+'权责制经营报表-EAS 2512（审计口径）'!AL39)/10000+M28/10000</f>
        <v>18770.073715</v>
      </c>
      <c r="N2" s="20" t="e">
        <f>('权责制经营报表-EAS 2512（审计口径）'!AM24+'权责制经营报表-EAS 2512（审计口径）'!AM39)/10000+N28/10000</f>
        <v>#REF!</v>
      </c>
      <c r="O2" s="20" t="e">
        <f>('权责制经营报表-EAS 2512（审计口径）'!AN24+'权责制经营报表-EAS 2512（审计口径）'!AN39)/10000+O28/10000</f>
        <v>#REF!</v>
      </c>
      <c r="P2" s="21" t="e">
        <f>('权责制经营报表-EAS 2512（审计口径）'!AO24+'权责制经营报表-EAS 2512（审计口径）'!AO39)/10000+P28/10000</f>
        <v>#REF!</v>
      </c>
      <c r="Q2" s="22" t="e">
        <f>('权责制经营报表-EAS 2512（审计口径）'!AP24+'权责制经营报表-EAS 2512（审计口径）'!AP39)/10000+Q28/10000</f>
        <v>#REF!</v>
      </c>
      <c r="R2" s="22" t="e">
        <f>('权责制经营报表-EAS 2512（审计口径）'!AQ24+'权责制经营报表-EAS 2512（审计口径）'!AQ39)/10000+R28/10000</f>
        <v>#REF!</v>
      </c>
      <c r="S2" s="22" t="e">
        <f>('权责制经营报表-EAS 2512（审计口径）'!AS24+'权责制经营报表-EAS 2512（审计口径）'!AS39)/10000+S28/10000</f>
        <v>#REF!</v>
      </c>
      <c r="T2" s="22" t="e">
        <f>('权责制经营报表-EAS 2512（审计口径）'!AS24+'权责制经营报表-EAS 2512（审计口径）'!AS39)/10000+U28/10000</f>
        <v>#REF!</v>
      </c>
      <c r="U2" s="22" t="e">
        <f>('权责制经营报表-EAS 2512（审计口径）'!AT24+'权责制经营报表-EAS 2512（审计口径）'!AT39)/10000+U28/10000</f>
        <v>#REF!</v>
      </c>
      <c r="V2" s="22" t="e">
        <f>('权责制经营报表-EAS 2512（审计口径）'!AU24+'权责制经营报表-EAS 2512（审计口径）'!AU39)/10000+V28/10000</f>
        <v>#REF!</v>
      </c>
      <c r="W2" s="22" t="e">
        <f>('权责制经营报表-EAS 2512（审计口径）'!AV24+'权责制经营报表-EAS 2512（审计口径）'!AV39)/10000+W28/10000</f>
        <v>#REF!</v>
      </c>
      <c r="X2" s="22" t="e">
        <f>('权责制经营报表-EAS 2512（审计口径）'!AW24+'权责制经营报表-EAS 2512（审计口径）'!AW39)/10000+X28/10000</f>
        <v>#REF!</v>
      </c>
      <c r="Y2" s="22">
        <f>('权责制经营报表-EAS 2512（审计口径）'!AX24+'权责制经营报表-EAS 2512（审计口径）'!AX39)/10000+Y28/10000</f>
        <v>15801.610939</v>
      </c>
      <c r="Z2" s="22" t="e">
        <f>('权责制经营报表-EAS 2512（审计口径）'!AY24+'权责制经营报表-EAS 2512（审计口径）'!AY39)/10000+Z28/10000</f>
        <v>#REF!</v>
      </c>
      <c r="AA2" s="22" t="e">
        <f>('权责制经营报表-EAS 2512（审计口径）'!AZ24+'权责制经营报表-EAS 2512（审计口径）'!AZ39)/10000+AA28/10000</f>
        <v>#REF!</v>
      </c>
      <c r="AB2" s="22" t="e">
        <f>('权责制经营报表-EAS 2512（审计口径）'!BA24+'权责制经营报表-EAS 2512（审计口径）'!BA39)/10000+AB28/10000</f>
        <v>#REF!</v>
      </c>
      <c r="AC2" s="22">
        <f>('权责制经营报表-EAS 2512（审计口径）'!BB24+'权责制经营报表-EAS 2512（审计口径）'!BB39)/10000+AC28/10000</f>
        <v>3791.91558</v>
      </c>
      <c r="AD2" s="22" t="e">
        <f>('权责制经营报表-EAS 2512（审计口径）'!BC24+'权责制经营报表-EAS 2512（审计口径）'!BC39)/10000+AD28/10000</f>
        <v>#REF!</v>
      </c>
      <c r="AE2" s="22" t="e">
        <f>('权责制经营报表-EAS 2512（审计口径）'!BD24+'权责制经营报表-EAS 2512（审计口径）'!BD39)/10000+AE28/10000</f>
        <v>#REF!</v>
      </c>
      <c r="AF2" s="22" t="e">
        <f>('权责制经营报表-EAS 2512（审计口径）'!BE24+'权责制经营报表-EAS 2512（审计口径）'!BE39)/10000+AF28/10000</f>
        <v>#REF!</v>
      </c>
      <c r="AG2" s="22" t="e">
        <f>('权责制经营报表-EAS 2512（审计口径）'!BF24+'权责制经营报表-EAS 2512（审计口径）'!BF39)/10000+AG28/10000</f>
        <v>#REF!</v>
      </c>
      <c r="AH2" s="22" t="e">
        <f>('权责制经营报表-EAS 2512（审计口径）'!BG24+'权责制经营报表-EAS 2512（审计口径）'!BG39)/10000+AH28/10000</f>
        <v>#REF!</v>
      </c>
      <c r="AI2" s="22">
        <f>('权责制经营报表-EAS 2512（审计口径）'!BH24+'权责制经营报表-EAS 2512（审计口径）'!BH39)/10000+AI28/10000</f>
        <v>8920.739326</v>
      </c>
      <c r="AJ2" s="22">
        <f>('权责制经营报表-EAS 2512（审计口径）'!BI24+'权责制经营报表-EAS 2512（审计口径）'!BI39)/10000+AJ28/10000</f>
        <v>9766.124942</v>
      </c>
      <c r="AK2" s="22">
        <f>('权责制经营报表-EAS 2512（审计口径）'!BJ24+'权责制经营报表-EAS 2512（审计口径）'!BJ39)/10000+AK28/10000</f>
        <v>12059.387634</v>
      </c>
      <c r="AL2" s="26">
        <f t="shared" ref="AL2:AL13" si="0">ROUND(AK2/$AK$14,4)</f>
        <v>0.6357</v>
      </c>
      <c r="AM2" s="27">
        <f t="shared" ref="AM2:AM7" si="1">AK2-Y2</f>
        <v>-3742.223305</v>
      </c>
      <c r="AN2" s="28">
        <f>AM2/AK2</f>
        <v>-0.310316196690556</v>
      </c>
      <c r="AO2" s="2" t="s">
        <v>195</v>
      </c>
      <c r="AP2" s="29" t="s">
        <v>196</v>
      </c>
      <c r="AQ2" s="30"/>
      <c r="AR2" s="31" t="s">
        <v>189</v>
      </c>
      <c r="AS2" s="32" t="e">
        <f>#REF!+#REF!+#REF!+#REF!+#REF!+#REF!</f>
        <v>#REF!</v>
      </c>
      <c r="AT2" s="32" t="e">
        <f>#REF!+#REF!+#REF!+#REF!+#REF!+#REF!</f>
        <v>#REF!</v>
      </c>
      <c r="AU2" s="32" t="e">
        <f>#REF!+#REF!+#REF!+#REF!+#REF!+#REF!</f>
        <v>#REF!</v>
      </c>
      <c r="AV2" s="32" t="e">
        <f>#REF!+#REF!+#REF!+#REF!+#REF!+#REF!</f>
        <v>#REF!</v>
      </c>
      <c r="AW2" s="32" t="e">
        <f>#REF!+#REF!+#REF!+#REF!+#REF!+#REF!</f>
        <v>#REF!</v>
      </c>
      <c r="AX2" s="32" t="e">
        <f>#REF!+#REF!+#REF!+#REF!+#REF!+#REF!</f>
        <v>#REF!</v>
      </c>
      <c r="AY2" s="32" t="e">
        <f>#REF!+#REF!+#REF!+#REF!+#REF!+#REF!</f>
        <v>#REF!</v>
      </c>
      <c r="AZ2" s="32" t="e">
        <f>#REF!+#REF!+#REF!+#REF!+#REF!+#REF!</f>
        <v>#REF!</v>
      </c>
      <c r="BA2" s="32" t="e">
        <f>#REF!+#REF!+#REF!+#REF!+#REF!+#REF!</f>
        <v>#REF!</v>
      </c>
      <c r="BB2" s="32" t="e">
        <f>#REF!+#REF!+#REF!+#REF!+#REF!+#REF!</f>
        <v>#REF!</v>
      </c>
      <c r="BC2" s="32" t="e">
        <f>#REF!+#REF!+#REF!+#REF!+#REF!+#REF!</f>
        <v>#REF!</v>
      </c>
      <c r="BD2" s="32" t="e">
        <f>#REF!+#REF!+#REF!+#REF!+#REF!+#REF!</f>
        <v>#REF!</v>
      </c>
      <c r="BE2" s="32" t="e">
        <f>#REF!+#REF!+#REF!+#REF!+#REF!+#REF!</f>
        <v>#REF!</v>
      </c>
      <c r="BF2" s="32" t="e">
        <f>#REF!+#REF!+#REF!+#REF!+#REF!+#REF!</f>
        <v>#REF!</v>
      </c>
      <c r="BG2" s="32" t="e">
        <f>#REF!+#REF!+#REF!+#REF!+#REF!+#REF!</f>
        <v>#REF!</v>
      </c>
      <c r="BH2" s="32" t="e">
        <f>#REF!+#REF!+#REF!+#REF!+#REF!+#REF!</f>
        <v>#REF!</v>
      </c>
      <c r="BI2" s="32" t="e">
        <f>#REF!+#REF!+#REF!+#REF!+#REF!+#REF!</f>
        <v>#REF!</v>
      </c>
      <c r="BJ2" s="32" t="e">
        <f>#REF!+#REF!+#REF!+#REF!+#REF!+#REF!</f>
        <v>#REF!</v>
      </c>
      <c r="BK2" s="32" t="e">
        <f>#REF!+#REF!+#REF!+#REF!+#REF!+#REF!</f>
        <v>#REF!</v>
      </c>
      <c r="BL2" s="32" t="e">
        <f>#REF!+#REF!+#REF!+#REF!+#REF!+#REF!</f>
        <v>#REF!</v>
      </c>
      <c r="BM2" s="32" t="e">
        <f>#REF!+#REF!+#REF!+#REF!+#REF!+#REF!</f>
        <v>#REF!</v>
      </c>
      <c r="BN2" s="32" t="e">
        <f>#REF!+#REF!+#REF!+#REF!+#REF!+#REF!</f>
        <v>#REF!</v>
      </c>
      <c r="BO2" s="32" t="e">
        <f>#REF!+#REF!+#REF!+#REF!+#REF!+#REF!</f>
        <v>#REF!</v>
      </c>
      <c r="BP2" s="32" t="e">
        <f>#REF!+#REF!+#REF!+#REF!+#REF!+#REF!</f>
        <v>#REF!</v>
      </c>
      <c r="BQ2" s="32" t="e">
        <f>B3+B4+B5+B6+B7+B8</f>
        <v>#REF!</v>
      </c>
      <c r="BR2" s="32" t="e">
        <f>C3+C4+C5+C6+C7+C8</f>
        <v>#REF!</v>
      </c>
      <c r="BS2" s="32" t="e">
        <f>D3+D4+D5+D6+D7+D8</f>
        <v>#REF!</v>
      </c>
      <c r="BT2" s="32" t="e">
        <f>F3+F4+F5+F6+F7+F8</f>
        <v>#REF!</v>
      </c>
      <c r="BU2" s="32" t="e">
        <f t="shared" ref="BU2:CC2" si="2">F3+F4+F5+F6+F7+F8</f>
        <v>#REF!</v>
      </c>
      <c r="BV2" s="32" t="e">
        <f t="shared" si="2"/>
        <v>#REF!</v>
      </c>
      <c r="BW2" s="32" t="e">
        <f t="shared" si="2"/>
        <v>#REF!</v>
      </c>
      <c r="BX2" s="32" t="e">
        <f t="shared" si="2"/>
        <v>#REF!</v>
      </c>
      <c r="BY2" s="32" t="e">
        <f t="shared" si="2"/>
        <v>#REF!</v>
      </c>
      <c r="BZ2" s="32" t="e">
        <f t="shared" si="2"/>
        <v>#REF!</v>
      </c>
      <c r="CA2" s="32" t="e">
        <f t="shared" si="2"/>
        <v>#REF!</v>
      </c>
      <c r="CB2" s="32">
        <f t="shared" si="2"/>
        <v>11122.963621</v>
      </c>
      <c r="CC2" s="33" t="e">
        <f t="shared" si="2"/>
        <v>#REF!</v>
      </c>
      <c r="CD2" s="33" t="e">
        <f t="shared" ref="CD2:CP2" si="3">O3+O4+O5+O6+O7+O8</f>
        <v>#REF!</v>
      </c>
      <c r="CE2" s="33" t="e">
        <f t="shared" si="3"/>
        <v>#REF!</v>
      </c>
      <c r="CF2" s="32" t="e">
        <f>R3+R4+R5+R6+R7+R8</f>
        <v>#REF!</v>
      </c>
      <c r="CG2" s="33" t="e">
        <f t="shared" si="3"/>
        <v>#REF!</v>
      </c>
      <c r="CH2" s="33" t="e">
        <f t="shared" si="3"/>
        <v>#REF!</v>
      </c>
      <c r="CI2" s="33" t="e">
        <f t="shared" si="3"/>
        <v>#REF!</v>
      </c>
      <c r="CJ2" s="33" t="e">
        <f t="shared" si="3"/>
        <v>#REF!</v>
      </c>
      <c r="CK2" s="33" t="e">
        <f t="shared" si="3"/>
        <v>#REF!</v>
      </c>
      <c r="CL2" s="33" t="e">
        <f t="shared" si="3"/>
        <v>#REF!</v>
      </c>
      <c r="CM2" s="33" t="e">
        <f t="shared" si="3"/>
        <v>#REF!</v>
      </c>
      <c r="CN2" s="33">
        <f t="shared" si="3"/>
        <v>4854.023449</v>
      </c>
      <c r="CO2" s="33" t="e">
        <f t="shared" si="3"/>
        <v>#REF!</v>
      </c>
      <c r="CP2" s="33" t="e">
        <f t="shared" si="3"/>
        <v>#REF!</v>
      </c>
      <c r="CQ2" s="33" t="e">
        <f t="shared" ref="CP2:CZ2" si="4">AB3+AB4+AB5+AB6+AB7+AB8</f>
        <v>#REF!</v>
      </c>
      <c r="CR2" s="32" t="e">
        <f>AD3+AD4+AD5+AD6+AD7+AD8</f>
        <v>#REF!</v>
      </c>
      <c r="CS2" s="33" t="e">
        <f t="shared" si="4"/>
        <v>#REF!</v>
      </c>
      <c r="CT2" s="33" t="e">
        <f t="shared" si="4"/>
        <v>#REF!</v>
      </c>
      <c r="CU2" s="33" t="e">
        <f t="shared" si="4"/>
        <v>#REF!</v>
      </c>
      <c r="CV2" s="33" t="e">
        <f t="shared" si="4"/>
        <v>#REF!</v>
      </c>
      <c r="CW2" s="33" t="e">
        <f t="shared" si="4"/>
        <v>#REF!</v>
      </c>
      <c r="CX2" s="33">
        <f t="shared" si="4"/>
        <v>2889.259935</v>
      </c>
      <c r="CY2" s="33">
        <f t="shared" si="4"/>
        <v>3273.906726</v>
      </c>
      <c r="CZ2" s="33">
        <f t="shared" si="4"/>
        <v>3877.534749</v>
      </c>
      <c r="DA2" s="34"/>
      <c r="DB2" s="35">
        <v>45261</v>
      </c>
      <c r="DC2" s="36">
        <f>CB2</f>
        <v>11122.963621</v>
      </c>
      <c r="DD2" s="36">
        <f>CB3</f>
        <v>18770.073715</v>
      </c>
      <c r="DE2" s="36">
        <f>CB4</f>
        <v>1062.996559</v>
      </c>
      <c r="DF2" s="36">
        <f>CB5</f>
        <v>3315.749376</v>
      </c>
      <c r="DG2" s="36">
        <f>SUM(DC2:DF2)</f>
        <v>34271.783271</v>
      </c>
    </row>
    <row r="3" ht="14" customHeight="1" spans="1:114">
      <c r="A3" s="37" t="s">
        <v>197</v>
      </c>
      <c r="B3" s="38" t="e">
        <f>'权责制经营报表-EAS 2512（审计口径）'!AA16/10000</f>
        <v>#REF!</v>
      </c>
      <c r="C3" s="38" t="e">
        <f>'权责制经营报表-EAS 2512（审计口径）'!AB16/10000</f>
        <v>#REF!</v>
      </c>
      <c r="D3" s="38" t="e">
        <f>'权责制经营报表-EAS 2512（审计口径）'!AC16/10000</f>
        <v>#REF!</v>
      </c>
      <c r="E3" s="38" t="e">
        <f>'权责制经营报表-EAS 2512（审计口径）'!AD16/10000</f>
        <v>#REF!</v>
      </c>
      <c r="F3" s="39" t="e">
        <f>'权责制经营报表-EAS 2512（审计口径）'!AE16/10000</f>
        <v>#REF!</v>
      </c>
      <c r="G3" s="39" t="e">
        <f>'权责制经营报表-EAS 2512（审计口径）'!AF16/10000</f>
        <v>#REF!</v>
      </c>
      <c r="H3" s="39" t="e">
        <f>'权责制经营报表-EAS 2512（审计口径）'!AG16/10000</f>
        <v>#REF!</v>
      </c>
      <c r="I3" s="38" t="e">
        <f>'权责制经营报表-EAS 2512（审计口径）'!AH16/10000</f>
        <v>#REF!</v>
      </c>
      <c r="J3" s="39" t="e">
        <f>'权责制经营报表-EAS 2512（审计口径）'!AI16/10000</f>
        <v>#REF!</v>
      </c>
      <c r="K3" s="38" t="e">
        <f>'权责制经营报表-EAS 2512（审计口径）'!AJ16/10000</f>
        <v>#REF!</v>
      </c>
      <c r="L3" s="38" t="e">
        <f>'权责制经营报表-EAS 2512（审计口径）'!AK16/10000</f>
        <v>#REF!</v>
      </c>
      <c r="M3" s="38">
        <f>'权责制经营报表-EAS 2512（审计口径）'!AL16/10000</f>
        <v>4252.921512</v>
      </c>
      <c r="N3" s="38" t="e">
        <f>'权责制经营报表-EAS 2512（审计口径）'!AM16/10000</f>
        <v>#REF!</v>
      </c>
      <c r="O3" s="38" t="e">
        <f>'权责制经营报表-EAS 2512（审计口径）'!AN16/10000</f>
        <v>#REF!</v>
      </c>
      <c r="P3" s="38" t="e">
        <f>'权责制经营报表-EAS 2512（审计口径）'!AO16/10000</f>
        <v>#REF!</v>
      </c>
      <c r="Q3" s="38" t="e">
        <f>'权责制经营报表-EAS 2512（审计口径）'!AP16/10000</f>
        <v>#REF!</v>
      </c>
      <c r="R3" s="38" t="e">
        <f>'权责制经营报表-EAS 2512（审计口径）'!AQ16/10000</f>
        <v>#REF!</v>
      </c>
      <c r="S3" s="38" t="e">
        <f>'权责制经营报表-EAS 2512（审计口径）'!AS16/10000</f>
        <v>#REF!</v>
      </c>
      <c r="T3" s="38" t="e">
        <f>'权责制经营报表-EAS 2512（审计口径）'!AS16/10000</f>
        <v>#REF!</v>
      </c>
      <c r="U3" s="38" t="e">
        <f>'权责制经营报表-EAS 2512（审计口径）'!AT16/10000</f>
        <v>#REF!</v>
      </c>
      <c r="V3" s="38" t="e">
        <f>'权责制经营报表-EAS 2512（审计口径）'!AU16/10000</f>
        <v>#REF!</v>
      </c>
      <c r="W3" s="38" t="e">
        <f>'权责制经营报表-EAS 2512（审计口径）'!AV16/10000</f>
        <v>#REF!</v>
      </c>
      <c r="X3" s="38" t="e">
        <f>'权责制经营报表-EAS 2512（审计口径）'!AW16/10000</f>
        <v>#REF!</v>
      </c>
      <c r="Y3" s="38">
        <f>'权责制经营报表-EAS 2512（审计口径）'!AX16/10000</f>
        <v>2086.796424</v>
      </c>
      <c r="Z3" s="38" t="e">
        <f>'权责制经营报表-EAS 2512（审计口径）'!AY16/10000</f>
        <v>#REF!</v>
      </c>
      <c r="AA3" s="38" t="e">
        <f>'权责制经营报表-EAS 2512（审计口径）'!AZ16/10000</f>
        <v>#REF!</v>
      </c>
      <c r="AB3" s="38" t="e">
        <f>'权责制经营报表-EAS 2512（审计口径）'!BA16/10000</f>
        <v>#REF!</v>
      </c>
      <c r="AC3" s="38">
        <f>'权责制经营报表-EAS 2512（审计口径）'!BB16/10000</f>
        <v>500.972078</v>
      </c>
      <c r="AD3" s="38" t="e">
        <f>'权责制经营报表-EAS 2512（审计口径）'!BC16/10000</f>
        <v>#REF!</v>
      </c>
      <c r="AE3" s="38" t="e">
        <f>'权责制经营报表-EAS 2512（审计口径）'!BD16/10000</f>
        <v>#REF!</v>
      </c>
      <c r="AF3" s="38" t="e">
        <f>'权责制经营报表-EAS 2512（审计口径）'!BE16/10000</f>
        <v>#REF!</v>
      </c>
      <c r="AG3" s="38" t="e">
        <f>'权责制经营报表-EAS 2512（审计口径）'!BF16/10000</f>
        <v>#REF!</v>
      </c>
      <c r="AH3" s="38" t="e">
        <f>'权责制经营报表-EAS 2512（审计口径）'!BG16/10000</f>
        <v>#REF!</v>
      </c>
      <c r="AI3" s="38">
        <f>'权责制经营报表-EAS 2512（审计口径）'!BH16/10000</f>
        <v>1631.000308</v>
      </c>
      <c r="AJ3" s="38">
        <f>'权责制经营报表-EAS 2512（审计口径）'!BI16/10000</f>
        <v>1848.122502</v>
      </c>
      <c r="AK3" s="38">
        <f>'权责制经营报表-EAS 2512（审计口径）'!BJ16/10000</f>
        <v>2045.348388</v>
      </c>
      <c r="AL3" s="40">
        <f t="shared" si="0"/>
        <v>0.1078</v>
      </c>
      <c r="AM3" s="38">
        <f t="shared" si="1"/>
        <v>-41.448036</v>
      </c>
      <c r="AN3" s="41">
        <f t="shared" ref="AN2:AN14" si="5">AM3/AK3</f>
        <v>-0.0202645359798724</v>
      </c>
      <c r="AO3" s="42" t="s">
        <v>198</v>
      </c>
      <c r="AP3" s="43" t="s">
        <v>189</v>
      </c>
      <c r="AQ3" s="44"/>
      <c r="AR3" s="45" t="s">
        <v>190</v>
      </c>
      <c r="AS3" s="46" t="e">
        <f>#REF!</f>
        <v>#REF!</v>
      </c>
      <c r="AT3" s="46" t="e">
        <f>#REF!</f>
        <v>#REF!</v>
      </c>
      <c r="AU3" s="46" t="e">
        <f>#REF!</f>
        <v>#REF!</v>
      </c>
      <c r="AV3" s="46" t="e">
        <f>#REF!</f>
        <v>#REF!</v>
      </c>
      <c r="AW3" s="46" t="e">
        <f>#REF!</f>
        <v>#REF!</v>
      </c>
      <c r="AX3" s="46" t="e">
        <f>#REF!</f>
        <v>#REF!</v>
      </c>
      <c r="AY3" s="46" t="e">
        <f>#REF!</f>
        <v>#REF!</v>
      </c>
      <c r="AZ3" s="46" t="e">
        <f>#REF!</f>
        <v>#REF!</v>
      </c>
      <c r="BA3" s="46" t="e">
        <f>#REF!</f>
        <v>#REF!</v>
      </c>
      <c r="BB3" s="46" t="e">
        <f>#REF!</f>
        <v>#REF!</v>
      </c>
      <c r="BC3" s="46" t="e">
        <f>#REF!</f>
        <v>#REF!</v>
      </c>
      <c r="BD3" s="46" t="e">
        <f>#REF!</f>
        <v>#REF!</v>
      </c>
      <c r="BE3" s="46" t="e">
        <f>#REF!</f>
        <v>#REF!</v>
      </c>
      <c r="BF3" s="46" t="e">
        <f>#REF!</f>
        <v>#REF!</v>
      </c>
      <c r="BG3" s="46" t="e">
        <f>#REF!</f>
        <v>#REF!</v>
      </c>
      <c r="BH3" s="46" t="e">
        <f>#REF!</f>
        <v>#REF!</v>
      </c>
      <c r="BI3" s="46" t="e">
        <f>#REF!</f>
        <v>#REF!</v>
      </c>
      <c r="BJ3" s="46" t="e">
        <f>#REF!</f>
        <v>#REF!</v>
      </c>
      <c r="BK3" s="46" t="e">
        <f>#REF!</f>
        <v>#REF!</v>
      </c>
      <c r="BL3" s="46" t="e">
        <f>#REF!</f>
        <v>#REF!</v>
      </c>
      <c r="BM3" s="46" t="e">
        <f>#REF!</f>
        <v>#REF!</v>
      </c>
      <c r="BN3" s="46" t="e">
        <f>#REF!</f>
        <v>#REF!</v>
      </c>
      <c r="BO3" s="46" t="e">
        <f>#REF!</f>
        <v>#REF!</v>
      </c>
      <c r="BP3" s="46" t="e">
        <f>#REF!</f>
        <v>#REF!</v>
      </c>
      <c r="BQ3" s="46" t="e">
        <f>B2</f>
        <v>#REF!</v>
      </c>
      <c r="BR3" s="46" t="e">
        <f>C2</f>
        <v>#REF!</v>
      </c>
      <c r="BS3" s="46" t="e">
        <f>D2</f>
        <v>#REF!</v>
      </c>
      <c r="BT3" s="46" t="e">
        <f>F2</f>
        <v>#REF!</v>
      </c>
      <c r="BU3" s="46" t="e">
        <f t="shared" ref="BU3:CC3" si="6">F2</f>
        <v>#REF!</v>
      </c>
      <c r="BV3" s="46" t="e">
        <f t="shared" si="6"/>
        <v>#REF!</v>
      </c>
      <c r="BW3" s="46" t="e">
        <f t="shared" si="6"/>
        <v>#REF!</v>
      </c>
      <c r="BX3" s="46" t="e">
        <f t="shared" si="6"/>
        <v>#REF!</v>
      </c>
      <c r="BY3" s="46" t="e">
        <f t="shared" si="6"/>
        <v>#REF!</v>
      </c>
      <c r="BZ3" s="46" t="e">
        <f t="shared" si="6"/>
        <v>#REF!</v>
      </c>
      <c r="CA3" s="46" t="e">
        <f t="shared" si="6"/>
        <v>#REF!</v>
      </c>
      <c r="CB3" s="46">
        <f t="shared" si="6"/>
        <v>18770.073715</v>
      </c>
      <c r="CC3" s="33" t="e">
        <f t="shared" si="6"/>
        <v>#REF!</v>
      </c>
      <c r="CD3" s="33" t="e">
        <f t="shared" ref="CD3:CO3" si="7">O2</f>
        <v>#REF!</v>
      </c>
      <c r="CE3" s="33" t="e">
        <f t="shared" si="7"/>
        <v>#REF!</v>
      </c>
      <c r="CF3" s="33" t="e">
        <f>R2</f>
        <v>#REF!</v>
      </c>
      <c r="CG3" s="33" t="e">
        <f t="shared" si="7"/>
        <v>#REF!</v>
      </c>
      <c r="CH3" s="33" t="e">
        <f t="shared" si="7"/>
        <v>#REF!</v>
      </c>
      <c r="CI3" s="33" t="e">
        <f t="shared" si="7"/>
        <v>#REF!</v>
      </c>
      <c r="CJ3" s="33" t="e">
        <f t="shared" si="7"/>
        <v>#REF!</v>
      </c>
      <c r="CK3" s="33" t="e">
        <f t="shared" si="7"/>
        <v>#REF!</v>
      </c>
      <c r="CL3" s="33" t="e">
        <f t="shared" si="7"/>
        <v>#REF!</v>
      </c>
      <c r="CM3" s="33" t="e">
        <f t="shared" si="7"/>
        <v>#REF!</v>
      </c>
      <c r="CN3" s="33">
        <f t="shared" si="7"/>
        <v>15801.610939</v>
      </c>
      <c r="CO3" s="33" t="e">
        <f t="shared" si="7"/>
        <v>#REF!</v>
      </c>
      <c r="CP3" s="33" t="e">
        <f t="shared" ref="CP3:CZ3" si="8">AA2</f>
        <v>#REF!</v>
      </c>
      <c r="CQ3" s="33" t="e">
        <f t="shared" si="8"/>
        <v>#REF!</v>
      </c>
      <c r="CR3" s="33" t="e">
        <f>AD2</f>
        <v>#REF!</v>
      </c>
      <c r="CS3" s="33" t="e">
        <f t="shared" si="8"/>
        <v>#REF!</v>
      </c>
      <c r="CT3" s="33" t="e">
        <f t="shared" si="8"/>
        <v>#REF!</v>
      </c>
      <c r="CU3" s="33" t="e">
        <f t="shared" si="8"/>
        <v>#REF!</v>
      </c>
      <c r="CV3" s="33" t="e">
        <f t="shared" si="8"/>
        <v>#REF!</v>
      </c>
      <c r="CW3" s="33" t="e">
        <f t="shared" si="8"/>
        <v>#REF!</v>
      </c>
      <c r="CX3" s="33">
        <f t="shared" si="8"/>
        <v>8920.739326</v>
      </c>
      <c r="CY3" s="33">
        <f t="shared" si="8"/>
        <v>9766.124942</v>
      </c>
      <c r="CZ3" s="33">
        <f t="shared" si="8"/>
        <v>12059.387634</v>
      </c>
      <c r="DA3" s="34"/>
      <c r="DB3" s="35">
        <v>45627</v>
      </c>
      <c r="DC3" s="36">
        <f>CN2</f>
        <v>4854.023449</v>
      </c>
      <c r="DD3" s="36">
        <f>CN3</f>
        <v>15801.610939</v>
      </c>
      <c r="DE3" s="36">
        <f>CN4</f>
        <v>845.794088</v>
      </c>
      <c r="DF3" s="36">
        <f>CN5</f>
        <v>3023.520266</v>
      </c>
      <c r="DG3" s="36">
        <f>SUM(DC3:DF3)</f>
        <v>24524.948742</v>
      </c>
      <c r="DI3" s="36"/>
    </row>
    <row r="4" ht="14" customHeight="1" spans="1:114">
      <c r="A4" s="37" t="s">
        <v>199</v>
      </c>
      <c r="B4" s="38" t="e">
        <f>'权责制经营报表-EAS 2512（审计口径）'!AA28/10000</f>
        <v>#REF!</v>
      </c>
      <c r="C4" s="38" t="e">
        <f>'权责制经营报表-EAS 2512（审计口径）'!AB28/10000</f>
        <v>#REF!</v>
      </c>
      <c r="D4" s="38" t="e">
        <f>'权责制经营报表-EAS 2512（审计口径）'!AC28/10000</f>
        <v>#REF!</v>
      </c>
      <c r="E4" s="38" t="e">
        <f>'权责制经营报表-EAS 2512（审计口径）'!AD28/10000</f>
        <v>#REF!</v>
      </c>
      <c r="F4" s="39" t="e">
        <f>'权责制经营报表-EAS 2512（审计口径）'!AE28/10000</f>
        <v>#REF!</v>
      </c>
      <c r="G4" s="39" t="e">
        <f>'权责制经营报表-EAS 2512（审计口径）'!AF28/10000</f>
        <v>#REF!</v>
      </c>
      <c r="H4" s="39" t="e">
        <f>'权责制经营报表-EAS 2512（审计口径）'!AG28/10000</f>
        <v>#REF!</v>
      </c>
      <c r="I4" s="38" t="e">
        <f>'权责制经营报表-EAS 2512（审计口径）'!AH28/10000</f>
        <v>#REF!</v>
      </c>
      <c r="J4" s="39" t="e">
        <f>'权责制经营报表-EAS 2512（审计口径）'!AI28/10000</f>
        <v>#REF!</v>
      </c>
      <c r="K4" s="38" t="e">
        <f>'权责制经营报表-EAS 2512（审计口径）'!AJ28/10000</f>
        <v>#REF!</v>
      </c>
      <c r="L4" s="38" t="e">
        <f>'权责制经营报表-EAS 2512（审计口径）'!AK28/10000</f>
        <v>#REF!</v>
      </c>
      <c r="M4" s="38">
        <f>'权责制经营报表-EAS 2512（审计口径）'!AL28/10000</f>
        <v>308.990263</v>
      </c>
      <c r="N4" s="38" t="e">
        <f>'权责制经营报表-EAS 2512（审计口径）'!AM28/10000</f>
        <v>#REF!</v>
      </c>
      <c r="O4" s="38" t="e">
        <f>'权责制经营报表-EAS 2512（审计口径）'!AN28/10000</f>
        <v>#REF!</v>
      </c>
      <c r="P4" s="38" t="e">
        <f>'权责制经营报表-EAS 2512（审计口径）'!AO28/10000</f>
        <v>#REF!</v>
      </c>
      <c r="Q4" s="38" t="e">
        <f>'权责制经营报表-EAS 2512（审计口径）'!AP28/10000</f>
        <v>#REF!</v>
      </c>
      <c r="R4" s="38" t="e">
        <f>'权责制经营报表-EAS 2512（审计口径）'!AQ28/10000</f>
        <v>#REF!</v>
      </c>
      <c r="S4" s="38" t="e">
        <f>'权责制经营报表-EAS 2512（审计口径）'!AS28/10000</f>
        <v>#REF!</v>
      </c>
      <c r="T4" s="38" t="e">
        <f>'权责制经营报表-EAS 2512（审计口径）'!AS28/10000</f>
        <v>#REF!</v>
      </c>
      <c r="U4" s="38" t="e">
        <f>'权责制经营报表-EAS 2512（审计口径）'!AT28/10000</f>
        <v>#REF!</v>
      </c>
      <c r="V4" s="38" t="e">
        <f>'权责制经营报表-EAS 2512（审计口径）'!AU28/10000</f>
        <v>#REF!</v>
      </c>
      <c r="W4" s="38" t="e">
        <f>'权责制经营报表-EAS 2512（审计口径）'!AV28/10000</f>
        <v>#REF!</v>
      </c>
      <c r="X4" s="38" t="e">
        <f>'权责制经营报表-EAS 2512（审计口径）'!AW28/10000</f>
        <v>#REF!</v>
      </c>
      <c r="Y4" s="38">
        <f>'权责制经营报表-EAS 2512（审计口径）'!AX28/10000</f>
        <v>119.430005</v>
      </c>
      <c r="Z4" s="38" t="e">
        <f>'权责制经营报表-EAS 2512（审计口径）'!AY28/10000</f>
        <v>#REF!</v>
      </c>
      <c r="AA4" s="38" t="e">
        <f>'权责制经营报表-EAS 2512（审计口径）'!AZ28/10000</f>
        <v>#REF!</v>
      </c>
      <c r="AB4" s="38" t="e">
        <f>'权责制经营报表-EAS 2512（审计口径）'!BA28/10000</f>
        <v>#REF!</v>
      </c>
      <c r="AC4" s="38">
        <f>'权责制经营报表-EAS 2512（审计口径）'!BB28/10000</f>
        <v>30.982316</v>
      </c>
      <c r="AD4" s="38" t="e">
        <f>'权责制经营报表-EAS 2512（审计口径）'!BC28/10000</f>
        <v>#REF!</v>
      </c>
      <c r="AE4" s="38" t="e">
        <f>'权责制经营报表-EAS 2512（审计口径）'!BD28/10000</f>
        <v>#REF!</v>
      </c>
      <c r="AF4" s="38" t="e">
        <f>'权责制经营报表-EAS 2512（审计口径）'!BE28/10000</f>
        <v>#REF!</v>
      </c>
      <c r="AG4" s="38" t="e">
        <f>'权责制经营报表-EAS 2512（审计口径）'!BF28/10000</f>
        <v>#REF!</v>
      </c>
      <c r="AH4" s="38" t="e">
        <f>'权责制经营报表-EAS 2512（审计口径）'!BG28/10000</f>
        <v>#REF!</v>
      </c>
      <c r="AI4" s="38">
        <f>'权责制经营报表-EAS 2512（审计口径）'!BH28/10000</f>
        <v>54.295063</v>
      </c>
      <c r="AJ4" s="38">
        <f>'权责制经营报表-EAS 2512（审计口径）'!BI28/10000</f>
        <v>54.95069</v>
      </c>
      <c r="AK4" s="38">
        <f>'权责制经营报表-EAS 2512（审计口径）'!BJ28/10000</f>
        <v>72.191564</v>
      </c>
      <c r="AL4" s="40">
        <f t="shared" si="0"/>
        <v>0.0038</v>
      </c>
      <c r="AM4" s="38">
        <f t="shared" si="1"/>
        <v>-47.238441</v>
      </c>
      <c r="AN4" s="41">
        <f t="shared" si="5"/>
        <v>-0.654348491466399</v>
      </c>
      <c r="AO4" s="42" t="s">
        <v>200</v>
      </c>
      <c r="AP4" s="43"/>
      <c r="AQ4" s="44"/>
      <c r="AR4" s="47" t="s">
        <v>191</v>
      </c>
      <c r="AS4" s="46" t="e">
        <f>#REF!</f>
        <v>#REF!</v>
      </c>
      <c r="AT4" s="46" t="e">
        <f>#REF!</f>
        <v>#REF!</v>
      </c>
      <c r="AU4" s="46" t="e">
        <f>#REF!</f>
        <v>#REF!</v>
      </c>
      <c r="AV4" s="46" t="e">
        <f>#REF!</f>
        <v>#REF!</v>
      </c>
      <c r="AW4" s="46" t="e">
        <f>#REF!</f>
        <v>#REF!</v>
      </c>
      <c r="AX4" s="46" t="e">
        <f>#REF!</f>
        <v>#REF!</v>
      </c>
      <c r="AY4" s="46" t="e">
        <f>#REF!</f>
        <v>#REF!</v>
      </c>
      <c r="AZ4" s="46" t="e">
        <f>#REF!</f>
        <v>#REF!</v>
      </c>
      <c r="BA4" s="46" t="e">
        <f>#REF!</f>
        <v>#REF!</v>
      </c>
      <c r="BB4" s="46" t="e">
        <f>#REF!</f>
        <v>#REF!</v>
      </c>
      <c r="BC4" s="46" t="e">
        <f>#REF!</f>
        <v>#REF!</v>
      </c>
      <c r="BD4" s="46" t="e">
        <f>#REF!</f>
        <v>#REF!</v>
      </c>
      <c r="BE4" s="46" t="e">
        <f>#REF!</f>
        <v>#REF!</v>
      </c>
      <c r="BF4" s="46" t="e">
        <f>#REF!</f>
        <v>#REF!</v>
      </c>
      <c r="BG4" s="46" t="e">
        <f>#REF!</f>
        <v>#REF!</v>
      </c>
      <c r="BH4" s="46" t="e">
        <f>#REF!</f>
        <v>#REF!</v>
      </c>
      <c r="BI4" s="46" t="e">
        <f>#REF!</f>
        <v>#REF!</v>
      </c>
      <c r="BJ4" s="46" t="e">
        <f>#REF!</f>
        <v>#REF!</v>
      </c>
      <c r="BK4" s="46" t="e">
        <f>#REF!</f>
        <v>#REF!</v>
      </c>
      <c r="BL4" s="46" t="e">
        <f>#REF!</f>
        <v>#REF!</v>
      </c>
      <c r="BM4" s="46" t="e">
        <f>#REF!</f>
        <v>#REF!</v>
      </c>
      <c r="BN4" s="46" t="e">
        <f>#REF!</f>
        <v>#REF!</v>
      </c>
      <c r="BO4" s="46" t="e">
        <f>#REF!</f>
        <v>#REF!</v>
      </c>
      <c r="BP4" s="46" t="e">
        <f>#REF!</f>
        <v>#REF!</v>
      </c>
      <c r="BQ4" s="46" t="e">
        <f>B13</f>
        <v>#REF!</v>
      </c>
      <c r="BR4" s="46" t="e">
        <f>C13</f>
        <v>#REF!</v>
      </c>
      <c r="BS4" s="46" t="e">
        <f>D13</f>
        <v>#REF!</v>
      </c>
      <c r="BT4" s="46" t="e">
        <f>F13</f>
        <v>#REF!</v>
      </c>
      <c r="BU4" s="46" t="e">
        <f t="shared" ref="BU4:CC4" si="9">F13</f>
        <v>#REF!</v>
      </c>
      <c r="BV4" s="46" t="e">
        <f t="shared" si="9"/>
        <v>#REF!</v>
      </c>
      <c r="BW4" s="46" t="e">
        <f t="shared" si="9"/>
        <v>#REF!</v>
      </c>
      <c r="BX4" s="46" t="e">
        <f t="shared" si="9"/>
        <v>#REF!</v>
      </c>
      <c r="BY4" s="46" t="e">
        <f t="shared" si="9"/>
        <v>#REF!</v>
      </c>
      <c r="BZ4" s="46" t="e">
        <f t="shared" si="9"/>
        <v>#REF!</v>
      </c>
      <c r="CA4" s="46" t="e">
        <f t="shared" si="9"/>
        <v>#REF!</v>
      </c>
      <c r="CB4" s="46">
        <f t="shared" si="9"/>
        <v>1062.996559</v>
      </c>
      <c r="CC4" s="33" t="e">
        <f t="shared" si="9"/>
        <v>#REF!</v>
      </c>
      <c r="CD4" s="33" t="e">
        <f t="shared" ref="CD4:CP4" si="10">O13</f>
        <v>#REF!</v>
      </c>
      <c r="CE4" s="33" t="e">
        <f t="shared" si="10"/>
        <v>#REF!</v>
      </c>
      <c r="CF4" s="33" t="e">
        <f>R13</f>
        <v>#REF!</v>
      </c>
      <c r="CG4" s="33" t="e">
        <f t="shared" si="10"/>
        <v>#REF!</v>
      </c>
      <c r="CH4" s="33" t="e">
        <f t="shared" si="10"/>
        <v>#REF!</v>
      </c>
      <c r="CI4" s="33" t="e">
        <f t="shared" si="10"/>
        <v>#REF!</v>
      </c>
      <c r="CJ4" s="33" t="e">
        <f t="shared" si="10"/>
        <v>#REF!</v>
      </c>
      <c r="CK4" s="33" t="e">
        <f t="shared" si="10"/>
        <v>#REF!</v>
      </c>
      <c r="CL4" s="33" t="e">
        <f t="shared" si="10"/>
        <v>#REF!</v>
      </c>
      <c r="CM4" s="33" t="e">
        <f t="shared" si="10"/>
        <v>#REF!</v>
      </c>
      <c r="CN4" s="33">
        <f t="shared" si="10"/>
        <v>845.794088</v>
      </c>
      <c r="CO4" s="33" t="e">
        <f t="shared" si="10"/>
        <v>#REF!</v>
      </c>
      <c r="CP4" s="33" t="e">
        <f t="shared" si="10"/>
        <v>#REF!</v>
      </c>
      <c r="CQ4" s="33" t="e">
        <f t="shared" ref="CP4:CZ4" si="11">AB13</f>
        <v>#REF!</v>
      </c>
      <c r="CR4" s="33" t="e">
        <f>AD13</f>
        <v>#REF!</v>
      </c>
      <c r="CS4" s="33" t="e">
        <f t="shared" si="11"/>
        <v>#REF!</v>
      </c>
      <c r="CT4" s="33" t="e">
        <f t="shared" si="11"/>
        <v>#REF!</v>
      </c>
      <c r="CU4" s="33" t="e">
        <f t="shared" si="11"/>
        <v>#REF!</v>
      </c>
      <c r="CV4" s="33" t="e">
        <f t="shared" si="11"/>
        <v>#REF!</v>
      </c>
      <c r="CW4" s="33" t="e">
        <f t="shared" si="11"/>
        <v>#REF!</v>
      </c>
      <c r="CX4" s="33">
        <f t="shared" si="11"/>
        <v>491.463896</v>
      </c>
      <c r="CY4" s="33">
        <f t="shared" si="11"/>
        <v>558.595506</v>
      </c>
      <c r="CZ4" s="33">
        <f t="shared" si="11"/>
        <v>1136.643423</v>
      </c>
      <c r="DA4" s="34"/>
      <c r="DB4" s="35">
        <v>45992</v>
      </c>
      <c r="DC4" s="36">
        <f>CZ2</f>
        <v>3877.534749</v>
      </c>
      <c r="DD4" s="36">
        <f>CZ3</f>
        <v>12059.387634</v>
      </c>
      <c r="DE4" s="36">
        <f>CZ4</f>
        <v>1136.643423</v>
      </c>
      <c r="DF4" s="36">
        <f>CZ5</f>
        <v>1898.167083</v>
      </c>
      <c r="DG4" s="36">
        <f>SUM(DC4:DF4)</f>
        <v>18971.732889</v>
      </c>
      <c r="DH4" s="36"/>
      <c r="DI4" s="36"/>
      <c r="DJ4" s="36"/>
    </row>
    <row r="5" ht="14" customHeight="1" spans="1:114">
      <c r="A5" s="37" t="s">
        <v>201</v>
      </c>
      <c r="B5" s="38" t="e">
        <f>'权责制经营报表-EAS 2512（审计口径）'!AA29/10000</f>
        <v>#REF!</v>
      </c>
      <c r="C5" s="38" t="e">
        <f>'权责制经营报表-EAS 2512（审计口径）'!AB29/10000</f>
        <v>#REF!</v>
      </c>
      <c r="D5" s="38" t="e">
        <f>'权责制经营报表-EAS 2512（审计口径）'!AC29/10000</f>
        <v>#REF!</v>
      </c>
      <c r="E5" s="38" t="e">
        <f>'权责制经营报表-EAS 2512（审计口径）'!AD29/10000</f>
        <v>#REF!</v>
      </c>
      <c r="F5" s="39" t="e">
        <f>'权责制经营报表-EAS 2512（审计口径）'!AE29/10000</f>
        <v>#REF!</v>
      </c>
      <c r="G5" s="39" t="e">
        <f>'权责制经营报表-EAS 2512（审计口径）'!AF29/10000</f>
        <v>#REF!</v>
      </c>
      <c r="H5" s="39" t="e">
        <f>'权责制经营报表-EAS 2512（审计口径）'!AG29/10000</f>
        <v>#REF!</v>
      </c>
      <c r="I5" s="38" t="e">
        <f>'权责制经营报表-EAS 2512（审计口径）'!AH29/10000</f>
        <v>#REF!</v>
      </c>
      <c r="J5" s="39" t="e">
        <f>'权责制经营报表-EAS 2512（审计口径）'!AI29/10000</f>
        <v>#REF!</v>
      </c>
      <c r="K5" s="38" t="e">
        <f>'权责制经营报表-EAS 2512（审计口径）'!AJ29/10000</f>
        <v>#REF!</v>
      </c>
      <c r="L5" s="38" t="e">
        <f>'权责制经营报表-EAS 2512（审计口径）'!AK29/10000</f>
        <v>#REF!</v>
      </c>
      <c r="M5" s="38">
        <f>'权责制经营报表-EAS 2512（审计口径）'!AL29/10000</f>
        <v>5039.120944</v>
      </c>
      <c r="N5" s="38" t="e">
        <f>'权责制经营报表-EAS 2512（审计口径）'!AM29/10000</f>
        <v>#REF!</v>
      </c>
      <c r="O5" s="38" t="e">
        <f>'权责制经营报表-EAS 2512（审计口径）'!AN29/10000</f>
        <v>#REF!</v>
      </c>
      <c r="P5" s="38" t="e">
        <f>'权责制经营报表-EAS 2512（审计口径）'!AO29/10000</f>
        <v>#REF!</v>
      </c>
      <c r="Q5" s="38" t="e">
        <f>'权责制经营报表-EAS 2512（审计口径）'!AP29/10000</f>
        <v>#REF!</v>
      </c>
      <c r="R5" s="38" t="e">
        <f>'权责制经营报表-EAS 2512（审计口径）'!AQ29/10000</f>
        <v>#REF!</v>
      </c>
      <c r="S5" s="38" t="e">
        <f>'权责制经营报表-EAS 2512（审计口径）'!AS29/10000</f>
        <v>#REF!</v>
      </c>
      <c r="T5" s="38" t="e">
        <f>'权责制经营报表-EAS 2512（审计口径）'!AS29/10000</f>
        <v>#REF!</v>
      </c>
      <c r="U5" s="38" t="e">
        <f>'权责制经营报表-EAS 2512（审计口径）'!AT29/10000</f>
        <v>#REF!</v>
      </c>
      <c r="V5" s="38" t="e">
        <f>'权责制经营报表-EAS 2512（审计口径）'!AU29/10000</f>
        <v>#REF!</v>
      </c>
      <c r="W5" s="38" t="e">
        <f>'权责制经营报表-EAS 2512（审计口径）'!AV29/10000</f>
        <v>#REF!</v>
      </c>
      <c r="X5" s="38" t="e">
        <f>'权责制经营报表-EAS 2512（审计口径）'!AW29/10000</f>
        <v>#REF!</v>
      </c>
      <c r="Y5" s="38">
        <f>'权责制经营报表-EAS 2512（审计口径）'!AX29/10000</f>
        <v>1937.944144</v>
      </c>
      <c r="Z5" s="38" t="e">
        <f>'权责制经营报表-EAS 2512（审计口径）'!AY29/10000</f>
        <v>#REF!</v>
      </c>
      <c r="AA5" s="38" t="e">
        <f>'权责制经营报表-EAS 2512（审计口径）'!AZ29/10000</f>
        <v>#REF!</v>
      </c>
      <c r="AB5" s="38" t="e">
        <f>'权责制经营报表-EAS 2512（审计口径）'!BA29/10000</f>
        <v>#REF!</v>
      </c>
      <c r="AC5" s="38">
        <f>'权责制经营报表-EAS 2512（审计口径）'!BB29/10000</f>
        <v>293.138014</v>
      </c>
      <c r="AD5" s="38" t="e">
        <f>'权责制经营报表-EAS 2512（审计口径）'!BC29/10000</f>
        <v>#REF!</v>
      </c>
      <c r="AE5" s="38" t="e">
        <f>'权责制经营报表-EAS 2512（审计口径）'!BD29/10000</f>
        <v>#REF!</v>
      </c>
      <c r="AF5" s="38" t="e">
        <f>'权责制经营报表-EAS 2512（审计口径）'!BE29/10000</f>
        <v>#REF!</v>
      </c>
      <c r="AG5" s="38" t="e">
        <f>'权责制经营报表-EAS 2512（审计口径）'!BF29/10000</f>
        <v>#REF!</v>
      </c>
      <c r="AH5" s="38" t="e">
        <f>'权责制经营报表-EAS 2512（审计口径）'!BG29/10000</f>
        <v>#REF!</v>
      </c>
      <c r="AI5" s="38">
        <f>'权责制经营报表-EAS 2512（审计口径）'!BH29/10000</f>
        <v>765.979315</v>
      </c>
      <c r="AJ5" s="38">
        <f>'权责制经营报表-EAS 2512（审计口径）'!BI29/10000</f>
        <v>891.987267</v>
      </c>
      <c r="AK5" s="38">
        <f>'权责制经营报表-EAS 2512（审计口径）'!BJ29/10000</f>
        <v>1061.748018</v>
      </c>
      <c r="AL5" s="40">
        <f t="shared" si="0"/>
        <v>0.056</v>
      </c>
      <c r="AM5" s="38">
        <f t="shared" si="1"/>
        <v>-876.196126</v>
      </c>
      <c r="AN5" s="41">
        <f t="shared" si="5"/>
        <v>-0.825239238638259</v>
      </c>
      <c r="AO5" s="42" t="s">
        <v>202</v>
      </c>
      <c r="AP5" s="43"/>
      <c r="AQ5" s="44"/>
      <c r="AR5" s="45" t="s">
        <v>192</v>
      </c>
      <c r="AS5" s="46" t="e">
        <f>#REF!+#REF!+#REF!+#REF!</f>
        <v>#REF!</v>
      </c>
      <c r="AT5" s="46" t="e">
        <f>#REF!+#REF!+#REF!+#REF!</f>
        <v>#REF!</v>
      </c>
      <c r="AU5" s="46" t="e">
        <f>#REF!+#REF!+#REF!+#REF!</f>
        <v>#REF!</v>
      </c>
      <c r="AV5" s="46" t="e">
        <f>#REF!+#REF!+#REF!+#REF!</f>
        <v>#REF!</v>
      </c>
      <c r="AW5" s="46" t="e">
        <f>#REF!+#REF!+#REF!+#REF!</f>
        <v>#REF!</v>
      </c>
      <c r="AX5" s="46" t="e">
        <f>#REF!+#REF!+#REF!+#REF!</f>
        <v>#REF!</v>
      </c>
      <c r="AY5" s="46" t="e">
        <f>#REF!+#REF!+#REF!+#REF!</f>
        <v>#REF!</v>
      </c>
      <c r="AZ5" s="46" t="e">
        <f>#REF!+#REF!+#REF!+#REF!</f>
        <v>#REF!</v>
      </c>
      <c r="BA5" s="46" t="e">
        <f>#REF!+#REF!+#REF!+#REF!</f>
        <v>#REF!</v>
      </c>
      <c r="BB5" s="46" t="e">
        <f>#REF!+#REF!+#REF!+#REF!</f>
        <v>#REF!</v>
      </c>
      <c r="BC5" s="46" t="e">
        <f>#REF!+#REF!+#REF!+#REF!</f>
        <v>#REF!</v>
      </c>
      <c r="BD5" s="46" t="e">
        <f>#REF!+#REF!+#REF!+#REF!</f>
        <v>#REF!</v>
      </c>
      <c r="BE5" s="46" t="e">
        <f>#REF!+#REF!+#REF!+#REF!</f>
        <v>#REF!</v>
      </c>
      <c r="BF5" s="46" t="e">
        <f>#REF!+#REF!+#REF!+#REF!</f>
        <v>#REF!</v>
      </c>
      <c r="BG5" s="46" t="e">
        <f>#REF!+#REF!+#REF!+#REF!</f>
        <v>#REF!</v>
      </c>
      <c r="BH5" s="46" t="e">
        <f>#REF!+#REF!+#REF!+#REF!</f>
        <v>#REF!</v>
      </c>
      <c r="BI5" s="46" t="e">
        <f>#REF!+#REF!+#REF!+#REF!</f>
        <v>#REF!</v>
      </c>
      <c r="BJ5" s="46" t="e">
        <f>#REF!+#REF!+#REF!+#REF!</f>
        <v>#REF!</v>
      </c>
      <c r="BK5" s="46" t="e">
        <f>#REF!+#REF!+#REF!+#REF!</f>
        <v>#REF!</v>
      </c>
      <c r="BL5" s="46" t="e">
        <f>#REF!+#REF!+#REF!+#REF!</f>
        <v>#REF!</v>
      </c>
      <c r="BM5" s="46" t="e">
        <f>#REF!+#REF!+#REF!+#REF!</f>
        <v>#REF!</v>
      </c>
      <c r="BN5" s="46" t="e">
        <f>#REF!+#REF!+#REF!+#REF!</f>
        <v>#REF!</v>
      </c>
      <c r="BO5" s="46" t="e">
        <f>#REF!+#REF!+#REF!+#REF!</f>
        <v>#REF!</v>
      </c>
      <c r="BP5" s="46" t="e">
        <f>#REF!+#REF!+#REF!+#REF!</f>
        <v>#REF!</v>
      </c>
      <c r="BQ5" s="46" t="e">
        <f>B9+B10+B11+B12</f>
        <v>#REF!</v>
      </c>
      <c r="BR5" s="46" t="e">
        <f>C9+C10+C11+C12</f>
        <v>#REF!</v>
      </c>
      <c r="BS5" s="46" t="e">
        <f>D9+D10+D11+D12</f>
        <v>#REF!</v>
      </c>
      <c r="BT5" s="46" t="e">
        <f>F9+F10+F11+F12</f>
        <v>#REF!</v>
      </c>
      <c r="BU5" s="46" t="e">
        <f t="shared" ref="BU5:CC5" si="12">F9+F10+F11+F12</f>
        <v>#REF!</v>
      </c>
      <c r="BV5" s="46" t="e">
        <f t="shared" si="12"/>
        <v>#REF!</v>
      </c>
      <c r="BW5" s="46" t="e">
        <f t="shared" si="12"/>
        <v>#REF!</v>
      </c>
      <c r="BX5" s="46" t="e">
        <f t="shared" si="12"/>
        <v>#REF!</v>
      </c>
      <c r="BY5" s="46" t="e">
        <f t="shared" si="12"/>
        <v>#REF!</v>
      </c>
      <c r="BZ5" s="46" t="e">
        <f t="shared" si="12"/>
        <v>#REF!</v>
      </c>
      <c r="CA5" s="46" t="e">
        <f t="shared" si="12"/>
        <v>#REF!</v>
      </c>
      <c r="CB5" s="46">
        <f t="shared" si="12"/>
        <v>3315.749376</v>
      </c>
      <c r="CC5" s="33" t="e">
        <f t="shared" si="12"/>
        <v>#REF!</v>
      </c>
      <c r="CD5" s="33" t="e">
        <f t="shared" ref="CD5:CP5" si="13">O9+O10+O11+O12</f>
        <v>#REF!</v>
      </c>
      <c r="CE5" s="33" t="e">
        <f t="shared" si="13"/>
        <v>#REF!</v>
      </c>
      <c r="CF5" s="33" t="e">
        <f>R9+R10+R11+R12</f>
        <v>#REF!</v>
      </c>
      <c r="CG5" s="33" t="e">
        <f t="shared" si="13"/>
        <v>#REF!</v>
      </c>
      <c r="CH5" s="33" t="e">
        <f t="shared" si="13"/>
        <v>#REF!</v>
      </c>
      <c r="CI5" s="33" t="e">
        <f t="shared" si="13"/>
        <v>#REF!</v>
      </c>
      <c r="CJ5" s="33" t="e">
        <f t="shared" si="13"/>
        <v>#REF!</v>
      </c>
      <c r="CK5" s="33" t="e">
        <f t="shared" si="13"/>
        <v>#REF!</v>
      </c>
      <c r="CL5" s="33" t="e">
        <f t="shared" si="13"/>
        <v>#REF!</v>
      </c>
      <c r="CM5" s="33" t="e">
        <f t="shared" si="13"/>
        <v>#REF!</v>
      </c>
      <c r="CN5" s="33">
        <f t="shared" si="13"/>
        <v>3023.520266</v>
      </c>
      <c r="CO5" s="33" t="e">
        <f t="shared" si="13"/>
        <v>#REF!</v>
      </c>
      <c r="CP5" s="33" t="e">
        <f t="shared" si="13"/>
        <v>#REF!</v>
      </c>
      <c r="CQ5" s="33" t="e">
        <f t="shared" ref="CP5:CZ5" si="14">AB9+AB10+AB11+AB12</f>
        <v>#REF!</v>
      </c>
      <c r="CR5" s="33" t="e">
        <f>AD9+AD10+AD11+AD12</f>
        <v>#REF!</v>
      </c>
      <c r="CS5" s="33" t="e">
        <f t="shared" si="14"/>
        <v>#REF!</v>
      </c>
      <c r="CT5" s="33" t="e">
        <f t="shared" si="14"/>
        <v>#REF!</v>
      </c>
      <c r="CU5" s="33" t="e">
        <f t="shared" si="14"/>
        <v>#REF!</v>
      </c>
      <c r="CV5" s="33" t="e">
        <f t="shared" si="14"/>
        <v>#REF!</v>
      </c>
      <c r="CW5" s="33" t="e">
        <f t="shared" si="14"/>
        <v>#REF!</v>
      </c>
      <c r="CX5" s="33">
        <f t="shared" si="14"/>
        <v>1781.967408</v>
      </c>
      <c r="CY5" s="33">
        <f t="shared" si="14"/>
        <v>1941.378799</v>
      </c>
      <c r="CZ5" s="33">
        <f t="shared" si="14"/>
        <v>1898.167083</v>
      </c>
      <c r="DA5" s="34"/>
      <c r="DC5" s="36">
        <f>DC4-DC3</f>
        <v>-976.4887</v>
      </c>
      <c r="DD5" s="36">
        <f>DD4-DD3</f>
        <v>-3742.223305</v>
      </c>
      <c r="DE5" s="36">
        <f>DE4-DE3</f>
        <v>290.849335</v>
      </c>
      <c r="DF5" s="36">
        <f>DF4-DF3</f>
        <v>-1125.353183</v>
      </c>
      <c r="DG5" s="36">
        <f>SUM(DC5:DF5)</f>
        <v>-5553.215853</v>
      </c>
      <c r="DH5" s="36"/>
    </row>
    <row r="6" ht="14" customHeight="1" spans="1:114">
      <c r="A6" s="37" t="s">
        <v>203</v>
      </c>
      <c r="B6" s="38" t="e">
        <f>'权责制经营报表-EAS 2512（审计口径）'!AA30/10000+B29/10000</f>
        <v>#REF!</v>
      </c>
      <c r="C6" s="38" t="e">
        <f>'权责制经营报表-EAS 2512（审计口径）'!AB30/10000+C29/10000</f>
        <v>#REF!</v>
      </c>
      <c r="D6" s="38" t="e">
        <f>'权责制经营报表-EAS 2512（审计口径）'!AC30/10000+D29/10000</f>
        <v>#REF!</v>
      </c>
      <c r="E6" s="38" t="e">
        <f>'权责制经营报表-EAS 2512（审计口径）'!AD30/10000+E29/10000</f>
        <v>#REF!</v>
      </c>
      <c r="F6" s="39" t="e">
        <f>'权责制经营报表-EAS 2512（审计口径）'!AE30/10000+F29/10000</f>
        <v>#REF!</v>
      </c>
      <c r="G6" s="39" t="e">
        <f>'权责制经营报表-EAS 2512（审计口径）'!AF30/10000+G29/10000</f>
        <v>#REF!</v>
      </c>
      <c r="H6" s="39" t="e">
        <f>'权责制经营报表-EAS 2512（审计口径）'!AG30/10000+H29/10000</f>
        <v>#REF!</v>
      </c>
      <c r="I6" s="38" t="e">
        <f>'权责制经营报表-EAS 2512（审计口径）'!AH30/10000+I29/10000</f>
        <v>#REF!</v>
      </c>
      <c r="J6" s="39" t="e">
        <f>'权责制经营报表-EAS 2512（审计口径）'!AI30/10000+J29/10000</f>
        <v>#REF!</v>
      </c>
      <c r="K6" s="38" t="e">
        <f>'权责制经营报表-EAS 2512（审计口径）'!AJ30/10000+K29/10000</f>
        <v>#REF!</v>
      </c>
      <c r="L6" s="38" t="e">
        <f>'权责制经营报表-EAS 2512（审计口径）'!AK30/10000+L29/10000</f>
        <v>#REF!</v>
      </c>
      <c r="M6" s="38">
        <f>'权责制经营报表-EAS 2512（审计口径）'!AL30/10000+M29/10000</f>
        <v>786.060709</v>
      </c>
      <c r="N6" s="38" t="e">
        <f>'权责制经营报表-EAS 2512（审计口径）'!AM30/10000+N29/10000</f>
        <v>#REF!</v>
      </c>
      <c r="O6" s="38" t="e">
        <f>'权责制经营报表-EAS 2512（审计口径）'!AN30/10000+O29/10000</f>
        <v>#REF!</v>
      </c>
      <c r="P6" s="38" t="e">
        <f>'权责制经营报表-EAS 2512（审计口径）'!AO30/10000+P29/10000</f>
        <v>#REF!</v>
      </c>
      <c r="Q6" s="38" t="e">
        <f>'权责制经营报表-EAS 2512（审计口径）'!AP30/10000+Q29/10000</f>
        <v>#REF!</v>
      </c>
      <c r="R6" s="38" t="e">
        <f>'权责制经营报表-EAS 2512（审计口径）'!AQ30/10000+R29/10000</f>
        <v>#REF!</v>
      </c>
      <c r="S6" s="38" t="e">
        <f>'权责制经营报表-EAS 2512（审计口径）'!AS30/10000+S29/10000</f>
        <v>#REF!</v>
      </c>
      <c r="T6" s="38" t="e">
        <f>'权责制经营报表-EAS 2512（审计口径）'!AS30/10000+U29/10000</f>
        <v>#REF!</v>
      </c>
      <c r="U6" s="38" t="e">
        <f>'权责制经营报表-EAS 2512（审计口径）'!AT30/10000+U29/10000</f>
        <v>#REF!</v>
      </c>
      <c r="V6" s="38" t="e">
        <f>'权责制经营报表-EAS 2512（审计口径）'!AU30/10000+V29/10000</f>
        <v>#REF!</v>
      </c>
      <c r="W6" s="38" t="e">
        <f>'权责制经营报表-EAS 2512（审计口径）'!AV30/10000+W29/10000</f>
        <v>#REF!</v>
      </c>
      <c r="X6" s="38" t="e">
        <f>'权责制经营报表-EAS 2512（审计口径）'!AW30/10000+X29/10000</f>
        <v>#REF!</v>
      </c>
      <c r="Y6" s="38">
        <f>'权责制经营报表-EAS 2512（审计口径）'!AX30/10000+Y29/10000</f>
        <v>161.571132</v>
      </c>
      <c r="Z6" s="38" t="e">
        <f>'权责制经营报表-EAS 2512（审计口径）'!AY30/10000+Z29/10000</f>
        <v>#REF!</v>
      </c>
      <c r="AA6" s="38" t="e">
        <f>'权责制经营报表-EAS 2512（审计口径）'!AZ30/10000+AA29/10000</f>
        <v>#REF!</v>
      </c>
      <c r="AB6" s="38" t="e">
        <f>'权责制经营报表-EAS 2512（审计口径）'!BA30/10000+AB29/10000</f>
        <v>#REF!</v>
      </c>
      <c r="AC6" s="38">
        <f>'权责制经营报表-EAS 2512（审计口径）'!BB30/10000+AC29/10000</f>
        <v>22.702947</v>
      </c>
      <c r="AD6" s="38" t="e">
        <f>'权责制经营报表-EAS 2512（审计口径）'!BC30/10000+AD29/10000</f>
        <v>#REF!</v>
      </c>
      <c r="AE6" s="38" t="e">
        <f>'权责制经营报表-EAS 2512（审计口径）'!BD30/10000+AE29/10000</f>
        <v>#REF!</v>
      </c>
      <c r="AF6" s="38" t="e">
        <f>'权责制经营报表-EAS 2512（审计口径）'!BE30/10000+AF29/10000</f>
        <v>#REF!</v>
      </c>
      <c r="AG6" s="38" t="e">
        <f>'权责制经营报表-EAS 2512（审计口径）'!BF30/10000+AG29/10000</f>
        <v>#REF!</v>
      </c>
      <c r="AH6" s="38" t="e">
        <f>'权责制经营报表-EAS 2512（审计口径）'!BG30/10000+AH29/10000</f>
        <v>#REF!</v>
      </c>
      <c r="AI6" s="38">
        <f>'权责制经营报表-EAS 2512（审计口径）'!BH30/10000+AI29/10000</f>
        <v>66.946301</v>
      </c>
      <c r="AJ6" s="38">
        <f>'权责制经营报表-EAS 2512（审计口径）'!BI30/10000+AJ29/10000</f>
        <v>70.425725</v>
      </c>
      <c r="AK6" s="38">
        <f>'权责制经营报表-EAS 2512（审计口径）'!BJ30/10000+AK29/10000</f>
        <v>261.996497</v>
      </c>
      <c r="AL6" s="40">
        <f t="shared" si="0"/>
        <v>0.0138</v>
      </c>
      <c r="AM6" s="38">
        <f t="shared" si="1"/>
        <v>100.425365</v>
      </c>
      <c r="AN6" s="41">
        <f t="shared" si="5"/>
        <v>0.383308044763667</v>
      </c>
      <c r="AO6" s="48"/>
      <c r="AP6" s="43"/>
      <c r="AQ6" s="44"/>
      <c r="AR6" s="49" t="s">
        <v>204</v>
      </c>
      <c r="AS6" s="50" t="e">
        <f t="shared" ref="AS6:BF6" si="15">SUM(AS2:AS5)</f>
        <v>#REF!</v>
      </c>
      <c r="AT6" s="50" t="e">
        <f t="shared" si="15"/>
        <v>#REF!</v>
      </c>
      <c r="AU6" s="50" t="e">
        <f t="shared" si="15"/>
        <v>#REF!</v>
      </c>
      <c r="AV6" s="50" t="e">
        <f t="shared" si="15"/>
        <v>#REF!</v>
      </c>
      <c r="AW6" s="50" t="e">
        <f t="shared" si="15"/>
        <v>#REF!</v>
      </c>
      <c r="AX6" s="50" t="e">
        <f t="shared" si="15"/>
        <v>#REF!</v>
      </c>
      <c r="AY6" s="50" t="e">
        <f t="shared" si="15"/>
        <v>#REF!</v>
      </c>
      <c r="AZ6" s="50" t="e">
        <f t="shared" si="15"/>
        <v>#REF!</v>
      </c>
      <c r="BA6" s="50" t="e">
        <f t="shared" si="15"/>
        <v>#REF!</v>
      </c>
      <c r="BB6" s="50" t="e">
        <f t="shared" si="15"/>
        <v>#REF!</v>
      </c>
      <c r="BC6" s="50" t="e">
        <f t="shared" si="15"/>
        <v>#REF!</v>
      </c>
      <c r="BD6" s="50" t="e">
        <f t="shared" si="15"/>
        <v>#REF!</v>
      </c>
      <c r="BE6" s="50" t="e">
        <f t="shared" si="15"/>
        <v>#REF!</v>
      </c>
      <c r="BF6" s="50" t="e">
        <f t="shared" si="15"/>
        <v>#REF!</v>
      </c>
      <c r="BG6" s="50" t="e">
        <f t="shared" ref="BG6:BP6" si="16">SUM(BG2:BG5)</f>
        <v>#REF!</v>
      </c>
      <c r="BH6" s="50" t="e">
        <f t="shared" si="16"/>
        <v>#REF!</v>
      </c>
      <c r="BI6" s="50" t="e">
        <f t="shared" si="16"/>
        <v>#REF!</v>
      </c>
      <c r="BJ6" s="50" t="e">
        <f t="shared" si="16"/>
        <v>#REF!</v>
      </c>
      <c r="BK6" s="50" t="e">
        <f t="shared" si="16"/>
        <v>#REF!</v>
      </c>
      <c r="BL6" s="50" t="e">
        <f t="shared" si="16"/>
        <v>#REF!</v>
      </c>
      <c r="BM6" s="50" t="e">
        <f t="shared" si="16"/>
        <v>#REF!</v>
      </c>
      <c r="BN6" s="50" t="e">
        <f t="shared" si="16"/>
        <v>#REF!</v>
      </c>
      <c r="BO6" s="50" t="e">
        <f t="shared" si="16"/>
        <v>#REF!</v>
      </c>
      <c r="BP6" s="50" t="e">
        <f t="shared" ref="BP6:BV6" si="17">SUM(BP2:BP5)</f>
        <v>#REF!</v>
      </c>
      <c r="BQ6" s="50" t="e">
        <f t="shared" si="17"/>
        <v>#REF!</v>
      </c>
      <c r="BR6" s="50" t="e">
        <f t="shared" si="17"/>
        <v>#REF!</v>
      </c>
      <c r="BS6" s="50" t="e">
        <f t="shared" si="17"/>
        <v>#REF!</v>
      </c>
      <c r="BT6" s="50" t="e">
        <f t="shared" si="17"/>
        <v>#REF!</v>
      </c>
      <c r="BU6" s="50" t="e">
        <f t="shared" ref="BU6:CC6" si="18">SUM(BU2:BU5)</f>
        <v>#REF!</v>
      </c>
      <c r="BV6" s="50" t="e">
        <f t="shared" si="18"/>
        <v>#REF!</v>
      </c>
      <c r="BW6" s="50" t="e">
        <f t="shared" si="18"/>
        <v>#REF!</v>
      </c>
      <c r="BX6" s="50" t="e">
        <f t="shared" si="18"/>
        <v>#REF!</v>
      </c>
      <c r="BY6" s="50" t="e">
        <f t="shared" si="18"/>
        <v>#REF!</v>
      </c>
      <c r="BZ6" s="50" t="e">
        <f t="shared" si="18"/>
        <v>#REF!</v>
      </c>
      <c r="CA6" s="50" t="e">
        <f t="shared" si="18"/>
        <v>#REF!</v>
      </c>
      <c r="CB6" s="50">
        <f t="shared" si="18"/>
        <v>34271.783271</v>
      </c>
      <c r="CC6" s="50" t="e">
        <f t="shared" si="18"/>
        <v>#REF!</v>
      </c>
      <c r="CD6" s="50" t="e">
        <f t="shared" ref="CD6:CO6" si="19">SUM(CD2:CD5)</f>
        <v>#REF!</v>
      </c>
      <c r="CE6" s="50" t="e">
        <f t="shared" si="19"/>
        <v>#REF!</v>
      </c>
      <c r="CF6" s="50" t="e">
        <f t="shared" si="19"/>
        <v>#REF!</v>
      </c>
      <c r="CG6" s="50" t="e">
        <f t="shared" si="19"/>
        <v>#REF!</v>
      </c>
      <c r="CH6" s="50" t="e">
        <f t="shared" si="19"/>
        <v>#REF!</v>
      </c>
      <c r="CI6" s="50" t="e">
        <f t="shared" si="19"/>
        <v>#REF!</v>
      </c>
      <c r="CJ6" s="50" t="e">
        <f t="shared" si="19"/>
        <v>#REF!</v>
      </c>
      <c r="CK6" s="50" t="e">
        <f t="shared" si="19"/>
        <v>#REF!</v>
      </c>
      <c r="CL6" s="50" t="e">
        <f t="shared" si="19"/>
        <v>#REF!</v>
      </c>
      <c r="CM6" s="50" t="e">
        <f t="shared" si="19"/>
        <v>#REF!</v>
      </c>
      <c r="CN6" s="50">
        <f t="shared" si="19"/>
        <v>24524.948742</v>
      </c>
      <c r="CO6" s="50" t="e">
        <f t="shared" si="19"/>
        <v>#REF!</v>
      </c>
      <c r="CP6" s="50" t="e">
        <f t="shared" ref="CP6:CZ6" si="20">SUM(CP2:CP5)</f>
        <v>#REF!</v>
      </c>
      <c r="CQ6" s="50" t="e">
        <f t="shared" si="20"/>
        <v>#REF!</v>
      </c>
      <c r="CR6" s="50" t="e">
        <f t="shared" si="20"/>
        <v>#REF!</v>
      </c>
      <c r="CS6" s="50" t="e">
        <f t="shared" si="20"/>
        <v>#REF!</v>
      </c>
      <c r="CT6" s="50" t="e">
        <f t="shared" si="20"/>
        <v>#REF!</v>
      </c>
      <c r="CU6" s="50" t="e">
        <f t="shared" si="20"/>
        <v>#REF!</v>
      </c>
      <c r="CV6" s="50" t="e">
        <f t="shared" si="20"/>
        <v>#REF!</v>
      </c>
      <c r="CW6" s="50" t="e">
        <f t="shared" si="20"/>
        <v>#REF!</v>
      </c>
      <c r="CX6" s="50">
        <f t="shared" si="20"/>
        <v>14083.430565</v>
      </c>
      <c r="CY6" s="50">
        <f t="shared" si="20"/>
        <v>15540.005973</v>
      </c>
      <c r="CZ6" s="50">
        <f t="shared" si="20"/>
        <v>18971.732889</v>
      </c>
      <c r="DA6" s="34"/>
      <c r="DC6" s="51">
        <f>DC5/DC3</f>
        <v>-0.20117098943994</v>
      </c>
      <c r="DD6" s="52">
        <f>DD5/DD3</f>
        <v>-0.236825429979662</v>
      </c>
      <c r="DE6" s="52">
        <f>DE5/DE3</f>
        <v>0.343877238120397</v>
      </c>
      <c r="DF6" s="52">
        <f>DF5/DF3</f>
        <v>-0.372199649413562</v>
      </c>
      <c r="DG6" s="52">
        <f>DG5/DG3</f>
        <v>-0.226431292942516</v>
      </c>
    </row>
    <row r="7" ht="14" customHeight="1" spans="1:114">
      <c r="A7" s="37" t="s">
        <v>205</v>
      </c>
      <c r="B7" s="38" t="e">
        <f>'权责制经营报表-EAS 2512（审计口径）'!AA32/10000</f>
        <v>#REF!</v>
      </c>
      <c r="C7" s="38" t="e">
        <f>'权责制经营报表-EAS 2512（审计口径）'!AB32/10000</f>
        <v>#REF!</v>
      </c>
      <c r="D7" s="38" t="e">
        <f>'权责制经营报表-EAS 2512（审计口径）'!AC32/10000</f>
        <v>#REF!</v>
      </c>
      <c r="E7" s="38" t="e">
        <f>'权责制经营报表-EAS 2512（审计口径）'!AD32/10000</f>
        <v>#REF!</v>
      </c>
      <c r="F7" s="39" t="e">
        <f>'权责制经营报表-EAS 2512（审计口径）'!AE32/10000</f>
        <v>#REF!</v>
      </c>
      <c r="G7" s="39" t="e">
        <f>'权责制经营报表-EAS 2512（审计口径）'!AF32/10000</f>
        <v>#REF!</v>
      </c>
      <c r="H7" s="39" t="e">
        <f>'权责制经营报表-EAS 2512（审计口径）'!AG32/10000</f>
        <v>#REF!</v>
      </c>
      <c r="I7" s="38" t="e">
        <f>'权责制经营报表-EAS 2512（审计口径）'!AH32/10000</f>
        <v>#REF!</v>
      </c>
      <c r="J7" s="39" t="e">
        <f>'权责制经营报表-EAS 2512（审计口径）'!AI32/10000</f>
        <v>#REF!</v>
      </c>
      <c r="K7" s="38" t="e">
        <f>'权责制经营报表-EAS 2512（审计口径）'!AJ32/10000</f>
        <v>#REF!</v>
      </c>
      <c r="L7" s="38" t="e">
        <f>'权责制经营报表-EAS 2512（审计口径）'!AK32/10000</f>
        <v>#REF!</v>
      </c>
      <c r="M7" s="38">
        <f>'权责制经营报表-EAS 2512（审计口径）'!AL32/10000</f>
        <v>592.42755</v>
      </c>
      <c r="N7" s="38" t="e">
        <f>'权责制经营报表-EAS 2512（审计口径）'!AM32/10000</f>
        <v>#REF!</v>
      </c>
      <c r="O7" s="38" t="e">
        <f>'权责制经营报表-EAS 2512（审计口径）'!AN32/10000</f>
        <v>#REF!</v>
      </c>
      <c r="P7" s="38" t="e">
        <f>'权责制经营报表-EAS 2512（审计口径）'!AO32/10000</f>
        <v>#REF!</v>
      </c>
      <c r="Q7" s="38" t="e">
        <f>'权责制经营报表-EAS 2512（审计口径）'!AP32/10000</f>
        <v>#REF!</v>
      </c>
      <c r="R7" s="38" t="e">
        <f>'权责制经营报表-EAS 2512（审计口径）'!AQ32/10000</f>
        <v>#REF!</v>
      </c>
      <c r="S7" s="38" t="e">
        <f>'权责制经营报表-EAS 2512（审计口径）'!AS32/10000</f>
        <v>#REF!</v>
      </c>
      <c r="T7" s="38" t="e">
        <f>'权责制经营报表-EAS 2512（审计口径）'!AS32/10000</f>
        <v>#REF!</v>
      </c>
      <c r="U7" s="38" t="e">
        <f>'权责制经营报表-EAS 2512（审计口径）'!AT32/10000</f>
        <v>#REF!</v>
      </c>
      <c r="V7" s="38" t="e">
        <f>'权责制经营报表-EAS 2512（审计口径）'!AU32/10000</f>
        <v>#REF!</v>
      </c>
      <c r="W7" s="38" t="e">
        <f>'权责制经营报表-EAS 2512（审计口径）'!AV32/10000</f>
        <v>#REF!</v>
      </c>
      <c r="X7" s="38" t="e">
        <f>'权责制经营报表-EAS 2512（审计口径）'!AW32/10000</f>
        <v>#REF!</v>
      </c>
      <c r="Y7" s="38">
        <f>'权责制经营报表-EAS 2512（审计口径）'!AX32/10000</f>
        <v>485.283864</v>
      </c>
      <c r="Z7" s="38" t="e">
        <f>'权责制经营报表-EAS 2512（审计口径）'!AY32/10000</f>
        <v>#REF!</v>
      </c>
      <c r="AA7" s="38" t="e">
        <f>'权责制经营报表-EAS 2512（审计口径）'!AZ32/10000</f>
        <v>#REF!</v>
      </c>
      <c r="AB7" s="38" t="e">
        <f>'权责制经营报表-EAS 2512（审计口径）'!BA32/10000</f>
        <v>#REF!</v>
      </c>
      <c r="AC7" s="38">
        <f>'权责制经营报表-EAS 2512（审计口径）'!BB32/10000</f>
        <v>137.174358</v>
      </c>
      <c r="AD7" s="38" t="e">
        <f>'权责制经营报表-EAS 2512（审计口径）'!BC32/10000</f>
        <v>#REF!</v>
      </c>
      <c r="AE7" s="38" t="e">
        <f>'权责制经营报表-EAS 2512（审计口径）'!BD32/10000</f>
        <v>#REF!</v>
      </c>
      <c r="AF7" s="38" t="e">
        <f>'权责制经营报表-EAS 2512（审计口径）'!BE32/10000</f>
        <v>#REF!</v>
      </c>
      <c r="AG7" s="38" t="e">
        <f>'权责制经营报表-EAS 2512（审计口径）'!BF32/10000</f>
        <v>#REF!</v>
      </c>
      <c r="AH7" s="38" t="e">
        <f>'权责制经营报表-EAS 2512（审计口径）'!BG32/10000</f>
        <v>#REF!</v>
      </c>
      <c r="AI7" s="38">
        <f>'权责制经营报表-EAS 2512（审计口径）'!BH32/10000</f>
        <v>320.480768</v>
      </c>
      <c r="AJ7" s="38">
        <f>'权责制经营报表-EAS 2512（审计口径）'!BI32/10000</f>
        <v>352.5317</v>
      </c>
      <c r="AK7" s="38">
        <f>'权责制经营报表-EAS 2512（审计口径）'!BJ32/10000</f>
        <v>371.162024</v>
      </c>
      <c r="AL7" s="40">
        <f t="shared" si="0"/>
        <v>0.0196</v>
      </c>
      <c r="AM7" s="38">
        <f t="shared" si="1"/>
        <v>-114.12184</v>
      </c>
      <c r="AN7" s="41">
        <f t="shared" si="5"/>
        <v>-0.307471757940408</v>
      </c>
      <c r="AO7" s="53" t="s">
        <v>206</v>
      </c>
      <c r="AP7" s="43"/>
      <c r="AQ7" s="44"/>
      <c r="AR7" s="54"/>
      <c r="AS7" s="55"/>
      <c r="AT7" s="55"/>
      <c r="AU7" s="55"/>
      <c r="AV7" s="56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C7" s="51"/>
      <c r="DD7" s="51"/>
    </row>
    <row r="8" ht="14" customHeight="1" spans="1:114">
      <c r="A8" s="37" t="s">
        <v>207</v>
      </c>
      <c r="B8" s="38" t="e">
        <f>'权责制经营报表-EAS 2512（审计口径）'!AA31/10000</f>
        <v>#REF!</v>
      </c>
      <c r="C8" s="38" t="e">
        <f>'权责制经营报表-EAS 2512（审计口径）'!AB31/10000</f>
        <v>#REF!</v>
      </c>
      <c r="D8" s="38" t="e">
        <f>'权责制经营报表-EAS 2512（审计口径）'!AC31/10000</f>
        <v>#REF!</v>
      </c>
      <c r="E8" s="38" t="e">
        <f>'权责制经营报表-EAS 2512（审计口径）'!AD31/10000</f>
        <v>#REF!</v>
      </c>
      <c r="F8" s="39" t="e">
        <f>'权责制经营报表-EAS 2512（审计口径）'!AE31/10000</f>
        <v>#REF!</v>
      </c>
      <c r="G8" s="39" t="e">
        <f>'权责制经营报表-EAS 2512（审计口径）'!AF31/10000</f>
        <v>#REF!</v>
      </c>
      <c r="H8" s="39" t="e">
        <f>'权责制经营报表-EAS 2512（审计口径）'!AG31/10000</f>
        <v>#REF!</v>
      </c>
      <c r="I8" s="38" t="e">
        <f>'权责制经营报表-EAS 2512（审计口径）'!AH31/10000</f>
        <v>#REF!</v>
      </c>
      <c r="J8" s="39" t="e">
        <f>'权责制经营报表-EAS 2512（审计口径）'!AI31/10000</f>
        <v>#REF!</v>
      </c>
      <c r="K8" s="38" t="e">
        <f>'权责制经营报表-EAS 2512（审计口径）'!AJ31/10000</f>
        <v>#REF!</v>
      </c>
      <c r="L8" s="38" t="e">
        <f>'权责制经营报表-EAS 2512（审计口径）'!AK31/10000</f>
        <v>#REF!</v>
      </c>
      <c r="M8" s="38">
        <f>'权责制经营报表-EAS 2512（审计口径）'!AL31/10000</f>
        <v>143.442643</v>
      </c>
      <c r="N8" s="38" t="e">
        <f>'权责制经营报表-EAS 2512（审计口径）'!AM31/10000</f>
        <v>#REF!</v>
      </c>
      <c r="O8" s="38" t="e">
        <f>'权责制经营报表-EAS 2512（审计口径）'!AN31/10000</f>
        <v>#REF!</v>
      </c>
      <c r="P8" s="38" t="e">
        <f>'权责制经营报表-EAS 2512（审计口径）'!AO31/10000</f>
        <v>#REF!</v>
      </c>
      <c r="Q8" s="38" t="e">
        <f>'权责制经营报表-EAS 2512（审计口径）'!AP31/10000</f>
        <v>#REF!</v>
      </c>
      <c r="R8" s="38" t="e">
        <f>'权责制经营报表-EAS 2512（审计口径）'!AQ31/10000</f>
        <v>#REF!</v>
      </c>
      <c r="S8" s="38" t="e">
        <f>'权责制经营报表-EAS 2512（审计口径）'!AS31/10000</f>
        <v>#REF!</v>
      </c>
      <c r="T8" s="38" t="e">
        <f>'权责制经营报表-EAS 2512（审计口径）'!AS31/10000</f>
        <v>#REF!</v>
      </c>
      <c r="U8" s="38" t="e">
        <f>'权责制经营报表-EAS 2512（审计口径）'!AT31/10000</f>
        <v>#REF!</v>
      </c>
      <c r="V8" s="38" t="e">
        <f>'权责制经营报表-EAS 2512（审计口径）'!AU31/10000</f>
        <v>#REF!</v>
      </c>
      <c r="W8" s="38" t="e">
        <f>'权责制经营报表-EAS 2512（审计口径）'!AV31/10000</f>
        <v>#REF!</v>
      </c>
      <c r="X8" s="38" t="e">
        <f>'权责制经营报表-EAS 2512（审计口径）'!AW31/10000</f>
        <v>#REF!</v>
      </c>
      <c r="Y8" s="38">
        <f>'权责制经营报表-EAS 2512（审计口径）'!AX31/10000</f>
        <v>62.99788</v>
      </c>
      <c r="Z8" s="38" t="e">
        <f>'权责制经营报表-EAS 2512（审计口径）'!AY31/10000</f>
        <v>#REF!</v>
      </c>
      <c r="AA8" s="38" t="e">
        <f>'权责制经营报表-EAS 2512（审计口径）'!AZ31/10000</f>
        <v>#REF!</v>
      </c>
      <c r="AB8" s="38" t="e">
        <f>'权责制经营报表-EAS 2512（审计口径）'!BA31/10000</f>
        <v>#REF!</v>
      </c>
      <c r="AC8" s="38">
        <f>'权责制经营报表-EAS 2512（审计口径）'!BB31/10000</f>
        <v>23.904794</v>
      </c>
      <c r="AD8" s="38" t="e">
        <f>'权责制经营报表-EAS 2512（审计口径）'!BC31/10000</f>
        <v>#REF!</v>
      </c>
      <c r="AE8" s="38" t="e">
        <f>'权责制经营报表-EAS 2512（审计口径）'!BD31/10000</f>
        <v>#REF!</v>
      </c>
      <c r="AF8" s="38" t="e">
        <f>'权责制经营报表-EAS 2512（审计口径）'!BE31/10000</f>
        <v>#REF!</v>
      </c>
      <c r="AG8" s="38" t="e">
        <f>'权责制经营报表-EAS 2512（审计口径）'!BF31/10000</f>
        <v>#REF!</v>
      </c>
      <c r="AH8" s="38" t="e">
        <f>'权责制经营报表-EAS 2512（审计口径）'!BG31/10000</f>
        <v>#REF!</v>
      </c>
      <c r="AI8" s="38">
        <f>'权责制经营报表-EAS 2512（审计口径）'!BH31/10000</f>
        <v>50.55818</v>
      </c>
      <c r="AJ8" s="38">
        <f>'权责制经营报表-EAS 2512（审计口径）'!BI31/10000</f>
        <v>55.888842</v>
      </c>
      <c r="AK8" s="38">
        <f>'权责制经营报表-EAS 2512（审计口径）'!BJ31/10000</f>
        <v>65.088258</v>
      </c>
      <c r="AL8" s="40">
        <f t="shared" si="0"/>
        <v>0.0034</v>
      </c>
      <c r="AM8" s="38">
        <f t="shared" ref="AM2:AM14" si="21">AK8-Y8</f>
        <v>2.09037799999999</v>
      </c>
      <c r="AN8" s="41">
        <f t="shared" si="5"/>
        <v>0.0321160538664285</v>
      </c>
      <c r="AO8" s="58"/>
      <c r="AP8" s="43"/>
      <c r="AQ8" s="44"/>
      <c r="AR8" s="54"/>
      <c r="AS8" s="55"/>
      <c r="AT8" s="55"/>
      <c r="AU8" s="55"/>
      <c r="AV8" s="54"/>
      <c r="AW8" s="54"/>
      <c r="AX8" s="54"/>
      <c r="AY8" s="54"/>
      <c r="AZ8" s="54"/>
      <c r="BA8" s="55"/>
      <c r="BB8" s="55"/>
      <c r="BC8" s="55"/>
      <c r="BD8" s="55"/>
      <c r="BE8" s="55"/>
      <c r="BF8" s="55"/>
      <c r="BG8" s="55"/>
      <c r="BH8" s="55" t="e">
        <f>BH6-AV6</f>
        <v>#REF!</v>
      </c>
      <c r="BI8" s="55"/>
      <c r="BJ8" s="55"/>
      <c r="BK8" s="55"/>
      <c r="BL8" s="55"/>
      <c r="BM8" s="55"/>
      <c r="BN8" s="55"/>
      <c r="BO8" s="55"/>
      <c r="BP8" s="55"/>
      <c r="BQ8" s="55"/>
      <c r="BR8" s="55">
        <v>146191.16</v>
      </c>
      <c r="BS8" s="55"/>
      <c r="BT8" s="55"/>
      <c r="BU8" s="55"/>
      <c r="BV8" s="55"/>
      <c r="BW8" s="55"/>
      <c r="BX8" s="55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C8" s="51"/>
      <c r="DD8" s="51"/>
    </row>
    <row r="9" ht="14" customHeight="1" spans="1:114">
      <c r="A9" s="59" t="s">
        <v>208</v>
      </c>
      <c r="B9" s="60" t="e">
        <f>('权责制经营报表-EAS 2512（审计口径）'!AA33+'权责制经营报表-EAS 2512（审计口径）'!AA41)/10000</f>
        <v>#REF!</v>
      </c>
      <c r="C9" s="60" t="e">
        <f>('权责制经营报表-EAS 2512（审计口径）'!AB33+'权责制经营报表-EAS 2512（审计口径）'!AB41)/10000</f>
        <v>#REF!</v>
      </c>
      <c r="D9" s="60" t="e">
        <f>('权责制经营报表-EAS 2512（审计口径）'!AC33+'权责制经营报表-EAS 2512（审计口径）'!AC41)/10000</f>
        <v>#REF!</v>
      </c>
      <c r="E9" s="60" t="e">
        <f>('权责制经营报表-EAS 2512（审计口径）'!AD33+'权责制经营报表-EAS 2512（审计口径）'!AD41)/10000</f>
        <v>#REF!</v>
      </c>
      <c r="F9" s="61" t="e">
        <f>('权责制经营报表-EAS 2512（审计口径）'!AE33+'权责制经营报表-EAS 2512（审计口径）'!AE41)/10000</f>
        <v>#REF!</v>
      </c>
      <c r="G9" s="61" t="e">
        <f>('权责制经营报表-EAS 2512（审计口径）'!AF33+'权责制经营报表-EAS 2512（审计口径）'!AF41)/10000</f>
        <v>#REF!</v>
      </c>
      <c r="H9" s="61" t="e">
        <f>('权责制经营报表-EAS 2512（审计口径）'!AG33+'权责制经营报表-EAS 2512（审计口径）'!AG41)/10000</f>
        <v>#REF!</v>
      </c>
      <c r="I9" s="60" t="e">
        <f>('权责制经营报表-EAS 2512（审计口径）'!AH33+'权责制经营报表-EAS 2512（审计口径）'!AH41)/10000</f>
        <v>#REF!</v>
      </c>
      <c r="J9" s="61" t="e">
        <f>('权责制经营报表-EAS 2512（审计口径）'!AI33+'权责制经营报表-EAS 2512（审计口径）'!AI41)/10000</f>
        <v>#REF!</v>
      </c>
      <c r="K9" s="60" t="e">
        <f>('权责制经营报表-EAS 2512（审计口径）'!AJ33+'权责制经营报表-EAS 2512（审计口径）'!AJ41)/10000</f>
        <v>#REF!</v>
      </c>
      <c r="L9" s="60" t="e">
        <f>('权责制经营报表-EAS 2512（审计口径）'!AK33+'权责制经营报表-EAS 2512（审计口径）'!AK41)/10000</f>
        <v>#REF!</v>
      </c>
      <c r="M9" s="60">
        <f>('权责制经营报表-EAS 2512（审计口径）'!AL33+'权责制经营报表-EAS 2512（审计口径）'!AL41)/10000</f>
        <v>1744.223863</v>
      </c>
      <c r="N9" s="60" t="e">
        <f>('权责制经营报表-EAS 2512（审计口径）'!AM33+'权责制经营报表-EAS 2512（审计口径）'!AM41)/10000</f>
        <v>#REF!</v>
      </c>
      <c r="O9" s="60" t="e">
        <f>('权责制经营报表-EAS 2512（审计口径）'!AN33+'权责制经营报表-EAS 2512（审计口径）'!AN41)/10000</f>
        <v>#REF!</v>
      </c>
      <c r="P9" s="60" t="e">
        <f>('权责制经营报表-EAS 2512（审计口径）'!AO33+'权责制经营报表-EAS 2512（审计口径）'!AO41)/10000</f>
        <v>#REF!</v>
      </c>
      <c r="Q9" s="60" t="e">
        <f>('权责制经营报表-EAS 2512（审计口径）'!AP33+'权责制经营报表-EAS 2512（审计口径）'!AP41)/10000</f>
        <v>#REF!</v>
      </c>
      <c r="R9" s="60" t="e">
        <f>('权责制经营报表-EAS 2512（审计口径）'!AQ33+'权责制经营报表-EAS 2512（审计口径）'!AQ41)/10000</f>
        <v>#REF!</v>
      </c>
      <c r="S9" s="60" t="e">
        <f>('权责制经营报表-EAS 2512（审计口径）'!AS33+'权责制经营报表-EAS 2512（审计口径）'!AS41)/10000</f>
        <v>#REF!</v>
      </c>
      <c r="T9" s="60" t="e">
        <f>('权责制经营报表-EAS 2512（审计口径）'!AS33+'权责制经营报表-EAS 2512（审计口径）'!AS41)/10000</f>
        <v>#REF!</v>
      </c>
      <c r="U9" s="60" t="e">
        <f>('权责制经营报表-EAS 2512（审计口径）'!AT33+'权责制经营报表-EAS 2512（审计口径）'!AT41)/10000</f>
        <v>#REF!</v>
      </c>
      <c r="V9" s="60" t="e">
        <f>('权责制经营报表-EAS 2512（审计口径）'!AU33+'权责制经营报表-EAS 2512（审计口径）'!AU41)/10000</f>
        <v>#REF!</v>
      </c>
      <c r="W9" s="60" t="e">
        <f>('权责制经营报表-EAS 2512（审计口径）'!AV33+'权责制经营报表-EAS 2512（审计口径）'!AV41)/10000</f>
        <v>#REF!</v>
      </c>
      <c r="X9" s="60" t="e">
        <f>('权责制经营报表-EAS 2512（审计口径）'!AW33+'权责制经营报表-EAS 2512（审计口径）'!AW41)/10000</f>
        <v>#REF!</v>
      </c>
      <c r="Y9" s="60">
        <f>('权责制经营报表-EAS 2512（审计口径）'!AX33+'权责制经营报表-EAS 2512（审计口径）'!AX41)/10000</f>
        <v>1376.793201</v>
      </c>
      <c r="Z9" s="60" t="e">
        <f>('权责制经营报表-EAS 2512（审计口径）'!AY33+'权责制经营报表-EAS 2512（审计口径）'!AY41)/10000</f>
        <v>#REF!</v>
      </c>
      <c r="AA9" s="60" t="e">
        <f>('权责制经营报表-EAS 2512（审计口径）'!AZ33+'权责制经营报表-EAS 2512（审计口径）'!AZ41)/10000</f>
        <v>#REF!</v>
      </c>
      <c r="AB9" s="60" t="e">
        <f>('权责制经营报表-EAS 2512（审计口径）'!BA33+'权责制经营报表-EAS 2512（审计口径）'!BA41)/10000</f>
        <v>#REF!</v>
      </c>
      <c r="AC9" s="60">
        <f>('权责制经营报表-EAS 2512（审计口径）'!BB33+'权责制经营报表-EAS 2512（审计口径）'!BB41)/10000</f>
        <v>328.320547</v>
      </c>
      <c r="AD9" s="60" t="e">
        <f>('权责制经营报表-EAS 2512（审计口径）'!BC33+'权责制经营报表-EAS 2512（审计口径）'!BC41)/10000</f>
        <v>#REF!</v>
      </c>
      <c r="AE9" s="60" t="e">
        <f>('权责制经营报表-EAS 2512（审计口径）'!BD33+'权责制经营报表-EAS 2512（审计口径）'!BD41)/10000</f>
        <v>#REF!</v>
      </c>
      <c r="AF9" s="60" t="e">
        <f>('权责制经营报表-EAS 2512（审计口径）'!BE33+'权责制经营报表-EAS 2512（审计口径）'!BE41)/10000</f>
        <v>#REF!</v>
      </c>
      <c r="AG9" s="60" t="e">
        <f>('权责制经营报表-EAS 2512（审计口径）'!BF33+'权责制经营报表-EAS 2512（审计口径）'!BF41)/10000</f>
        <v>#REF!</v>
      </c>
      <c r="AH9" s="60" t="e">
        <f>('权责制经营报表-EAS 2512（审计口径）'!BG33+'权责制经营报表-EAS 2512（审计口径）'!BG41)/10000</f>
        <v>#REF!</v>
      </c>
      <c r="AI9" s="60">
        <f>('权责制经营报表-EAS 2512（审计口径）'!BH33+'权责制经营报表-EAS 2512（审计口径）'!BH41)/10000</f>
        <v>801.928247</v>
      </c>
      <c r="AJ9" s="60">
        <f>('权责制经营报表-EAS 2512（审计口径）'!BI33+'权责制经营报表-EAS 2512（审计口径）'!BI41)/10000</f>
        <v>874.146175</v>
      </c>
      <c r="AK9" s="60">
        <f>('权责制经营报表-EAS 2512（审计口径）'!BJ33+'权责制经营报表-EAS 2512（审计口径）'!BJ41)/10000</f>
        <v>1000.644688</v>
      </c>
      <c r="AL9" s="62">
        <f t="shared" si="0"/>
        <v>0.0527</v>
      </c>
      <c r="AM9" s="60">
        <f t="shared" si="21"/>
        <v>-376.148513</v>
      </c>
      <c r="AN9" s="63">
        <f t="shared" si="5"/>
        <v>-0.375906170802558</v>
      </c>
      <c r="AO9" s="64" t="s">
        <v>209</v>
      </c>
      <c r="AP9" s="65" t="s">
        <v>210</v>
      </c>
      <c r="AQ9" s="44"/>
      <c r="AR9" s="54"/>
      <c r="AS9" s="55"/>
      <c r="AT9" s="55"/>
      <c r="AU9" s="55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6"/>
      <c r="BQ9" s="56"/>
      <c r="BR9" s="56"/>
      <c r="BS9" s="56"/>
      <c r="BT9" s="56"/>
      <c r="BU9" s="56"/>
      <c r="BV9" s="56"/>
      <c r="BW9" s="56"/>
      <c r="BX9" s="56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C9" s="51"/>
      <c r="DD9" s="51"/>
    </row>
    <row r="10" ht="14" customHeight="1" spans="1:114">
      <c r="A10" s="59" t="s">
        <v>211</v>
      </c>
      <c r="B10" s="60" t="e">
        <f>'权责制经营报表-EAS 2512（审计口径）'!AA40/10000</f>
        <v>#REF!</v>
      </c>
      <c r="C10" s="60" t="e">
        <f>'权责制经营报表-EAS 2512（审计口径）'!AB40/10000</f>
        <v>#REF!</v>
      </c>
      <c r="D10" s="60" t="e">
        <f>'权责制经营报表-EAS 2512（审计口径）'!AC40/10000</f>
        <v>#REF!</v>
      </c>
      <c r="E10" s="60" t="e">
        <f>'权责制经营报表-EAS 2512（审计口径）'!AD40/10000</f>
        <v>#REF!</v>
      </c>
      <c r="F10" s="61" t="e">
        <f>'权责制经营报表-EAS 2512（审计口径）'!AE40/10000</f>
        <v>#REF!</v>
      </c>
      <c r="G10" s="61" t="e">
        <f>'权责制经营报表-EAS 2512（审计口径）'!AF40/10000</f>
        <v>#REF!</v>
      </c>
      <c r="H10" s="61" t="e">
        <f>'权责制经营报表-EAS 2512（审计口径）'!AG40/10000</f>
        <v>#REF!</v>
      </c>
      <c r="I10" s="60" t="e">
        <f>'权责制经营报表-EAS 2512（审计口径）'!AH40/10000</f>
        <v>#REF!</v>
      </c>
      <c r="J10" s="61" t="e">
        <f>'权责制经营报表-EAS 2512（审计口径）'!AI40/10000</f>
        <v>#REF!</v>
      </c>
      <c r="K10" s="60" t="e">
        <f>'权责制经营报表-EAS 2512（审计口径）'!AJ40/10000</f>
        <v>#REF!</v>
      </c>
      <c r="L10" s="60" t="e">
        <f>'权责制经营报表-EAS 2512（审计口径）'!AK40/10000</f>
        <v>#REF!</v>
      </c>
      <c r="M10" s="60">
        <f>'权责制经营报表-EAS 2512（审计口径）'!AL40/10000</f>
        <v>714.513502</v>
      </c>
      <c r="N10" s="60" t="e">
        <f>'权责制经营报表-EAS 2512（审计口径）'!AM40/10000</f>
        <v>#REF!</v>
      </c>
      <c r="O10" s="60" t="e">
        <f>'权责制经营报表-EAS 2512（审计口径）'!AN40/10000</f>
        <v>#REF!</v>
      </c>
      <c r="P10" s="60" t="e">
        <f>'权责制经营报表-EAS 2512（审计口径）'!AO40/10000</f>
        <v>#REF!</v>
      </c>
      <c r="Q10" s="60">
        <f>'权责制经营报表-EAS 2512（审计口径）'!AP40/10000</f>
        <v>231.91666</v>
      </c>
      <c r="R10" s="60" t="e">
        <f>'权责制经营报表-EAS 2512（审计口径）'!AQ40/10000</f>
        <v>#REF!</v>
      </c>
      <c r="S10" s="60" t="e">
        <f>'权责制经营报表-EAS 2512（审计口径）'!AS40/10000</f>
        <v>#REF!</v>
      </c>
      <c r="T10" s="60" t="e">
        <f>'权责制经营报表-EAS 2512（审计口径）'!AS40/10000</f>
        <v>#REF!</v>
      </c>
      <c r="U10" s="60" t="e">
        <f>'权责制经营报表-EAS 2512（审计口径）'!AT40/10000</f>
        <v>#REF!</v>
      </c>
      <c r="V10" s="60" t="e">
        <f>'权责制经营报表-EAS 2512（审计口径）'!AU40/10000</f>
        <v>#REF!</v>
      </c>
      <c r="W10" s="60" t="e">
        <f>'权责制经营报表-EAS 2512（审计口径）'!AV40/10000</f>
        <v>#REF!</v>
      </c>
      <c r="X10" s="60" t="e">
        <f>'权责制经营报表-EAS 2512（审计口径）'!AW40/10000</f>
        <v>#REF!</v>
      </c>
      <c r="Y10" s="60">
        <f>'权责制经营报表-EAS 2512（审计口径）'!AX40/10000</f>
        <v>639.290735000002</v>
      </c>
      <c r="Z10" s="60" t="e">
        <f>'权责制经营报表-EAS 2512（审计口径）'!AY40/10000</f>
        <v>#REF!</v>
      </c>
      <c r="AA10" s="60" t="e">
        <f>'权责制经营报表-EAS 2512（审计口径）'!AZ40/10000</f>
        <v>#REF!</v>
      </c>
      <c r="AB10" s="60" t="e">
        <f>'权责制经营报表-EAS 2512（审计口径）'!BA40/10000</f>
        <v>#REF!</v>
      </c>
      <c r="AC10" s="60">
        <f>'权责制经营报表-EAS 2512（审计口径）'!BB40/10000</f>
        <v>150.189329</v>
      </c>
      <c r="AD10" s="60" t="e">
        <f>'权责制经营报表-EAS 2512（审计口径）'!BC40/10000</f>
        <v>#REF!</v>
      </c>
      <c r="AE10" s="60" t="e">
        <f>'权责制经营报表-EAS 2512（审计口径）'!BD40/10000</f>
        <v>#REF!</v>
      </c>
      <c r="AF10" s="60" t="e">
        <f>'权责制经营报表-EAS 2512（审计口径）'!BE40/10000</f>
        <v>#REF!</v>
      </c>
      <c r="AG10" s="60" t="e">
        <f>'权责制经营报表-EAS 2512（审计口径）'!BF40/10000</f>
        <v>#REF!</v>
      </c>
      <c r="AH10" s="60" t="e">
        <f>'权责制经营报表-EAS 2512（审计口径）'!BG40/10000</f>
        <v>#REF!</v>
      </c>
      <c r="AI10" s="60">
        <f>'权责制经营报表-EAS 2512（审计口径）'!BH40/10000</f>
        <v>422.484109</v>
      </c>
      <c r="AJ10" s="60">
        <f>'权责制经营报表-EAS 2512（审计口径）'!BI40/10000</f>
        <v>452.712944</v>
      </c>
      <c r="AK10" s="60">
        <f>'权责制经营报表-EAS 2512（审计口径）'!BJ40/10000</f>
        <v>479.863478</v>
      </c>
      <c r="AL10" s="62">
        <f t="shared" si="0"/>
        <v>0.0253</v>
      </c>
      <c r="AM10" s="60">
        <f t="shared" si="21"/>
        <v>-159.427257000002</v>
      </c>
      <c r="AN10" s="63">
        <f t="shared" si="5"/>
        <v>-0.332234613195551</v>
      </c>
      <c r="AO10" s="64"/>
      <c r="AP10" s="65"/>
      <c r="AQ10" s="44"/>
      <c r="AR10" s="54"/>
      <c r="AS10" s="55"/>
      <c r="AT10" s="55"/>
      <c r="AU10" s="55"/>
      <c r="AV10" s="5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56"/>
      <c r="BQ10" s="56"/>
      <c r="BR10" s="56"/>
      <c r="BS10" s="56"/>
      <c r="BT10" s="56"/>
      <c r="BU10" s="56"/>
      <c r="BV10" s="56"/>
      <c r="BW10" s="56"/>
      <c r="BX10" s="56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C10" s="51"/>
      <c r="DD10" s="51"/>
    </row>
    <row r="11" ht="14" customHeight="1" spans="1:114">
      <c r="A11" s="59" t="s">
        <v>212</v>
      </c>
      <c r="B11" s="60" t="e">
        <f>('权责制经营报表-EAS 2512（审计口径）'!AA43+'权责制经营报表-EAS 2512（审计口径）'!AA44)/10000</f>
        <v>#REF!</v>
      </c>
      <c r="C11" s="60" t="e">
        <f>('权责制经营报表-EAS 2512（审计口径）'!AB43+'权责制经营报表-EAS 2512（审计口径）'!AB44)/10000</f>
        <v>#REF!</v>
      </c>
      <c r="D11" s="60" t="e">
        <f>('权责制经营报表-EAS 2512（审计口径）'!AC43+'权责制经营报表-EAS 2512（审计口径）'!AC44)/10000</f>
        <v>#REF!</v>
      </c>
      <c r="E11" s="60" t="e">
        <f>('权责制经营报表-EAS 2512（审计口径）'!AD43+'权责制经营报表-EAS 2512（审计口径）'!AD44)/10000</f>
        <v>#REF!</v>
      </c>
      <c r="F11" s="61" t="e">
        <f>('权责制经营报表-EAS 2512（审计口径）'!AE43+'权责制经营报表-EAS 2512（审计口径）'!AE44)/10000</f>
        <v>#REF!</v>
      </c>
      <c r="G11" s="61" t="e">
        <f>('权责制经营报表-EAS 2512（审计口径）'!AF43+'权责制经营报表-EAS 2512（审计口径）'!AF44)/10000</f>
        <v>#REF!</v>
      </c>
      <c r="H11" s="61" t="e">
        <f>('权责制经营报表-EAS 2512（审计口径）'!AG43+'权责制经营报表-EAS 2512（审计口径）'!AG44)/10000</f>
        <v>#REF!</v>
      </c>
      <c r="I11" s="60" t="e">
        <f>('权责制经营报表-EAS 2512（审计口径）'!AH43+'权责制经营报表-EAS 2512（审计口径）'!AH44)/10000</f>
        <v>#REF!</v>
      </c>
      <c r="J11" s="61" t="e">
        <f>('权责制经营报表-EAS 2512（审计口径）'!AI43+'权责制经营报表-EAS 2512（审计口径）'!AI44)/10000</f>
        <v>#REF!</v>
      </c>
      <c r="K11" s="60" t="e">
        <f>('权责制经营报表-EAS 2512（审计口径）'!AJ43+'权责制经营报表-EAS 2512（审计口径）'!AJ44)/10000</f>
        <v>#REF!</v>
      </c>
      <c r="L11" s="60" t="e">
        <f>('权责制经营报表-EAS 2512（审计口径）'!AK43+'权责制经营报表-EAS 2512（审计口径）'!AK44)/10000</f>
        <v>#REF!</v>
      </c>
      <c r="M11" s="60">
        <f>('权责制经营报表-EAS 2512（审计口径）'!AL43+'权责制经营报表-EAS 2512（审计口径）'!AL44)/10000</f>
        <v>740.359933</v>
      </c>
      <c r="N11" s="60" t="e">
        <f>('权责制经营报表-EAS 2512（审计口径）'!AM43+'权责制经营报表-EAS 2512（审计口径）'!AM44)/10000</f>
        <v>#REF!</v>
      </c>
      <c r="O11" s="60" t="e">
        <f>('权责制经营报表-EAS 2512（审计口径）'!AN43+'权责制经营报表-EAS 2512（审计口径）'!AN44)/10000</f>
        <v>#REF!</v>
      </c>
      <c r="P11" s="60" t="e">
        <f>('权责制经营报表-EAS 2512（审计口径）'!AO43+'权责制经营报表-EAS 2512（审计口径）'!AO44)/10000</f>
        <v>#REF!</v>
      </c>
      <c r="Q11" s="60" t="e">
        <f>('权责制经营报表-EAS 2512（审计口径）'!AP43+'权责制经营报表-EAS 2512（审计口径）'!AP44)/10000</f>
        <v>#REF!</v>
      </c>
      <c r="R11" s="60" t="e">
        <f>('权责制经营报表-EAS 2512（审计口径）'!AQ43+'权责制经营报表-EAS 2512（审计口径）'!AQ44)/10000</f>
        <v>#REF!</v>
      </c>
      <c r="S11" s="60" t="e">
        <f>('权责制经营报表-EAS 2512（审计口径）'!AS43+'权责制经营报表-EAS 2512（审计口径）'!AS44)/10000</f>
        <v>#REF!</v>
      </c>
      <c r="T11" s="60" t="e">
        <f>('权责制经营报表-EAS 2512（审计口径）'!AS43+'权责制经营报表-EAS 2512（审计口径）'!AS44)/10000</f>
        <v>#REF!</v>
      </c>
      <c r="U11" s="60" t="e">
        <f>('权责制经营报表-EAS 2512（审计口径）'!AT43+'权责制经营报表-EAS 2512（审计口径）'!AT44)/10000</f>
        <v>#REF!</v>
      </c>
      <c r="V11" s="60" t="e">
        <f>('权责制经营报表-EAS 2512（审计口径）'!AU43+'权责制经营报表-EAS 2512（审计口径）'!AU44)/10000</f>
        <v>#REF!</v>
      </c>
      <c r="W11" s="60" t="e">
        <f>('权责制经营报表-EAS 2512（审计口径）'!AV43+'权责制经营报表-EAS 2512（审计口径）'!AV44)/10000</f>
        <v>#REF!</v>
      </c>
      <c r="X11" s="60" t="e">
        <f>('权责制经营报表-EAS 2512（审计口径）'!AW43+'权责制经营报表-EAS 2512（审计口径）'!AW44)/10000</f>
        <v>#REF!</v>
      </c>
      <c r="Y11" s="60">
        <f>('权责制经营报表-EAS 2512（审计口径）'!AX43+'权责制经营报表-EAS 2512（审计口径）'!AX44)/10000</f>
        <v>861.353393</v>
      </c>
      <c r="Z11" s="60" t="e">
        <f>('权责制经营报表-EAS 2512（审计口径）'!AY43+'权责制经营报表-EAS 2512（审计口径）'!AY44)/10000</f>
        <v>#REF!</v>
      </c>
      <c r="AA11" s="60" t="e">
        <f>('权责制经营报表-EAS 2512（审计口径）'!AZ43+'权责制经营报表-EAS 2512（审计口径）'!AZ44)/10000</f>
        <v>#REF!</v>
      </c>
      <c r="AB11" s="60" t="e">
        <f>('权责制经营报表-EAS 2512（审计口径）'!BA43+'权责制经营报表-EAS 2512（审计口径）'!BA44)/10000</f>
        <v>#REF!</v>
      </c>
      <c r="AC11" s="60">
        <f>('权责制经营报表-EAS 2512（审计口径）'!BB43+'权责制经营报表-EAS 2512（审计口径）'!BB44)/10000</f>
        <v>285.915027</v>
      </c>
      <c r="AD11" s="60" t="e">
        <f>('权责制经营报表-EAS 2512（审计口径）'!BC43+'权责制经营报表-EAS 2512（审计口径）'!BC44)/10000</f>
        <v>#REF!</v>
      </c>
      <c r="AE11" s="60" t="e">
        <f>('权责制经营报表-EAS 2512（审计口径）'!BD43+'权责制经营报表-EAS 2512（审计口径）'!BD44)/10000</f>
        <v>#REF!</v>
      </c>
      <c r="AF11" s="60" t="e">
        <f>('权责制经营报表-EAS 2512（审计口径）'!BE43+'权责制经营报表-EAS 2512（审计口径）'!BE44)/10000</f>
        <v>#REF!</v>
      </c>
      <c r="AG11" s="60" t="e">
        <f>('权责制经营报表-EAS 2512（审计口径）'!BF43+'权责制经营报表-EAS 2512（审计口径）'!BF44)/10000</f>
        <v>#REF!</v>
      </c>
      <c r="AH11" s="60" t="e">
        <f>('权责制经营报表-EAS 2512（审计口径）'!BG43+'权责制经营报表-EAS 2512（审计口径）'!BG44)/10000</f>
        <v>#REF!</v>
      </c>
      <c r="AI11" s="60">
        <f>('权责制经营报表-EAS 2512（审计口径）'!BH43+'权责制经营报表-EAS 2512（审计口径）'!BH44)/10000</f>
        <v>720.653876</v>
      </c>
      <c r="AJ11" s="60">
        <f>('权责制经营报表-EAS 2512（审计口径）'!BI43+'权责制经营报表-EAS 2512（审计口径）'!BI44)/10000</f>
        <v>789.093096</v>
      </c>
      <c r="AK11" s="60">
        <f>('权责制经营报表-EAS 2512（审计口径）'!BJ43+'权责制经营报表-EAS 2512（审计口径）'!BJ44)/10000</f>
        <v>840.460166</v>
      </c>
      <c r="AL11" s="62">
        <f t="shared" si="0"/>
        <v>0.0443</v>
      </c>
      <c r="AM11" s="60">
        <f t="shared" si="21"/>
        <v>-20.893227</v>
      </c>
      <c r="AN11" s="63">
        <f t="shared" si="5"/>
        <v>-0.0248592709627597</v>
      </c>
      <c r="AO11" s="64"/>
      <c r="AP11" s="67"/>
      <c r="AQ11" s="44"/>
      <c r="AV11" s="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4"/>
      <c r="BQ11" s="4"/>
      <c r="BR11" s="4"/>
      <c r="BS11" s="4"/>
      <c r="BT11" s="4"/>
      <c r="BU11" s="4"/>
      <c r="BV11" s="4"/>
      <c r="BW11" s="4"/>
      <c r="BX11" s="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</row>
    <row r="12" ht="14" customHeight="1" spans="1:114">
      <c r="A12" s="59" t="s">
        <v>213</v>
      </c>
      <c r="B12" s="60" t="e">
        <f>'权责制经营报表-EAS 2512（审计口径）'!AA36/10000</f>
        <v>#REF!</v>
      </c>
      <c r="C12" s="60" t="e">
        <f>'权责制经营报表-EAS 2512（审计口径）'!AB36/10000</f>
        <v>#REF!</v>
      </c>
      <c r="D12" s="60" t="e">
        <f>'权责制经营报表-EAS 2512（审计口径）'!AC36/10000</f>
        <v>#REF!</v>
      </c>
      <c r="E12" s="60" t="e">
        <f>'权责制经营报表-EAS 2512（审计口径）'!AD36/10000</f>
        <v>#REF!</v>
      </c>
      <c r="F12" s="61" t="e">
        <f>'权责制经营报表-EAS 2512（审计口径）'!AE36/10000</f>
        <v>#REF!</v>
      </c>
      <c r="G12" s="61" t="e">
        <f>'权责制经营报表-EAS 2512（审计口径）'!AF36/10000</f>
        <v>#REF!</v>
      </c>
      <c r="H12" s="61" t="e">
        <f>'权责制经营报表-EAS 2512（审计口径）'!AG36/10000</f>
        <v>#REF!</v>
      </c>
      <c r="I12" s="60" t="e">
        <f>'权责制经营报表-EAS 2512（审计口径）'!AH36/10000</f>
        <v>#REF!</v>
      </c>
      <c r="J12" s="61" t="e">
        <f>'权责制经营报表-EAS 2512（审计口径）'!AI36/10000</f>
        <v>#REF!</v>
      </c>
      <c r="K12" s="60" t="e">
        <f>'权责制经营报表-EAS 2512（审计口径）'!AJ36/10000</f>
        <v>#REF!</v>
      </c>
      <c r="L12" s="60" t="e">
        <f>'权责制经营报表-EAS 2512（审计口径）'!AK36/10000</f>
        <v>#REF!</v>
      </c>
      <c r="M12" s="60">
        <f>'权责制经营报表-EAS 2512（审计口径）'!AL36/10000</f>
        <v>116.652078</v>
      </c>
      <c r="N12" s="60" t="e">
        <f>'权责制经营报表-EAS 2512（审计口径）'!AM36/10000</f>
        <v>#REF!</v>
      </c>
      <c r="O12" s="60" t="e">
        <f>'权责制经营报表-EAS 2512（审计口径）'!AN36/10000</f>
        <v>#REF!</v>
      </c>
      <c r="P12" s="60" t="e">
        <f>'权责制经营报表-EAS 2512（审计口径）'!AO36/10000</f>
        <v>#REF!</v>
      </c>
      <c r="Q12" s="60" t="e">
        <f>'权责制经营报表-EAS 2512（审计口径）'!AP36/10000</f>
        <v>#REF!</v>
      </c>
      <c r="R12" s="60" t="e">
        <f>'权责制经营报表-EAS 2512（审计口径）'!AQ36/10000</f>
        <v>#REF!</v>
      </c>
      <c r="S12" s="60" t="e">
        <f>'权责制经营报表-EAS 2512（审计口径）'!AS36/10000</f>
        <v>#REF!</v>
      </c>
      <c r="T12" s="60" t="e">
        <f>'权责制经营报表-EAS 2512（审计口径）'!AS36/10000</f>
        <v>#REF!</v>
      </c>
      <c r="U12" s="60" t="e">
        <f>'权责制经营报表-EAS 2512（审计口径）'!AT36/10000</f>
        <v>#REF!</v>
      </c>
      <c r="V12" s="60" t="e">
        <f>'权责制经营报表-EAS 2512（审计口径）'!AU36/10000</f>
        <v>#REF!</v>
      </c>
      <c r="W12" s="60" t="e">
        <f>'权责制经营报表-EAS 2512（审计口径）'!AV36/10000</f>
        <v>#REF!</v>
      </c>
      <c r="X12" s="60" t="e">
        <f>'权责制经营报表-EAS 2512（审计口径）'!AW36/10000</f>
        <v>#REF!</v>
      </c>
      <c r="Y12" s="60">
        <f>'权责制经营报表-EAS 2512（审计口径）'!AX36/10000</f>
        <v>146.082937</v>
      </c>
      <c r="Z12" s="60" t="e">
        <f>'权责制经营报表-EAS 2512（审计口径）'!AY36/10000</f>
        <v>#REF!</v>
      </c>
      <c r="AA12" s="60" t="e">
        <f>'权责制经营报表-EAS 2512（审计口径）'!AZ36/10000</f>
        <v>#REF!</v>
      </c>
      <c r="AB12" s="60" t="e">
        <f>'权责制经营报表-EAS 2512（审计口径）'!BA36/10000</f>
        <v>#REF!</v>
      </c>
      <c r="AC12" s="60" t="e">
        <f>'权责制经营报表-EAS 2512（审计口径）'!BB36/10000</f>
        <v>#REF!</v>
      </c>
      <c r="AD12" s="60" t="e">
        <f>'权责制经营报表-EAS 2512（审计口径）'!BC36/10000</f>
        <v>#REF!</v>
      </c>
      <c r="AE12" s="60" t="e">
        <f>'权责制经营报表-EAS 2512（审计口径）'!BD36/10000</f>
        <v>#REF!</v>
      </c>
      <c r="AF12" s="60" t="e">
        <f>'权责制经营报表-EAS 2512（审计口径）'!BE36/10000</f>
        <v>#REF!</v>
      </c>
      <c r="AG12" s="60" t="e">
        <f>'权责制经营报表-EAS 2512（审计口径）'!BF36/10000</f>
        <v>#REF!</v>
      </c>
      <c r="AH12" s="60" t="e">
        <f>'权责制经营报表-EAS 2512（审计口径）'!BG36/10000</f>
        <v>#REF!</v>
      </c>
      <c r="AI12" s="60">
        <f>'权责制经营报表-EAS 2512（审计口径）'!BH36/10000</f>
        <v>-163.098824</v>
      </c>
      <c r="AJ12" s="60">
        <f>'权责制经营报表-EAS 2512（审计口径）'!BI36/10000</f>
        <v>-174.573416</v>
      </c>
      <c r="AK12" s="60">
        <f>'权责制经营报表-EAS 2512（审计口径）'!BJ36/10000</f>
        <v>-422.801249</v>
      </c>
      <c r="AL12" s="62">
        <f t="shared" si="0"/>
        <v>-0.0223</v>
      </c>
      <c r="AM12" s="60">
        <f t="shared" si="21"/>
        <v>-568.884186</v>
      </c>
      <c r="AN12" s="63">
        <f t="shared" si="5"/>
        <v>1.34551207534394</v>
      </c>
      <c r="AO12" s="64" t="s">
        <v>214</v>
      </c>
      <c r="AP12" s="67"/>
      <c r="AQ12" s="44"/>
      <c r="AV12" s="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B12" s="5" t="s">
        <v>215</v>
      </c>
      <c r="DC12" s="2" t="s">
        <v>216</v>
      </c>
    </row>
    <row r="13" ht="14" customHeight="1" spans="1:114">
      <c r="A13" s="68" t="s">
        <v>217</v>
      </c>
      <c r="B13" s="69" t="e">
        <f>('权责制经营报表-EAS 2512（审计口径）'!AA34+'权责制经营报表-EAS 2512（审计口径）'!AA42)/10000-B28/10000-B29/10000</f>
        <v>#REF!</v>
      </c>
      <c r="C13" s="69" t="e">
        <f>('权责制经营报表-EAS 2512（审计口径）'!AB34+'权责制经营报表-EAS 2512（审计口径）'!AB42)/10000-C28/10000-C29/10000</f>
        <v>#REF!</v>
      </c>
      <c r="D13" s="70" t="e">
        <f>('权责制经营报表-EAS 2512（审计口径）'!AC34+'权责制经营报表-EAS 2512（审计口径）'!AC42)/10000-D28/10000-D29/10000</f>
        <v>#REF!</v>
      </c>
      <c r="E13" s="71" t="e">
        <f>('权责制经营报表-EAS 2512（审计口径）'!AD34+'权责制经营报表-EAS 2512（审计口径）'!AD42)/10000-E28/10000-E29/10000</f>
        <v>#REF!</v>
      </c>
      <c r="F13" s="72" t="e">
        <f>('权责制经营报表-EAS 2512（审计口径）'!AE34+'权责制经营报表-EAS 2512（审计口径）'!AE42)/10000-F28/10000-F29/10000</f>
        <v>#REF!</v>
      </c>
      <c r="G13" s="73" t="e">
        <f>('权责制经营报表-EAS 2512（审计口径）'!AF34+'权责制经营报表-EAS 2512（审计口径）'!AF42)/10000-G28/10000-G29/10000</f>
        <v>#REF!</v>
      </c>
      <c r="H13" s="73" t="e">
        <f>('权责制经营报表-EAS 2512（审计口径）'!AG34+'权责制经营报表-EAS 2512（审计口径）'!AG42)/10000-H28/10000-H29/10000</f>
        <v>#REF!</v>
      </c>
      <c r="I13" s="69" t="e">
        <f>('权责制经营报表-EAS 2512（审计口径）'!AH34+'权责制经营报表-EAS 2512（审计口径）'!AH42)/10000-I28/10000-I29/10000</f>
        <v>#REF!</v>
      </c>
      <c r="J13" s="73" t="e">
        <f>('权责制经营报表-EAS 2512（审计口径）'!AI34+'权责制经营报表-EAS 2512（审计口径）'!AI42)/10000-J28/10000-J29/10000</f>
        <v>#REF!</v>
      </c>
      <c r="K13" s="70" t="e">
        <f>('权责制经营报表-EAS 2512（审计口径）'!AJ34+'权责制经营报表-EAS 2512（审计口径）'!AJ42)/10000-K28/10000-K29/10000</f>
        <v>#REF!</v>
      </c>
      <c r="L13" s="71" t="e">
        <f>('权责制经营报表-EAS 2512（审计口径）'!AK34+'权责制经营报表-EAS 2512（审计口径）'!AK42)/10000-L28/10000-L29/10000</f>
        <v>#REF!</v>
      </c>
      <c r="M13" s="74">
        <f>('权责制经营报表-EAS 2512（审计口径）'!AL34+'权责制经营报表-EAS 2512（审计口径）'!AL42)/10000-M28/10000-M29/10000</f>
        <v>1062.996559</v>
      </c>
      <c r="N13" s="69" t="e">
        <f>('权责制经营报表-EAS 2512（审计口径）'!AM34+'权责制经营报表-EAS 2512（审计口径）'!AM42)/10000-N28/10000</f>
        <v>#REF!</v>
      </c>
      <c r="O13" s="69" t="e">
        <f>('权责制经营报表-EAS 2512（审计口径）'!AN34+'权责制经营报表-EAS 2512（审计口径）'!AN42)/10000-O28/10000</f>
        <v>#REF!</v>
      </c>
      <c r="P13" s="70" t="e">
        <f>('权责制经营报表-EAS 2512（审计口径）'!AO34+'权责制经营报表-EAS 2512（审计口径）'!AO42)/10000-P28/10000</f>
        <v>#REF!</v>
      </c>
      <c r="Q13" s="71" t="e">
        <f>('权责制经营报表-EAS 2512（审计口径）'!AP34+'权责制经营报表-EAS 2512（审计口径）'!AP42)/10000-Q28/10000</f>
        <v>#REF!</v>
      </c>
      <c r="R13" s="71" t="e">
        <f>('权责制经营报表-EAS 2512（审计口径）'!AQ34+'权责制经营报表-EAS 2512（审计口径）'!AQ42)/10000-R28/10000</f>
        <v>#REF!</v>
      </c>
      <c r="S13" s="71" t="e">
        <f>('权责制经营报表-EAS 2512（审计口径）'!AS34+'权责制经营报表-EAS 2512（审计口径）'!AS42)/10000-S28/10000</f>
        <v>#REF!</v>
      </c>
      <c r="T13" s="71" t="e">
        <f>('权责制经营报表-EAS 2512（审计口径）'!AS34+'权责制经营报表-EAS 2512（审计口径）'!AS42)/10000-U28/10000</f>
        <v>#REF!</v>
      </c>
      <c r="U13" s="71" t="e">
        <f>('权责制经营报表-EAS 2512（审计口径）'!AT34+'权责制经营报表-EAS 2512（审计口径）'!AT42)/10000-U28/10000</f>
        <v>#REF!</v>
      </c>
      <c r="V13" s="71" t="e">
        <f>('权责制经营报表-EAS 2512（审计口径）'!AU34+'权责制经营报表-EAS 2512（审计口径）'!AU42)/10000-V28/10000</f>
        <v>#REF!</v>
      </c>
      <c r="W13" s="71" t="e">
        <f>('权责制经营报表-EAS 2512（审计口径）'!AV34+'权责制经营报表-EAS 2512（审计口径）'!AV42)/10000-W28/10000</f>
        <v>#REF!</v>
      </c>
      <c r="X13" s="71" t="e">
        <f>('权责制经营报表-EAS 2512（审计口径）'!AW34+'权责制经营报表-EAS 2512（审计口径）'!AW42)/10000-X28/10000</f>
        <v>#REF!</v>
      </c>
      <c r="Y13" s="71">
        <f>('权责制经营报表-EAS 2512（审计口径）'!AX34+'权责制经营报表-EAS 2512（审计口径）'!AX42)/10000-Y28/10000</f>
        <v>845.794088</v>
      </c>
      <c r="Z13" s="71" t="e">
        <f>('权责制经营报表-EAS 2512（审计口径）'!AY34+'权责制经营报表-EAS 2512（审计口径）'!AY42)/10000-Z28/10000</f>
        <v>#REF!</v>
      </c>
      <c r="AA13" s="71" t="e">
        <f>('权责制经营报表-EAS 2512（审计口径）'!AZ34+'权责制经营报表-EAS 2512（审计口径）'!AZ42)/10000-AA28/10000</f>
        <v>#REF!</v>
      </c>
      <c r="AB13" s="71" t="e">
        <f>('权责制经营报表-EAS 2512（审计口径）'!BA34+'权责制经营报表-EAS 2512（审计口径）'!BA42)/10000-AB28/10000</f>
        <v>#REF!</v>
      </c>
      <c r="AC13" s="71">
        <f>('权责制经营报表-EAS 2512（审计口径）'!BB34+'权责制经营报表-EAS 2512（审计口径）'!BB42)/10000-AC28/10000</f>
        <v>196.802678</v>
      </c>
      <c r="AD13" s="71" t="e">
        <f>('权责制经营报表-EAS 2512（审计口径）'!BC34+'权责制经营报表-EAS 2512（审计口径）'!BC42)/10000-AD28/10000</f>
        <v>#REF!</v>
      </c>
      <c r="AE13" s="71" t="e">
        <f>('权责制经营报表-EAS 2512（审计口径）'!BD34+'权责制经营报表-EAS 2512（审计口径）'!BD42)/10000-AE28/10000</f>
        <v>#REF!</v>
      </c>
      <c r="AF13" s="71" t="e">
        <f>('权责制经营报表-EAS 2512（审计口径）'!BE34+'权责制经营报表-EAS 2512（审计口径）'!BE42)/10000-AF28/10000</f>
        <v>#REF!</v>
      </c>
      <c r="AG13" s="71" t="e">
        <f>('权责制经营报表-EAS 2512（审计口径）'!BF34+'权责制经营报表-EAS 2512（审计口径）'!BF42)/10000-AG28/10000</f>
        <v>#REF!</v>
      </c>
      <c r="AH13" s="71" t="e">
        <f>('权责制经营报表-EAS 2512（审计口径）'!BG34+'权责制经营报表-EAS 2512（审计口径）'!BG42)/10000-AH28/10000</f>
        <v>#REF!</v>
      </c>
      <c r="AI13" s="71">
        <f>('权责制经营报表-EAS 2512（审计口径）'!BH34+'权责制经营报表-EAS 2512（审计口径）'!BH42)/10000-AI28/10000</f>
        <v>491.463896</v>
      </c>
      <c r="AJ13" s="71">
        <f>('权责制经营报表-EAS 2512（审计口径）'!BI34+'权责制经营报表-EAS 2512（审计口径）'!BI42)/10000-AJ28/10000</f>
        <v>558.595506</v>
      </c>
      <c r="AK13" s="71">
        <f>('权责制经营报表-EAS 2512（审计口径）'!BJ34+'权责制经营报表-EAS 2512（审计口径）'!BJ42)/10000-AK28/10000</f>
        <v>1136.643423</v>
      </c>
      <c r="AL13" s="26">
        <f t="shared" si="0"/>
        <v>0.0599</v>
      </c>
      <c r="AM13" s="27">
        <f t="shared" si="21"/>
        <v>290.849335</v>
      </c>
      <c r="AN13" s="28">
        <f t="shared" si="5"/>
        <v>0.255884412925513</v>
      </c>
      <c r="AO13" s="75" t="s">
        <v>218</v>
      </c>
      <c r="AP13" s="29" t="s">
        <v>219</v>
      </c>
      <c r="AQ13" s="44"/>
      <c r="AV13" s="76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4"/>
      <c r="BQ13" s="4"/>
      <c r="BR13" s="4"/>
      <c r="BS13" s="4"/>
      <c r="BT13" s="4"/>
      <c r="BU13" s="4"/>
      <c r="BV13" s="4"/>
      <c r="BW13" s="4"/>
      <c r="BX13" s="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C13" s="51"/>
      <c r="DD13" s="51"/>
    </row>
    <row r="14" ht="14" customHeight="1" spans="1:114">
      <c r="A14" s="77" t="s">
        <v>204</v>
      </c>
      <c r="B14" s="78" t="e">
        <f t="shared" ref="B14:AL14" si="22">SUM(B2:B13)</f>
        <v>#REF!</v>
      </c>
      <c r="C14" s="78" t="e">
        <f t="shared" si="22"/>
        <v>#REF!</v>
      </c>
      <c r="D14" s="78" t="e">
        <f t="shared" si="22"/>
        <v>#REF!</v>
      </c>
      <c r="E14" s="78" t="e">
        <f t="shared" si="22"/>
        <v>#REF!</v>
      </c>
      <c r="F14" s="78" t="e">
        <f t="shared" si="22"/>
        <v>#REF!</v>
      </c>
      <c r="G14" s="78" t="e">
        <f t="shared" si="22"/>
        <v>#REF!</v>
      </c>
      <c r="H14" s="78" t="e">
        <f t="shared" si="22"/>
        <v>#REF!</v>
      </c>
      <c r="I14" s="78" t="e">
        <f t="shared" si="22"/>
        <v>#REF!</v>
      </c>
      <c r="J14" s="78" t="e">
        <f t="shared" si="22"/>
        <v>#REF!</v>
      </c>
      <c r="K14" s="78" t="e">
        <f t="shared" si="22"/>
        <v>#REF!</v>
      </c>
      <c r="L14" s="78" t="e">
        <f t="shared" si="22"/>
        <v>#REF!</v>
      </c>
      <c r="M14" s="78">
        <f t="shared" si="22"/>
        <v>34271.783271</v>
      </c>
      <c r="N14" s="78" t="e">
        <f t="shared" si="22"/>
        <v>#REF!</v>
      </c>
      <c r="O14" s="78" t="e">
        <f t="shared" si="22"/>
        <v>#REF!</v>
      </c>
      <c r="P14" s="78" t="e">
        <f t="shared" si="22"/>
        <v>#REF!</v>
      </c>
      <c r="Q14" s="78" t="e">
        <f t="shared" si="22"/>
        <v>#REF!</v>
      </c>
      <c r="R14" s="78" t="e">
        <f t="shared" si="22"/>
        <v>#REF!</v>
      </c>
      <c r="S14" s="78" t="e">
        <f t="shared" si="22"/>
        <v>#REF!</v>
      </c>
      <c r="T14" s="78" t="e">
        <f>SUM(U2:U13)</f>
        <v>#REF!</v>
      </c>
      <c r="U14" s="78" t="e">
        <f t="shared" si="22"/>
        <v>#REF!</v>
      </c>
      <c r="V14" s="78" t="e">
        <f t="shared" si="22"/>
        <v>#REF!</v>
      </c>
      <c r="W14" s="78" t="e">
        <f t="shared" si="22"/>
        <v>#REF!</v>
      </c>
      <c r="X14" s="78" t="e">
        <f t="shared" si="22"/>
        <v>#REF!</v>
      </c>
      <c r="Y14" s="78">
        <f t="shared" si="22"/>
        <v>24524.948742</v>
      </c>
      <c r="Z14" s="78" t="e">
        <f t="shared" si="22"/>
        <v>#REF!</v>
      </c>
      <c r="AA14" s="78" t="e">
        <f t="shared" si="22"/>
        <v>#REF!</v>
      </c>
      <c r="AB14" s="78" t="e">
        <f t="shared" si="22"/>
        <v>#REF!</v>
      </c>
      <c r="AC14" s="78" t="e">
        <f t="shared" si="22"/>
        <v>#REF!</v>
      </c>
      <c r="AD14" s="78" t="e">
        <f t="shared" si="22"/>
        <v>#REF!</v>
      </c>
      <c r="AE14" s="78" t="e">
        <f t="shared" si="22"/>
        <v>#REF!</v>
      </c>
      <c r="AF14" s="78" t="e">
        <f t="shared" si="22"/>
        <v>#REF!</v>
      </c>
      <c r="AG14" s="78" t="e">
        <f t="shared" si="22"/>
        <v>#REF!</v>
      </c>
      <c r="AH14" s="78" t="e">
        <f t="shared" si="22"/>
        <v>#REF!</v>
      </c>
      <c r="AI14" s="78">
        <f t="shared" si="22"/>
        <v>14083.430565</v>
      </c>
      <c r="AJ14" s="78">
        <f t="shared" si="22"/>
        <v>15540.005973</v>
      </c>
      <c r="AK14" s="78">
        <f t="shared" si="22"/>
        <v>18971.732889</v>
      </c>
      <c r="AL14" s="79">
        <f>SUM(AL2:AL13)+0.01%</f>
        <v>1.0001</v>
      </c>
      <c r="AM14" s="80">
        <f t="shared" si="21"/>
        <v>-5553.215853</v>
      </c>
      <c r="AN14" s="81">
        <f t="shared" si="5"/>
        <v>-0.292709995733695</v>
      </c>
      <c r="AP14" s="82"/>
      <c r="AV14" s="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B14" s="83">
        <v>45992</v>
      </c>
      <c r="DC14" s="36">
        <f>AK3</f>
        <v>2045.348388</v>
      </c>
    </row>
    <row r="15" spans="1:11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V15" s="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34">
        <f>DC14-DC15</f>
        <v>-41.448036</v>
      </c>
      <c r="DB15" s="83">
        <v>45627</v>
      </c>
      <c r="DC15" s="36">
        <f>Y3</f>
        <v>2086.796424</v>
      </c>
    </row>
    <row r="16" spans="1:114">
      <c r="A16" s="85"/>
      <c r="B16" s="36">
        <v>2584.349049</v>
      </c>
      <c r="C16" s="36">
        <v>4968.226651</v>
      </c>
      <c r="D16" s="36">
        <v>7387.270726</v>
      </c>
      <c r="E16" s="36">
        <v>9546.354667</v>
      </c>
      <c r="F16" s="36">
        <v>12195.414815</v>
      </c>
      <c r="G16" s="36">
        <v>15344.646427</v>
      </c>
      <c r="H16" s="36">
        <v>18025.794917</v>
      </c>
      <c r="I16" s="36">
        <v>20887.120528</v>
      </c>
      <c r="J16" s="36">
        <v>23423.676908</v>
      </c>
      <c r="K16" s="36">
        <v>26094.58637</v>
      </c>
      <c r="L16" s="36">
        <v>29509.352772</v>
      </c>
      <c r="M16" s="36">
        <v>34354.346394</v>
      </c>
      <c r="N16" s="36">
        <v>2117.141792</v>
      </c>
      <c r="O16" s="36">
        <v>4437.840095</v>
      </c>
      <c r="P16" s="36">
        <v>6638.994345</v>
      </c>
      <c r="Q16" s="36">
        <v>8555.545381</v>
      </c>
      <c r="R16" s="36">
        <v>10715.820919</v>
      </c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>
        <v>1.0002</v>
      </c>
      <c r="AM16" s="36">
        <f>AM14-AM3</f>
        <v>-5511.767817</v>
      </c>
      <c r="AN16" s="36">
        <v>-0.1068</v>
      </c>
      <c r="AV16" s="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86">
        <f>DA15/DC15</f>
        <v>-0.0198620409366774</v>
      </c>
      <c r="DB16" s="83">
        <v>45261</v>
      </c>
      <c r="DC16" s="36">
        <f>M3</f>
        <v>4252.921512</v>
      </c>
    </row>
    <row r="17" spans="1:108"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C17" s="36"/>
    </row>
    <row r="18" spans="1:108">
      <c r="A18" s="87" t="s">
        <v>220</v>
      </c>
      <c r="B18" s="88" t="e">
        <f>('权责制经营报表-EAS 2512（审计口径）'!AA16+'权责制经营报表-EAS 2512（审计口径）'!AA23-'权责制经营报表-EAS 2512（审计口径）'!AA35+'权责制经营报表-EAS 2512（审计口径）'!AA38)/10000</f>
        <v>#REF!</v>
      </c>
      <c r="C18" s="88" t="e">
        <f>('权责制经营报表-EAS 2512（审计口径）'!AB16+'权责制经营报表-EAS 2512（审计口径）'!AB23-'权责制经营报表-EAS 2512（审计口径）'!AB35+'权责制经营报表-EAS 2512（审计口径）'!AB38)/10000</f>
        <v>#REF!</v>
      </c>
      <c r="D18" s="88" t="e">
        <f>('权责制经营报表-EAS 2512（审计口径）'!AC16+'权责制经营报表-EAS 2512（审计口径）'!AC23-'权责制经营报表-EAS 2512（审计口径）'!AC35+'权责制经营报表-EAS 2512（审计口径）'!AC38)/10000</f>
        <v>#REF!</v>
      </c>
      <c r="E18" s="88" t="e">
        <f>('权责制经营报表-EAS 2512（审计口径）'!AD16+'权责制经营报表-EAS 2512（审计口径）'!AD23-'权责制经营报表-EAS 2512（审计口径）'!AD35+'权责制经营报表-EAS 2512（审计口径）'!AD38)/10000</f>
        <v>#REF!</v>
      </c>
      <c r="F18" s="88" t="e">
        <f>('权责制经营报表-EAS 2512（审计口径）'!AE16+'权责制经营报表-EAS 2512（审计口径）'!AE23-'权责制经营报表-EAS 2512（审计口径）'!AE35+'权责制经营报表-EAS 2512（审计口径）'!AE38)/10000</f>
        <v>#REF!</v>
      </c>
      <c r="G18" s="88" t="e">
        <f>('权责制经营报表-EAS 2512（审计口径）'!AF16+'权责制经营报表-EAS 2512（审计口径）'!AF23-'权责制经营报表-EAS 2512（审计口径）'!AF35+'权责制经营报表-EAS 2512（审计口径）'!AF38)/10000</f>
        <v>#REF!</v>
      </c>
      <c r="H18" s="88" t="e">
        <f>('权责制经营报表-EAS 2512（审计口径）'!AG16+'权责制经营报表-EAS 2512（审计口径）'!AG23-'权责制经营报表-EAS 2512（审计口径）'!AG35+'权责制经营报表-EAS 2512（审计口径）'!AG38)/10000</f>
        <v>#REF!</v>
      </c>
      <c r="I18" s="88" t="e">
        <f>('权责制经营报表-EAS 2512（审计口径）'!AH16+'权责制经营报表-EAS 2512（审计口径）'!AH23-'权责制经营报表-EAS 2512（审计口径）'!AH35+'权责制经营报表-EAS 2512（审计口径）'!AH38)/10000</f>
        <v>#REF!</v>
      </c>
      <c r="J18" s="88" t="e">
        <f>('权责制经营报表-EAS 2512（审计口径）'!AI16+'权责制经营报表-EAS 2512（审计口径）'!AI23-'权责制经营报表-EAS 2512（审计口径）'!AI35+'权责制经营报表-EAS 2512（审计口径）'!AI38)/10000</f>
        <v>#REF!</v>
      </c>
      <c r="K18" s="88" t="e">
        <f>('权责制经营报表-EAS 2512（审计口径）'!AJ16+'权责制经营报表-EAS 2512（审计口径）'!AJ23-'权责制经营报表-EAS 2512（审计口径）'!AJ35+'权责制经营报表-EAS 2512（审计口径）'!AJ38)/10000</f>
        <v>#REF!</v>
      </c>
      <c r="L18" s="88" t="e">
        <f>('权责制经营报表-EAS 2512（审计口径）'!AK16+'权责制经营报表-EAS 2512（审计口径）'!AK23-'权责制经营报表-EAS 2512（审计口径）'!AK35+'权责制经营报表-EAS 2512（审计口径）'!AK38)/10000</f>
        <v>#REF!</v>
      </c>
      <c r="M18" s="88">
        <f>('权责制经营报表-EAS 2512（审计口径）'!AL16+'权责制经营报表-EAS 2512（审计口径）'!AL23-'权责制经营报表-EAS 2512（审计口径）'!AL35+'权责制经营报表-EAS 2512（审计口径）'!AL38)/10000</f>
        <v>34271.783271</v>
      </c>
      <c r="N18" s="88" t="e">
        <f>('权责制经营报表-EAS 2512（审计口径）'!AM16+'权责制经营报表-EAS 2512（审计口径）'!AM23-'权责制经营报表-EAS 2512（审计口径）'!AM35+'权责制经营报表-EAS 2512（审计口径）'!AM38)/10000</f>
        <v>#REF!</v>
      </c>
      <c r="O18" s="88" t="e">
        <f>('权责制经营报表-EAS 2512（审计口径）'!AN16+'权责制经营报表-EAS 2512（审计口径）'!AN23-'权责制经营报表-EAS 2512（审计口径）'!AN35+'权责制经营报表-EAS 2512（审计口径）'!AN38)/10000</f>
        <v>#REF!</v>
      </c>
      <c r="P18" s="88" t="e">
        <f>('权责制经营报表-EAS 2512（审计口径）'!AO16+'权责制经营报表-EAS 2512（审计口径）'!AO23-'权责制经营报表-EAS 2512（审计口径）'!AO35+'权责制经营报表-EAS 2512（审计口径）'!AO38)/10000</f>
        <v>#REF!</v>
      </c>
      <c r="Q18" s="88" t="e">
        <f>('权责制经营报表-EAS 2512（审计口径）'!AP16+'权责制经营报表-EAS 2512（审计口径）'!AP23-'权责制经营报表-EAS 2512（审计口径）'!AP35+'权责制经营报表-EAS 2512（审计口径）'!AP38)/10000</f>
        <v>#REF!</v>
      </c>
      <c r="R18" s="88" t="e">
        <f>('权责制经营报表-EAS 2512（审计口径）'!AQ16+'权责制经营报表-EAS 2512（审计口径）'!AQ23-'权责制经营报表-EAS 2512（审计口径）'!AQ35+'权责制经营报表-EAS 2512（审计口径）'!AQ38)/10000</f>
        <v>#REF!</v>
      </c>
      <c r="S18" s="88" t="e">
        <f>('权责制经营报表-EAS 2512（审计口径）'!AS16+'权责制经营报表-EAS 2512（审计口径）'!AS23-'权责制经营报表-EAS 2512（审计口径）'!AS35+'权责制经营报表-EAS 2512（审计口径）'!AS38)/10000</f>
        <v>#REF!</v>
      </c>
      <c r="T18" s="88" t="e">
        <f>('权责制经营报表-EAS 2512（审计口径）'!AS16+'权责制经营报表-EAS 2512（审计口径）'!AS23-'权责制经营报表-EAS 2512（审计口径）'!AS35+'权责制经营报表-EAS 2512（审计口径）'!AS38)/10000</f>
        <v>#REF!</v>
      </c>
      <c r="U18" s="88" t="e">
        <f>('权责制经营报表-EAS 2512（审计口径）'!AT16+'权责制经营报表-EAS 2512（审计口径）'!AT23-'权责制经营报表-EAS 2512（审计口径）'!AT35+'权责制经营报表-EAS 2512（审计口径）'!AT38)/10000</f>
        <v>#REF!</v>
      </c>
      <c r="V18" s="88" t="e">
        <f>('权责制经营报表-EAS 2512（审计口径）'!AU16+'权责制经营报表-EAS 2512（审计口径）'!AU23-'权责制经营报表-EAS 2512（审计口径）'!AU35+'权责制经营报表-EAS 2512（审计口径）'!AU38)/10000</f>
        <v>#REF!</v>
      </c>
      <c r="W18" s="88" t="e">
        <f>('权责制经营报表-EAS 2512（审计口径）'!AV16+'权责制经营报表-EAS 2512（审计口径）'!AV23-'权责制经营报表-EAS 2512（审计口径）'!AV35+'权责制经营报表-EAS 2512（审计口径）'!AV38)/10000</f>
        <v>#REF!</v>
      </c>
      <c r="X18" s="88" t="e">
        <f>('权责制经营报表-EAS 2512（审计口径）'!AW16+'权责制经营报表-EAS 2512（审计口径）'!AW23-'权责制经营报表-EAS 2512（审计口径）'!AW35+'权责制经营报表-EAS 2512（审计口径）'!AW38)/10000</f>
        <v>#REF!</v>
      </c>
      <c r="Y18" s="88">
        <f>('权责制经营报表-EAS 2512（审计口径）'!AX16+'权责制经营报表-EAS 2512（审计口径）'!AX23-'权责制经营报表-EAS 2512（审计口径）'!AX35+'权责制经营报表-EAS 2512（审计口径）'!AX38)/10000</f>
        <v>24524.948742</v>
      </c>
      <c r="Z18" s="88" t="e">
        <f>('权责制经营报表-EAS 2512（审计口径）'!AY16+'权责制经营报表-EAS 2512（审计口径）'!AY23-'权责制经营报表-EAS 2512（审计口径）'!AY35+'权责制经营报表-EAS 2512（审计口径）'!AY38)/10000</f>
        <v>#REF!</v>
      </c>
      <c r="AA18" s="88" t="e">
        <f>('权责制经营报表-EAS 2512（审计口径）'!AZ16+'权责制经营报表-EAS 2512（审计口径）'!AZ23-'权责制经营报表-EAS 2512（审计口径）'!AZ35+'权责制经营报表-EAS 2512（审计口径）'!AZ38)/10000</f>
        <v>#REF!</v>
      </c>
      <c r="AB18" s="88" t="e">
        <f>('权责制经营报表-EAS 2512（审计口径）'!BA16+'权责制经营报表-EAS 2512（审计口径）'!BA23-'权责制经营报表-EAS 2512（审计口径）'!BA35+'权责制经营报表-EAS 2512（审计口径）'!BA38)/10000</f>
        <v>#REF!</v>
      </c>
      <c r="AC18" s="88" t="e">
        <f>('权责制经营报表-EAS 2512（审计口径）'!BB16+'权责制经营报表-EAS 2512（审计口径）'!BB23-'权责制经营报表-EAS 2512（审计口径）'!BB35+'权责制经营报表-EAS 2512（审计口径）'!BB38)/10000</f>
        <v>#REF!</v>
      </c>
      <c r="AD18" s="88" t="e">
        <f>('权责制经营报表-EAS 2512（审计口径）'!BC16+'权责制经营报表-EAS 2512（审计口径）'!BC23-'权责制经营报表-EAS 2512（审计口径）'!BC35+'权责制经营报表-EAS 2512（审计口径）'!BC38)/10000</f>
        <v>#REF!</v>
      </c>
      <c r="AE18" s="88" t="e">
        <f>('权责制经营报表-EAS 2512（审计口径）'!BD16+'权责制经营报表-EAS 2512（审计口径）'!BD23-'权责制经营报表-EAS 2512（审计口径）'!BD35+'权责制经营报表-EAS 2512（审计口径）'!BD38)/10000</f>
        <v>#REF!</v>
      </c>
      <c r="AF18" s="88" t="e">
        <f>('权责制经营报表-EAS 2512（审计口径）'!BE16+'权责制经营报表-EAS 2512（审计口径）'!BE23-'权责制经营报表-EAS 2512（审计口径）'!BE35+'权责制经营报表-EAS 2512（审计口径）'!BE38)/10000</f>
        <v>#REF!</v>
      </c>
      <c r="AG18" s="88" t="e">
        <f>('权责制经营报表-EAS 2512（审计口径）'!BF16+'权责制经营报表-EAS 2512（审计口径）'!BF23-'权责制经营报表-EAS 2512（审计口径）'!BF35+'权责制经营报表-EAS 2512（审计口径）'!BF38)/10000</f>
        <v>#REF!</v>
      </c>
      <c r="AH18" s="88" t="e">
        <f>('权责制经营报表-EAS 2512（审计口径）'!BG16+'权责制经营报表-EAS 2512（审计口径）'!BG23-'权责制经营报表-EAS 2512（审计口径）'!BG35+'权责制经营报表-EAS 2512（审计口径）'!BG38)/10000</f>
        <v>#REF!</v>
      </c>
      <c r="AI18" s="88">
        <f>('权责制经营报表-EAS 2512（审计口径）'!BH16+'权责制经营报表-EAS 2512（审计口径）'!BH23-'权责制经营报表-EAS 2512（审计口径）'!BH35+'权责制经营报表-EAS 2512（审计口径）'!BH38)/10000</f>
        <v>14083.430565</v>
      </c>
      <c r="AJ18" s="88">
        <f>('权责制经营报表-EAS 2512（审计口径）'!BI16+'权责制经营报表-EAS 2512（审计口径）'!BI23-'权责制经营报表-EAS 2512（审计口径）'!BI35+'权责制经营报表-EAS 2512（审计口径）'!BI38)/10000</f>
        <v>15540.005973</v>
      </c>
      <c r="AK18" s="88">
        <f>('权责制经营报表-EAS 2512（审计口径）'!BJ16+'权责制经营报表-EAS 2512（审计口径）'!BJ23-'权责制经营报表-EAS 2512（审计口径）'!BJ35+'权责制经营报表-EAS 2512（审计口径）'!BJ38)/10000</f>
        <v>18971.732889</v>
      </c>
      <c r="AL18" s="88"/>
      <c r="AM18" s="88"/>
      <c r="AN18" s="88"/>
      <c r="AV18" s="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C18" s="36"/>
    </row>
    <row r="19" spans="1:108">
      <c r="A19" s="87" t="s">
        <v>108</v>
      </c>
      <c r="B19" s="55" t="e">
        <f t="shared" ref="B19:R19" si="23">B14-B18</f>
        <v>#REF!</v>
      </c>
      <c r="C19" s="55" t="e">
        <f t="shared" si="23"/>
        <v>#REF!</v>
      </c>
      <c r="D19" s="55" t="e">
        <f t="shared" si="23"/>
        <v>#REF!</v>
      </c>
      <c r="E19" s="55" t="e">
        <f t="shared" si="23"/>
        <v>#REF!</v>
      </c>
      <c r="F19" s="55" t="e">
        <f t="shared" si="23"/>
        <v>#REF!</v>
      </c>
      <c r="G19" s="55" t="e">
        <f t="shared" si="23"/>
        <v>#REF!</v>
      </c>
      <c r="H19" s="55" t="e">
        <f t="shared" si="23"/>
        <v>#REF!</v>
      </c>
      <c r="I19" s="55" t="e">
        <f t="shared" si="23"/>
        <v>#REF!</v>
      </c>
      <c r="J19" s="55" t="e">
        <f t="shared" si="23"/>
        <v>#REF!</v>
      </c>
      <c r="K19" s="55" t="e">
        <f t="shared" si="23"/>
        <v>#REF!</v>
      </c>
      <c r="L19" s="55" t="e">
        <f t="shared" ref="L19:AC19" si="24">L14-L18</f>
        <v>#REF!</v>
      </c>
      <c r="M19" s="55">
        <f t="shared" si="24"/>
        <v>0</v>
      </c>
      <c r="N19" s="55" t="e">
        <f t="shared" si="24"/>
        <v>#REF!</v>
      </c>
      <c r="O19" s="55" t="e">
        <f t="shared" si="24"/>
        <v>#REF!</v>
      </c>
      <c r="P19" s="55" t="e">
        <f t="shared" si="24"/>
        <v>#REF!</v>
      </c>
      <c r="Q19" s="55" t="e">
        <f t="shared" si="24"/>
        <v>#REF!</v>
      </c>
      <c r="R19" s="55" t="e">
        <f t="shared" si="24"/>
        <v>#REF!</v>
      </c>
      <c r="S19" s="55" t="e">
        <f t="shared" si="24"/>
        <v>#REF!</v>
      </c>
      <c r="T19" s="55" t="e">
        <f>U14-U18</f>
        <v>#REF!</v>
      </c>
      <c r="U19" s="55" t="e">
        <f t="shared" si="24"/>
        <v>#REF!</v>
      </c>
      <c r="V19" s="55" t="e">
        <f t="shared" si="24"/>
        <v>#REF!</v>
      </c>
      <c r="W19" s="55" t="e">
        <f t="shared" si="24"/>
        <v>#REF!</v>
      </c>
      <c r="X19" s="55" t="e">
        <f t="shared" si="24"/>
        <v>#REF!</v>
      </c>
      <c r="Y19" s="55">
        <f t="shared" si="24"/>
        <v>0</v>
      </c>
      <c r="Z19" s="55" t="e">
        <f t="shared" ref="Z19:AK19" si="25">Z14-Z18</f>
        <v>#REF!</v>
      </c>
      <c r="AA19" s="55" t="e">
        <f t="shared" si="25"/>
        <v>#REF!</v>
      </c>
      <c r="AB19" s="55" t="e">
        <f t="shared" si="25"/>
        <v>#REF!</v>
      </c>
      <c r="AC19" s="55" t="e">
        <f t="shared" si="25"/>
        <v>#REF!</v>
      </c>
      <c r="AD19" s="55" t="e">
        <f t="shared" si="25"/>
        <v>#REF!</v>
      </c>
      <c r="AE19" s="55" t="e">
        <f t="shared" si="25"/>
        <v>#REF!</v>
      </c>
      <c r="AF19" s="55" t="e">
        <f t="shared" si="25"/>
        <v>#REF!</v>
      </c>
      <c r="AG19" s="55" t="e">
        <f t="shared" si="25"/>
        <v>#REF!</v>
      </c>
      <c r="AH19" s="55" t="e">
        <f t="shared" si="25"/>
        <v>#REF!</v>
      </c>
      <c r="AI19" s="55">
        <f t="shared" si="25"/>
        <v>0</v>
      </c>
      <c r="AJ19" s="55">
        <f t="shared" si="25"/>
        <v>0</v>
      </c>
      <c r="AK19" s="55">
        <f t="shared" si="25"/>
        <v>0</v>
      </c>
      <c r="AL19" s="55"/>
      <c r="AM19" s="55"/>
      <c r="AN19" s="55"/>
      <c r="AV19" s="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C19" s="36"/>
    </row>
    <row r="20" spans="1:108">
      <c r="A20" s="54"/>
      <c r="AL20" s="89"/>
      <c r="AN20" s="89"/>
      <c r="AV20" s="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B20" s="5" t="s">
        <v>215</v>
      </c>
      <c r="DC20" s="90" t="s">
        <v>221</v>
      </c>
    </row>
    <row r="21" ht="17" customHeight="1" spans="1:108">
      <c r="A21" s="91" t="s">
        <v>222</v>
      </c>
      <c r="B21" s="92" t="e">
        <f>('权责制经营报表-EAS 2512（审计口径）'!AA22+'权责制经营报表-EAS 2512（审计口径）'!AA16)/10000</f>
        <v>#REF!</v>
      </c>
      <c r="C21" s="92" t="e">
        <f>('权责制经营报表-EAS 2512（审计口径）'!AB22+'权责制经营报表-EAS 2512（审计口径）'!AB16)/10000</f>
        <v>#REF!</v>
      </c>
      <c r="D21" s="92" t="e">
        <f>('权责制经营报表-EAS 2512（审计口径）'!AC22+'权责制经营报表-EAS 2512（审计口径）'!AC16)/10000</f>
        <v>#REF!</v>
      </c>
      <c r="E21" s="92" t="e">
        <f>('权责制经营报表-EAS 2512（审计口径）'!AD22+'权责制经营报表-EAS 2512（审计口径）'!AD16)/10000</f>
        <v>#REF!</v>
      </c>
      <c r="F21" s="92" t="e">
        <f>('权责制经营报表-EAS 2512（审计口径）'!AE22+'权责制经营报表-EAS 2512（审计口径）'!AE16)/10000</f>
        <v>#REF!</v>
      </c>
      <c r="G21" s="92" t="e">
        <f>('权责制经营报表-EAS 2512（审计口径）'!AF22+'权责制经营报表-EAS 2512（审计口径）'!AF16)/10000</f>
        <v>#REF!</v>
      </c>
      <c r="H21" s="92" t="e">
        <f>('权责制经营报表-EAS 2512（审计口径）'!AG22+'权责制经营报表-EAS 2512（审计口径）'!AG16)/10000</f>
        <v>#REF!</v>
      </c>
      <c r="I21" s="92" t="e">
        <f>('权责制经营报表-EAS 2512（审计口径）'!AH22+'权责制经营报表-EAS 2512（审计口径）'!AH16)/10000</f>
        <v>#REF!</v>
      </c>
      <c r="J21" s="92" t="e">
        <f>('权责制经营报表-EAS 2512（审计口径）'!AI22+'权责制经营报表-EAS 2512（审计口径）'!AI16)/10000</f>
        <v>#REF!</v>
      </c>
      <c r="K21" s="92" t="e">
        <f>('权责制经营报表-EAS 2512（审计口径）'!AJ22+'权责制经营报表-EAS 2512（审计口径）'!AJ16)/10000</f>
        <v>#REF!</v>
      </c>
      <c r="L21" s="92" t="e">
        <f>('权责制经营报表-EAS 2512（审计口径）'!AK22+'权责制经营报表-EAS 2512（审计口径）'!AK16)/10000</f>
        <v>#REF!</v>
      </c>
      <c r="M21" s="92">
        <f>('权责制经营报表-EAS 2512（审计口径）'!AL22+'权责制经营报表-EAS 2512（审计口径）'!AL16)/10000</f>
        <v>45348.9649170001</v>
      </c>
      <c r="N21" s="92" t="e">
        <f>('权责制经营报表-EAS 2512（审计口径）'!AM22+'权责制经营报表-EAS 2512（审计口径）'!AM16)/10000</f>
        <v>#REF!</v>
      </c>
      <c r="O21" s="92" t="e">
        <f>('权责制经营报表-EAS 2512（审计口径）'!AN22+'权责制经营报表-EAS 2512（审计口径）'!AN16)/10000</f>
        <v>#REF!</v>
      </c>
      <c r="P21" s="92" t="e">
        <f>('权责制经营报表-EAS 2512（审计口径）'!AO22+'权责制经营报表-EAS 2512（审计口径）'!AO16)/10000</f>
        <v>#REF!</v>
      </c>
      <c r="Q21" s="92" t="e">
        <f>('权责制经营报表-EAS 2512（审计口径）'!AP22+'权责制经营报表-EAS 2512（审计口径）'!AP16)/10000</f>
        <v>#REF!</v>
      </c>
      <c r="R21" s="92" t="e">
        <f>('权责制经营报表-EAS 2512（审计口径）'!AQ22+'权责制经营报表-EAS 2512（审计口径）'!AQ16)/10000</f>
        <v>#REF!</v>
      </c>
      <c r="S21" s="92" t="e">
        <f>('权责制经营报表-EAS 2512（审计口径）'!AS22+'权责制经营报表-EAS 2512（审计口径）'!AS16)/10000</f>
        <v>#REF!</v>
      </c>
      <c r="T21" s="92" t="e">
        <f>('权责制经营报表-EAS 2512（审计口径）'!AS22+'权责制经营报表-EAS 2512（审计口径）'!AS16)/10000</f>
        <v>#REF!</v>
      </c>
      <c r="U21" s="92" t="e">
        <f>('权责制经营报表-EAS 2512（审计口径）'!AT22+'权责制经营报表-EAS 2512（审计口径）'!AT16)/10000</f>
        <v>#REF!</v>
      </c>
      <c r="V21" s="92" t="e">
        <f>('权责制经营报表-EAS 2512（审计口径）'!AU22+'权责制经营报表-EAS 2512（审计口径）'!AU16)/10000</f>
        <v>#REF!</v>
      </c>
      <c r="W21" s="92" t="e">
        <f>('权责制经营报表-EAS 2512（审计口径）'!AV22+'权责制经营报表-EAS 2512（审计口径）'!AV16)/10000</f>
        <v>#REF!</v>
      </c>
      <c r="X21" s="92" t="e">
        <f>('权责制经营报表-EAS 2512（审计口径）'!AW22+'权责制经营报表-EAS 2512（审计口径）'!AW16)/10000</f>
        <v>#REF!</v>
      </c>
      <c r="Y21" s="92">
        <f>('权责制经营报表-EAS 2512（审计口径）'!AX22+'权责制经营报表-EAS 2512（审计口径）'!AX16)/10000</f>
        <v>25703.5411150329</v>
      </c>
      <c r="Z21" s="92" t="e">
        <f>('权责制经营报表-EAS 2512（审计口径）'!AY22+'权责制经营报表-EAS 2512（审计口径）'!AY16)/10000</f>
        <v>#REF!</v>
      </c>
      <c r="AA21" s="92" t="e">
        <f>('权责制经营报表-EAS 2512（审计口径）'!AZ22+'权责制经营报表-EAS 2512（审计口径）'!AZ16)/10000</f>
        <v>#REF!</v>
      </c>
      <c r="AB21" s="92" t="e">
        <f>('权责制经营报表-EAS 2512（审计口径）'!BA22+'权责制经营报表-EAS 2512（审计口径）'!BA16)/10000</f>
        <v>#REF!</v>
      </c>
      <c r="AC21" s="92">
        <f>('权责制经营报表-EAS 2512（审计口径）'!BB22+'权责制经营报表-EAS 2512（审计口径）'!BB16)/10000</f>
        <v>7675.880248</v>
      </c>
      <c r="AD21" s="92"/>
      <c r="AE21" s="92"/>
      <c r="AF21" s="92"/>
      <c r="AG21" s="92"/>
      <c r="AH21" s="92"/>
      <c r="AI21" s="92"/>
      <c r="AJ21" s="92"/>
      <c r="AK21" s="92"/>
      <c r="AL21" s="91"/>
      <c r="AM21" s="92">
        <f>AM16-AM3</f>
        <v>-5470.319781</v>
      </c>
      <c r="AV21" s="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B21" s="83">
        <v>45992</v>
      </c>
      <c r="DC21" s="36">
        <f>AK5+AK6</f>
        <v>1323.744515</v>
      </c>
    </row>
    <row r="22" spans="1:108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AV22" s="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84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34">
        <f>DC21-DC22</f>
        <v>-775.770761</v>
      </c>
      <c r="DB22" s="83">
        <v>45627</v>
      </c>
      <c r="DC22" s="36">
        <f>Y5+Y6</f>
        <v>2099.515276</v>
      </c>
    </row>
    <row r="23" spans="1:10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AV23" s="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52">
        <f>DA22/DC22</f>
        <v>-0.369499936422468</v>
      </c>
      <c r="DB23" s="83">
        <v>45261</v>
      </c>
      <c r="DC23" s="36">
        <f>M5+M6</f>
        <v>5825.181653</v>
      </c>
    </row>
    <row r="24" spans="1:108">
      <c r="A24" s="4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AV24" s="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C24" s="36"/>
    </row>
    <row r="25" spans="1:108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C25" s="36"/>
    </row>
    <row r="26" spans="1:108">
      <c r="A26" s="4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94"/>
      <c r="W26" s="94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M26" s="89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C26" s="36"/>
    </row>
    <row r="27" spans="1:108">
      <c r="A27" s="95"/>
      <c r="B27" s="2" t="s">
        <v>223</v>
      </c>
      <c r="C27" s="2" t="s">
        <v>224</v>
      </c>
      <c r="D27" s="3" t="s">
        <v>224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229</v>
      </c>
      <c r="J27" s="2" t="s">
        <v>230</v>
      </c>
      <c r="K27" s="3" t="s">
        <v>231</v>
      </c>
      <c r="L27" s="3" t="s">
        <v>232</v>
      </c>
      <c r="M27" s="3" t="s">
        <v>233</v>
      </c>
      <c r="N27" s="3" t="s">
        <v>234</v>
      </c>
      <c r="O27" s="3" t="s">
        <v>235</v>
      </c>
      <c r="P27" s="3" t="s">
        <v>236</v>
      </c>
      <c r="Q27" s="96" t="s">
        <v>237</v>
      </c>
      <c r="R27" s="5" t="s">
        <v>238</v>
      </c>
      <c r="S27" s="5" t="s">
        <v>239</v>
      </c>
      <c r="T27" s="5" t="s">
        <v>240</v>
      </c>
      <c r="U27" s="5" t="s">
        <v>241</v>
      </c>
      <c r="V27" s="5" t="s">
        <v>242</v>
      </c>
      <c r="W27" s="5" t="s">
        <v>243</v>
      </c>
      <c r="X27" s="5" t="s">
        <v>244</v>
      </c>
      <c r="Y27" s="5" t="s">
        <v>245</v>
      </c>
      <c r="Z27" s="3" t="s">
        <v>246</v>
      </c>
      <c r="AA27" s="3" t="s">
        <v>247</v>
      </c>
      <c r="AB27" s="3" t="s">
        <v>248</v>
      </c>
      <c r="AC27" s="3" t="s">
        <v>249</v>
      </c>
      <c r="AD27" s="3" t="s">
        <v>250</v>
      </c>
      <c r="AE27" s="3" t="s">
        <v>251</v>
      </c>
      <c r="AF27" s="3" t="s">
        <v>252</v>
      </c>
      <c r="AG27" s="3" t="s">
        <v>253</v>
      </c>
      <c r="AH27" s="3" t="s">
        <v>254</v>
      </c>
      <c r="AI27" s="3" t="s">
        <v>255</v>
      </c>
      <c r="AJ27" s="3" t="s">
        <v>256</v>
      </c>
      <c r="AK27" s="3" t="s">
        <v>257</v>
      </c>
      <c r="AM27" s="3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B27" s="5" t="s">
        <v>215</v>
      </c>
      <c r="DC27" s="36" t="s">
        <v>258</v>
      </c>
      <c r="DD27" s="3" t="s">
        <v>259</v>
      </c>
    </row>
    <row r="28" spans="1:108">
      <c r="A28" s="97" t="s">
        <v>260</v>
      </c>
      <c r="B28" s="98">
        <v>1642510.25</v>
      </c>
      <c r="C28" s="98">
        <f>3547227.85+100491.89</f>
        <v>3647719.74</v>
      </c>
      <c r="D28" s="98">
        <f>5150992.79+217722.05</f>
        <v>5368714.84</v>
      </c>
      <c r="E28" s="98">
        <v>7301013.97</v>
      </c>
      <c r="F28" s="98">
        <v>8718052.53</v>
      </c>
      <c r="G28" s="98">
        <v>10243952.11</v>
      </c>
      <c r="H28" s="98">
        <v>11756705.55</v>
      </c>
      <c r="I28" s="98">
        <v>13242739.87</v>
      </c>
      <c r="J28" s="98">
        <v>15029193.4</v>
      </c>
      <c r="K28" s="98">
        <v>16606839.55</v>
      </c>
      <c r="L28" s="98">
        <v>18495292.34</v>
      </c>
      <c r="M28" s="98">
        <v>20399364.26</v>
      </c>
      <c r="N28" s="98">
        <v>1730312.28</v>
      </c>
      <c r="O28" s="98">
        <v>4368459.98</v>
      </c>
      <c r="P28" s="98">
        <v>6060063.79</v>
      </c>
      <c r="Q28" s="98">
        <v>7497902.24</v>
      </c>
      <c r="R28" s="98">
        <v>8728262.68</v>
      </c>
      <c r="S28" s="98">
        <v>9936552.37</v>
      </c>
      <c r="T28" s="98">
        <v>11005364.95</v>
      </c>
      <c r="U28" s="98">
        <v>11940964.16</v>
      </c>
      <c r="V28" s="98">
        <v>13202672.74</v>
      </c>
      <c r="W28" s="98">
        <v>14509075.88</v>
      </c>
      <c r="X28" s="99">
        <v>16082935.29</v>
      </c>
      <c r="Y28" s="99">
        <v>17194509.44</v>
      </c>
      <c r="Z28" s="99">
        <v>593927.1</v>
      </c>
      <c r="AA28" s="99">
        <v>1165924.68</v>
      </c>
      <c r="AB28" s="99">
        <v>1745574.36</v>
      </c>
      <c r="AC28" s="99">
        <v>2514421.48</v>
      </c>
      <c r="AD28" s="99">
        <v>2932150.93</v>
      </c>
      <c r="AE28" s="99">
        <f>3369326.82+154903.06</f>
        <v>3524229.88</v>
      </c>
      <c r="AF28" s="99">
        <f>4003868.82+154903.06</f>
        <v>4158771.88</v>
      </c>
      <c r="AG28" s="99">
        <f>4378172.49+154903.06</f>
        <v>4533075.55</v>
      </c>
      <c r="AH28" s="99">
        <f>4378172.49+154903.06+230084.18</f>
        <v>4763159.73</v>
      </c>
      <c r="AI28" s="99">
        <f>4378172.49+154903.06+230084.18+212759.04+216139.66</f>
        <v>5192058.43</v>
      </c>
      <c r="AJ28" s="99">
        <f>4378172.49+154903.06+230084.18+212759.04+216139.66+305138.43+22935.81</f>
        <v>5520132.67</v>
      </c>
      <c r="AK28" s="99">
        <v>5738533.91</v>
      </c>
      <c r="AL28" s="100"/>
      <c r="AM28" s="101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B28" s="83">
        <v>45992</v>
      </c>
      <c r="DC28" s="102">
        <v>120995.25106576</v>
      </c>
    </row>
    <row r="29" spans="1:108">
      <c r="A29" s="103" t="s">
        <v>261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101"/>
      <c r="AM29" s="4"/>
      <c r="AN29" s="101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B29" s="83">
        <v>45627</v>
      </c>
      <c r="DC29" s="102">
        <v>222180.48173585</v>
      </c>
    </row>
    <row r="30" spans="1:108">
      <c r="A30" s="103" t="s">
        <v>262</v>
      </c>
      <c r="B30" s="4"/>
      <c r="C30" s="4"/>
      <c r="D30" s="4"/>
      <c r="E30" s="4"/>
      <c r="F30" s="4"/>
      <c r="G30" s="4"/>
      <c r="H30" s="4"/>
      <c r="I30" s="4"/>
      <c r="J30" s="4"/>
      <c r="K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104"/>
      <c r="AM30" s="4"/>
      <c r="AN30" s="10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B30" s="83">
        <v>45261</v>
      </c>
      <c r="DC30" s="102">
        <v>480706.6867341</v>
      </c>
    </row>
    <row r="31" spans="1:108">
      <c r="A31" s="103" t="s">
        <v>263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101"/>
      <c r="AM31" s="4"/>
      <c r="AN31" s="101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</row>
    <row r="32" spans="1:108">
      <c r="A32" s="103" t="s">
        <v>264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104"/>
      <c r="AM32" s="4"/>
      <c r="AN32" s="10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</row>
    <row r="33" spans="1:107">
      <c r="A33" s="10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101"/>
      <c r="AM33" s="4"/>
      <c r="AN33" s="101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</row>
    <row r="34" spans="1:107">
      <c r="A34" s="105"/>
      <c r="B34" s="4"/>
      <c r="C34" s="4"/>
      <c r="D34" s="4"/>
      <c r="E34" s="4"/>
      <c r="F34" s="4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4"/>
      <c r="AM34" s="106"/>
      <c r="AN34" s="10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</row>
    <row r="35" spans="1:107">
      <c r="A35" s="10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B35" s="5" t="s">
        <v>215</v>
      </c>
      <c r="DC35" s="2" t="s">
        <v>265</v>
      </c>
    </row>
    <row r="36" spans="1:107">
      <c r="A36" s="105"/>
      <c r="B36" s="4"/>
      <c r="C36" s="4"/>
      <c r="D36" s="4"/>
      <c r="E36" s="4"/>
      <c r="F36" s="4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104"/>
      <c r="AM36" s="89"/>
      <c r="AN36" s="10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B36" s="83">
        <v>45992</v>
      </c>
      <c r="DC36" s="44">
        <f>DC14*1.06/DC28</f>
        <v>0.0179186312866252</v>
      </c>
    </row>
    <row r="37" spans="1:107">
      <c r="A37" s="105"/>
      <c r="B37" s="4"/>
      <c r="C37" s="4"/>
      <c r="D37" s="4"/>
      <c r="E37" s="4"/>
      <c r="F37" s="4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104"/>
      <c r="AM37" s="89"/>
      <c r="AN37" s="104"/>
      <c r="DB37" s="83">
        <v>45627</v>
      </c>
      <c r="DC37" s="44">
        <f>DC15*1.06/DC29</f>
        <v>0.00995588897889711</v>
      </c>
    </row>
    <row r="38" spans="1:107">
      <c r="A38" s="105"/>
      <c r="B38" s="89"/>
      <c r="C38" s="89"/>
      <c r="D38" s="89"/>
      <c r="E38" s="4"/>
      <c r="F38" s="4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104"/>
      <c r="AM38" s="89"/>
      <c r="AN38" s="104"/>
      <c r="DB38" s="83">
        <v>45261</v>
      </c>
      <c r="DC38" s="44">
        <f>DC16*1.06/DC30</f>
        <v>0.00937806135659941</v>
      </c>
    </row>
    <row r="39" spans="1:107">
      <c r="A39" s="105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101"/>
      <c r="AM39" s="89"/>
      <c r="AN39" s="101"/>
    </row>
    <row r="40" spans="1:107">
      <c r="A40" s="105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101"/>
      <c r="AM40" s="89"/>
      <c r="AN40" s="101"/>
      <c r="AO40" s="107"/>
    </row>
    <row r="41" spans="1:107">
      <c r="A41" s="108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4"/>
      <c r="AM41" s="89"/>
      <c r="AN41" s="4"/>
    </row>
    <row r="42" spans="1:107">
      <c r="A42" s="109"/>
      <c r="C42" s="4"/>
      <c r="DB42" s="5" t="s">
        <v>215</v>
      </c>
      <c r="DC42" s="3" t="s">
        <v>266</v>
      </c>
    </row>
    <row r="43" spans="1:107">
      <c r="A43" s="109"/>
      <c r="DB43" s="83">
        <v>45992</v>
      </c>
      <c r="DC43" s="44">
        <f>DC21/DC28</f>
        <v>0.0109404666988174</v>
      </c>
    </row>
    <row r="44" spans="1:107">
      <c r="A44" s="109"/>
      <c r="DB44" s="83">
        <v>45627</v>
      </c>
      <c r="DC44" s="44">
        <f>DC22/DC29</f>
        <v>0.00944959367986298</v>
      </c>
    </row>
    <row r="45" spans="1:107">
      <c r="A45" s="109"/>
      <c r="DB45" s="83">
        <v>45261</v>
      </c>
      <c r="DC45" s="44">
        <f>DC23/DC30</f>
        <v>0.0121179542822173</v>
      </c>
    </row>
    <row r="46" spans="1:107">
      <c r="A46" s="109"/>
    </row>
    <row r="47" spans="1:107">
      <c r="A47" s="109"/>
    </row>
  </sheetData>
  <mergeCells count="2">
    <mergeCell ref="AP3:AP8"/>
    <mergeCell ref="AP9:AP12"/>
  </mergeCells>
  <pageMargins left="0.75" right="0.75" top="1" bottom="1" header="0.511805555555556" footer="0.511805555555556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权责制经营报表-EAS 2512（审计口径）</vt:lpstr>
      <vt:lpstr>成本费用分布（EAS）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王佳娟</cp:lastModifiedBy>
  <dcterms:created xsi:type="dcterms:W3CDTF">2018-10-22T02:13:00Z</dcterms:created>
  <dcterms:modified xsi:type="dcterms:W3CDTF">2026-02-28T03:23:14Z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14</vt:lpwstr>
  </property>
  <property fmtid="{D5CDD505-2E9C-101B-9397-08002B2CF9AE}" pid="4" name="ICV">
    <vt:lpwstr>79FE615AA273409793585688A94B0A29</vt:lpwstr>
  </property>
  <property fmtid="{D5CDD505-2E9C-101B-9397-08002B2CF9AE}" pid="5" name="CalculationRule">
    <vt:i4>0</vt:i4>
  </property>
</Properties>
</file>