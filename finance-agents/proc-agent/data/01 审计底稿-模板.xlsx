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9180" tabRatio="774" firstSheet="28" activeTab="31"/>
  </bookViews>
  <sheets>
    <sheet name="备忘录" sheetId="31" r:id="rId1"/>
    <sheet name="实际执行程序表（资产负债）" sheetId="38" state="hidden" r:id="rId2"/>
    <sheet name="实际执行程序表（利润）" sheetId="39" state="hidden" r:id="rId3"/>
    <sheet name="细节测试汇总" sheetId="33" r:id="rId4"/>
    <sheet name="货币资金" sheetId="28" r:id="rId5"/>
    <sheet name="流水分析-银行1" sheetId="53" r:id="rId6"/>
    <sheet name="流水分析-银行2" sheetId="54" r:id="rId7"/>
    <sheet name="流水分析-银行3" sheetId="55" r:id="rId8"/>
    <sheet name="开户清单核对" sheetId="56" r:id="rId9"/>
    <sheet name="库存商品" sheetId="41" r:id="rId10"/>
    <sheet name="库存商品分析表" sheetId="42" r:id="rId11"/>
    <sheet name="固定资产" sheetId="43" state="hidden" r:id="rId12"/>
    <sheet name="固定资产测算表" sheetId="45" state="hidden" r:id="rId13"/>
    <sheet name="无形资产" sheetId="44" state="hidden" r:id="rId14"/>
    <sheet name="无形资产测算表" sheetId="46" state="hidden" r:id="rId15"/>
    <sheet name="应收账款" sheetId="9" r:id="rId16"/>
    <sheet name="预付账款" sheetId="21" r:id="rId17"/>
    <sheet name="其他应收款" sheetId="22" r:id="rId18"/>
    <sheet name="关联方交易核对" sheetId="32" r:id="rId19"/>
    <sheet name="应付账款" sheetId="23" r:id="rId20"/>
    <sheet name="预收账款" sheetId="24" r:id="rId21"/>
    <sheet name="其他应付款" sheetId="25" r:id="rId22"/>
    <sheet name="长期股权投资" sheetId="58" r:id="rId23"/>
    <sheet name="长期股权投资明细表" sheetId="57" r:id="rId24"/>
    <sheet name="应付职工薪酬" sheetId="47" r:id="rId25"/>
    <sheet name="应付职工薪酬检查表" sheetId="48" r:id="rId26"/>
    <sheet name="应交税费" sheetId="14" r:id="rId27"/>
    <sheet name="应交增值税明细表" sheetId="34" r:id="rId28"/>
    <sheet name="短期借款" sheetId="52" r:id="rId29"/>
    <sheet name="营业收入" sheetId="7" r:id="rId30"/>
    <sheet name="营业成本" sheetId="8" r:id="rId31"/>
    <sheet name="毛利率分析表" sheetId="35" r:id="rId32"/>
    <sheet name="销售费用" sheetId="10" r:id="rId33"/>
    <sheet name="销售费用比例分析" sheetId="37" r:id="rId34"/>
    <sheet name="管理费用" sheetId="26" r:id="rId35"/>
    <sheet name="管理费用比例分析" sheetId="36" r:id="rId36"/>
    <sheet name="财务费用" sheetId="27" r:id="rId37"/>
    <sheet name="营业外收入" sheetId="50" r:id="rId38"/>
    <sheet name="营业外支出" sheetId="51" r:id="rId39"/>
  </sheets>
  <definedNames>
    <definedName name="_xlnm._FilterDatabase" localSheetId="1" hidden="1">'实际执行程序表（资产负债）'!$A$2:$I$54</definedName>
    <definedName name="_xlnm._FilterDatabase" localSheetId="2" hidden="1">'实际执行程序表（利润）'!$A$2:$J$36</definedName>
    <definedName name="_xlnm._FilterDatabase" localSheetId="15" hidden="1">应收账款!$B$5:$AE$35</definedName>
    <definedName name="_xlnm._FilterDatabase" localSheetId="16" hidden="1">预付账款!$B$5:$AE$33</definedName>
    <definedName name="_xlnm._FilterDatabase" localSheetId="17" hidden="1">其他应收款!$A$5:$AE$148</definedName>
    <definedName name="_xlnm._FilterDatabase" localSheetId="19" hidden="1">应付账款!$B$5:$AE$20</definedName>
    <definedName name="_xlnm._FilterDatabase" localSheetId="20" hidden="1">预收账款!$B$5:$AE$26</definedName>
    <definedName name="_xlnm._FilterDatabase" localSheetId="26" hidden="1">应交税费!$A$5:$E$20</definedName>
    <definedName name="_xlnm._FilterDatabase" localSheetId="29" hidden="1">营业收入!$A$5:$D$24</definedName>
    <definedName name="_xlnm._FilterDatabase" localSheetId="32" hidden="1">销售费用!$A$5:$C$87</definedName>
    <definedName name="_xlnm._FilterDatabase" localSheetId="30" hidden="1">营业成本!$A$5:$K$24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twq</author>
  </authors>
  <commentList>
    <comment ref="D5" authorId="0">
      <text>
        <r>
          <rPr>
            <b/>
            <sz val="9"/>
            <rFont val="宋体"/>
            <charset val="134"/>
          </rPr>
          <t>存在外币情况下适用</t>
        </r>
      </text>
    </comment>
  </commentList>
</comments>
</file>

<file path=xl/comments2.xml><?xml version="1.0" encoding="utf-8"?>
<comments xmlns="http://schemas.openxmlformats.org/spreadsheetml/2006/main">
  <authors>
    <author>作者</author>
  </authors>
  <commentList>
    <comment ref="E5" authorId="0">
      <text>
        <r>
          <rPr>
            <b/>
            <sz val="9"/>
            <rFont val="宋体"/>
            <charset val="134"/>
          </rPr>
          <t>说明:</t>
        </r>
        <r>
          <rPr>
            <sz val="9"/>
            <rFont val="宋体"/>
            <charset val="134"/>
          </rPr>
          <t xml:space="preserve">
必须是“数值型”</t>
        </r>
      </text>
    </comment>
    <comment ref="I5" authorId="0">
      <text>
        <r>
          <rPr>
            <b/>
            <sz val="9"/>
            <rFont val="宋体"/>
            <charset val="134"/>
          </rPr>
          <t>说明:</t>
        </r>
        <r>
          <rPr>
            <sz val="9"/>
            <rFont val="宋体"/>
            <charset val="134"/>
          </rPr>
          <t xml:space="preserve">
必须是“数值型”
</t>
        </r>
      </text>
    </comment>
    <comment ref="J5" authorId="0">
      <text>
        <r>
          <rPr>
            <b/>
            <sz val="9"/>
            <rFont val="宋体"/>
            <charset val="134"/>
          </rPr>
          <t>说明:</t>
        </r>
        <r>
          <rPr>
            <sz val="9"/>
            <rFont val="宋体"/>
            <charset val="134"/>
          </rPr>
          <t>可选项，与测算无直接联系。
目的：当测算差异较大时核对卡片月折旧额与测算折旧额的差异。</t>
        </r>
      </text>
    </comment>
  </commentList>
</comments>
</file>

<file path=xl/comments3.xml><?xml version="1.0" encoding="utf-8"?>
<comments xmlns="http://schemas.openxmlformats.org/spreadsheetml/2006/main">
  <authors>
    <author>作者</author>
  </authors>
  <commentList>
    <comment ref="J5" authorId="0">
      <text>
        <r>
          <rPr>
            <b/>
            <sz val="9"/>
            <color rgb="FF000000"/>
            <rFont val="宋体"/>
            <charset val="134"/>
          </rPr>
          <t>调整金额包括上年审计调整企业未调整金额、列报调整金额、以及本期会计政策变更、会计差错更正追溯调整金额等多项原因。</t>
        </r>
      </text>
    </comment>
    <comment ref="K5" authorId="0">
      <text>
        <r>
          <rPr>
            <b/>
            <sz val="9"/>
            <color rgb="FF000000"/>
            <rFont val="宋体"/>
            <charset val="134"/>
          </rPr>
          <t>快思维公式目前无法区分借方和贷方调整分分别读取数据，因此将所有调整读取在贷方，如果涉及有借方发生额调整，请自行填列数据</t>
        </r>
      </text>
    </comment>
    <comment ref="H6" authorId="0">
      <text>
        <r>
          <rPr>
            <sz val="9"/>
            <rFont val="宋体"/>
            <charset val="134"/>
          </rPr>
          <t>企业调整含进场后企业未审期末金额的调整，也包括报表列报调整</t>
        </r>
      </text>
    </comment>
    <comment ref="J12" authorId="0">
      <text>
        <r>
          <rPr>
            <b/>
            <sz val="9"/>
            <color rgb="FF000000"/>
            <rFont val="宋体"/>
            <charset val="134"/>
          </rPr>
          <t>调整金额包括上年审计调整企业未调整金额、列报调整金额、以及本期会计政策变更、会计差错更正追溯调整金额等多项原因。</t>
        </r>
      </text>
    </comment>
    <comment ref="K12" authorId="0">
      <text>
        <r>
          <rPr>
            <b/>
            <sz val="9"/>
            <color rgb="FF000000"/>
            <rFont val="宋体"/>
            <charset val="134"/>
          </rPr>
          <t>快思维公式目前无法区分借方和贷方调整分分别读取数据，因此将所有调整读取在贷方，如果涉及有借方发生额调整，请自行填列数据</t>
        </r>
      </text>
    </comment>
    <comment ref="H13" authorId="0">
      <text>
        <r>
          <rPr>
            <sz val="9"/>
            <rFont val="宋体"/>
            <charset val="134"/>
          </rPr>
          <t>企业调整含进场后企业未审期末金额的调整，也包括报表列报调整</t>
        </r>
      </text>
    </comment>
    <comment ref="J19" authorId="0">
      <text>
        <r>
          <rPr>
            <b/>
            <sz val="9"/>
            <color rgb="FF000000"/>
            <rFont val="宋体"/>
            <charset val="134"/>
          </rPr>
          <t>调整金额包括上年审计调整企业未调整金额、列报调整金额、以及本期会计政策变更、会计差错更正追溯调整金额等多项原因。</t>
        </r>
      </text>
    </comment>
    <comment ref="K19" authorId="0">
      <text>
        <r>
          <rPr>
            <b/>
            <sz val="9"/>
            <color rgb="FF000000"/>
            <rFont val="宋体"/>
            <charset val="134"/>
          </rPr>
          <t>快思维公式目前无法区分借方和贷方调整分分别读取数据，因此将所有调整读取在贷方，如果涉及有借方发生额调整，请自行填列数据</t>
        </r>
      </text>
    </comment>
    <comment ref="H20" authorId="0">
      <text>
        <r>
          <rPr>
            <sz val="9"/>
            <rFont val="宋体"/>
            <charset val="134"/>
          </rPr>
          <t>企业调整含进场后企业未审期末金额的调整，也包括报表列报调整</t>
        </r>
      </text>
    </comment>
  </commentList>
</comments>
</file>

<file path=xl/comments4.xml><?xml version="1.0" encoding="utf-8"?>
<comments xmlns="http://schemas.openxmlformats.org/spreadsheetml/2006/main">
  <authors>
    <author>作者</author>
  </authors>
  <commentList>
    <comment ref="B4" authorId="0">
      <text>
        <r>
          <rPr>
            <b/>
            <sz val="9"/>
            <rFont val="宋体"/>
            <charset val="134"/>
          </rPr>
          <t>该数取自企业账面数，与未审报表数的核对程序详见审计说明1</t>
        </r>
      </text>
    </comment>
    <comment ref="F5" authorId="0">
      <text>
        <r>
          <rPr>
            <sz val="9"/>
            <rFont val="宋体"/>
            <charset val="134"/>
          </rPr>
          <t>企业调整含进场后企业未审期末金额的调整，也包括报表列报调整</t>
        </r>
      </text>
    </comment>
  </commentList>
</comments>
</file>

<file path=xl/comments5.xml><?xml version="1.0" encoding="utf-8"?>
<comments xmlns="http://schemas.openxmlformats.org/spreadsheetml/2006/main">
  <authors>
    <author>作者</author>
  </authors>
  <commentList>
    <comment ref="F5" authorId="0">
      <text>
        <r>
          <rPr>
            <sz val="9"/>
            <rFont val="宋体"/>
            <charset val="134"/>
          </rPr>
          <t>企业调整含进场后企业未审期末金额的调整，也包括报表列报调整</t>
        </r>
      </text>
    </comment>
  </commentList>
</comments>
</file>

<file path=xl/comments6.xml><?xml version="1.0" encoding="utf-8"?>
<comments xmlns="http://schemas.openxmlformats.org/spreadsheetml/2006/main">
  <authors>
    <author>作者</author>
  </authors>
  <commentList>
    <comment ref="S6" authorId="0">
      <text>
        <r>
          <rPr>
            <b/>
            <sz val="9"/>
            <rFont val="宋体"/>
            <charset val="134"/>
          </rPr>
          <t>若不符，请详细说明</t>
        </r>
      </text>
    </comment>
  </commentList>
</comments>
</file>

<file path=xl/sharedStrings.xml><?xml version="1.0" encoding="utf-8"?>
<sst xmlns="http://schemas.openxmlformats.org/spreadsheetml/2006/main" count="1585" uniqueCount="662">
  <si>
    <t>被审计单位：福禄福擎网络科技有限公司</t>
  </si>
  <si>
    <t>项目</t>
  </si>
  <si>
    <t>名称</t>
  </si>
  <si>
    <t>链接</t>
  </si>
  <si>
    <t>问题描述</t>
  </si>
  <si>
    <t>相关支撑资料</t>
  </si>
  <si>
    <t>问题定性</t>
  </si>
  <si>
    <t>管理层回应/整改措施</t>
  </si>
  <si>
    <t>状态(已解决/持续监控)</t>
  </si>
  <si>
    <t>财务报表截止日：2025/9/30</t>
  </si>
  <si>
    <t>日期：2025/10/30</t>
  </si>
  <si>
    <t>货币资金</t>
  </si>
  <si>
    <t>货币资金明细表</t>
  </si>
  <si>
    <t>HBZJ-1</t>
  </si>
  <si>
    <t>财务报表期间：2025.1-2025.9</t>
  </si>
  <si>
    <t>日期：2025/10/31</t>
  </si>
  <si>
    <t>流水分析</t>
  </si>
  <si>
    <t>LSFX-1</t>
  </si>
  <si>
    <t>库存商品</t>
  </si>
  <si>
    <t>库存商品明细表</t>
  </si>
  <si>
    <t>KCSP-1</t>
  </si>
  <si>
    <t>库存商品分析表</t>
  </si>
  <si>
    <t>KCSPFX-1</t>
  </si>
  <si>
    <t>固定资产</t>
  </si>
  <si>
    <t>固定资产明细表</t>
  </si>
  <si>
    <t>GDZC-1</t>
  </si>
  <si>
    <t>固定资产测算表</t>
  </si>
  <si>
    <t>GDZCCS-1</t>
  </si>
  <si>
    <t>无形资产</t>
  </si>
  <si>
    <t>无形资产明细表</t>
  </si>
  <si>
    <t>WXZC-1</t>
  </si>
  <si>
    <t>无形资产测算表</t>
  </si>
  <si>
    <t>WXZCCS-1</t>
  </si>
  <si>
    <t>其他流动资产</t>
  </si>
  <si>
    <t>其他流动资产明细表</t>
  </si>
  <si>
    <t>QTLDZC-1</t>
  </si>
  <si>
    <t>往来</t>
  </si>
  <si>
    <t>应收账款明细表</t>
  </si>
  <si>
    <t>YSZK-1</t>
  </si>
  <si>
    <t>预付账款明细表</t>
  </si>
  <si>
    <t>YFZK-1</t>
  </si>
  <si>
    <t>其他应收款明细表</t>
  </si>
  <si>
    <t>QTYSK-1</t>
  </si>
  <si>
    <t>应付账款明细表</t>
  </si>
  <si>
    <t>预收账款明细表</t>
  </si>
  <si>
    <t>其他应付款明细表</t>
  </si>
  <si>
    <t>QTYFK-1</t>
  </si>
  <si>
    <t>关联方交易核对</t>
  </si>
  <si>
    <t>GLFJY-1</t>
  </si>
  <si>
    <t>应付职工薪酬</t>
  </si>
  <si>
    <t>应付职工薪酬明细表</t>
  </si>
  <si>
    <t>YFZGXCMX-1</t>
  </si>
  <si>
    <t>应付职工薪酬检查表</t>
  </si>
  <si>
    <t>YFZGXCJC-1</t>
  </si>
  <si>
    <t>应交税费</t>
  </si>
  <si>
    <t>应交税费明细表</t>
  </si>
  <si>
    <t>YJSF-1</t>
  </si>
  <si>
    <t>应交增值税明细表</t>
  </si>
  <si>
    <t>YJSF-2</t>
  </si>
  <si>
    <t>收入、成本</t>
  </si>
  <si>
    <t>营业收入明细表</t>
  </si>
  <si>
    <t>YYSR-1</t>
  </si>
  <si>
    <t>营业成本明细表</t>
  </si>
  <si>
    <t>YYCB-1</t>
  </si>
  <si>
    <t>毛利率分析表</t>
  </si>
  <si>
    <t>MLLFX-1</t>
  </si>
  <si>
    <t>费用</t>
  </si>
  <si>
    <t>销售费用明细表</t>
  </si>
  <si>
    <t>XSFY-1</t>
  </si>
  <si>
    <t>销售费用比例分析</t>
  </si>
  <si>
    <t>XSFY-2</t>
  </si>
  <si>
    <t>管理费用明细表</t>
  </si>
  <si>
    <t>GLFY-1</t>
  </si>
  <si>
    <t>管理费用比例分析</t>
  </si>
  <si>
    <t>GLFY-2</t>
  </si>
  <si>
    <t>财务费用明细表</t>
  </si>
  <si>
    <t>CWFY-1</t>
  </si>
  <si>
    <t>序号</t>
  </si>
  <si>
    <t>科目名称</t>
  </si>
  <si>
    <t>计划实施的实质性程序</t>
  </si>
  <si>
    <t>审计结论</t>
  </si>
  <si>
    <t>财务报表认定</t>
  </si>
  <si>
    <r>
      <rPr>
        <sz val="9"/>
        <rFont val="宋体"/>
        <charset val="134"/>
      </rPr>
      <t>存在</t>
    </r>
    <r>
      <rPr>
        <sz val="9"/>
        <rFont val="Arial Narrow"/>
        <charset val="134"/>
      </rPr>
      <t>/</t>
    </r>
    <r>
      <rPr>
        <sz val="9"/>
        <rFont val="宋体"/>
        <charset val="134"/>
      </rPr>
      <t>发生</t>
    </r>
  </si>
  <si>
    <t>完整性</t>
  </si>
  <si>
    <r>
      <rPr>
        <sz val="9"/>
        <rFont val="宋体"/>
        <charset val="134"/>
      </rPr>
      <t>权利</t>
    </r>
    <r>
      <rPr>
        <sz val="9"/>
        <rFont val="Arial Narrow"/>
        <charset val="134"/>
      </rPr>
      <t>/</t>
    </r>
    <r>
      <rPr>
        <sz val="9"/>
        <rFont val="宋体"/>
        <charset val="134"/>
      </rPr>
      <t>义务</t>
    </r>
  </si>
  <si>
    <t>计价</t>
  </si>
  <si>
    <t>列报</t>
  </si>
  <si>
    <t>获取或编制货币资金明细表</t>
  </si>
  <si>
    <r>
      <rPr>
        <sz val="10"/>
        <rFont val="宋体"/>
        <charset val="134"/>
      </rPr>
      <t>√</t>
    </r>
  </si>
  <si>
    <t>取得被审计单位银行存款及其他货币资金的银行余额对账单，检查被审计单位提供的银行对账单是否存在涂改或修改的情况，确定银行对账单金额的正确性，并与账面余额核对，确认是否一致；</t>
  </si>
  <si>
    <t>抽查大额库存现金收支。检查原始凭证是否齐全、记账凭证与原始凭证是否相符、账务处理是否正确、是否记录于恰当的会计期间、是否经过授权批准等项内容。</t>
  </si>
  <si>
    <t>抽查大额银行存款收支的原始凭证，检查原始凭证是否齐全、有无授权批准、记账凭证与原始凭证是否相符、账务处理是否正确、是否记录于恰当的会计期间等项内容。
检查是否存在非营业目的的大额货币资金转移，并核对相关账户的进账情况；如有与被审计单位生产经营无关的收支事项，应查明原因并作相应的记录。</t>
  </si>
  <si>
    <t>抽查大额其他货币资金收付记录。检查原始凭证是否齐全、记账凭证与原始凭证是否相符、账务处理是否正确、是否记录于恰当的会计期间等项内容。</t>
  </si>
  <si>
    <t>关注是否有质押、冻结等对变现有限制、或存放在境外、或有潜在回收风险的款项，并已恰当披露。</t>
  </si>
  <si>
    <t>获取或编制库存商品的明细表，复核加计是否正确，并与总账数、明细账合计数核对是否相符。
检查库存商品明细表中是否有异常或负余额（包括数量为负或金额为负）的项目</t>
  </si>
  <si>
    <t>√</t>
  </si>
  <si>
    <t>如发生关联方交易：(1)了解交易的商业理由；(检查与关联方的购销业务是否正常)
(2)检查证实交易的支持性文件；（例如发票、合同、协议及入库单据等相关文件，并关注交易价格、交易金额的真实性及合理性)</t>
  </si>
  <si>
    <t>审阅库存商品明细账，检查有无长期挂账的库存商品，如有，应查明原因并作适当处理。</t>
  </si>
  <si>
    <t>获取或编制固定资产、累计折旧、减值准备明细表，复核加计是否正确，并与总账数和明细账合计数、报表数核对是否相符，结合累计折旧和固定资产减值准备与报表数核对是否相符。</t>
  </si>
  <si>
    <t>检查固定资产的所有权或控制权：(1)对外购的机器设备等固定资产，审核采购发票、采购合同等；
(2)对于房地产类固定资产，查阅有关的合同、产权证明、财产税单、抵押借款的还款凭据、保险单等书面文件；
(3)对汽车等运输设备，检查有关运营证件等；</t>
  </si>
  <si>
    <t>检查累计折旧：(1)获取或编制累计折旧分类汇总表，复核加计正确，并与总账数和明细合计数核对。
(2)复核本期折旧费用的计提是否正确
(3)检查累计折旧的减少是否合理，会计处理是否正确</t>
  </si>
  <si>
    <t>获取或编制无形资产明细表，复核加计是否正确，并与总账数和明细账合计数核对是否相符；结合累计摊销、无形资产减值准备科目与报表数核对是否相符。</t>
  </si>
  <si>
    <t>检查无形资产的权属证书原件、非专利技术的持有和保密状况等，并获取有关协议和董事会纪要等文件、资料，检查无形资产的性质、构成内容、计价依据、使用状况和受益期限，确定无形资产是否存在，并由被审计单位拥有或控制。</t>
  </si>
  <si>
    <t>检查使用寿命有限的无形资产的摊销：(1)获取或编制无形资产累计摊销明细表，复核加计正确，并与总账数和明细账合计数核对相符。
(2)检查无形资产摊销政策是否符合有关规定，是否与上期一致，若改变摊销政策，检查其依据是否充分。
(3)复核本期摊销是否正确。</t>
  </si>
  <si>
    <t>应收账款</t>
  </si>
  <si>
    <t>获取或编制应收账款明细表：复核加计是否正确，并与总账数和明细账合计数核对是否相符；结合坏账准备科目与报表数核对是否相符；分析有贷方余额的项目，查明原因，必要时，作重分类调整；</t>
  </si>
  <si>
    <t>结合其他应收款、预收账款等往来项目的明细余额，调查有无同一客户多处挂账、异常余额或与销售无关的其他款项。如有，应做出记录，必要时作调整；</t>
  </si>
  <si>
    <t>获取或编制应收账款账龄分析表，对重要客户的主要信息进行背景调查；</t>
  </si>
  <si>
    <t>对重大应收账款余额进行核对。</t>
  </si>
  <si>
    <t>预付账款</t>
  </si>
  <si>
    <t>获取或编制预付款项明细表：复核加计是否正确，并与总账数和明细账合计数核对是否相符，结合坏账准备科目与报表数核对是否相符；分析出现贷方余额的项目，查明原因，必要的建议进行重新分类调整；</t>
  </si>
  <si>
    <t>结合应付账款明细账审计，查核有无重复付款情况或在收到由预付款项购买的物资时未冲减预付款项而增加应付款项的情况（即在预付款项和应付账款两个科目中同时挂账)；</t>
  </si>
  <si>
    <t>获取或编制预付账款账龄分析表，对重要客户的主要信息进行背景调查；</t>
  </si>
  <si>
    <t>对重大预付账款余额进行核对。</t>
  </si>
  <si>
    <t>其他应收款</t>
  </si>
  <si>
    <t>获取或编制其他应收款明细表：复核加计正确，并与总账数和明细账合计数核对是否相符，结合坏账准备科目与报表数核对是否相符；分析有贷方余额的项目，查明原因，必要时，作重分类调整；</t>
  </si>
  <si>
    <t>结合其他应收款、其他应付款等明细余额，检查是否有同时挂账的项目，核算内容是否重复，必要时作出适当调整；</t>
  </si>
  <si>
    <t>获取或编制其他应收款账龄分析表，对重要客户的主要信息进行背景调查；</t>
  </si>
  <si>
    <t>对重大其他应收款余额进行核对。</t>
  </si>
  <si>
    <t>应付账款</t>
  </si>
  <si>
    <t>获取或编制应付账款明细表：复核加计正确，并与报表数、总账数和明细账合计数核对是否相符；分析出现借方余额的项目，查明原因，必要时，作重分类调整；</t>
  </si>
  <si>
    <t>结合预付账款等往来项目的明细余额，调查有无同挂的项目、异常余额或与购货无关的其他款项（如关联方账户或雇员账户），如有，应做出记录，必要时作调整；</t>
  </si>
  <si>
    <t>获取被审计单位与其供应商之间的对账单，以及被审计单位编制的差异调节表，确定应付账款金额的正确性。
应考虑从非财务部门获取上述资料，如：采购部门。查找有无未入账的应付账款，确定是否表明存在错报。</t>
  </si>
  <si>
    <t>如存在应付关联方的款项：（1）了解交易的商业理由；（2）检查证实交易的支持性文件（例如发票、合同、协议及入库等相关文件）。</t>
  </si>
  <si>
    <t>获取或编制应付账款账龄分析表，对重要客户的主要信息进行背景调查；</t>
  </si>
  <si>
    <t>对重大应付账款余额进行核对。</t>
  </si>
  <si>
    <t>预收账款</t>
  </si>
  <si>
    <t>获取或编制预收款项明细表：复核加计是否正确，并与报表数、总账数和明细账合计数核对是否相符；比较期初、期末预收款项余额，分析其变动原因；检查是否存在借方余额，必要时进行重分类调整；</t>
  </si>
  <si>
    <t>结合应收账款等往来款项目的明细余额，检查是否存在应收、预收两方挂账的项目，必要时做出调整；</t>
  </si>
  <si>
    <t>获取或编制预收款项账龄分析表，并对期末账龄在上年账龄基础上递增的合理性进行分析，并检查预收款项长期挂账的原因，并作出记录，必要时提请被审计单位予以调整。</t>
  </si>
  <si>
    <t>如存在预收关联方[包括持股5%以上(含5%)股东]的款项：（1）了解交易的商业理由、交易类型、交易定价政策等，形成必要记录。（2）检查证实交易的支持性文件；例如发票、合同、协议、入库单等文件</t>
  </si>
  <si>
    <t>获取或编制预收账款账龄分析表，对重要客户的主要信息进行背景调查；</t>
  </si>
  <si>
    <t>对重大预收账款余额进行核对。</t>
  </si>
  <si>
    <t>其他应付款</t>
  </si>
  <si>
    <t>获取或编制其他应付款明细表：复核加计是否正确，并与总账数和明细账合计数核对是否相符；分析有借方余额的项目，查明原因，必要时，作重分类调整；</t>
  </si>
  <si>
    <t>结合应付账款、其他应收款等往来项目的明细余额，调查有无同挂的项目、异常余额或与本科目核算无关的其他款项，如有，应做出记录，必要时作调整；</t>
  </si>
  <si>
    <t>获取或编制其他应付款账龄分析表，对重要客户的主要信息进行背景调查；</t>
  </si>
  <si>
    <t>对重大其他应付款余额进行核对。</t>
  </si>
  <si>
    <t>获取或编制应交税费明细表：复核加计是否正确，并与报表数、总账数和明细账合计数核对是否相符；分析存在借方余额的项目，查明原因，判断是否由被审计单位预缴税款引起；</t>
  </si>
  <si>
    <t>检查应交增值税：(1)获取或编制应交增值税明细表，加计复核其正确性，并与明细账核对相符；(2)将应交增值税明细表与被审计单位增值税纳税申报表进行核对，比较两者是否总体相符，并分析其差额的原因；(10)抽查本期已交增值税资料，确定已交款数的正确性。</t>
  </si>
  <si>
    <r>
      <rPr>
        <sz val="10"/>
        <rFont val="宋体"/>
        <charset val="134"/>
      </rPr>
      <t>获取或编制应付职工薪酬明细表</t>
    </r>
    <r>
      <rPr>
        <sz val="10"/>
        <rFont val="Arial Narrow"/>
        <charset val="134"/>
      </rPr>
      <t>,</t>
    </r>
    <r>
      <rPr>
        <sz val="10"/>
        <rFont val="宋体"/>
        <charset val="134"/>
      </rPr>
      <t>复核加计是否正确</t>
    </r>
    <r>
      <rPr>
        <sz val="10"/>
        <rFont val="Arial Narrow"/>
        <charset val="134"/>
      </rPr>
      <t>,</t>
    </r>
    <r>
      <rPr>
        <sz val="10"/>
        <rFont val="宋体"/>
        <charset val="134"/>
      </rPr>
      <t>并与报表数、总账数和明细账合计数核对是否相符。</t>
    </r>
  </si>
  <si>
    <t>检查应付职工薪酬本期的发生：
(1)对按照职工提供服务情况和工资标准计算的职工薪酬（如工资），获取工资计算表，将工资标准与有关规定进行核对，选取样本进行测试</t>
  </si>
  <si>
    <t>检查应付职工薪酬的确认，与生产成本、制造费用、在建工程等相关账项进行核对，确定会计处理是否符合企业会计准则的规定
1)应由生产产品、提供劳务负担的职工薪酬，计入产品成本或劳务成本；
2)应由在建工程、无形资产负担的职工薪酬，计入建造固定资产或无形资产；
4)其他职工薪酬，计入当期损益；</t>
  </si>
  <si>
    <t>获取或编制其他流动资产明细表，复核加计是否正确，并与总账数和明细账合计数核对是否相符，与报表数核对是否相符。</t>
  </si>
  <si>
    <t>分析明细账余额，对于出现贷方余额的项目，应查明原因。</t>
  </si>
  <si>
    <t>检查其他流动资产所核算内容的分类是否正确。</t>
  </si>
  <si>
    <r>
      <rPr>
        <sz val="10"/>
        <rFont val="宋体"/>
        <charset val="134"/>
      </rPr>
      <t>财务报表认定</t>
    </r>
  </si>
  <si>
    <r>
      <rPr>
        <sz val="10"/>
        <rFont val="宋体"/>
        <charset val="134"/>
      </rPr>
      <t>发生</t>
    </r>
  </si>
  <si>
    <r>
      <rPr>
        <sz val="10"/>
        <rFont val="宋体"/>
        <charset val="134"/>
      </rPr>
      <t>完整性</t>
    </r>
  </si>
  <si>
    <r>
      <rPr>
        <sz val="10"/>
        <rFont val="宋体"/>
        <charset val="134"/>
      </rPr>
      <t>准确性</t>
    </r>
  </si>
  <si>
    <r>
      <rPr>
        <sz val="10"/>
        <rFont val="宋体"/>
        <charset val="134"/>
      </rPr>
      <t>截止</t>
    </r>
  </si>
  <si>
    <r>
      <rPr>
        <sz val="10"/>
        <rFont val="宋体"/>
        <charset val="134"/>
      </rPr>
      <t>分类</t>
    </r>
  </si>
  <si>
    <r>
      <rPr>
        <sz val="10"/>
        <rFont val="宋体"/>
        <charset val="134"/>
      </rPr>
      <t>列报</t>
    </r>
  </si>
  <si>
    <t>营业收入</t>
  </si>
  <si>
    <t>获取或编制主营业务收入明细表：(1)复核加计是否正确，并与总账数和明细账合计数核对是否相符，结合其他业务收入科目与报表数核对是否相符；</t>
  </si>
  <si>
    <r>
      <rPr>
        <sz val="9"/>
        <rFont val="Arial Narrow"/>
        <charset val="134"/>
      </rPr>
      <t>(1)</t>
    </r>
    <r>
      <rPr>
        <sz val="9"/>
        <rFont val="宋体"/>
        <charset val="134"/>
      </rPr>
      <t>按收入类别或产品名称对销售数量、主营业务收入、毛利率等进行趋势分析、结构分析和价格变动分析，确定异常或应关注的领域或区间，并查明重大波动原因；</t>
    </r>
  </si>
  <si>
    <r>
      <rPr>
        <sz val="9"/>
        <rFont val="Arial Narrow"/>
        <charset val="134"/>
      </rPr>
      <t>(2)</t>
    </r>
    <r>
      <rPr>
        <sz val="9"/>
        <rFont val="宋体"/>
        <charset val="134"/>
      </rPr>
      <t>按月度对本期和上期毛利率进行比较分析，检查是否存在异常，各期之间是否存在重大波动，查明原因；</t>
    </r>
  </si>
  <si>
    <r>
      <rPr>
        <sz val="9"/>
        <rFont val="Arial Narrow"/>
        <charset val="134"/>
      </rPr>
      <t>(3)</t>
    </r>
    <r>
      <rPr>
        <sz val="9"/>
        <rFont val="宋体"/>
        <charset val="134"/>
      </rPr>
      <t>比较本期各月各类主营业务收入的波动情况，分析其变动趋势是否正常，是否符合被审计单位季节性、周期性的经营规律，查明异常现象和重大波动的原因；</t>
    </r>
  </si>
  <si>
    <t>检查收入确认会计政策及会计估计的判断是否恰当：(1)了解被审计单位的销售模式或经营模式，结合在了解被审计单位及其环境时获取的信息，并结合合同检查主营业务收入的确认条件、方法是否符合企业会计准则规定；前后期是否一致；</t>
  </si>
  <si>
    <t>获取产品价格目录，抽查售价是否符合价格政策，并注意销售给关联方或关系密切的重要客户的产品价格是否合理，有无以低价或高价结算的方法，相互之间有无转移利润的现象。</t>
  </si>
  <si>
    <t>如发生关联方交易：检查证实交易的支持性文件（例如发票、合同、协议及入库等相关文件）。
将关联方交易的频率、规模、价格和账款结算条件，与非关联方对比，确定关联交易价格是否远远高于或低于非关联方交易价格，分析被审计单位利用关联方交易虚构业务或调节利润或利益输送的可能性。</t>
  </si>
  <si>
    <t>获取或编制其他业务收入明细表，复核加计是否正确，并与总账数和明细账合计数核对是否相符，结合主营业务收入科目与营业收入报表数核对是否相符。</t>
  </si>
  <si>
    <t>检查营业收入是否已按照企业会计准则的规定在财务报表中作出恰当列报。</t>
  </si>
  <si>
    <t>营业成本</t>
  </si>
  <si>
    <t>获取或编制主营业务成本明细表，复核加计是否正确，并与总账数和明细账合计数核对是否相符，结合其他业务成本科目与营业成本报表数核对是否相符。</t>
  </si>
  <si>
    <t>对主营业务成本进行分析：（1）将本期和上期主营业务成本按月度进行比较分析 （2）将本期和上期的主要产品单位成本进行比较分析 （3）对异常情况的项目做进一步的调查</t>
  </si>
  <si>
    <t>抽查月主营业务成本结转明细清单，比较计入主营业务成本的品种、规格、数量和主营业务收入的口径是否一致，是否符合配比原则。</t>
  </si>
  <si>
    <t>检查营业成本是否已按照企业会计准则的规定在财务报表中作出恰当列报。</t>
  </si>
  <si>
    <t>销售费用</t>
  </si>
  <si>
    <r>
      <rPr>
        <sz val="9"/>
        <color indexed="8"/>
        <rFont val="宋体"/>
        <charset val="134"/>
        <scheme val="minor"/>
      </rPr>
      <t>获取或编制销售费用明细表：</t>
    </r>
    <r>
      <rPr>
        <sz val="9"/>
        <rFont val="Arial Narrow"/>
        <charset val="134"/>
      </rPr>
      <t xml:space="preserve">  (1)</t>
    </r>
    <r>
      <rPr>
        <sz val="9"/>
        <rFont val="宋体"/>
        <charset val="134"/>
      </rPr>
      <t>复核其加计数是否正确，并与报表数、总账数和明细账合计数核对是否相符；</t>
    </r>
    <r>
      <rPr>
        <sz val="9"/>
        <rFont val="Arial Narrow"/>
        <charset val="134"/>
      </rPr>
      <t xml:space="preserve"> (2)</t>
    </r>
    <r>
      <rPr>
        <sz val="9"/>
        <rFont val="宋体"/>
        <charset val="134"/>
      </rPr>
      <t>将销售费用中的工资、折旧等与相关的资产、负债科目核对，检查其勾稽关系的合理性。</t>
    </r>
  </si>
  <si>
    <r>
      <rPr>
        <sz val="9"/>
        <rFont val="宋体"/>
        <charset val="134"/>
      </rPr>
      <t>对销售费用进行分析：</t>
    </r>
    <r>
      <rPr>
        <sz val="9"/>
        <rFont val="宋体"/>
        <charset val="134"/>
        <scheme val="minor"/>
      </rPr>
      <t>(1)计算分析各个月份销售费用总额及主要项目金额占主营业务收入的比率，并与上一年度进行比较，判断变动的合理性；</t>
    </r>
    <r>
      <rPr>
        <sz val="9"/>
        <rFont val="宋体"/>
        <charset val="134"/>
      </rPr>
      <t>(2)计算分析各个月份销售费用中主要项目发生额及占销售费用总额的比率，并与上一年度进行比较，判断其变动的合理性。</t>
    </r>
  </si>
  <si>
    <t>对本期发生的销售费用，选取样本，检查其支付性文件，确定原始凭证是否齐全，记账凭证与原始凭证是否相符以及账务处理是否正确。</t>
  </si>
  <si>
    <r>
      <rPr>
        <sz val="9"/>
        <rFont val="宋体"/>
        <charset val="134"/>
      </rPr>
      <t>（</t>
    </r>
    <r>
      <rPr>
        <sz val="9"/>
        <rFont val="Arial Narrow"/>
        <charset val="134"/>
      </rPr>
      <t>1</t>
    </r>
    <r>
      <rPr>
        <sz val="9"/>
        <rFont val="宋体"/>
        <charset val="134"/>
      </rPr>
      <t>）检查销售佣金支出是否符合规定，审批手续是否健全，是否取得有效的原始凭证；如超过规定，是否按规定进行了纳税调整。</t>
    </r>
  </si>
  <si>
    <r>
      <rPr>
        <sz val="9"/>
        <rFont val="宋体"/>
        <charset val="134"/>
      </rPr>
      <t>（</t>
    </r>
    <r>
      <rPr>
        <sz val="9"/>
        <rFont val="Arial Narrow"/>
        <charset val="134"/>
      </rPr>
      <t>2</t>
    </r>
    <r>
      <rPr>
        <sz val="9"/>
        <rFont val="宋体"/>
        <charset val="134"/>
      </rPr>
      <t>）检查广告费、宣传费、业务招待费的支出是否合理，审批手续是否健全，是否取得有效的原始凭证；如超过规定限额，应在计算应纳税所得额时调整。</t>
    </r>
  </si>
  <si>
    <r>
      <rPr>
        <sz val="9"/>
        <rFont val="宋体"/>
        <charset val="134"/>
      </rPr>
      <t>（</t>
    </r>
    <r>
      <rPr>
        <sz val="9"/>
        <rFont val="Arial Narrow"/>
        <charset val="134"/>
      </rPr>
      <t>3</t>
    </r>
    <r>
      <rPr>
        <sz val="9"/>
        <rFont val="宋体"/>
        <charset val="134"/>
      </rPr>
      <t>）选择重要或异常的销售费用，检查销售费用各项目开支标准是否符合有关规定，开支内容是否与被审计单位的产品销售或专设销售机构的经费有关，计算是否正确，原始凭证是否合法，会计处理是否正确。</t>
    </r>
  </si>
  <si>
    <t>检查销售费用是否已按照企业会计准则在财务报表中作出恰当的列报和披露。</t>
  </si>
  <si>
    <t>管理费用</t>
  </si>
  <si>
    <t>获取或编制管理费用明细表：(1)复核加计是否正确，并与报表数、总账数及明细账合计数核对是否相符。(2)将管理费用中的职工薪酬、无形资产摊销、长期待摊费用摊销额等项目与各有关账户进行核对，分析其勾稽关系的合理性，并作出相应记录。</t>
  </si>
  <si>
    <t>对管理费用进行分析，并汇总并评价差异结果：(1)计算分析管理费用中各项目发生额及占费用总额的比率，将本期、上期管理费用各主要明细项目作比较分析，判断其变动的合理性。(2)比较本期各月份管理费用，对有重大波动和异常情况的项目应查明原因，必要时作适当处理。</t>
  </si>
  <si>
    <t>对本期发生的管理费用，选取样本，检查其支付性文件，确定原始凭证是否齐全，记账凭证与原始凭证是否相符以及账务处理是否正确。</t>
  </si>
  <si>
    <t>(1)检查公司经费(包括行政管理部门职工薪酬、物料消耗、低值易耗品摊销、办公费和差旅费)是否系经营管理中发生或应由公司统一负担，检查相关费用报销内部管理办法，是否有合法原始凭证支持。</t>
  </si>
  <si>
    <t>(2)检查董事会费(包括董事会成员津贴、会议费和差旅费等)，检查相关董事会及股东会决议，是否在合规范围内开支费用。</t>
  </si>
  <si>
    <t>(3)检查聘请中介机构费、咨询费(含顾问费)，检查是否按合同规定支付费用，有无涉及到诉讼及赔偿款项支出。</t>
  </si>
  <si>
    <t>(4)检查业务招待费的支出是否合理，如超过规定限额，应在计算应纳税所得额时调整。</t>
  </si>
  <si>
    <t>检查诉讼费用并结合或有事项审计,检查涉及的相关重大诉讼事项是否已在附注中进行披露，还需进一步关注诉讼状态，判断有无或有负债，或是否存在损失已发生而未入账的事项。如发生诉讼和索赔费用，完成“诉讼和索赔事项”工作底稿。</t>
  </si>
  <si>
    <t>根据评估的舞弊风险等因素增加的其他审计程序。（1）检查大额或异常费用开支的适当性 （2）检查高层管理人员提交的费用报告的适当性和金额</t>
  </si>
  <si>
    <t>确定管理费用是否已按照企业会计准则的规定在财务报表中作出恰当的列报和披露。</t>
  </si>
  <si>
    <t>财务费用</t>
  </si>
  <si>
    <t>获取或编制财务费用明细表，复核其加计数是否正确，并与报表数、总账数和明细账合计数核对是否相符。</t>
  </si>
  <si>
    <t>将本期财务费用各明细项目与上期进行对比，必要时比较本期各月份财务费用，如有重大波动和异常情况应追查原因；</t>
  </si>
  <si>
    <t>检查财务费用明细项目的设置是否符合规定的核算内容与范围，是否划清财务费用与其他费用的界限。</t>
  </si>
  <si>
    <t>检查财务费用是否已按照企业会计准则的规定在财务报表中作出恰当的列报。</t>
  </si>
  <si>
    <t>细节测试汇总表</t>
  </si>
  <si>
    <t>编制人：刘喜琴</t>
  </si>
  <si>
    <t>复核人：赵玮</t>
  </si>
  <si>
    <t>记账日期</t>
  </si>
  <si>
    <t>凭证号</t>
  </si>
  <si>
    <t>摘要</t>
  </si>
  <si>
    <t>借方</t>
  </si>
  <si>
    <t>贷方</t>
  </si>
  <si>
    <t>对账单数据</t>
  </si>
  <si>
    <t>差异</t>
  </si>
  <si>
    <t>附件及支持性文件说明</t>
  </si>
  <si>
    <t>备注</t>
  </si>
  <si>
    <t>测试金额小计</t>
  </si>
  <si>
    <t>备注：抽样明细内容来自序时账</t>
  </si>
  <si>
    <t>核算项目</t>
  </si>
  <si>
    <t>账面数据</t>
  </si>
  <si>
    <t>银行对账单金额</t>
  </si>
  <si>
    <t>账户性质</t>
  </si>
  <si>
    <t>期初金额</t>
  </si>
  <si>
    <t>本期借方</t>
  </si>
  <si>
    <t>本期贷方</t>
  </si>
  <si>
    <t>期末金额</t>
  </si>
  <si>
    <t>库存现金</t>
  </si>
  <si>
    <t>银行存款_活期存款</t>
  </si>
  <si>
    <t>其他货币资金</t>
  </si>
  <si>
    <t>合计</t>
  </si>
  <si>
    <t>审计说明：</t>
  </si>
  <si>
    <t>对账单流水与银行日记账流水月度核对分析</t>
  </si>
  <si>
    <t>开户行</t>
  </si>
  <si>
    <t>账号</t>
  </si>
  <si>
    <t>银行对账单</t>
  </si>
  <si>
    <t>银行日记账</t>
  </si>
  <si>
    <t>核对差异</t>
  </si>
  <si>
    <t>月初金额</t>
  </si>
  <si>
    <t>借方发生额
本月汇总</t>
  </si>
  <si>
    <t>贷方发生额
本月汇总</t>
  </si>
  <si>
    <t>月末金额</t>
  </si>
  <si>
    <t>借方发生额</t>
  </si>
  <si>
    <t>贷方发生额</t>
  </si>
  <si>
    <t>差异分析</t>
  </si>
  <si>
    <r>
      <rPr>
        <sz val="9"/>
        <rFont val="Arial Narrow"/>
        <charset val="134"/>
      </rPr>
      <t>1</t>
    </r>
    <r>
      <rPr>
        <sz val="9"/>
        <rFont val="宋体"/>
        <charset val="134"/>
      </rPr>
      <t>月</t>
    </r>
  </si>
  <si>
    <r>
      <rPr>
        <sz val="9"/>
        <rFont val="Arial Narrow"/>
        <charset val="134"/>
      </rPr>
      <t>2</t>
    </r>
    <r>
      <rPr>
        <sz val="9"/>
        <rFont val="宋体"/>
        <charset val="134"/>
      </rPr>
      <t>月</t>
    </r>
  </si>
  <si>
    <r>
      <rPr>
        <sz val="9"/>
        <rFont val="Arial Narrow"/>
        <charset val="134"/>
      </rPr>
      <t>3</t>
    </r>
    <r>
      <rPr>
        <sz val="9"/>
        <rFont val="宋体"/>
        <charset val="134"/>
      </rPr>
      <t>月</t>
    </r>
  </si>
  <si>
    <r>
      <rPr>
        <sz val="9"/>
        <rFont val="Arial Narrow"/>
        <charset val="134"/>
      </rPr>
      <t>4</t>
    </r>
    <r>
      <rPr>
        <sz val="9"/>
        <rFont val="宋体"/>
        <charset val="134"/>
      </rPr>
      <t>月</t>
    </r>
  </si>
  <si>
    <r>
      <rPr>
        <sz val="9"/>
        <rFont val="Arial Narrow"/>
        <charset val="134"/>
      </rPr>
      <t>5</t>
    </r>
    <r>
      <rPr>
        <sz val="9"/>
        <rFont val="宋体"/>
        <charset val="134"/>
      </rPr>
      <t>月</t>
    </r>
  </si>
  <si>
    <r>
      <rPr>
        <sz val="9"/>
        <rFont val="Arial Narrow"/>
        <charset val="134"/>
      </rPr>
      <t>6</t>
    </r>
    <r>
      <rPr>
        <sz val="9"/>
        <rFont val="宋体"/>
        <charset val="134"/>
      </rPr>
      <t>月</t>
    </r>
  </si>
  <si>
    <r>
      <rPr>
        <sz val="9"/>
        <rFont val="Arial Narrow"/>
        <charset val="134"/>
      </rPr>
      <t>7</t>
    </r>
    <r>
      <rPr>
        <sz val="9"/>
        <rFont val="宋体"/>
        <charset val="134"/>
      </rPr>
      <t>月</t>
    </r>
  </si>
  <si>
    <r>
      <rPr>
        <sz val="9"/>
        <rFont val="Arial Narrow"/>
        <charset val="134"/>
      </rPr>
      <t>8</t>
    </r>
    <r>
      <rPr>
        <sz val="9"/>
        <rFont val="宋体"/>
        <charset val="134"/>
      </rPr>
      <t>月</t>
    </r>
  </si>
  <si>
    <r>
      <rPr>
        <sz val="9"/>
        <rFont val="Arial Narrow"/>
        <charset val="134"/>
      </rPr>
      <t>9</t>
    </r>
    <r>
      <rPr>
        <sz val="9"/>
        <rFont val="宋体"/>
        <charset val="134"/>
      </rPr>
      <t>月</t>
    </r>
  </si>
  <si>
    <r>
      <rPr>
        <sz val="9"/>
        <rFont val="Arial Narrow"/>
        <charset val="134"/>
      </rPr>
      <t>10</t>
    </r>
    <r>
      <rPr>
        <sz val="9"/>
        <rFont val="宋体"/>
        <charset val="134"/>
      </rPr>
      <t>月</t>
    </r>
  </si>
  <si>
    <r>
      <rPr>
        <sz val="9"/>
        <rFont val="Arial Narrow"/>
        <charset val="134"/>
      </rPr>
      <t>11</t>
    </r>
    <r>
      <rPr>
        <sz val="9"/>
        <rFont val="宋体"/>
        <charset val="134"/>
      </rPr>
      <t>月</t>
    </r>
  </si>
  <si>
    <r>
      <rPr>
        <sz val="9"/>
        <rFont val="Arial Narrow"/>
        <charset val="134"/>
      </rPr>
      <t>12</t>
    </r>
    <r>
      <rPr>
        <sz val="9"/>
        <rFont val="宋体"/>
        <charset val="134"/>
      </rPr>
      <t>月</t>
    </r>
  </si>
  <si>
    <t>银行账户清单与已开立银行结算账户清单核对</t>
  </si>
  <si>
    <r>
      <rPr>
        <sz val="10"/>
        <rFont val="宋体"/>
        <charset val="134"/>
      </rPr>
      <t>序号</t>
    </r>
  </si>
  <si>
    <t>企业提供的银行账户实际信息</t>
  </si>
  <si>
    <t>与已开立银行结算账户清单核对</t>
  </si>
  <si>
    <t>是否由被审计单位实际使用</t>
  </si>
  <si>
    <r>
      <rPr>
        <sz val="10"/>
        <rFont val="宋体"/>
        <charset val="134"/>
      </rPr>
      <t>备注</t>
    </r>
  </si>
  <si>
    <r>
      <rPr>
        <sz val="10"/>
        <rFont val="宋体"/>
        <charset val="134"/>
      </rPr>
      <t>开户银行</t>
    </r>
  </si>
  <si>
    <r>
      <rPr>
        <sz val="10"/>
        <rFont val="宋体"/>
        <charset val="134"/>
      </rPr>
      <t>银行账号</t>
    </r>
  </si>
  <si>
    <t>币种</t>
  </si>
  <si>
    <t>账户状态</t>
  </si>
  <si>
    <t>开户银行是否相符</t>
  </si>
  <si>
    <t>银行账号是否相符</t>
  </si>
  <si>
    <t>账户性质是否相符</t>
  </si>
  <si>
    <t>账户状态是否相符</t>
  </si>
  <si>
    <t>销户日期</t>
  </si>
  <si>
    <t>久悬日期</t>
  </si>
  <si>
    <t>一、银行存款账户</t>
  </si>
  <si>
    <t xml:space="preserve"> </t>
  </si>
  <si>
    <t>二、其他货币资金账户</t>
  </si>
  <si>
    <r>
      <rPr>
        <b/>
        <sz val="10"/>
        <rFont val="宋体"/>
        <charset val="134"/>
      </rPr>
      <t>审计说明：</t>
    </r>
  </si>
  <si>
    <t>1、被审计单位未提供但开户信息上存在的银行账户情况：</t>
  </si>
  <si>
    <t>开户银行</t>
  </si>
  <si>
    <t>银行账号</t>
  </si>
  <si>
    <t>处理意见及依据</t>
  </si>
  <si>
    <t>2、被审计单位账户清单上存在但开户信息上不存在的银行账户情况：</t>
  </si>
  <si>
    <t>3、开户银行截图：</t>
  </si>
  <si>
    <t>核算项目1</t>
  </si>
  <si>
    <t>核算项目2</t>
  </si>
  <si>
    <t>审计调整</t>
  </si>
  <si>
    <t>期末审定数</t>
  </si>
  <si>
    <r>
      <rPr>
        <sz val="10"/>
        <rFont val="宋体"/>
        <charset val="134"/>
      </rPr>
      <t>企业调整</t>
    </r>
  </si>
  <si>
    <r>
      <rPr>
        <sz val="10"/>
        <rFont val="宋体"/>
        <charset val="134"/>
      </rPr>
      <t>期末报表列报</t>
    </r>
  </si>
  <si>
    <t>一、外购库存商品</t>
  </si>
  <si>
    <t>库存商品_直充</t>
  </si>
  <si>
    <t>库存商品_卡密</t>
  </si>
  <si>
    <t>小计</t>
  </si>
  <si>
    <t>库存商品月发生额分析表</t>
  </si>
  <si>
    <r>
      <rPr>
        <sz val="10"/>
        <rFont val="宋体"/>
        <charset val="134"/>
      </rPr>
      <t>月份</t>
    </r>
  </si>
  <si>
    <r>
      <rPr>
        <sz val="10"/>
        <rFont val="宋体"/>
        <charset val="134"/>
      </rPr>
      <t>借方发生额合计</t>
    </r>
  </si>
  <si>
    <r>
      <rPr>
        <sz val="10"/>
        <rFont val="宋体"/>
        <charset val="134"/>
      </rPr>
      <t>贷方发生额</t>
    </r>
  </si>
  <si>
    <r>
      <rPr>
        <sz val="10"/>
        <rFont val="宋体"/>
        <charset val="134"/>
      </rPr>
      <t>期末余额</t>
    </r>
  </si>
  <si>
    <r>
      <rPr>
        <sz val="10"/>
        <rFont val="宋体"/>
        <charset val="134"/>
      </rPr>
      <t>完工产品转入</t>
    </r>
  </si>
  <si>
    <r>
      <rPr>
        <sz val="10"/>
        <rFont val="宋体"/>
        <charset val="134"/>
      </rPr>
      <t>外购库存商品</t>
    </r>
  </si>
  <si>
    <r>
      <rPr>
        <sz val="10"/>
        <rFont val="宋体"/>
        <charset val="134"/>
      </rPr>
      <t>借方合计</t>
    </r>
  </si>
  <si>
    <t>转入主营成本</t>
  </si>
  <si>
    <t>转入发出商品</t>
  </si>
  <si>
    <t>转入应收退货成本</t>
  </si>
  <si>
    <r>
      <rPr>
        <sz val="10"/>
        <rFont val="宋体"/>
        <charset val="134"/>
      </rPr>
      <t>贷方小计</t>
    </r>
  </si>
  <si>
    <t>期初余额</t>
  </si>
  <si>
    <r>
      <rPr>
        <sz val="9"/>
        <rFont val="Arial"/>
        <charset val="134"/>
      </rPr>
      <t>1</t>
    </r>
    <r>
      <rPr>
        <sz val="9"/>
        <rFont val="宋体"/>
        <charset val="134"/>
      </rPr>
      <t>月</t>
    </r>
  </si>
  <si>
    <r>
      <rPr>
        <sz val="9"/>
        <rFont val="Arial"/>
        <charset val="134"/>
      </rPr>
      <t>2</t>
    </r>
    <r>
      <rPr>
        <sz val="9"/>
        <rFont val="宋体"/>
        <charset val="134"/>
      </rPr>
      <t>月</t>
    </r>
  </si>
  <si>
    <r>
      <rPr>
        <sz val="9"/>
        <rFont val="Arial"/>
        <charset val="134"/>
      </rPr>
      <t>3</t>
    </r>
    <r>
      <rPr>
        <sz val="9"/>
        <rFont val="宋体"/>
        <charset val="134"/>
      </rPr>
      <t>月</t>
    </r>
  </si>
  <si>
    <r>
      <rPr>
        <sz val="9"/>
        <rFont val="Arial"/>
        <charset val="134"/>
      </rPr>
      <t>4</t>
    </r>
    <r>
      <rPr>
        <sz val="9"/>
        <rFont val="宋体"/>
        <charset val="134"/>
      </rPr>
      <t>月</t>
    </r>
  </si>
  <si>
    <r>
      <rPr>
        <sz val="9"/>
        <rFont val="Arial"/>
        <charset val="134"/>
      </rPr>
      <t>5</t>
    </r>
    <r>
      <rPr>
        <sz val="9"/>
        <rFont val="宋体"/>
        <charset val="134"/>
      </rPr>
      <t>月</t>
    </r>
  </si>
  <si>
    <r>
      <rPr>
        <sz val="9"/>
        <rFont val="Arial"/>
        <charset val="134"/>
      </rPr>
      <t>6</t>
    </r>
    <r>
      <rPr>
        <sz val="9"/>
        <rFont val="宋体"/>
        <charset val="134"/>
      </rPr>
      <t>月</t>
    </r>
  </si>
  <si>
    <r>
      <rPr>
        <sz val="9"/>
        <rFont val="Arial"/>
        <charset val="134"/>
      </rPr>
      <t>7</t>
    </r>
    <r>
      <rPr>
        <sz val="9"/>
        <rFont val="宋体"/>
        <charset val="134"/>
      </rPr>
      <t>月</t>
    </r>
  </si>
  <si>
    <r>
      <rPr>
        <sz val="9"/>
        <rFont val="Arial"/>
        <charset val="134"/>
      </rPr>
      <t>8</t>
    </r>
    <r>
      <rPr>
        <sz val="9"/>
        <rFont val="宋体"/>
        <charset val="134"/>
      </rPr>
      <t>月</t>
    </r>
  </si>
  <si>
    <r>
      <rPr>
        <sz val="9"/>
        <rFont val="Arial"/>
        <charset val="134"/>
      </rPr>
      <t>9</t>
    </r>
    <r>
      <rPr>
        <sz val="9"/>
        <rFont val="宋体"/>
        <charset val="134"/>
      </rPr>
      <t>月</t>
    </r>
  </si>
  <si>
    <r>
      <rPr>
        <sz val="9"/>
        <rFont val="Arial"/>
        <charset val="134"/>
      </rPr>
      <t>10</t>
    </r>
    <r>
      <rPr>
        <sz val="9"/>
        <rFont val="宋体"/>
        <charset val="134"/>
      </rPr>
      <t>月</t>
    </r>
  </si>
  <si>
    <r>
      <rPr>
        <sz val="9"/>
        <rFont val="Arial"/>
        <charset val="134"/>
      </rPr>
      <t>11</t>
    </r>
    <r>
      <rPr>
        <sz val="9"/>
        <rFont val="宋体"/>
        <charset val="134"/>
      </rPr>
      <t>月</t>
    </r>
  </si>
  <si>
    <r>
      <rPr>
        <sz val="9"/>
        <rFont val="Arial"/>
        <charset val="134"/>
      </rPr>
      <t>12</t>
    </r>
    <r>
      <rPr>
        <sz val="9"/>
        <rFont val="宋体"/>
        <charset val="134"/>
      </rPr>
      <t>月</t>
    </r>
  </si>
  <si>
    <t>固定资产、累计折旧、减值准备明细表</t>
  </si>
  <si>
    <r>
      <rPr>
        <sz val="9"/>
        <rFont val="宋体"/>
        <charset val="134"/>
      </rPr>
      <t xml:space="preserve">序号</t>
    </r>
  </si>
  <si>
    <r>
      <rPr>
        <sz val="9"/>
        <rFont val="宋体"/>
        <charset val="134"/>
      </rPr>
      <t xml:space="preserve">资产名称</t>
    </r>
  </si>
  <si>
    <r>
      <rPr>
        <sz val="9"/>
        <rFont val="宋体"/>
        <charset val="134"/>
      </rPr>
      <t>资产类别</t>
    </r>
  </si>
  <si>
    <r>
      <rPr>
        <sz val="9"/>
        <rFont val="宋体"/>
        <charset val="134"/>
      </rPr>
      <t>取得时间</t>
    </r>
  </si>
  <si>
    <r>
      <rPr>
        <sz val="9"/>
        <rFont val="宋体"/>
        <charset val="134"/>
      </rPr>
      <t>使用年限</t>
    </r>
  </si>
  <si>
    <r>
      <rPr>
        <sz val="9"/>
        <rFont val="宋体"/>
        <charset val="134"/>
      </rPr>
      <t>到期日</t>
    </r>
  </si>
  <si>
    <r>
      <rPr>
        <sz val="9"/>
        <rFont val="宋体"/>
        <charset val="134"/>
      </rPr>
      <t>计量单位</t>
    </r>
  </si>
  <si>
    <r>
      <rPr>
        <sz val="9"/>
        <rFont val="宋体"/>
        <charset val="134"/>
      </rPr>
      <t>期末
数量</t>
    </r>
  </si>
  <si>
    <r>
      <rPr>
        <sz val="9"/>
        <rFont val="宋体"/>
        <charset val="134"/>
      </rPr>
      <t>原值</t>
    </r>
  </si>
  <si>
    <r>
      <rPr>
        <sz val="9"/>
        <rFont val="宋体"/>
        <charset val="134"/>
      </rPr>
      <t>累计折旧</t>
    </r>
  </si>
  <si>
    <r>
      <rPr>
        <sz val="9"/>
        <rFont val="宋体"/>
        <charset val="134"/>
      </rPr>
      <t>减值准备</t>
    </r>
  </si>
  <si>
    <r>
      <rPr>
        <sz val="9"/>
        <rFont val="宋体"/>
        <charset val="134"/>
      </rPr>
      <t>原值调整</t>
    </r>
  </si>
  <si>
    <r>
      <rPr>
        <sz val="9"/>
        <rFont val="宋体"/>
        <charset val="134"/>
      </rPr>
      <t>累计折旧调整</t>
    </r>
  </si>
  <si>
    <r>
      <rPr>
        <sz val="9"/>
        <rFont val="宋体"/>
        <charset val="134"/>
      </rPr>
      <t>减值准备调整</t>
    </r>
  </si>
  <si>
    <r>
      <rPr>
        <sz val="9"/>
        <rFont val="宋体"/>
        <charset val="134"/>
      </rPr>
      <t>审定数</t>
    </r>
  </si>
  <si>
    <t>使用状态</t>
  </si>
  <si>
    <r>
      <rPr>
        <sz val="9"/>
        <rFont val="宋体"/>
        <charset val="134"/>
      </rPr>
      <t>期初原值</t>
    </r>
  </si>
  <si>
    <r>
      <rPr>
        <sz val="9"/>
        <rFont val="宋体"/>
        <charset val="134"/>
      </rPr>
      <t>本期增加</t>
    </r>
  </si>
  <si>
    <r>
      <rPr>
        <sz val="9"/>
        <rFont val="宋体"/>
        <charset val="134"/>
      </rPr>
      <t>本期减少</t>
    </r>
  </si>
  <si>
    <r>
      <rPr>
        <sz val="9"/>
        <rFont val="宋体"/>
        <charset val="134"/>
      </rPr>
      <t>期末原值</t>
    </r>
  </si>
  <si>
    <r>
      <rPr>
        <sz val="9"/>
        <rFont val="宋体"/>
        <charset val="134"/>
      </rPr>
      <t>期初累计折旧</t>
    </r>
  </si>
  <si>
    <r>
      <rPr>
        <sz val="9"/>
        <rFont val="宋体"/>
        <charset val="134"/>
      </rPr>
      <t>期末累计折旧</t>
    </r>
  </si>
  <si>
    <r>
      <rPr>
        <sz val="9"/>
        <rFont val="宋体"/>
        <charset val="134"/>
      </rPr>
      <t>期初减值准备</t>
    </r>
  </si>
  <si>
    <r>
      <rPr>
        <sz val="9"/>
        <rFont val="宋体"/>
        <charset val="134"/>
      </rPr>
      <t>期末减值准备</t>
    </r>
  </si>
  <si>
    <r>
      <rPr>
        <sz val="9"/>
        <rFont val="宋体"/>
        <charset val="134"/>
      </rPr>
      <t>净值</t>
    </r>
  </si>
  <si>
    <t>固定资产折旧测算（未计提减值情况下适用）</t>
  </si>
  <si>
    <t>期初日期</t>
  </si>
  <si>
    <t>期末日期</t>
  </si>
  <si>
    <r>
      <rPr>
        <sz val="10"/>
        <rFont val="宋体"/>
        <charset val="134"/>
      </rPr>
      <t>资产名称</t>
    </r>
  </si>
  <si>
    <r>
      <rPr>
        <sz val="10"/>
        <rFont val="宋体"/>
        <charset val="134"/>
      </rPr>
      <t>类别名称</t>
    </r>
  </si>
  <si>
    <r>
      <rPr>
        <sz val="10"/>
        <rFont val="宋体"/>
        <charset val="134"/>
      </rPr>
      <t>管理部门</t>
    </r>
  </si>
  <si>
    <t>审定原值</t>
  </si>
  <si>
    <t>未审
累计折旧</t>
  </si>
  <si>
    <t>开始使用
日期</t>
  </si>
  <si>
    <r>
      <rPr>
        <sz val="10"/>
        <rFont val="宋体"/>
        <charset val="134"/>
      </rPr>
      <t>使用年限</t>
    </r>
  </si>
  <si>
    <r>
      <rPr>
        <sz val="10"/>
        <rFont val="宋体"/>
        <charset val="134"/>
      </rPr>
      <t>残值率</t>
    </r>
  </si>
  <si>
    <t>固定资产卡片记录的年折旧额</t>
  </si>
  <si>
    <r>
      <rPr>
        <sz val="10"/>
        <rFont val="宋体"/>
        <charset val="134"/>
      </rPr>
      <t>使用月限</t>
    </r>
  </si>
  <si>
    <r>
      <rPr>
        <sz val="10"/>
        <rFont val="宋体"/>
        <charset val="134"/>
      </rPr>
      <t>测算到期日</t>
    </r>
  </si>
  <si>
    <r>
      <rPr>
        <sz val="10"/>
        <rFont val="宋体"/>
        <charset val="134"/>
      </rPr>
      <t>已提折旧月份</t>
    </r>
  </si>
  <si>
    <t>本期折
旧月份</t>
  </si>
  <si>
    <r>
      <rPr>
        <sz val="10"/>
        <rFont val="宋体"/>
        <charset val="134"/>
      </rPr>
      <t>测算月折旧</t>
    </r>
  </si>
  <si>
    <t>测算当期折旧费用</t>
  </si>
  <si>
    <t>当期折旧额与固定资产卡片核对差异</t>
  </si>
  <si>
    <r>
      <rPr>
        <sz val="10"/>
        <rFont val="宋体"/>
        <charset val="134"/>
      </rPr>
      <t>累计折旧费用</t>
    </r>
  </si>
  <si>
    <r>
      <rPr>
        <sz val="10"/>
        <rFont val="宋体"/>
        <charset val="134"/>
      </rPr>
      <t>累计折旧额差异</t>
    </r>
  </si>
  <si>
    <t>一、原值</t>
  </si>
  <si>
    <t>无形资产名称</t>
  </si>
  <si>
    <t>无形资产
类别</t>
  </si>
  <si>
    <r>
      <rPr>
        <sz val="10"/>
        <rFont val="宋体"/>
        <charset val="134"/>
      </rPr>
      <t>未审数</t>
    </r>
  </si>
  <si>
    <t>期初数调整金额</t>
  </si>
  <si>
    <t>本期审计调整</t>
  </si>
  <si>
    <r>
      <rPr>
        <sz val="10"/>
        <rFont val="宋体"/>
        <charset val="134"/>
      </rPr>
      <t>审定数</t>
    </r>
  </si>
  <si>
    <r>
      <rPr>
        <sz val="10"/>
        <rFont val="宋体"/>
        <charset val="134"/>
      </rPr>
      <t>期初数</t>
    </r>
  </si>
  <si>
    <r>
      <rPr>
        <sz val="10"/>
        <rFont val="宋体"/>
        <charset val="134"/>
      </rPr>
      <t>期末数</t>
    </r>
  </si>
  <si>
    <t>期末报表列报</t>
  </si>
  <si>
    <t>借方调整</t>
  </si>
  <si>
    <t>贷方调整</t>
  </si>
  <si>
    <t>——</t>
  </si>
  <si>
    <t>二、累计摊销</t>
  </si>
  <si>
    <t>三、减值准备</t>
  </si>
  <si>
    <t>四、账面净值</t>
  </si>
  <si>
    <t>净值合计</t>
  </si>
  <si>
    <t>软件</t>
  </si>
  <si>
    <t>土地使用权</t>
  </si>
  <si>
    <t>专利权</t>
  </si>
  <si>
    <t>非专有技术</t>
  </si>
  <si>
    <t>商标权</t>
  </si>
  <si>
    <t>著作权</t>
  </si>
  <si>
    <t>特许经营权</t>
  </si>
  <si>
    <t>无形资产累计摊销计算表（未计提减值情况下适用）</t>
  </si>
  <si>
    <t>期初：</t>
  </si>
  <si>
    <t>摊销期末：</t>
  </si>
  <si>
    <t>原值</t>
  </si>
  <si>
    <t>累计摊销</t>
  </si>
  <si>
    <t>开始使用日期</t>
  </si>
  <si>
    <t>使用期限（年）</t>
  </si>
  <si>
    <t>账面月摊销额</t>
  </si>
  <si>
    <t>当期摊销额</t>
  </si>
  <si>
    <t>摊销期限（月）</t>
  </si>
  <si>
    <t>测算到期日</t>
  </si>
  <si>
    <t>已摊销月份</t>
  </si>
  <si>
    <t>剩余摊销月份</t>
  </si>
  <si>
    <t>本期摊销月份</t>
  </si>
  <si>
    <t>月摊销</t>
  </si>
  <si>
    <t>当期摊销费用</t>
  </si>
  <si>
    <t>月摊销额差异</t>
  </si>
  <si>
    <t>当期摊销额差异</t>
  </si>
  <si>
    <t>累计摊销额差异</t>
  </si>
  <si>
    <t>期末审定余额</t>
  </si>
  <si>
    <r>
      <rPr>
        <sz val="10"/>
        <rFont val="宋体"/>
        <charset val="134"/>
      </rPr>
      <t xml:space="preserve">余额核对
</t>
    </r>
    <r>
      <rPr>
        <sz val="10"/>
        <rFont val="Arial Narrow"/>
        <charset val="134"/>
      </rPr>
      <t>(</t>
    </r>
    <r>
      <rPr>
        <sz val="10"/>
        <rFont val="宋体"/>
        <charset val="134"/>
      </rPr>
      <t>√</t>
    </r>
    <r>
      <rPr>
        <sz val="10"/>
        <rFont val="Arial Narrow"/>
        <charset val="134"/>
      </rPr>
      <t>)</t>
    </r>
  </si>
  <si>
    <t>核对确认金额</t>
  </si>
  <si>
    <t>重要客户/供应商账龄划分（√）</t>
  </si>
  <si>
    <t>1个月以内</t>
  </si>
  <si>
    <t>2-3月</t>
  </si>
  <si>
    <t>4-6月</t>
  </si>
  <si>
    <t>6个月以上</t>
  </si>
  <si>
    <t>重要客户/供应商背调(√)</t>
  </si>
  <si>
    <t>背景调查</t>
  </si>
  <si>
    <t>期初金额（取数为：科目余额表期初借方-贷方）</t>
  </si>
  <si>
    <r>
      <rPr>
        <sz val="10"/>
        <rFont val="宋体"/>
        <charset val="134"/>
      </rPr>
      <t>本期借方</t>
    </r>
  </si>
  <si>
    <r>
      <rPr>
        <sz val="10"/>
        <rFont val="宋体"/>
        <charset val="134"/>
      </rPr>
      <t>本期贷方</t>
    </r>
  </si>
  <si>
    <r>
      <rPr>
        <sz val="10"/>
        <rFont val="宋体"/>
        <charset val="134"/>
      </rPr>
      <t>期末金额</t>
    </r>
  </si>
  <si>
    <t>企业调整</t>
  </si>
  <si>
    <t>法定代表人</t>
  </si>
  <si>
    <t>成立日期</t>
  </si>
  <si>
    <t>注册地址</t>
  </si>
  <si>
    <t>注册资本（万元）</t>
  </si>
  <si>
    <t>行业</t>
  </si>
  <si>
    <t>股权结构</t>
  </si>
  <si>
    <t>企业规模</t>
  </si>
  <si>
    <t>员工人数</t>
  </si>
  <si>
    <t>纳税人资质</t>
  </si>
  <si>
    <t>经营范围</t>
  </si>
  <si>
    <r>
      <rPr>
        <sz val="10"/>
        <rFont val="宋体"/>
        <charset val="134"/>
      </rPr>
      <t>账面余额总计</t>
    </r>
  </si>
  <si>
    <r>
      <rPr>
        <sz val="10"/>
        <rFont val="宋体"/>
        <charset val="134"/>
      </rPr>
      <t>坏账准备</t>
    </r>
  </si>
  <si>
    <r>
      <rPr>
        <sz val="10"/>
        <rFont val="宋体"/>
        <charset val="134"/>
      </rPr>
      <t>账面价值总计</t>
    </r>
  </si>
  <si>
    <t>关联方交易列示及核对</t>
  </si>
  <si>
    <r>
      <rPr>
        <sz val="10"/>
        <color indexed="8"/>
        <rFont val="宋体"/>
        <charset val="134"/>
      </rPr>
      <t>编号</t>
    </r>
  </si>
  <si>
    <r>
      <rPr>
        <sz val="10"/>
        <color indexed="8"/>
        <rFont val="宋体"/>
        <charset val="134"/>
      </rPr>
      <t>项目名称</t>
    </r>
  </si>
  <si>
    <r>
      <rPr>
        <sz val="10"/>
        <color indexed="8"/>
        <rFont val="宋体"/>
        <charset val="134"/>
      </rPr>
      <t>关联单位名称</t>
    </r>
  </si>
  <si>
    <r>
      <rPr>
        <sz val="10"/>
        <color indexed="8"/>
        <rFont val="宋体"/>
        <charset val="134"/>
      </rPr>
      <t>关联方关系</t>
    </r>
  </si>
  <si>
    <r>
      <rPr>
        <sz val="10"/>
        <color theme="1"/>
        <rFont val="宋体"/>
        <charset val="134"/>
      </rPr>
      <t>期末余额</t>
    </r>
  </si>
  <si>
    <t>款项性质</t>
  </si>
  <si>
    <t>关联方信息</t>
  </si>
  <si>
    <t>挂账科目</t>
  </si>
  <si>
    <r>
      <rPr>
        <sz val="10"/>
        <color indexed="8"/>
        <rFont val="宋体"/>
        <charset val="134"/>
      </rPr>
      <t>合计</t>
    </r>
  </si>
  <si>
    <t>期初金额（取数为：科目余额表期初贷方-借方）</t>
  </si>
  <si>
    <t>————</t>
  </si>
  <si>
    <t>长期股权投资审定表</t>
  </si>
  <si>
    <t>项目名称</t>
  </si>
  <si>
    <r>
      <rPr>
        <sz val="10"/>
        <rFont val="宋体"/>
        <charset val="134"/>
      </rPr>
      <t>期初金额</t>
    </r>
  </si>
  <si>
    <t>一、账面余额</t>
  </si>
  <si>
    <t>对子公司的股资</t>
  </si>
  <si>
    <t>对合营企业的投资</t>
  </si>
  <si>
    <t>对联营企业的投资</t>
  </si>
  <si>
    <t>二、减值准备</t>
  </si>
  <si>
    <t>三、账面净额</t>
  </si>
  <si>
    <t>长期股权投资明细表-子公司</t>
  </si>
  <si>
    <t>一、基本情况</t>
  </si>
  <si>
    <r>
      <rPr>
        <sz val="10"/>
        <rFont val="宋体"/>
        <charset val="134"/>
      </rPr>
      <t>重要性标准：</t>
    </r>
  </si>
  <si>
    <r>
      <rPr>
        <sz val="10"/>
        <rFont val="宋体"/>
        <charset val="134"/>
      </rPr>
      <t>重要性标准说明：</t>
    </r>
  </si>
  <si>
    <t>子公司名称</t>
  </si>
  <si>
    <t>主要经营地</t>
  </si>
  <si>
    <t>注册地</t>
  </si>
  <si>
    <t>业务性质</t>
  </si>
  <si>
    <r>
      <rPr>
        <sz val="9"/>
        <rFont val="宋体"/>
        <charset val="134"/>
      </rPr>
      <t>期初持股比例（</t>
    </r>
    <r>
      <rPr>
        <sz val="9"/>
        <rFont val="Arial Narrow"/>
        <charset val="134"/>
      </rPr>
      <t>%</t>
    </r>
    <r>
      <rPr>
        <sz val="9"/>
        <rFont val="宋体"/>
        <charset val="134"/>
      </rPr>
      <t>）</t>
    </r>
  </si>
  <si>
    <r>
      <rPr>
        <sz val="9"/>
        <rFont val="宋体"/>
        <charset val="134"/>
      </rPr>
      <t>持股比例本期变动（</t>
    </r>
    <r>
      <rPr>
        <sz val="9"/>
        <rFont val="Arial Narrow"/>
        <charset val="134"/>
      </rPr>
      <t>%</t>
    </r>
    <r>
      <rPr>
        <sz val="9"/>
        <rFont val="宋体"/>
        <charset val="134"/>
      </rPr>
      <t>）</t>
    </r>
  </si>
  <si>
    <r>
      <rPr>
        <sz val="9"/>
        <rFont val="宋体"/>
        <charset val="134"/>
      </rPr>
      <t>期末持股比例（</t>
    </r>
    <r>
      <rPr>
        <sz val="9"/>
        <rFont val="Arial Narrow"/>
        <charset val="134"/>
      </rPr>
      <t>%</t>
    </r>
    <r>
      <rPr>
        <sz val="9"/>
        <rFont val="宋体"/>
        <charset val="134"/>
      </rPr>
      <t>）</t>
    </r>
  </si>
  <si>
    <t>最初投资方式（取得方式）</t>
  </si>
  <si>
    <t>最初投资时间</t>
  </si>
  <si>
    <t>投资意图</t>
  </si>
  <si>
    <t>期末被投资单位所有者权益账面价值</t>
  </si>
  <si>
    <t>期末被审计单位享有被投资单位所有权权益账面价值的份额</t>
  </si>
  <si>
    <t>期末累计少数股东权益</t>
  </si>
  <si>
    <t>是否属于重要非全资子公司</t>
  </si>
  <si>
    <t>初始投资成本</t>
  </si>
  <si>
    <t>本期收到的现金红利</t>
  </si>
  <si>
    <t>获取的投资协议、公司章程、营业执照、组织架构代码证等文件索引</t>
  </si>
  <si>
    <t>直接</t>
  </si>
  <si>
    <t>间接</t>
  </si>
  <si>
    <t>不重要</t>
  </si>
  <si>
    <t>期末报表列报审定</t>
  </si>
  <si>
    <t>一、短期薪酬小计</t>
  </si>
  <si>
    <t>工资、奖金、津贴和补贴</t>
  </si>
  <si>
    <t>职工福利费</t>
  </si>
  <si>
    <t>社会保险费</t>
  </si>
  <si>
    <t>其中：基本医疗保险费</t>
  </si>
  <si>
    <t>补充医疗保险费</t>
  </si>
  <si>
    <t>工伤保险费</t>
  </si>
  <si>
    <t>生育保险费</t>
  </si>
  <si>
    <t>住房公积金</t>
  </si>
  <si>
    <t>工会经费</t>
  </si>
  <si>
    <t>职工教育经费</t>
  </si>
  <si>
    <t>二、离职后福利—设定提存计划</t>
  </si>
  <si>
    <t>基本养老保险</t>
  </si>
  <si>
    <t>失业保险费</t>
  </si>
  <si>
    <t>企业年金缴费</t>
  </si>
  <si>
    <t>三、离职后福利—设定受益计划</t>
  </si>
  <si>
    <t>四、辞退福利</t>
  </si>
  <si>
    <t>五、一年内到期的长期职工福利</t>
  </si>
  <si>
    <t>应付职工薪酬分配检查情况表</t>
  </si>
  <si>
    <t>主营业务成本</t>
  </si>
  <si>
    <t>检查本期分配是否正确</t>
  </si>
  <si>
    <t>借：其他应付款</t>
  </si>
  <si>
    <t>贷：银行存款</t>
  </si>
  <si>
    <t>借：应付职工薪酬</t>
  </si>
  <si>
    <t>贷：其他应付款</t>
  </si>
  <si>
    <t>增值税</t>
  </si>
  <si>
    <t>个人所得税</t>
  </si>
  <si>
    <t>企业所得税</t>
  </si>
  <si>
    <t>城市维护建设税</t>
  </si>
  <si>
    <t>教育费附加</t>
  </si>
  <si>
    <t>地方教育费附加</t>
  </si>
  <si>
    <t>印花税</t>
  </si>
  <si>
    <t>账面收入总额</t>
  </si>
  <si>
    <r>
      <rPr>
        <sz val="10"/>
        <color indexed="8"/>
        <rFont val="宋体"/>
        <charset val="134"/>
      </rPr>
      <t>项目</t>
    </r>
  </si>
  <si>
    <r>
      <rPr>
        <sz val="10"/>
        <color indexed="8"/>
        <rFont val="宋体"/>
        <charset val="134"/>
      </rPr>
      <t>账面数</t>
    </r>
  </si>
  <si>
    <t>申报数</t>
  </si>
  <si>
    <t>审计说明</t>
  </si>
  <si>
    <t>增值税申报表销售总额</t>
  </si>
  <si>
    <r>
      <rPr>
        <sz val="10"/>
        <color indexed="8"/>
        <rFont val="宋体"/>
        <charset val="134"/>
      </rPr>
      <t>一、应交增值税</t>
    </r>
  </si>
  <si>
    <t>所得税申报表收入总额</t>
  </si>
  <si>
    <r>
      <rPr>
        <sz val="10"/>
        <color indexed="8"/>
        <rFont val="Arial Narrow"/>
        <charset val="134"/>
      </rPr>
      <t>1</t>
    </r>
    <r>
      <rPr>
        <sz val="10"/>
        <color indexed="8"/>
        <rFont val="宋体"/>
        <charset val="134"/>
      </rPr>
      <t>．年初未抵扣数</t>
    </r>
    <r>
      <rPr>
        <sz val="10"/>
        <color indexed="8"/>
        <rFont val="Arial Narrow"/>
        <charset val="134"/>
      </rPr>
      <t>(</t>
    </r>
    <r>
      <rPr>
        <sz val="10"/>
        <color indexed="8"/>
        <rFont val="宋体"/>
        <charset val="134"/>
      </rPr>
      <t>用</t>
    </r>
    <r>
      <rPr>
        <sz val="10"/>
        <color indexed="8"/>
        <rFont val="Arial Narrow"/>
        <charset val="134"/>
      </rPr>
      <t>“-”</t>
    </r>
    <r>
      <rPr>
        <sz val="10"/>
        <color indexed="8"/>
        <rFont val="宋体"/>
        <charset val="134"/>
      </rPr>
      <t>反映</t>
    </r>
    <r>
      <rPr>
        <sz val="10"/>
        <color indexed="8"/>
        <rFont val="Arial Narrow"/>
        <charset val="134"/>
      </rPr>
      <t>)</t>
    </r>
  </si>
  <si>
    <t>账面利润总额</t>
  </si>
  <si>
    <r>
      <rPr>
        <sz val="10"/>
        <color indexed="8"/>
        <rFont val="Arial Narrow"/>
        <charset val="134"/>
      </rPr>
      <t>2</t>
    </r>
    <r>
      <rPr>
        <sz val="10"/>
        <color indexed="8"/>
        <rFont val="宋体"/>
        <charset val="134"/>
      </rPr>
      <t>．销项税额</t>
    </r>
  </si>
  <si>
    <t>所得税申报表利润总额</t>
  </si>
  <si>
    <t xml:space="preserve">   出口退税</t>
  </si>
  <si>
    <t>增值税与账面差异</t>
  </si>
  <si>
    <t xml:space="preserve">   进项税额转出</t>
  </si>
  <si>
    <t>所得税与账面差异</t>
  </si>
  <si>
    <t xml:space="preserve">   转出多交增值税</t>
  </si>
  <si>
    <t>利润与账面差异</t>
  </si>
  <si>
    <r>
      <rPr>
        <sz val="10"/>
        <color indexed="8"/>
        <rFont val="Arial Narrow"/>
        <charset val="134"/>
      </rPr>
      <t>3</t>
    </r>
    <r>
      <rPr>
        <sz val="10"/>
        <color indexed="8"/>
        <rFont val="宋体"/>
        <charset val="134"/>
      </rPr>
      <t>．进项税额</t>
    </r>
  </si>
  <si>
    <t xml:space="preserve">   已交税金</t>
  </si>
  <si>
    <t xml:space="preserve">   减免税款</t>
  </si>
  <si>
    <t xml:space="preserve">   销项税额抵减</t>
  </si>
  <si>
    <t xml:space="preserve">   出口抵减内销产品应纳税额</t>
  </si>
  <si>
    <t xml:space="preserve">   转出未交增值税</t>
  </si>
  <si>
    <r>
      <rPr>
        <sz val="10"/>
        <color indexed="8"/>
        <rFont val="Arial Narrow"/>
        <charset val="134"/>
      </rPr>
      <t>4</t>
    </r>
    <r>
      <rPr>
        <sz val="10"/>
        <color indexed="8"/>
        <rFont val="宋体"/>
        <charset val="134"/>
      </rPr>
      <t>．期末未抵扣数</t>
    </r>
    <r>
      <rPr>
        <sz val="10"/>
        <color indexed="8"/>
        <rFont val="Arial Narrow"/>
        <charset val="134"/>
      </rPr>
      <t>(</t>
    </r>
    <r>
      <rPr>
        <sz val="10"/>
        <color indexed="8"/>
        <rFont val="宋体"/>
        <charset val="134"/>
      </rPr>
      <t>多交数用</t>
    </r>
    <r>
      <rPr>
        <sz val="10"/>
        <color indexed="8"/>
        <rFont val="Arial Narrow"/>
        <charset val="134"/>
      </rPr>
      <t>“-”</t>
    </r>
    <r>
      <rPr>
        <sz val="10"/>
        <color indexed="8"/>
        <rFont val="宋体"/>
        <charset val="134"/>
      </rPr>
      <t>反映</t>
    </r>
    <r>
      <rPr>
        <sz val="10"/>
        <color indexed="8"/>
        <rFont val="Arial Narrow"/>
        <charset val="134"/>
      </rPr>
      <t>)</t>
    </r>
  </si>
  <si>
    <r>
      <rPr>
        <sz val="10"/>
        <color indexed="8"/>
        <rFont val="宋体"/>
        <charset val="134"/>
      </rPr>
      <t>二、未交增值税</t>
    </r>
  </si>
  <si>
    <r>
      <rPr>
        <sz val="10"/>
        <color indexed="8"/>
        <rFont val="Arial Narrow"/>
        <charset val="134"/>
      </rPr>
      <t>1</t>
    </r>
    <r>
      <rPr>
        <sz val="10"/>
        <color indexed="8"/>
        <rFont val="宋体"/>
        <charset val="134"/>
      </rPr>
      <t>．年初未交数</t>
    </r>
    <r>
      <rPr>
        <sz val="10"/>
        <color indexed="8"/>
        <rFont val="Arial Narrow"/>
        <charset val="134"/>
      </rPr>
      <t>(</t>
    </r>
    <r>
      <rPr>
        <sz val="10"/>
        <color indexed="8"/>
        <rFont val="宋体"/>
        <charset val="134"/>
      </rPr>
      <t>多交数以</t>
    </r>
    <r>
      <rPr>
        <sz val="10"/>
        <color indexed="8"/>
        <rFont val="Arial Narrow"/>
        <charset val="134"/>
      </rPr>
      <t>“-”</t>
    </r>
    <r>
      <rPr>
        <sz val="10"/>
        <color indexed="8"/>
        <rFont val="宋体"/>
        <charset val="134"/>
      </rPr>
      <t>反映</t>
    </r>
    <r>
      <rPr>
        <sz val="10"/>
        <color indexed="8"/>
        <rFont val="Arial Narrow"/>
        <charset val="134"/>
      </rPr>
      <t>)</t>
    </r>
  </si>
  <si>
    <r>
      <rPr>
        <sz val="10"/>
        <color indexed="8"/>
        <rFont val="Arial Narrow"/>
        <charset val="134"/>
      </rPr>
      <t>2</t>
    </r>
    <r>
      <rPr>
        <sz val="10"/>
        <color indexed="8"/>
        <rFont val="宋体"/>
        <charset val="134"/>
      </rPr>
      <t>．本期转入数</t>
    </r>
    <r>
      <rPr>
        <sz val="10"/>
        <color indexed="8"/>
        <rFont val="Arial Narrow"/>
        <charset val="134"/>
      </rPr>
      <t>(</t>
    </r>
    <r>
      <rPr>
        <sz val="10"/>
        <color indexed="8"/>
        <rFont val="宋体"/>
        <charset val="134"/>
      </rPr>
      <t>多交数以</t>
    </r>
    <r>
      <rPr>
        <sz val="10"/>
        <color indexed="8"/>
        <rFont val="Arial Narrow"/>
        <charset val="134"/>
      </rPr>
      <t>“-”</t>
    </r>
    <r>
      <rPr>
        <sz val="10"/>
        <color indexed="8"/>
        <rFont val="宋体"/>
        <charset val="134"/>
      </rPr>
      <t>反映</t>
    </r>
    <r>
      <rPr>
        <sz val="10"/>
        <color indexed="8"/>
        <rFont val="Arial Narrow"/>
        <charset val="134"/>
      </rPr>
      <t>)</t>
    </r>
  </si>
  <si>
    <r>
      <rPr>
        <sz val="10"/>
        <color indexed="8"/>
        <rFont val="Arial Narrow"/>
        <charset val="134"/>
      </rPr>
      <t>3</t>
    </r>
    <r>
      <rPr>
        <sz val="10"/>
        <color indexed="8"/>
        <rFont val="宋体"/>
        <charset val="134"/>
      </rPr>
      <t>．本期已交数</t>
    </r>
  </si>
  <si>
    <r>
      <rPr>
        <sz val="10"/>
        <color indexed="8"/>
        <rFont val="Arial Narrow"/>
        <charset val="134"/>
      </rPr>
      <t>4</t>
    </r>
    <r>
      <rPr>
        <sz val="10"/>
        <color indexed="8"/>
        <rFont val="宋体"/>
        <charset val="134"/>
      </rPr>
      <t>．期末未交数</t>
    </r>
    <r>
      <rPr>
        <sz val="10"/>
        <color indexed="8"/>
        <rFont val="Arial Narrow"/>
        <charset val="134"/>
      </rPr>
      <t>(</t>
    </r>
    <r>
      <rPr>
        <sz val="10"/>
        <color indexed="8"/>
        <rFont val="宋体"/>
        <charset val="134"/>
      </rPr>
      <t>多交数以</t>
    </r>
    <r>
      <rPr>
        <sz val="10"/>
        <color indexed="8"/>
        <rFont val="Arial Narrow"/>
        <charset val="134"/>
      </rPr>
      <t>“-”</t>
    </r>
    <r>
      <rPr>
        <sz val="10"/>
        <color indexed="8"/>
        <rFont val="宋体"/>
        <charset val="134"/>
      </rPr>
      <t>反映</t>
    </r>
    <r>
      <rPr>
        <sz val="10"/>
        <color indexed="8"/>
        <rFont val="Arial Narrow"/>
        <charset val="134"/>
      </rPr>
      <t>)</t>
    </r>
  </si>
  <si>
    <t>三、预交增值税</t>
  </si>
  <si>
    <r>
      <rPr>
        <sz val="10"/>
        <color indexed="8"/>
        <rFont val="Arial Narrow"/>
        <charset val="134"/>
      </rPr>
      <t>1</t>
    </r>
    <r>
      <rPr>
        <sz val="10"/>
        <color indexed="8"/>
        <rFont val="宋体"/>
        <charset val="134"/>
      </rPr>
      <t>．年初预交增值税余额</t>
    </r>
  </si>
  <si>
    <r>
      <rPr>
        <sz val="10"/>
        <color indexed="8"/>
        <rFont val="Arial Narrow"/>
        <charset val="134"/>
      </rPr>
      <t>2</t>
    </r>
    <r>
      <rPr>
        <sz val="10"/>
        <color indexed="8"/>
        <rFont val="宋体"/>
        <charset val="134"/>
      </rPr>
      <t>．本期新增预交增值税</t>
    </r>
  </si>
  <si>
    <r>
      <rPr>
        <sz val="10"/>
        <color indexed="8"/>
        <rFont val="Arial Narrow"/>
        <charset val="134"/>
      </rPr>
      <t>3</t>
    </r>
    <r>
      <rPr>
        <sz val="10"/>
        <color indexed="8"/>
        <rFont val="宋体"/>
        <charset val="134"/>
      </rPr>
      <t>．预交增值税本期转出</t>
    </r>
  </si>
  <si>
    <r>
      <rPr>
        <sz val="10"/>
        <color indexed="8"/>
        <rFont val="Arial Narrow"/>
        <charset val="134"/>
      </rPr>
      <t>4</t>
    </r>
    <r>
      <rPr>
        <sz val="10"/>
        <color indexed="8"/>
        <rFont val="宋体"/>
        <charset val="134"/>
      </rPr>
      <t>．年末预交增值税余额</t>
    </r>
  </si>
  <si>
    <t>四、待抵扣进项税额</t>
  </si>
  <si>
    <r>
      <rPr>
        <sz val="10"/>
        <color indexed="8"/>
        <rFont val="Arial Narrow"/>
        <charset val="134"/>
      </rPr>
      <t>1</t>
    </r>
    <r>
      <rPr>
        <sz val="10"/>
        <color indexed="8"/>
        <rFont val="宋体"/>
        <charset val="134"/>
      </rPr>
      <t>．年初待抵扣进项税额余额</t>
    </r>
  </si>
  <si>
    <r>
      <rPr>
        <sz val="10"/>
        <color indexed="8"/>
        <rFont val="Arial Narrow"/>
        <charset val="134"/>
      </rPr>
      <t>2</t>
    </r>
    <r>
      <rPr>
        <sz val="10"/>
        <color indexed="8"/>
        <rFont val="宋体"/>
        <charset val="134"/>
      </rPr>
      <t>．本期新增待抵扣进项税额</t>
    </r>
  </si>
  <si>
    <r>
      <rPr>
        <sz val="10"/>
        <color indexed="8"/>
        <rFont val="Arial Narrow"/>
        <charset val="134"/>
      </rPr>
      <t>3</t>
    </r>
    <r>
      <rPr>
        <sz val="10"/>
        <color indexed="8"/>
        <rFont val="宋体"/>
        <charset val="134"/>
      </rPr>
      <t>．待抵扣进项税额本期转出</t>
    </r>
  </si>
  <si>
    <r>
      <rPr>
        <sz val="10"/>
        <color indexed="8"/>
        <rFont val="Arial Narrow"/>
        <charset val="134"/>
      </rPr>
      <t>4</t>
    </r>
    <r>
      <rPr>
        <sz val="10"/>
        <color indexed="8"/>
        <rFont val="宋体"/>
        <charset val="134"/>
      </rPr>
      <t>．年末待抵扣进项税额余额</t>
    </r>
  </si>
  <si>
    <t>五、待认证进项税额</t>
  </si>
  <si>
    <r>
      <rPr>
        <sz val="10"/>
        <color indexed="8"/>
        <rFont val="Arial Narrow"/>
        <charset val="134"/>
      </rPr>
      <t>1</t>
    </r>
    <r>
      <rPr>
        <sz val="10"/>
        <color indexed="8"/>
        <rFont val="宋体"/>
        <charset val="134"/>
      </rPr>
      <t>．年初待认证进项税额余额</t>
    </r>
  </si>
  <si>
    <r>
      <rPr>
        <sz val="10"/>
        <color indexed="8"/>
        <rFont val="Arial Narrow"/>
        <charset val="134"/>
      </rPr>
      <t>2</t>
    </r>
    <r>
      <rPr>
        <sz val="10"/>
        <color indexed="8"/>
        <rFont val="宋体"/>
        <charset val="134"/>
      </rPr>
      <t>．本期新增待认证进项税额</t>
    </r>
  </si>
  <si>
    <r>
      <rPr>
        <sz val="10"/>
        <color indexed="8"/>
        <rFont val="Arial Narrow"/>
        <charset val="134"/>
      </rPr>
      <t>3</t>
    </r>
    <r>
      <rPr>
        <sz val="10"/>
        <color indexed="8"/>
        <rFont val="宋体"/>
        <charset val="134"/>
      </rPr>
      <t>．待认证进项税额本期抵扣转出</t>
    </r>
  </si>
  <si>
    <r>
      <rPr>
        <sz val="10"/>
        <color indexed="8"/>
        <rFont val="Arial Narrow"/>
        <charset val="134"/>
      </rPr>
      <t>4</t>
    </r>
    <r>
      <rPr>
        <sz val="10"/>
        <color indexed="8"/>
        <rFont val="宋体"/>
        <charset val="134"/>
      </rPr>
      <t>．年末待认证进项税额余额</t>
    </r>
  </si>
  <si>
    <t>六、待转销项税额</t>
  </si>
  <si>
    <r>
      <rPr>
        <sz val="10"/>
        <color indexed="8"/>
        <rFont val="Arial Narrow"/>
        <charset val="134"/>
      </rPr>
      <t>1</t>
    </r>
    <r>
      <rPr>
        <sz val="10"/>
        <color indexed="8"/>
        <rFont val="宋体"/>
        <charset val="134"/>
      </rPr>
      <t>．年初待转销项税额余额</t>
    </r>
  </si>
  <si>
    <r>
      <rPr>
        <sz val="10"/>
        <color indexed="8"/>
        <rFont val="Arial Narrow"/>
        <charset val="134"/>
      </rPr>
      <t>2</t>
    </r>
    <r>
      <rPr>
        <sz val="10"/>
        <color indexed="8"/>
        <rFont val="宋体"/>
        <charset val="134"/>
      </rPr>
      <t>．本期新增转销项税额</t>
    </r>
  </si>
  <si>
    <r>
      <rPr>
        <sz val="10"/>
        <color indexed="8"/>
        <rFont val="Arial Narrow"/>
        <charset val="134"/>
      </rPr>
      <t>3</t>
    </r>
    <r>
      <rPr>
        <sz val="10"/>
        <color indexed="8"/>
        <rFont val="宋体"/>
        <charset val="134"/>
      </rPr>
      <t>．本期确认销项税额转出</t>
    </r>
  </si>
  <si>
    <r>
      <rPr>
        <sz val="10"/>
        <color indexed="8"/>
        <rFont val="Arial Narrow"/>
        <charset val="134"/>
      </rPr>
      <t>4</t>
    </r>
    <r>
      <rPr>
        <sz val="10"/>
        <color indexed="8"/>
        <rFont val="宋体"/>
        <charset val="134"/>
      </rPr>
      <t>．年末待转销项税额余额</t>
    </r>
  </si>
  <si>
    <t>七、增值税留抵税额</t>
  </si>
  <si>
    <r>
      <rPr>
        <sz val="10"/>
        <color indexed="8"/>
        <rFont val="Arial Narrow"/>
        <charset val="134"/>
      </rPr>
      <t>3</t>
    </r>
    <r>
      <rPr>
        <sz val="10"/>
        <color indexed="8"/>
        <rFont val="宋体"/>
        <charset val="134"/>
      </rPr>
      <t>．本期抵扣留抵税额转出</t>
    </r>
  </si>
  <si>
    <r>
      <rPr>
        <sz val="10"/>
        <color indexed="8"/>
        <rFont val="Arial Narrow"/>
        <charset val="134"/>
      </rPr>
      <t>1</t>
    </r>
    <r>
      <rPr>
        <sz val="10"/>
        <color indexed="8"/>
        <rFont val="宋体"/>
        <charset val="134"/>
      </rPr>
      <t>．年末待转销项税额余额</t>
    </r>
  </si>
  <si>
    <t>八、简易计税</t>
  </si>
  <si>
    <r>
      <rPr>
        <sz val="10"/>
        <color indexed="8"/>
        <rFont val="Arial Narrow"/>
        <charset val="134"/>
      </rPr>
      <t>1</t>
    </r>
    <r>
      <rPr>
        <sz val="10"/>
        <color indexed="8"/>
        <rFont val="宋体"/>
        <charset val="134"/>
      </rPr>
      <t>．年初余额</t>
    </r>
  </si>
  <si>
    <r>
      <rPr>
        <sz val="10"/>
        <color indexed="8"/>
        <rFont val="Arial Narrow"/>
        <charset val="134"/>
      </rPr>
      <t>2</t>
    </r>
    <r>
      <rPr>
        <sz val="10"/>
        <color indexed="8"/>
        <rFont val="宋体"/>
        <charset val="134"/>
      </rPr>
      <t>．本期计得增值税</t>
    </r>
  </si>
  <si>
    <r>
      <rPr>
        <sz val="10"/>
        <color indexed="8"/>
        <rFont val="Arial Narrow"/>
        <charset val="134"/>
      </rPr>
      <t>3</t>
    </r>
    <r>
      <rPr>
        <sz val="10"/>
        <color indexed="8"/>
        <rFont val="宋体"/>
        <charset val="134"/>
      </rPr>
      <t>．本期扣减增值税</t>
    </r>
  </si>
  <si>
    <r>
      <rPr>
        <sz val="10"/>
        <color indexed="8"/>
        <rFont val="Arial Narrow"/>
        <charset val="134"/>
      </rPr>
      <t>3</t>
    </r>
    <r>
      <rPr>
        <sz val="10"/>
        <color indexed="8"/>
        <rFont val="宋体"/>
        <charset val="134"/>
      </rPr>
      <t>．本期预缴</t>
    </r>
    <r>
      <rPr>
        <sz val="10"/>
        <color indexed="8"/>
        <rFont val="Arial Narrow"/>
        <charset val="134"/>
      </rPr>
      <t>(</t>
    </r>
    <r>
      <rPr>
        <sz val="10"/>
        <color indexed="8"/>
        <rFont val="宋体"/>
        <charset val="134"/>
      </rPr>
      <t>缴纳）增值税</t>
    </r>
  </si>
  <si>
    <r>
      <rPr>
        <sz val="10"/>
        <color indexed="8"/>
        <rFont val="Arial Narrow"/>
        <charset val="134"/>
      </rPr>
      <t>4</t>
    </r>
    <r>
      <rPr>
        <sz val="10"/>
        <color indexed="8"/>
        <rFont val="宋体"/>
        <charset val="134"/>
      </rPr>
      <t>．年末余额</t>
    </r>
  </si>
  <si>
    <t>九、转让金融商品应交增值税</t>
  </si>
  <si>
    <t>十、代扣代交增值税</t>
  </si>
  <si>
    <t>短期借款明细表</t>
  </si>
  <si>
    <t>本期起息日</t>
  </si>
  <si>
    <t>本期计息截止日：</t>
  </si>
  <si>
    <r>
      <rPr>
        <sz val="9"/>
        <rFont val="宋体"/>
        <charset val="134"/>
      </rPr>
      <t>贷款银行
（按单笔借款填列）</t>
    </r>
  </si>
  <si>
    <r>
      <rPr>
        <sz val="9"/>
        <rFont val="宋体"/>
        <charset val="134"/>
      </rPr>
      <t>借款期限</t>
    </r>
  </si>
  <si>
    <r>
      <rPr>
        <sz val="10"/>
        <rFont val="宋体"/>
        <charset val="134"/>
      </rPr>
      <t>利息测算</t>
    </r>
  </si>
  <si>
    <t>借款合同编号</t>
  </si>
  <si>
    <r>
      <rPr>
        <sz val="9"/>
        <rFont val="宋体"/>
        <charset val="134"/>
      </rPr>
      <t>借款条件</t>
    </r>
  </si>
  <si>
    <r>
      <rPr>
        <sz val="9"/>
        <rFont val="宋体"/>
        <charset val="134"/>
      </rPr>
      <t>借款用途</t>
    </r>
  </si>
  <si>
    <t>担保/抵押/质押合同编号</t>
  </si>
  <si>
    <r>
      <rPr>
        <sz val="9"/>
        <rFont val="宋体"/>
        <charset val="134"/>
      </rPr>
      <t>合同信息是否与明细表信息相符</t>
    </r>
  </si>
  <si>
    <r>
      <rPr>
        <sz val="9"/>
        <rFont val="宋体"/>
        <charset val="134"/>
      </rPr>
      <t>借款日</t>
    </r>
  </si>
  <si>
    <r>
      <rPr>
        <sz val="9"/>
        <rFont val="宋体"/>
        <charset val="134"/>
      </rPr>
      <t>约定还款日</t>
    </r>
  </si>
  <si>
    <r>
      <rPr>
        <sz val="10"/>
        <rFont val="宋体"/>
        <charset val="134"/>
      </rPr>
      <t>贷款利率</t>
    </r>
    <r>
      <rPr>
        <sz val="10"/>
        <rFont val="Arial Narrow"/>
        <charset val="134"/>
      </rPr>
      <t>(%)</t>
    </r>
  </si>
  <si>
    <r>
      <rPr>
        <sz val="10"/>
        <rFont val="宋体"/>
        <charset val="134"/>
      </rPr>
      <t>起息日</t>
    </r>
  </si>
  <si>
    <r>
      <rPr>
        <sz val="10"/>
        <rFont val="宋体"/>
        <charset val="134"/>
      </rPr>
      <t>结算日</t>
    </r>
  </si>
  <si>
    <r>
      <rPr>
        <sz val="9"/>
        <rFont val="宋体"/>
        <charset val="134"/>
      </rPr>
      <t>本期应计利息</t>
    </r>
  </si>
  <si>
    <r>
      <rPr>
        <sz val="9"/>
        <rFont val="宋体"/>
        <charset val="134"/>
      </rPr>
      <t>本期实计利息</t>
    </r>
  </si>
  <si>
    <t>本期发生额</t>
  </si>
  <si>
    <t>上期发生额</t>
  </si>
  <si>
    <t>本期与上期的金额变化</t>
  </si>
  <si>
    <t>增减额</t>
  </si>
  <si>
    <t>变动率</t>
  </si>
  <si>
    <t>一、主营业务收入</t>
  </si>
  <si>
    <t>主营业务收入_销售收入_销售收入-6%</t>
  </si>
  <si>
    <t>商品大类:网娱</t>
  </si>
  <si>
    <t>平台:抖音+WPS网络会员专卖店</t>
  </si>
  <si>
    <t>平台:福禄开放平台</t>
  </si>
  <si>
    <t>商品大类:卡券</t>
  </si>
  <si>
    <t>主营业务收入_技术服务收入_佣金服务</t>
  </si>
  <si>
    <t>主营业务收入_技术服务收入_平台服务</t>
  </si>
  <si>
    <t>主营业务收入_技术服务收入_代运营服务</t>
  </si>
  <si>
    <r>
      <rPr>
        <b/>
        <sz val="10"/>
        <color indexed="8"/>
        <rFont val="宋体"/>
        <charset val="134"/>
      </rPr>
      <t>小计</t>
    </r>
  </si>
  <si>
    <t>二、其他业务收入</t>
  </si>
  <si>
    <t>其他</t>
  </si>
  <si>
    <r>
      <rPr>
        <b/>
        <sz val="10"/>
        <rFont val="宋体"/>
        <charset val="134"/>
      </rPr>
      <t>营业收入合计</t>
    </r>
  </si>
  <si>
    <t>一、主营业务成本</t>
  </si>
  <si>
    <t>主营业务成本_销售成本_销售成本-6%</t>
  </si>
  <si>
    <t>主营业务成本_工资性支出_员工工资</t>
  </si>
  <si>
    <t>主营业务成本_工资性支出_员工社保</t>
  </si>
  <si>
    <t>主营业务成本_工资性支出_员工公积金</t>
  </si>
  <si>
    <t>主营业务成本_技术服务成本 _代运营服务费</t>
  </si>
  <si>
    <t>主营业务成本_技术服务成本 _平台服务成本</t>
  </si>
  <si>
    <t>二、其他业务成本</t>
  </si>
  <si>
    <t>营业成本合计</t>
  </si>
  <si>
    <t>主营业务收入月度毛利率分析表</t>
  </si>
  <si>
    <t>月份</t>
  </si>
  <si>
    <t>本期数</t>
  </si>
  <si>
    <t>上期数</t>
  </si>
  <si>
    <t>变动额</t>
  </si>
  <si>
    <r>
      <rPr>
        <sz val="10"/>
        <color indexed="8"/>
        <rFont val="宋体"/>
        <charset val="134"/>
      </rPr>
      <t>备注</t>
    </r>
  </si>
  <si>
    <r>
      <rPr>
        <sz val="10"/>
        <color indexed="8"/>
        <rFont val="宋体"/>
        <charset val="134"/>
      </rPr>
      <t>主营业务收入</t>
    </r>
  </si>
  <si>
    <r>
      <rPr>
        <sz val="10"/>
        <color indexed="8"/>
        <rFont val="宋体"/>
        <charset val="134"/>
      </rPr>
      <t>主营业务成本</t>
    </r>
  </si>
  <si>
    <t>月度销售收入占比</t>
  </si>
  <si>
    <r>
      <rPr>
        <sz val="10"/>
        <color indexed="8"/>
        <rFont val="宋体"/>
        <charset val="134"/>
      </rPr>
      <t>毛利</t>
    </r>
  </si>
  <si>
    <r>
      <rPr>
        <sz val="10"/>
        <color indexed="8"/>
        <rFont val="宋体"/>
        <charset val="134"/>
      </rPr>
      <t>毛利率</t>
    </r>
  </si>
  <si>
    <t>主营业务收入</t>
  </si>
  <si>
    <r>
      <rPr>
        <sz val="10"/>
        <color indexed="8"/>
        <rFont val="宋体"/>
        <charset val="134"/>
      </rPr>
      <t>月度销售收入占比</t>
    </r>
  </si>
  <si>
    <t>往来科目需要明细一点，填的时候标出重点查看费用</t>
  </si>
  <si>
    <t>结构比</t>
  </si>
  <si>
    <t>发生变动额</t>
  </si>
  <si>
    <t>发生额变动率</t>
  </si>
  <si>
    <t>变动原因分析及取得的支持性文件说明</t>
  </si>
  <si>
    <t>销售费用_工资性支出</t>
  </si>
  <si>
    <t>销售费用_营销费</t>
  </si>
  <si>
    <t>销售费用_测试费</t>
  </si>
  <si>
    <t>销售费用_办公费</t>
  </si>
  <si>
    <t>销售费用_中介机构服务费</t>
  </si>
  <si>
    <t>销售费用_设备折旧费</t>
  </si>
  <si>
    <t>销售费用占营业收入比率分析</t>
  </si>
  <si>
    <r>
      <rPr>
        <sz val="10"/>
        <rFont val="宋体"/>
        <charset val="134"/>
      </rPr>
      <t>占营业收入比率的增加</t>
    </r>
  </si>
  <si>
    <r>
      <rPr>
        <sz val="10"/>
        <rFont val="宋体"/>
        <charset val="134"/>
      </rPr>
      <t>占主营业务收入比率的增加</t>
    </r>
  </si>
  <si>
    <r>
      <rPr>
        <sz val="10"/>
        <rFont val="宋体"/>
        <charset val="134"/>
      </rPr>
      <t>变动原因分析及取得的支持性文件说明</t>
    </r>
  </si>
  <si>
    <r>
      <rPr>
        <sz val="10"/>
        <rFont val="宋体"/>
        <charset val="134"/>
      </rPr>
      <t>本期审定数</t>
    </r>
  </si>
  <si>
    <r>
      <rPr>
        <sz val="10"/>
        <rFont val="宋体"/>
        <charset val="134"/>
      </rPr>
      <t>占营业收入比率</t>
    </r>
  </si>
  <si>
    <r>
      <rPr>
        <sz val="10"/>
        <rFont val="宋体"/>
        <charset val="134"/>
      </rPr>
      <t>占主营业务收入比率</t>
    </r>
  </si>
  <si>
    <r>
      <rPr>
        <sz val="10"/>
        <rFont val="宋体"/>
        <charset val="134"/>
      </rPr>
      <t>上期审定数</t>
    </r>
  </si>
  <si>
    <r>
      <rPr>
        <sz val="10"/>
        <color theme="1"/>
        <rFont val="宋体"/>
        <charset val="134"/>
      </rPr>
      <t>营业收入</t>
    </r>
  </si>
  <si>
    <r>
      <rPr>
        <sz val="10"/>
        <color theme="1"/>
        <rFont val="宋体"/>
        <charset val="134"/>
      </rPr>
      <t>主营业务收入</t>
    </r>
  </si>
  <si>
    <t>销售费用明细：</t>
  </si>
  <si>
    <t>管理费用_工资性支出</t>
  </si>
  <si>
    <t>管理费用_房租物业费</t>
  </si>
  <si>
    <t>管理费用_水电费</t>
  </si>
  <si>
    <t>管理费用_办公费</t>
  </si>
  <si>
    <t>管理费用_中介机构服务费</t>
  </si>
  <si>
    <t>管理费用_设备折旧费</t>
  </si>
  <si>
    <t>管理费用_软件摊销</t>
  </si>
  <si>
    <t>管理费用_研发费</t>
  </si>
  <si>
    <t>管理费用_劳务派遣服务费</t>
  </si>
  <si>
    <t>管理费用_软件服务费</t>
  </si>
  <si>
    <t>管理费用占营业收入比率分析</t>
  </si>
  <si>
    <r>
      <rPr>
        <sz val="10"/>
        <color theme="1"/>
        <rFont val="宋体"/>
        <charset val="134"/>
      </rPr>
      <t>管理费用明细：</t>
    </r>
  </si>
  <si>
    <t>利息支出</t>
  </si>
  <si>
    <t>减：利息收入</t>
  </si>
  <si>
    <t>注：利息收入账面为负数，填此表要转换成正数</t>
  </si>
  <si>
    <t>汇兑损失</t>
  </si>
  <si>
    <t>减：汇兑收益</t>
  </si>
  <si>
    <t>银行手续费</t>
  </si>
  <si>
    <t>营业外收入明细表</t>
  </si>
  <si>
    <t>营业外支出明细表</t>
  </si>
</sst>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 "/>
    <numFmt numFmtId="178" formatCode="0.00_);[Red]\(0.00\)"/>
    <numFmt numFmtId="179" formatCode="0.00_ "/>
    <numFmt numFmtId="180" formatCode="[$-F800]dddd\,\ mmmm\ dd\,\ yyyy"/>
    <numFmt numFmtId="181" formatCode="yyyy&quot;年&quot;m&quot;月&quot;;@"/>
    <numFmt numFmtId="182" formatCode="0_);[Red]\(0\)"/>
    <numFmt numFmtId="183" formatCode="#,##0_ "/>
  </numFmts>
  <fonts count="68">
    <font>
      <sz val="11"/>
      <color indexed="8"/>
      <name val="宋体"/>
      <charset val="134"/>
      <scheme val="minor"/>
    </font>
    <font>
      <b/>
      <sz val="16"/>
      <color indexed="8"/>
      <name val="宋体"/>
      <charset val="134"/>
      <scheme val="minor"/>
    </font>
    <font>
      <sz val="10"/>
      <color indexed="8"/>
      <name val="宋体"/>
      <charset val="134"/>
      <scheme val="minor"/>
    </font>
    <font>
      <sz val="9"/>
      <color indexed="8"/>
      <name val="宋体"/>
      <charset val="134"/>
      <scheme val="minor"/>
    </font>
    <font>
      <sz val="9"/>
      <color rgb="FF000000"/>
      <name val="宋体"/>
      <charset val="134"/>
    </font>
    <font>
      <sz val="9"/>
      <color rgb="FF000000"/>
      <name val="Dialog.plain"/>
      <charset val="134"/>
    </font>
    <font>
      <sz val="10"/>
      <color rgb="FF000000"/>
      <name val="宋体"/>
      <charset val="134"/>
    </font>
    <font>
      <sz val="10"/>
      <name val="宋体"/>
      <charset val="134"/>
    </font>
    <font>
      <sz val="9"/>
      <name val="宋体"/>
      <charset val="134"/>
    </font>
    <font>
      <sz val="10"/>
      <color rgb="FF000000"/>
      <name val="Dialog.plain"/>
      <charset val="134"/>
    </font>
    <font>
      <sz val="10"/>
      <name val="Arial Narrow"/>
      <charset val="134"/>
    </font>
    <font>
      <sz val="9"/>
      <name val="Arial Narrow"/>
      <charset val="134"/>
    </font>
    <font>
      <sz val="9"/>
      <color rgb="FF000000"/>
      <name val="Arial"/>
      <charset val="134"/>
    </font>
    <font>
      <sz val="9"/>
      <name val="Arial"/>
      <charset val="134"/>
    </font>
    <font>
      <b/>
      <sz val="9"/>
      <color rgb="FF000000"/>
      <name val="宋体"/>
      <charset val="134"/>
    </font>
    <font>
      <b/>
      <sz val="9"/>
      <color rgb="FF000000"/>
      <name val="Arial"/>
      <charset val="134"/>
    </font>
    <font>
      <b/>
      <sz val="9"/>
      <color indexed="8"/>
      <name val="Arial"/>
      <charset val="134"/>
    </font>
    <font>
      <b/>
      <sz val="11"/>
      <color indexed="8"/>
      <name val="宋体"/>
      <charset val="134"/>
      <scheme val="minor"/>
    </font>
    <font>
      <sz val="10"/>
      <color theme="1"/>
      <name val="宋体"/>
      <charset val="134"/>
    </font>
    <font>
      <sz val="10"/>
      <color theme="1"/>
      <name val="Arial Narrow"/>
      <charset val="134"/>
    </font>
    <font>
      <sz val="9"/>
      <color indexed="8"/>
      <name val="Arial"/>
      <charset val="134"/>
    </font>
    <font>
      <sz val="10"/>
      <color rgb="FF000000"/>
      <name val="Arial"/>
      <charset val="134"/>
    </font>
    <font>
      <sz val="10"/>
      <color indexed="8"/>
      <name val="宋体"/>
      <charset val="134"/>
    </font>
    <font>
      <sz val="10"/>
      <color indexed="8"/>
      <name val="Arial Narrow"/>
      <charset val="134"/>
    </font>
    <font>
      <b/>
      <sz val="9"/>
      <name val="宋体"/>
      <charset val="134"/>
    </font>
    <font>
      <b/>
      <sz val="10"/>
      <color indexed="8"/>
      <name val="Arial Narrow"/>
      <charset val="134"/>
    </font>
    <font>
      <b/>
      <sz val="9"/>
      <color rgb="FF000000"/>
      <name val="Dialog.plain"/>
      <charset val="134"/>
    </font>
    <font>
      <b/>
      <sz val="9"/>
      <color indexed="8"/>
      <name val="宋体"/>
      <charset val="134"/>
      <scheme val="minor"/>
    </font>
    <font>
      <b/>
      <sz val="10"/>
      <name val="宋体"/>
      <charset val="134"/>
    </font>
    <font>
      <sz val="11"/>
      <color theme="1"/>
      <name val="宋体"/>
      <charset val="134"/>
      <scheme val="minor"/>
    </font>
    <font>
      <b/>
      <sz val="10"/>
      <name val="Arial Narrow"/>
      <charset val="134"/>
    </font>
    <font>
      <b/>
      <sz val="10"/>
      <color rgb="FFFF0000"/>
      <name val="Arial Narrow"/>
      <charset val="134"/>
    </font>
    <font>
      <b/>
      <sz val="10"/>
      <color indexed="8"/>
      <name val="宋体"/>
      <charset val="134"/>
    </font>
    <font>
      <b/>
      <sz val="10"/>
      <color indexed="8"/>
      <name val="宋体"/>
      <charset val="134"/>
      <scheme val="minor"/>
    </font>
    <font>
      <sz val="10"/>
      <name val="Arial"/>
      <charset val="134"/>
    </font>
    <font>
      <sz val="9"/>
      <name val="宋体"/>
      <charset val="134"/>
      <scheme val="minor"/>
    </font>
    <font>
      <sz val="9"/>
      <color theme="1"/>
      <name val="宋体"/>
      <charset val="134"/>
      <scheme val="minor"/>
    </font>
    <font>
      <sz val="9"/>
      <color indexed="8"/>
      <name val="宋体"/>
      <charset val="134"/>
    </font>
    <font>
      <u/>
      <sz val="10"/>
      <name val="Arial Narrow"/>
      <charset val="134"/>
    </font>
    <font>
      <sz val="10"/>
      <color rgb="FFFF0000"/>
      <name val="宋体"/>
      <charset val="134"/>
    </font>
    <font>
      <sz val="9"/>
      <color theme="1"/>
      <name val="宋体"/>
      <charset val="134"/>
    </font>
    <font>
      <b/>
      <sz val="9"/>
      <color indexed="8"/>
      <name val="宋体"/>
      <charset val="134"/>
    </font>
    <font>
      <sz val="9"/>
      <color theme="1"/>
      <name val="Arial Narrow"/>
      <charset val="134"/>
    </font>
    <font>
      <sz val="9"/>
      <color rgb="FFFF0000"/>
      <name val="Arial Narrow"/>
      <charset val="134"/>
    </font>
    <font>
      <b/>
      <sz val="11"/>
      <color rgb="FFFF0000"/>
      <name val="宋体"/>
      <charset val="134"/>
      <scheme val="minor"/>
    </font>
    <font>
      <sz val="12"/>
      <name val="Arial Narrow"/>
      <charset val="134"/>
    </font>
    <font>
      <u/>
      <sz val="11"/>
      <color rgb="FF800080"/>
      <name val="宋体"/>
      <charset val="0"/>
      <scheme val="minor"/>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宋体"/>
      <charset val="134"/>
    </font>
    <font>
      <sz val="9"/>
      <name val="宋体"/>
      <charset val="134"/>
    </font>
    <font>
      <b/>
      <sz val="9"/>
      <color rgb="FF000000"/>
      <name val="宋体"/>
      <charset val="134"/>
    </font>
  </fonts>
  <fills count="48">
    <fill>
      <patternFill patternType="none"/>
    </fill>
    <fill>
      <patternFill patternType="gray125"/>
    </fill>
    <fill>
      <patternFill patternType="solid">
        <fgColor theme="0" tint="-0.15"/>
        <bgColor indexed="64"/>
      </patternFill>
    </fill>
    <fill>
      <patternFill patternType="solid">
        <fgColor theme="4" tint="0.599993896298105"/>
        <bgColor indexed="64"/>
      </patternFill>
    </fill>
    <fill>
      <patternFill patternType="solid">
        <fgColor theme="4" tint="0.6"/>
        <bgColor indexed="64"/>
      </patternFill>
    </fill>
    <fill>
      <patternFill patternType="solid">
        <fgColor theme="0" tint="-0.149937437055574"/>
        <bgColor indexed="64"/>
      </patternFill>
    </fill>
    <fill>
      <patternFill patternType="solid">
        <fgColor theme="6" tint="0.6"/>
        <bgColor indexed="64"/>
      </patternFill>
    </fill>
    <fill>
      <patternFill patternType="solid">
        <fgColor theme="0" tint="-0.14996795556505"/>
        <bgColor indexed="64"/>
      </patternFill>
    </fill>
    <fill>
      <patternFill patternType="solid">
        <fgColor theme="0"/>
        <bgColor indexed="64"/>
      </patternFill>
    </fill>
    <fill>
      <patternFill patternType="solid">
        <fgColor theme="4" tint="0.8"/>
        <bgColor indexed="64"/>
      </patternFill>
    </fill>
    <fill>
      <patternFill patternType="solid">
        <fgColor theme="0" tint="-0.149876400036622"/>
        <bgColor indexed="64"/>
      </patternFill>
    </fill>
    <fill>
      <patternFill patternType="solid">
        <fgColor theme="6" tint="0.8"/>
        <bgColor indexed="64"/>
      </patternFill>
    </fill>
    <fill>
      <patternFill patternType="solid">
        <fgColor theme="0" tint="-0.149845881527146"/>
        <bgColor indexed="64"/>
      </patternFill>
    </fill>
    <fill>
      <patternFill patternType="solid">
        <fgColor rgb="FFD9D9D9"/>
        <bgColor rgb="FF000000"/>
      </patternFill>
    </fill>
    <fill>
      <patternFill patternType="solid">
        <fgColor theme="0" tint="-0.149906918546098"/>
        <bgColor indexed="64"/>
      </patternFill>
    </fill>
    <fill>
      <patternFill patternType="solid">
        <fgColor theme="0" tint="-0.149723807489242"/>
        <bgColor indexed="64"/>
      </patternFill>
    </fill>
    <fill>
      <patternFill patternType="solid">
        <fgColor theme="8" tint="0.799981688894314"/>
        <bgColor indexed="64"/>
      </patternFill>
    </fill>
    <fill>
      <patternFill patternType="solid">
        <fgColor theme="5" tint="0.799890133365886"/>
        <bgColor indexed="64"/>
      </patternFill>
    </fill>
    <fill>
      <patternFill patternType="solid">
        <fgColor rgb="FFDDDDD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9" fillId="0" borderId="0" applyFont="0" applyFill="0" applyBorder="0" applyAlignment="0" applyProtection="0">
      <alignment vertical="center"/>
    </xf>
    <xf numFmtId="44" fontId="29" fillId="0" borderId="0" applyFont="0" applyFill="0" applyBorder="0" applyAlignment="0" applyProtection="0">
      <alignment vertical="center"/>
    </xf>
    <xf numFmtId="9" fontId="29" fillId="0" borderId="0" applyFont="0" applyFill="0" applyBorder="0" applyAlignment="0" applyProtection="0">
      <alignment vertical="center"/>
    </xf>
    <xf numFmtId="41" fontId="29" fillId="0" borderId="0" applyFont="0" applyFill="0" applyBorder="0" applyAlignment="0" applyProtection="0">
      <alignment vertical="center"/>
    </xf>
    <xf numFmtId="42" fontId="29" fillId="0" borderId="0" applyFont="0" applyFill="0" applyBorder="0" applyAlignment="0" applyProtection="0">
      <alignment vertical="center"/>
    </xf>
    <xf numFmtId="0" fontId="47"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29" fillId="19" borderId="15" applyNumberFormat="0" applyFont="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16" applyNumberFormat="0" applyFill="0" applyAlignment="0" applyProtection="0">
      <alignment vertical="center"/>
    </xf>
    <xf numFmtId="0" fontId="52" fillId="0" borderId="16" applyNumberFormat="0" applyFill="0" applyAlignment="0" applyProtection="0">
      <alignment vertical="center"/>
    </xf>
    <xf numFmtId="0" fontId="53" fillId="0" borderId="17" applyNumberFormat="0" applyFill="0" applyAlignment="0" applyProtection="0">
      <alignment vertical="center"/>
    </xf>
    <xf numFmtId="0" fontId="53" fillId="0" borderId="0" applyNumberFormat="0" applyFill="0" applyBorder="0" applyAlignment="0" applyProtection="0">
      <alignment vertical="center"/>
    </xf>
    <xf numFmtId="0" fontId="54" fillId="20" borderId="18" applyNumberFormat="0" applyAlignment="0" applyProtection="0">
      <alignment vertical="center"/>
    </xf>
    <xf numFmtId="0" fontId="55" fillId="21" borderId="19" applyNumberFormat="0" applyAlignment="0" applyProtection="0">
      <alignment vertical="center"/>
    </xf>
    <xf numFmtId="0" fontId="56" fillId="21" borderId="18" applyNumberFormat="0" applyAlignment="0" applyProtection="0">
      <alignment vertical="center"/>
    </xf>
    <xf numFmtId="0" fontId="57" fillId="22" borderId="20" applyNumberFormat="0" applyAlignment="0" applyProtection="0">
      <alignment vertical="center"/>
    </xf>
    <xf numFmtId="0" fontId="58" fillId="0" borderId="21" applyNumberFormat="0" applyFill="0" applyAlignment="0" applyProtection="0">
      <alignment vertical="center"/>
    </xf>
    <xf numFmtId="0" fontId="59" fillId="0" borderId="22" applyNumberFormat="0" applyFill="0" applyAlignment="0" applyProtection="0">
      <alignment vertical="center"/>
    </xf>
    <xf numFmtId="0" fontId="60" fillId="23" borderId="0" applyNumberFormat="0" applyBorder="0" applyAlignment="0" applyProtection="0">
      <alignment vertical="center"/>
    </xf>
    <xf numFmtId="0" fontId="61" fillId="24" borderId="0" applyNumberFormat="0" applyBorder="0" applyAlignment="0" applyProtection="0">
      <alignment vertical="center"/>
    </xf>
    <xf numFmtId="0" fontId="62" fillId="25" borderId="0" applyNumberFormat="0" applyBorder="0" applyAlignment="0" applyProtection="0">
      <alignment vertical="center"/>
    </xf>
    <xf numFmtId="0" fontId="63" fillId="26" borderId="0" applyNumberFormat="0" applyBorder="0" applyAlignment="0" applyProtection="0">
      <alignment vertical="center"/>
    </xf>
    <xf numFmtId="0" fontId="64" fillId="27" borderId="0" applyNumberFormat="0" applyBorder="0" applyAlignment="0" applyProtection="0">
      <alignment vertical="center"/>
    </xf>
    <xf numFmtId="0" fontId="64" fillId="3" borderId="0" applyNumberFormat="0" applyBorder="0" applyAlignment="0" applyProtection="0">
      <alignment vertical="center"/>
    </xf>
    <xf numFmtId="0" fontId="63" fillId="28" borderId="0" applyNumberFormat="0" applyBorder="0" applyAlignment="0" applyProtection="0">
      <alignment vertical="center"/>
    </xf>
    <xf numFmtId="0" fontId="63" fillId="29" borderId="0" applyNumberFormat="0" applyBorder="0" applyAlignment="0" applyProtection="0">
      <alignment vertical="center"/>
    </xf>
    <xf numFmtId="0" fontId="64" fillId="30" borderId="0" applyNumberFormat="0" applyBorder="0" applyAlignment="0" applyProtection="0">
      <alignment vertical="center"/>
    </xf>
    <xf numFmtId="0" fontId="64" fillId="31" borderId="0" applyNumberFormat="0" applyBorder="0" applyAlignment="0" applyProtection="0">
      <alignment vertical="center"/>
    </xf>
    <xf numFmtId="0" fontId="63" fillId="32" borderId="0" applyNumberFormat="0" applyBorder="0" applyAlignment="0" applyProtection="0">
      <alignment vertical="center"/>
    </xf>
    <xf numFmtId="0" fontId="63" fillId="33" borderId="0" applyNumberFormat="0" applyBorder="0" applyAlignment="0" applyProtection="0">
      <alignment vertical="center"/>
    </xf>
    <xf numFmtId="0" fontId="64" fillId="34" borderId="0" applyNumberFormat="0" applyBorder="0" applyAlignment="0" applyProtection="0">
      <alignment vertical="center"/>
    </xf>
    <xf numFmtId="0" fontId="64" fillId="35" borderId="0" applyNumberFormat="0" applyBorder="0" applyAlignment="0" applyProtection="0">
      <alignment vertical="center"/>
    </xf>
    <xf numFmtId="0" fontId="63" fillId="36" borderId="0" applyNumberFormat="0" applyBorder="0" applyAlignment="0" applyProtection="0">
      <alignment vertical="center"/>
    </xf>
    <xf numFmtId="0" fontId="63" fillId="37" borderId="0" applyNumberFormat="0" applyBorder="0" applyAlignment="0" applyProtection="0">
      <alignment vertical="center"/>
    </xf>
    <xf numFmtId="0" fontId="64" fillId="38" borderId="0" applyNumberFormat="0" applyBorder="0" applyAlignment="0" applyProtection="0">
      <alignment vertical="center"/>
    </xf>
    <xf numFmtId="0" fontId="64" fillId="39" borderId="0" applyNumberFormat="0" applyBorder="0" applyAlignment="0" applyProtection="0">
      <alignment vertical="center"/>
    </xf>
    <xf numFmtId="0" fontId="63" fillId="40" borderId="0" applyNumberFormat="0" applyBorder="0" applyAlignment="0" applyProtection="0">
      <alignment vertical="center"/>
    </xf>
    <xf numFmtId="0" fontId="63" fillId="41" borderId="0" applyNumberFormat="0" applyBorder="0" applyAlignment="0" applyProtection="0">
      <alignment vertical="center"/>
    </xf>
    <xf numFmtId="0" fontId="64" fillId="16" borderId="0" applyNumberFormat="0" applyBorder="0" applyAlignment="0" applyProtection="0">
      <alignment vertical="center"/>
    </xf>
    <xf numFmtId="0" fontId="64" fillId="42" borderId="0" applyNumberFormat="0" applyBorder="0" applyAlignment="0" applyProtection="0">
      <alignment vertical="center"/>
    </xf>
    <xf numFmtId="0" fontId="63" fillId="43" borderId="0" applyNumberFormat="0" applyBorder="0" applyAlignment="0" applyProtection="0">
      <alignment vertical="center"/>
    </xf>
    <xf numFmtId="0" fontId="63" fillId="44" borderId="0" applyNumberFormat="0" applyBorder="0" applyAlignment="0" applyProtection="0">
      <alignment vertical="center"/>
    </xf>
    <xf numFmtId="0" fontId="64" fillId="45" borderId="0" applyNumberFormat="0" applyBorder="0" applyAlignment="0" applyProtection="0">
      <alignment vertical="center"/>
    </xf>
    <xf numFmtId="0" fontId="64" fillId="46" borderId="0" applyNumberFormat="0" applyBorder="0" applyAlignment="0" applyProtection="0">
      <alignment vertical="center"/>
    </xf>
    <xf numFmtId="0" fontId="63" fillId="47" borderId="0" applyNumberFormat="0" applyBorder="0" applyAlignment="0" applyProtection="0">
      <alignment vertical="center"/>
    </xf>
  </cellStyleXfs>
  <cellXfs count="559">
    <xf numFmtId="0" fontId="0" fillId="0" borderId="0" xfId="0" applyFont="1">
      <alignment vertical="center"/>
    </xf>
    <xf numFmtId="0" fontId="1" fillId="0" borderId="0" xfId="0" applyFont="1" applyAlignment="1">
      <alignment horizontal="center" vertical="center"/>
    </xf>
    <xf numFmtId="0" fontId="2" fillId="0" borderId="0" xfId="0" applyFont="1" applyAlignment="1">
      <alignment horizontal="left" vertical="center"/>
    </xf>
    <xf numFmtId="0" fontId="3" fillId="0" borderId="0" xfId="0" applyFont="1">
      <alignment vertical="center"/>
    </xf>
    <xf numFmtId="0" fontId="2" fillId="0" borderId="0" xfId="0" applyFont="1">
      <alignment vertical="center"/>
    </xf>
    <xf numFmtId="0" fontId="4" fillId="2" borderId="1" xfId="0" applyFont="1" applyFill="1" applyBorder="1" applyAlignment="1">
      <alignment horizontal="center" vertical="center"/>
    </xf>
    <xf numFmtId="0" fontId="5" fillId="2" borderId="2" xfId="0" applyFont="1" applyFill="1" applyBorder="1" applyAlignment="1">
      <alignment horizontal="center" vertical="center"/>
    </xf>
    <xf numFmtId="0" fontId="6" fillId="2" borderId="2" xfId="0" applyFont="1" applyFill="1" applyBorder="1" applyAlignment="1">
      <alignment horizontal="center" vertical="center"/>
    </xf>
    <xf numFmtId="0" fontId="7" fillId="2" borderId="1" xfId="0" applyFont="1" applyFill="1" applyBorder="1" applyAlignment="1" applyProtection="1">
      <alignment horizontal="center" vertical="center" wrapText="1"/>
      <protection locked="0"/>
    </xf>
    <xf numFmtId="0" fontId="8" fillId="2" borderId="1" xfId="0" applyFont="1" applyFill="1" applyBorder="1" applyAlignment="1" applyProtection="1">
      <alignment horizontal="center" vertical="center" wrapText="1"/>
      <protection locked="0"/>
    </xf>
    <xf numFmtId="0" fontId="5" fillId="2" borderId="1" xfId="0" applyFont="1" applyFill="1" applyBorder="1" applyAlignment="1">
      <alignment horizontal="center" vertical="center"/>
    </xf>
    <xf numFmtId="0" fontId="5" fillId="2" borderId="3" xfId="0" applyFont="1" applyFill="1" applyBorder="1" applyAlignment="1">
      <alignment horizontal="center" vertical="center"/>
    </xf>
    <xf numFmtId="0" fontId="9" fillId="2" borderId="3" xfId="0" applyFont="1" applyFill="1" applyBorder="1" applyAlignment="1">
      <alignment horizontal="center" vertical="center"/>
    </xf>
    <xf numFmtId="0" fontId="6" fillId="2" borderId="3" xfId="0" applyFont="1" applyFill="1" applyBorder="1" applyAlignment="1">
      <alignment horizontal="center" vertical="center"/>
    </xf>
    <xf numFmtId="0" fontId="10" fillId="2" borderId="1" xfId="0" applyFont="1" applyFill="1" applyBorder="1" applyAlignment="1" applyProtection="1">
      <alignment horizontal="center" vertical="center" wrapText="1"/>
      <protection locked="0"/>
    </xf>
    <xf numFmtId="0" fontId="11" fillId="2" borderId="1" xfId="0" applyFont="1" applyFill="1" applyBorder="1" applyAlignment="1" applyProtection="1">
      <alignment horizontal="center" vertical="center" wrapText="1"/>
      <protection locked="0"/>
    </xf>
    <xf numFmtId="0" fontId="10" fillId="0" borderId="4" xfId="0" applyFont="1" applyFill="1" applyBorder="1" applyAlignment="1">
      <alignment vertical="center" shrinkToFit="1"/>
    </xf>
    <xf numFmtId="39" fontId="12" fillId="0" borderId="1" xfId="0" applyNumberFormat="1" applyFont="1" applyFill="1" applyBorder="1" applyAlignment="1">
      <alignment horizontal="right" vertical="center"/>
    </xf>
    <xf numFmtId="176" fontId="13" fillId="3" borderId="1" xfId="0" applyNumberFormat="1" applyFont="1" applyFill="1" applyBorder="1" applyAlignment="1">
      <alignment horizontal="center" vertical="center"/>
    </xf>
    <xf numFmtId="39" fontId="12" fillId="4" borderId="1" xfId="0" applyNumberFormat="1" applyFont="1" applyFill="1" applyBorder="1" applyAlignment="1">
      <alignment horizontal="right" vertical="center"/>
    </xf>
    <xf numFmtId="10" fontId="12" fillId="4" borderId="1" xfId="3" applyNumberFormat="1" applyFont="1" applyFill="1" applyBorder="1" applyAlignment="1">
      <alignment horizontal="right" vertical="center"/>
    </xf>
    <xf numFmtId="0" fontId="0" fillId="0" borderId="1" xfId="0" applyFont="1" applyFill="1" applyBorder="1">
      <alignment vertical="center"/>
    </xf>
    <xf numFmtId="0" fontId="7" fillId="0" borderId="4" xfId="0" applyFont="1" applyFill="1" applyBorder="1" applyAlignment="1">
      <alignment vertical="center" shrinkToFit="1"/>
    </xf>
    <xf numFmtId="0" fontId="14" fillId="2" borderId="1" xfId="0" applyFont="1" applyFill="1" applyBorder="1" applyAlignment="1">
      <alignment horizontal="center" vertical="center"/>
    </xf>
    <xf numFmtId="43" fontId="13" fillId="3" borderId="1" xfId="0" applyNumberFormat="1" applyFont="1" applyFill="1" applyBorder="1" applyAlignment="1">
      <alignment vertical="center"/>
    </xf>
    <xf numFmtId="39" fontId="15" fillId="4" borderId="1" xfId="0" applyNumberFormat="1" applyFont="1" applyFill="1" applyBorder="1" applyAlignment="1">
      <alignment horizontal="center" vertical="center"/>
    </xf>
    <xf numFmtId="39" fontId="15" fillId="4" borderId="1" xfId="0" applyNumberFormat="1" applyFont="1" applyFill="1" applyBorder="1" applyAlignment="1">
      <alignment horizontal="right" vertical="center"/>
    </xf>
    <xf numFmtId="0" fontId="16" fillId="4" borderId="1" xfId="0" applyFont="1" applyFill="1" applyBorder="1" applyAlignment="1">
      <alignment horizontal="center" vertical="center"/>
    </xf>
    <xf numFmtId="0" fontId="17" fillId="0" borderId="1" xfId="0" applyFont="1" applyFill="1" applyBorder="1" applyAlignment="1">
      <alignment horizontal="center" vertical="center"/>
    </xf>
    <xf numFmtId="43" fontId="17" fillId="0" borderId="0" xfId="0" applyNumberFormat="1" applyFont="1" applyAlignment="1">
      <alignment horizontal="center" vertical="center"/>
    </xf>
    <xf numFmtId="0" fontId="0" fillId="0" borderId="0" xfId="0" applyFont="1" applyFill="1">
      <alignment vertical="center"/>
    </xf>
    <xf numFmtId="0" fontId="0" fillId="0" borderId="0" xfId="0" applyFont="1" applyFill="1" applyAlignment="1">
      <alignment vertical="center"/>
    </xf>
    <xf numFmtId="0" fontId="17" fillId="0" borderId="0" xfId="0" applyFont="1" applyFill="1" applyAlignment="1">
      <alignment horizontal="center" vertical="center"/>
    </xf>
    <xf numFmtId="0" fontId="10" fillId="5" borderId="4" xfId="0" applyFont="1" applyFill="1" applyBorder="1" applyAlignment="1">
      <alignment vertical="center" shrinkToFit="1"/>
    </xf>
    <xf numFmtId="0" fontId="7" fillId="5" borderId="4" xfId="0" applyFont="1" applyFill="1" applyBorder="1" applyAlignment="1">
      <alignment vertical="center" shrinkToFit="1"/>
    </xf>
    <xf numFmtId="0" fontId="2" fillId="6" borderId="2" xfId="0" applyFont="1" applyFill="1" applyBorder="1" applyAlignment="1">
      <alignment horizontal="center" vertical="center"/>
    </xf>
    <xf numFmtId="0" fontId="18" fillId="7" borderId="1" xfId="0" applyFont="1" applyFill="1" applyBorder="1" applyAlignment="1">
      <alignment horizontal="center" vertical="center"/>
    </xf>
    <xf numFmtId="0" fontId="19" fillId="7" borderId="1" xfId="0" applyFont="1" applyFill="1" applyBorder="1" applyAlignment="1">
      <alignment horizontal="center" vertical="center"/>
    </xf>
    <xf numFmtId="0" fontId="10" fillId="7" borderId="1" xfId="0" applyFont="1" applyFill="1" applyBorder="1" applyAlignment="1" applyProtection="1">
      <alignment horizontal="center" vertical="center" wrapText="1"/>
      <protection locked="0"/>
    </xf>
    <xf numFmtId="0" fontId="2" fillId="6" borderId="3" xfId="0" applyFont="1" applyFill="1" applyBorder="1" applyAlignment="1">
      <alignment horizontal="center" vertical="center"/>
    </xf>
    <xf numFmtId="177" fontId="10" fillId="7" borderId="1" xfId="0" applyNumberFormat="1" applyFont="1" applyFill="1" applyBorder="1" applyAlignment="1">
      <alignment horizontal="center" vertical="center" wrapText="1"/>
    </xf>
    <xf numFmtId="0" fontId="10" fillId="7" borderId="1" xfId="0" applyFont="1" applyFill="1" applyBorder="1" applyAlignment="1">
      <alignment horizontal="center" vertical="center" wrapText="1"/>
    </xf>
    <xf numFmtId="0" fontId="0" fillId="6" borderId="1" xfId="0" applyFont="1" applyFill="1" applyBorder="1">
      <alignment vertical="center"/>
    </xf>
    <xf numFmtId="0" fontId="19" fillId="7" borderId="1" xfId="0" applyFont="1" applyFill="1" applyBorder="1" applyAlignment="1">
      <alignment vertical="center"/>
    </xf>
    <xf numFmtId="43" fontId="19" fillId="8" borderId="1" xfId="0" applyNumberFormat="1" applyFont="1" applyFill="1" applyBorder="1" applyAlignment="1">
      <alignment vertical="center"/>
    </xf>
    <xf numFmtId="43" fontId="19" fillId="7" borderId="1" xfId="0" applyNumberFormat="1" applyFont="1" applyFill="1" applyBorder="1" applyAlignment="1">
      <alignment vertical="center"/>
    </xf>
    <xf numFmtId="0" fontId="20" fillId="6" borderId="1" xfId="0" applyFont="1" applyFill="1" applyBorder="1" applyAlignment="1">
      <alignment horizontal="center" vertical="center"/>
    </xf>
    <xf numFmtId="0" fontId="0" fillId="4" borderId="1" xfId="0" applyFont="1" applyFill="1" applyBorder="1">
      <alignment vertical="center"/>
    </xf>
    <xf numFmtId="43" fontId="19" fillId="3" borderId="1" xfId="0" applyNumberFormat="1" applyFont="1" applyFill="1" applyBorder="1" applyAlignment="1">
      <alignment vertical="center"/>
    </xf>
    <xf numFmtId="10" fontId="19" fillId="3" borderId="1" xfId="0" applyNumberFormat="1" applyFont="1" applyFill="1" applyBorder="1" applyAlignment="1">
      <alignment vertical="center"/>
    </xf>
    <xf numFmtId="0" fontId="0" fillId="0" borderId="1" xfId="0" applyFont="1" applyBorder="1">
      <alignment vertical="center"/>
    </xf>
    <xf numFmtId="0" fontId="19" fillId="7" borderId="5" xfId="0" applyFont="1" applyFill="1" applyBorder="1" applyAlignment="1">
      <alignment horizontal="center" vertical="center"/>
    </xf>
    <xf numFmtId="0" fontId="19" fillId="7" borderId="4" xfId="0" applyFont="1" applyFill="1" applyBorder="1" applyAlignment="1">
      <alignment horizontal="center" vertical="center"/>
    </xf>
    <xf numFmtId="10" fontId="0" fillId="0" borderId="0" xfId="3" applyNumberFormat="1" applyFont="1">
      <alignment vertical="center"/>
    </xf>
    <xf numFmtId="0" fontId="12" fillId="0" borderId="1" xfId="0" applyFont="1" applyFill="1" applyBorder="1" applyAlignment="1">
      <alignment horizontal="center" vertical="center"/>
    </xf>
    <xf numFmtId="0" fontId="4" fillId="0" borderId="1" xfId="0" applyFont="1" applyFill="1" applyBorder="1" applyAlignment="1">
      <alignment horizontal="left" vertical="center"/>
    </xf>
    <xf numFmtId="0" fontId="20" fillId="0" borderId="1" xfId="0" applyFont="1" applyFill="1" applyBorder="1">
      <alignment vertical="center"/>
    </xf>
    <xf numFmtId="0" fontId="12" fillId="0" borderId="1" xfId="0" applyFont="1" applyFill="1" applyBorder="1" applyAlignment="1">
      <alignment horizontal="left" vertical="center"/>
    </xf>
    <xf numFmtId="0" fontId="15" fillId="2" borderId="1" xfId="0" applyFont="1" applyFill="1" applyBorder="1" applyAlignment="1">
      <alignment horizontal="center" vertical="center"/>
    </xf>
    <xf numFmtId="0" fontId="16" fillId="0" borderId="1" xfId="0" applyFont="1" applyFill="1" applyBorder="1" applyAlignment="1">
      <alignment horizontal="center" vertical="center"/>
    </xf>
    <xf numFmtId="0" fontId="10" fillId="7" borderId="1" xfId="0" applyFont="1" applyFill="1" applyBorder="1" applyAlignment="1">
      <alignment horizontal="center" vertical="center"/>
    </xf>
    <xf numFmtId="0" fontId="18" fillId="7" borderId="1" xfId="0" applyFont="1" applyFill="1" applyBorder="1" applyAlignment="1">
      <alignment vertical="center"/>
    </xf>
    <xf numFmtId="0" fontId="6" fillId="0" borderId="1" xfId="0" applyFont="1" applyFill="1" applyBorder="1" applyAlignment="1">
      <alignment horizontal="left" vertical="center"/>
    </xf>
    <xf numFmtId="0" fontId="21" fillId="0" borderId="1" xfId="0" applyFont="1" applyFill="1" applyBorder="1" applyAlignment="1">
      <alignment horizontal="left" vertical="center"/>
    </xf>
    <xf numFmtId="39" fontId="15" fillId="2" borderId="1" xfId="0" applyNumberFormat="1" applyFont="1" applyFill="1" applyBorder="1" applyAlignment="1">
      <alignment horizontal="center" vertical="center"/>
    </xf>
    <xf numFmtId="0" fontId="16" fillId="2" borderId="1" xfId="0" applyFont="1" applyFill="1" applyBorder="1" applyAlignment="1">
      <alignment horizontal="center" vertical="center"/>
    </xf>
    <xf numFmtId="0" fontId="0" fillId="2" borderId="5" xfId="0" applyFont="1" applyFill="1" applyBorder="1" applyAlignment="1">
      <alignment horizontal="center" vertical="center"/>
    </xf>
    <xf numFmtId="0" fontId="0" fillId="2" borderId="6" xfId="0" applyFont="1" applyFill="1" applyBorder="1" applyAlignment="1">
      <alignment horizontal="center" vertical="center"/>
    </xf>
    <xf numFmtId="0" fontId="22" fillId="7" borderId="5" xfId="0" applyFont="1" applyFill="1" applyBorder="1" applyAlignment="1">
      <alignment horizontal="center" vertical="center" wrapText="1"/>
    </xf>
    <xf numFmtId="0" fontId="23" fillId="7" borderId="6" xfId="0" applyFont="1" applyFill="1" applyBorder="1" applyAlignment="1">
      <alignment horizontal="center" vertical="center" wrapText="1"/>
    </xf>
    <xf numFmtId="0" fontId="23" fillId="7" borderId="4" xfId="0" applyFont="1" applyFill="1" applyBorder="1" applyAlignment="1">
      <alignment horizontal="center" vertical="center" wrapText="1"/>
    </xf>
    <xf numFmtId="0" fontId="23" fillId="7" borderId="2" xfId="0" applyFont="1" applyFill="1" applyBorder="1" applyAlignment="1">
      <alignment horizontal="center" vertical="center" wrapText="1"/>
    </xf>
    <xf numFmtId="0" fontId="23" fillId="7" borderId="1" xfId="0" applyFont="1" applyFill="1" applyBorder="1" applyAlignment="1">
      <alignment horizontal="center" vertical="center" wrapText="1"/>
    </xf>
    <xf numFmtId="0" fontId="22" fillId="7" borderId="1" xfId="0" applyFont="1" applyFill="1" applyBorder="1" applyAlignment="1">
      <alignment horizontal="center" vertical="center" wrapText="1"/>
    </xf>
    <xf numFmtId="0" fontId="22" fillId="7" borderId="2" xfId="0" applyFont="1" applyFill="1" applyBorder="1" applyAlignment="1">
      <alignment horizontal="center" vertical="center" wrapText="1"/>
    </xf>
    <xf numFmtId="0" fontId="23" fillId="7" borderId="7" xfId="0" applyFont="1" applyFill="1" applyBorder="1" applyAlignment="1">
      <alignment horizontal="center" vertical="center" wrapText="1"/>
    </xf>
    <xf numFmtId="43" fontId="12" fillId="0" borderId="1" xfId="0" applyNumberFormat="1" applyFont="1" applyFill="1" applyBorder="1" applyAlignment="1">
      <alignment horizontal="left" vertical="center"/>
    </xf>
    <xf numFmtId="43" fontId="12" fillId="0" borderId="1" xfId="0" applyNumberFormat="1" applyFont="1" applyFill="1" applyBorder="1" applyAlignment="1">
      <alignment horizontal="right" vertical="center"/>
    </xf>
    <xf numFmtId="10" fontId="13" fillId="3" borderId="1" xfId="0" applyNumberFormat="1" applyFont="1" applyFill="1" applyBorder="1" applyAlignment="1">
      <alignment horizontal="center" vertical="center" shrinkToFit="1"/>
    </xf>
    <xf numFmtId="43" fontId="13" fillId="3" borderId="1" xfId="0" applyNumberFormat="1" applyFont="1" applyFill="1" applyBorder="1" applyAlignment="1">
      <alignment horizontal="right" vertical="center"/>
    </xf>
    <xf numFmtId="0" fontId="20" fillId="0" borderId="1" xfId="0" applyFont="1" applyBorder="1">
      <alignment vertical="center"/>
    </xf>
    <xf numFmtId="43" fontId="13" fillId="3" borderId="1" xfId="0" applyNumberFormat="1" applyFont="1" applyFill="1" applyBorder="1" applyAlignment="1">
      <alignment horizontal="right" vertical="center" shrinkToFit="1"/>
    </xf>
    <xf numFmtId="43" fontId="20" fillId="4" borderId="1" xfId="0" applyNumberFormat="1" applyFont="1" applyFill="1" applyBorder="1" applyAlignment="1">
      <alignment horizontal="center" vertical="center"/>
    </xf>
    <xf numFmtId="10" fontId="13" fillId="3" borderId="1" xfId="1" applyNumberFormat="1" applyFont="1" applyFill="1" applyBorder="1" applyAlignment="1">
      <alignment horizontal="center" vertical="center" shrinkToFit="1"/>
    </xf>
    <xf numFmtId="0" fontId="24" fillId="7" borderId="1" xfId="0" applyFont="1" applyFill="1" applyBorder="1" applyAlignment="1">
      <alignment horizontal="center" vertical="center" wrapText="1"/>
    </xf>
    <xf numFmtId="43" fontId="15" fillId="4" borderId="1" xfId="0" applyNumberFormat="1" applyFont="1" applyFill="1" applyBorder="1" applyAlignment="1">
      <alignment horizontal="center" vertical="center"/>
    </xf>
    <xf numFmtId="39" fontId="15" fillId="2" borderId="1" xfId="0" applyNumberFormat="1" applyFont="1" applyFill="1" applyBorder="1" applyAlignment="1">
      <alignment horizontal="right" vertical="center"/>
    </xf>
    <xf numFmtId="0" fontId="16" fillId="2" borderId="1" xfId="0" applyFont="1" applyFill="1" applyBorder="1">
      <alignment vertical="center"/>
    </xf>
    <xf numFmtId="10" fontId="13" fillId="7"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xf>
    <xf numFmtId="0" fontId="7" fillId="2" borderId="1" xfId="0" applyFont="1" applyFill="1" applyBorder="1" applyAlignment="1">
      <alignment horizontal="center" vertical="center"/>
    </xf>
    <xf numFmtId="0" fontId="10" fillId="2" borderId="1" xfId="0" applyFont="1" applyFill="1" applyBorder="1" applyAlignment="1">
      <alignment horizontal="center" vertical="center"/>
    </xf>
    <xf numFmtId="0" fontId="3" fillId="0" borderId="2" xfId="0" applyFont="1" applyBorder="1" applyAlignment="1">
      <alignment horizontal="center" vertical="center"/>
    </xf>
    <xf numFmtId="0" fontId="9"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3" fillId="0" borderId="3" xfId="0" applyFont="1" applyBorder="1" applyAlignment="1">
      <alignment horizontal="center" vertical="center"/>
    </xf>
    <xf numFmtId="0" fontId="6" fillId="2" borderId="5" xfId="0" applyFont="1" applyFill="1" applyBorder="1" applyAlignment="1">
      <alignment horizontal="left" vertical="center"/>
    </xf>
    <xf numFmtId="0" fontId="6" fillId="2" borderId="6" xfId="0" applyFont="1" applyFill="1" applyBorder="1" applyAlignment="1">
      <alignment horizontal="left" vertical="center"/>
    </xf>
    <xf numFmtId="0" fontId="9" fillId="2" borderId="6" xfId="0" applyFont="1" applyFill="1" applyBorder="1" applyAlignment="1">
      <alignment horizontal="left" vertical="center"/>
    </xf>
    <xf numFmtId="0" fontId="9" fillId="2" borderId="4" xfId="0" applyFont="1" applyFill="1" applyBorder="1" applyAlignment="1">
      <alignment horizontal="left" vertical="center"/>
    </xf>
    <xf numFmtId="0" fontId="3" fillId="0" borderId="1" xfId="0" applyFont="1" applyBorder="1" applyAlignment="1">
      <alignment horizontal="center" vertical="center"/>
    </xf>
    <xf numFmtId="0" fontId="5" fillId="0" borderId="1" xfId="0" applyFont="1" applyFill="1" applyBorder="1" applyAlignment="1">
      <alignment horizontal="left" vertical="center"/>
    </xf>
    <xf numFmtId="39" fontId="5" fillId="0" borderId="1" xfId="0" applyNumberFormat="1" applyFont="1" applyFill="1" applyBorder="1" applyAlignment="1">
      <alignment horizontal="right" vertical="center"/>
    </xf>
    <xf numFmtId="39" fontId="5" fillId="4" borderId="1" xfId="0" applyNumberFormat="1" applyFont="1" applyFill="1" applyBorder="1" applyAlignment="1">
      <alignment horizontal="right" vertical="center"/>
    </xf>
    <xf numFmtId="10" fontId="10" fillId="3" borderId="1" xfId="0" applyNumberFormat="1" applyFont="1" applyFill="1" applyBorder="1" applyAlignment="1">
      <alignment horizontal="center" vertical="center"/>
    </xf>
    <xf numFmtId="0" fontId="3" fillId="0" borderId="1" xfId="0" applyFont="1" applyBorder="1" applyAlignment="1">
      <alignment horizontal="left" vertical="center" wrapText="1"/>
    </xf>
    <xf numFmtId="0" fontId="25" fillId="7" borderId="1" xfId="0" applyFont="1" applyFill="1" applyBorder="1" applyAlignment="1">
      <alignment horizontal="center" vertical="center" wrapText="1"/>
    </xf>
    <xf numFmtId="0" fontId="26" fillId="2" borderId="1" xfId="0" applyFont="1" applyFill="1" applyBorder="1" applyAlignment="1">
      <alignment horizontal="left" vertical="center"/>
    </xf>
    <xf numFmtId="39" fontId="26" fillId="4" borderId="1" xfId="0" applyNumberFormat="1" applyFont="1" applyFill="1" applyBorder="1" applyAlignment="1">
      <alignment horizontal="right" vertical="center"/>
    </xf>
    <xf numFmtId="0" fontId="17" fillId="2" borderId="1" xfId="0" applyFont="1" applyFill="1" applyBorder="1">
      <alignment vertical="center"/>
    </xf>
    <xf numFmtId="0" fontId="27" fillId="0" borderId="1" xfId="0" applyFont="1" applyBorder="1" applyAlignment="1">
      <alignment horizontal="center" vertical="center"/>
    </xf>
    <xf numFmtId="0" fontId="6" fillId="2" borderId="1" xfId="0" applyFont="1" applyFill="1" applyBorder="1" applyAlignment="1">
      <alignment horizontal="left" vertical="center"/>
    </xf>
    <xf numFmtId="0" fontId="9" fillId="2" borderId="1" xfId="0" applyFont="1" applyFill="1" applyBorder="1" applyAlignment="1">
      <alignment horizontal="left" vertical="center"/>
    </xf>
    <xf numFmtId="0" fontId="3" fillId="0" borderId="1" xfId="0" applyFont="1" applyFill="1" applyBorder="1" applyAlignment="1">
      <alignment horizontal="center" vertical="center"/>
    </xf>
    <xf numFmtId="0" fontId="5" fillId="2" borderId="1" xfId="0" applyFont="1" applyFill="1" applyBorder="1" applyAlignment="1">
      <alignment horizontal="left" vertical="center"/>
    </xf>
    <xf numFmtId="0" fontId="28" fillId="7" borderId="1" xfId="0" applyFont="1" applyFill="1" applyBorder="1" applyAlignment="1">
      <alignment horizontal="center" vertical="center" wrapText="1"/>
    </xf>
    <xf numFmtId="0" fontId="17" fillId="0" borderId="0" xfId="0" applyFont="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8" fillId="0" borderId="1" xfId="0" applyFont="1" applyFill="1" applyBorder="1" applyAlignment="1">
      <alignment horizontal="left" vertical="center"/>
    </xf>
    <xf numFmtId="14" fontId="11" fillId="0" borderId="1" xfId="0" applyNumberFormat="1" applyFont="1" applyFill="1" applyBorder="1" applyAlignment="1" applyProtection="1">
      <alignment horizontal="center" vertical="center"/>
    </xf>
    <xf numFmtId="177" fontId="7" fillId="5" borderId="2" xfId="0" applyNumberFormat="1" applyFont="1" applyFill="1" applyBorder="1" applyAlignment="1">
      <alignment horizontal="center" vertical="center" wrapText="1"/>
    </xf>
    <xf numFmtId="177" fontId="7" fillId="5" borderId="5" xfId="0" applyNumberFormat="1" applyFont="1" applyFill="1" applyBorder="1" applyAlignment="1">
      <alignment horizontal="center" vertical="center" wrapText="1"/>
    </xf>
    <xf numFmtId="177" fontId="10" fillId="5" borderId="6" xfId="0" applyNumberFormat="1" applyFont="1" applyFill="1" applyBorder="1" applyAlignment="1">
      <alignment horizontal="center" vertical="center" wrapText="1"/>
    </xf>
    <xf numFmtId="177" fontId="7" fillId="7" borderId="1" xfId="0" applyNumberFormat="1" applyFont="1" applyFill="1" applyBorder="1" applyAlignment="1">
      <alignment horizontal="center" vertical="center" wrapText="1"/>
    </xf>
    <xf numFmtId="177" fontId="7" fillId="5" borderId="1" xfId="0" applyNumberFormat="1" applyFont="1" applyFill="1" applyBorder="1" applyAlignment="1">
      <alignment horizontal="center" vertical="center"/>
    </xf>
    <xf numFmtId="177" fontId="10" fillId="5" borderId="3" xfId="0" applyNumberFormat="1" applyFont="1" applyFill="1" applyBorder="1" applyAlignment="1">
      <alignment horizontal="center" vertical="center" wrapText="1"/>
    </xf>
    <xf numFmtId="177" fontId="7" fillId="5" borderId="1" xfId="0" applyNumberFormat="1" applyFont="1" applyFill="1" applyBorder="1" applyAlignment="1">
      <alignment horizontal="center" vertical="center" wrapText="1"/>
    </xf>
    <xf numFmtId="178" fontId="7" fillId="5" borderId="5" xfId="0" applyNumberFormat="1" applyFont="1" applyFill="1" applyBorder="1" applyAlignment="1">
      <alignment horizontal="center" vertical="center" shrinkToFit="1"/>
    </xf>
    <xf numFmtId="177" fontId="7" fillId="5" borderId="3" xfId="0" applyNumberFormat="1" applyFont="1" applyFill="1" applyBorder="1" applyAlignment="1">
      <alignment horizontal="center" vertical="center" wrapText="1"/>
    </xf>
    <xf numFmtId="0" fontId="20" fillId="0" borderId="1" xfId="0" applyFont="1" applyBorder="1" applyAlignment="1">
      <alignment horizontal="center" vertical="center"/>
    </xf>
    <xf numFmtId="0" fontId="7" fillId="0" borderId="1" xfId="0" applyFont="1" applyFill="1" applyBorder="1" applyAlignment="1">
      <alignment horizontal="center" vertical="center" wrapText="1" shrinkToFit="1"/>
    </xf>
    <xf numFmtId="14" fontId="13" fillId="0" borderId="1" xfId="0" applyNumberFormat="1" applyFont="1" applyFill="1" applyBorder="1" applyAlignment="1">
      <alignment horizontal="center" vertical="center" wrapText="1"/>
    </xf>
    <xf numFmtId="177" fontId="13" fillId="0" borderId="1" xfId="0" applyNumberFormat="1" applyFont="1" applyFill="1" applyBorder="1" applyAlignment="1">
      <alignment horizontal="center" vertical="center" wrapText="1"/>
    </xf>
    <xf numFmtId="43" fontId="20" fillId="0" borderId="1" xfId="0" applyNumberFormat="1" applyFont="1" applyBorder="1">
      <alignment vertical="center"/>
    </xf>
    <xf numFmtId="14" fontId="11" fillId="3" borderId="1" xfId="0" applyNumberFormat="1" applyFont="1" applyFill="1" applyBorder="1" applyAlignment="1">
      <alignment horizontal="center" vertical="center" wrapText="1"/>
    </xf>
    <xf numFmtId="177" fontId="11" fillId="3" borderId="1" xfId="0" applyNumberFormat="1" applyFont="1" applyFill="1" applyBorder="1" applyAlignment="1">
      <alignment horizontal="center" vertical="center" shrinkToFit="1"/>
    </xf>
    <xf numFmtId="177" fontId="10" fillId="0" borderId="1" xfId="0" applyNumberFormat="1" applyFont="1" applyFill="1" applyBorder="1" applyAlignment="1">
      <alignment vertical="center" shrinkToFi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1" fillId="0" borderId="0" xfId="0" applyFont="1" applyAlignment="1">
      <alignment vertical="center"/>
    </xf>
    <xf numFmtId="0" fontId="29" fillId="9" borderId="1" xfId="0" applyFont="1" applyFill="1" applyBorder="1" applyAlignment="1">
      <alignment horizontal="center" vertical="center"/>
    </xf>
    <xf numFmtId="0" fontId="23" fillId="10" borderId="1" xfId="0" applyFont="1" applyFill="1" applyBorder="1" applyAlignment="1">
      <alignment horizontal="center" vertical="center" wrapText="1"/>
    </xf>
    <xf numFmtId="0" fontId="22" fillId="10" borderId="1"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0" fillId="0" borderId="1" xfId="0" applyFont="1" applyBorder="1" applyAlignment="1">
      <alignment horizontal="center" vertical="center"/>
    </xf>
    <xf numFmtId="0" fontId="0" fillId="0" borderId="0" xfId="0" applyFont="1" applyAlignment="1">
      <alignment horizontal="center" vertical="center"/>
    </xf>
    <xf numFmtId="0" fontId="23" fillId="10" borderId="1" xfId="0" applyFont="1" applyFill="1" applyBorder="1" applyAlignment="1">
      <alignment horizontal="justify" vertical="center" wrapText="1"/>
    </xf>
    <xf numFmtId="43" fontId="11" fillId="0" borderId="1" xfId="0" applyNumberFormat="1" applyFont="1" applyFill="1" applyBorder="1" applyAlignment="1">
      <alignment vertical="center" shrinkToFit="1"/>
    </xf>
    <xf numFmtId="43" fontId="11" fillId="10" borderId="1" xfId="0" applyNumberFormat="1" applyFont="1" applyFill="1" applyBorder="1" applyAlignment="1">
      <alignment horizontal="center" vertical="center" shrinkToFit="1"/>
    </xf>
    <xf numFmtId="0" fontId="23" fillId="0" borderId="1" xfId="0" applyFont="1" applyFill="1" applyBorder="1" applyAlignment="1">
      <alignment horizontal="justify" vertical="center" wrapText="1"/>
    </xf>
    <xf numFmtId="43" fontId="11" fillId="3" borderId="2" xfId="0" applyNumberFormat="1" applyFont="1" applyFill="1" applyBorder="1" applyAlignment="1">
      <alignment vertical="center" shrinkToFit="1"/>
    </xf>
    <xf numFmtId="0" fontId="29" fillId="11" borderId="1" xfId="0" applyFont="1" applyFill="1" applyBorder="1" applyAlignment="1">
      <alignment horizontal="center" vertical="center"/>
    </xf>
    <xf numFmtId="177" fontId="11" fillId="0" borderId="1" xfId="0" applyNumberFormat="1" applyFont="1" applyFill="1" applyBorder="1" applyAlignment="1">
      <alignment vertical="center" shrinkToFit="1"/>
    </xf>
    <xf numFmtId="0" fontId="22" fillId="0" borderId="1" xfId="0" applyFont="1" applyFill="1" applyBorder="1" applyAlignment="1">
      <alignment horizontal="justify" vertical="center" wrapText="1"/>
    </xf>
    <xf numFmtId="0" fontId="29" fillId="0" borderId="1" xfId="0" applyFont="1" applyFill="1" applyBorder="1" applyAlignment="1">
      <alignment horizontal="center" vertical="center"/>
    </xf>
    <xf numFmtId="43" fontId="11" fillId="12" borderId="1" xfId="0" applyNumberFormat="1" applyFont="1" applyFill="1" applyBorder="1" applyAlignment="1">
      <alignment horizontal="center" vertical="center" shrinkToFit="1"/>
    </xf>
    <xf numFmtId="0" fontId="23" fillId="0" borderId="2" xfId="0" applyFont="1" applyFill="1" applyBorder="1" applyAlignment="1">
      <alignment horizontal="justify" vertical="center" wrapText="1"/>
    </xf>
    <xf numFmtId="0" fontId="22" fillId="12" borderId="1" xfId="0" applyFont="1" applyFill="1" applyBorder="1" applyAlignment="1">
      <alignment horizontal="justify" vertical="center" wrapText="1"/>
    </xf>
    <xf numFmtId="43" fontId="6" fillId="2" borderId="1" xfId="0" applyNumberFormat="1" applyFont="1" applyFill="1" applyBorder="1" applyAlignment="1">
      <alignment horizontal="center" vertical="center"/>
    </xf>
    <xf numFmtId="0" fontId="6" fillId="2" borderId="5"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4" xfId="0" applyFont="1" applyFill="1" applyBorder="1" applyAlignment="1">
      <alignment horizontal="center" vertical="center"/>
    </xf>
    <xf numFmtId="0" fontId="7" fillId="13" borderId="5" xfId="0" applyFont="1" applyFill="1" applyBorder="1" applyAlignment="1">
      <alignment horizontal="center" vertical="center"/>
    </xf>
    <xf numFmtId="0" fontId="7" fillId="13" borderId="4" xfId="0" applyFont="1" applyFill="1" applyBorder="1" applyAlignment="1">
      <alignment horizontal="center" vertical="center"/>
    </xf>
    <xf numFmtId="177" fontId="7" fillId="10" borderId="5" xfId="0" applyNumberFormat="1" applyFont="1" applyFill="1" applyBorder="1" applyAlignment="1">
      <alignment horizontal="center" vertical="center" wrapText="1"/>
    </xf>
    <xf numFmtId="177" fontId="7" fillId="10" borderId="6" xfId="0" applyNumberFormat="1" applyFont="1" applyFill="1" applyBorder="1" applyAlignment="1">
      <alignment horizontal="center" vertical="center" wrapText="1"/>
    </xf>
    <xf numFmtId="177" fontId="7" fillId="10" borderId="4" xfId="0" applyNumberFormat="1" applyFont="1" applyFill="1" applyBorder="1" applyAlignment="1">
      <alignment horizontal="center" vertical="center" wrapText="1"/>
    </xf>
    <xf numFmtId="43" fontId="9" fillId="2" borderId="2" xfId="0" applyNumberFormat="1" applyFont="1" applyFill="1" applyBorder="1" applyAlignment="1">
      <alignment horizontal="center" vertical="center"/>
    </xf>
    <xf numFmtId="0" fontId="7" fillId="5" borderId="1" xfId="0" applyNumberFormat="1" applyFont="1" applyFill="1" applyBorder="1" applyAlignment="1">
      <alignment horizontal="center" vertical="center" wrapText="1"/>
    </xf>
    <xf numFmtId="0" fontId="7" fillId="10" borderId="1" xfId="0" applyFont="1" applyFill="1" applyBorder="1" applyAlignment="1">
      <alignment horizontal="center" vertical="center"/>
    </xf>
    <xf numFmtId="177" fontId="7" fillId="10" borderId="1" xfId="0" applyNumberFormat="1" applyFont="1" applyFill="1" applyBorder="1" applyAlignment="1">
      <alignment horizontal="center" vertical="center" wrapText="1"/>
    </xf>
    <xf numFmtId="177" fontId="10" fillId="10" borderId="1" xfId="0" applyNumberFormat="1" applyFont="1" applyFill="1" applyBorder="1" applyAlignment="1">
      <alignment horizontal="center" vertical="center" wrapText="1"/>
    </xf>
    <xf numFmtId="43" fontId="13" fillId="4" borderId="1" xfId="0" applyNumberFormat="1" applyFont="1" applyFill="1" applyBorder="1" applyAlignment="1">
      <alignment horizontal="center" vertical="center"/>
    </xf>
    <xf numFmtId="43" fontId="20" fillId="0" borderId="1" xfId="0" applyNumberFormat="1" applyFont="1" applyFill="1" applyBorder="1">
      <alignment vertical="center"/>
    </xf>
    <xf numFmtId="0" fontId="29" fillId="0" borderId="1" xfId="0" applyFont="1" applyFill="1" applyBorder="1" applyAlignment="1">
      <alignment vertical="center"/>
    </xf>
    <xf numFmtId="0" fontId="10" fillId="12" borderId="1" xfId="0" applyFont="1" applyFill="1" applyBorder="1" applyAlignment="1">
      <alignment horizontal="center" vertical="center" shrinkToFit="1"/>
    </xf>
    <xf numFmtId="0" fontId="29" fillId="0" borderId="0" xfId="0" applyFont="1" applyFill="1" applyAlignment="1">
      <alignment vertical="center"/>
    </xf>
    <xf numFmtId="177" fontId="7" fillId="7" borderId="2" xfId="0" applyNumberFormat="1" applyFont="1" applyFill="1" applyBorder="1" applyAlignment="1">
      <alignment horizontal="center" vertical="center" wrapText="1"/>
    </xf>
    <xf numFmtId="177" fontId="10" fillId="7" borderId="3" xfId="0" applyNumberFormat="1" applyFont="1" applyFill="1" applyBorder="1" applyAlignment="1">
      <alignment horizontal="center" vertical="center" wrapText="1"/>
    </xf>
    <xf numFmtId="177" fontId="7" fillId="7" borderId="7" xfId="0" applyNumberFormat="1" applyFont="1" applyFill="1" applyBorder="1" applyAlignment="1">
      <alignment horizontal="center" vertical="center" wrapText="1"/>
    </xf>
    <xf numFmtId="177" fontId="10" fillId="7" borderId="7" xfId="0" applyNumberFormat="1" applyFont="1" applyFill="1" applyBorder="1" applyAlignment="1">
      <alignment horizontal="center" vertical="center" wrapText="1"/>
    </xf>
    <xf numFmtId="0" fontId="22" fillId="5" borderId="1" xfId="0" applyFont="1" applyFill="1" applyBorder="1" applyAlignment="1" applyProtection="1">
      <alignment vertical="center" wrapText="1"/>
    </xf>
    <xf numFmtId="43" fontId="11" fillId="3" borderId="1" xfId="0" applyNumberFormat="1" applyFont="1" applyFill="1" applyBorder="1" applyAlignment="1">
      <alignment horizontal="center" vertical="center" wrapText="1"/>
    </xf>
    <xf numFmtId="43" fontId="11" fillId="3" borderId="5" xfId="0" applyNumberFormat="1" applyFont="1" applyFill="1" applyBorder="1" applyAlignment="1">
      <alignment horizontal="center" vertical="center" wrapText="1"/>
    </xf>
    <xf numFmtId="43" fontId="11" fillId="0" borderId="5" xfId="0" applyNumberFormat="1" applyFont="1" applyFill="1" applyBorder="1" applyAlignment="1">
      <alignment horizontal="center" vertical="center" wrapText="1"/>
    </xf>
    <xf numFmtId="0" fontId="22" fillId="0" borderId="1" xfId="0" applyFont="1" applyFill="1" applyBorder="1" applyAlignment="1" applyProtection="1">
      <alignment vertical="center"/>
    </xf>
    <xf numFmtId="43" fontId="11" fillId="8" borderId="1" xfId="0" applyNumberFormat="1" applyFont="1" applyFill="1" applyBorder="1" applyAlignment="1">
      <alignment horizontal="center" vertical="center"/>
    </xf>
    <xf numFmtId="43" fontId="11" fillId="0" borderId="1" xfId="0" applyNumberFormat="1" applyFont="1" applyFill="1" applyBorder="1" applyAlignment="1">
      <alignment horizontal="center" vertical="center"/>
    </xf>
    <xf numFmtId="43" fontId="11" fillId="4" borderId="5" xfId="0" applyNumberFormat="1" applyFont="1" applyFill="1" applyBorder="1" applyAlignment="1">
      <alignment horizontal="center" vertical="center"/>
    </xf>
    <xf numFmtId="43" fontId="11" fillId="0" borderId="5" xfId="0" applyNumberFormat="1" applyFont="1" applyFill="1" applyBorder="1" applyAlignment="1">
      <alignment horizontal="center" vertical="center"/>
    </xf>
    <xf numFmtId="0" fontId="22" fillId="8" borderId="1" xfId="0" applyFont="1" applyFill="1" applyBorder="1" applyAlignment="1" applyProtection="1">
      <alignment vertical="center"/>
    </xf>
    <xf numFmtId="0" fontId="22" fillId="5" borderId="1" xfId="0" applyFont="1" applyFill="1" applyBorder="1" applyAlignment="1" applyProtection="1">
      <alignment vertical="center"/>
    </xf>
    <xf numFmtId="43" fontId="11" fillId="8" borderId="1" xfId="0" applyNumberFormat="1" applyFont="1" applyFill="1" applyBorder="1" applyAlignment="1">
      <alignment horizontal="left" vertical="center"/>
    </xf>
    <xf numFmtId="0" fontId="7" fillId="5" borderId="1" xfId="0" applyNumberFormat="1" applyFont="1" applyFill="1" applyBorder="1" applyAlignment="1">
      <alignment horizontal="left" vertical="center" wrapText="1"/>
    </xf>
    <xf numFmtId="0" fontId="30" fillId="7" borderId="1" xfId="0" applyFont="1" applyFill="1" applyBorder="1" applyAlignment="1">
      <alignment horizontal="center" vertical="center"/>
    </xf>
    <xf numFmtId="43" fontId="11" fillId="3" borderId="1" xfId="0" applyNumberFormat="1" applyFont="1" applyFill="1" applyBorder="1" applyAlignment="1">
      <alignment horizontal="center" vertical="center"/>
    </xf>
    <xf numFmtId="43" fontId="11" fillId="3" borderId="5" xfId="0" applyNumberFormat="1" applyFont="1" applyFill="1" applyBorder="1" applyAlignment="1">
      <alignment vertical="center"/>
    </xf>
    <xf numFmtId="43" fontId="11" fillId="0" borderId="5" xfId="0" applyNumberFormat="1" applyFont="1" applyFill="1" applyBorder="1" applyAlignment="1">
      <alignment vertical="center"/>
    </xf>
    <xf numFmtId="177" fontId="10" fillId="7" borderId="5" xfId="0" applyNumberFormat="1" applyFont="1" applyFill="1" applyBorder="1" applyAlignment="1">
      <alignment horizontal="center" vertical="center" wrapText="1"/>
    </xf>
    <xf numFmtId="177" fontId="10" fillId="7" borderId="6" xfId="0" applyNumberFormat="1" applyFont="1" applyFill="1" applyBorder="1" applyAlignment="1">
      <alignment horizontal="center" vertical="center" wrapText="1"/>
    </xf>
    <xf numFmtId="177" fontId="10" fillId="7" borderId="4" xfId="0" applyNumberFormat="1" applyFont="1" applyFill="1" applyBorder="1" applyAlignment="1">
      <alignment horizontal="center" vertical="center" wrapText="1"/>
    </xf>
    <xf numFmtId="43" fontId="13" fillId="3" borderId="1" xfId="0" applyNumberFormat="1" applyFont="1" applyFill="1" applyBorder="1" applyAlignment="1">
      <alignment horizontal="center" vertical="center" wrapText="1"/>
    </xf>
    <xf numFmtId="43" fontId="11" fillId="8" borderId="1" xfId="0" applyNumberFormat="1" applyFont="1" applyFill="1" applyBorder="1" applyAlignment="1">
      <alignment vertical="center" shrinkToFit="1"/>
    </xf>
    <xf numFmtId="0" fontId="22" fillId="7" borderId="1" xfId="0" applyFont="1" applyFill="1" applyBorder="1" applyAlignment="1" applyProtection="1">
      <alignment vertical="center"/>
    </xf>
    <xf numFmtId="0" fontId="22" fillId="7" borderId="1" xfId="0" applyFont="1" applyFill="1" applyBorder="1" applyAlignment="1" applyProtection="1">
      <alignment horizontal="left" vertical="center" indent="3"/>
    </xf>
    <xf numFmtId="43" fontId="11" fillId="3" borderId="1" xfId="0" applyNumberFormat="1" applyFont="1" applyFill="1" applyBorder="1" applyAlignment="1">
      <alignment vertical="center"/>
    </xf>
    <xf numFmtId="43" fontId="2" fillId="4" borderId="1" xfId="0" applyNumberFormat="1" applyFont="1" applyFill="1" applyBorder="1">
      <alignment vertical="center"/>
    </xf>
    <xf numFmtId="43" fontId="13" fillId="3" borderId="1" xfId="0" applyNumberFormat="1" applyFont="1" applyFill="1" applyBorder="1" applyAlignment="1">
      <alignment horizontal="center" vertical="center"/>
    </xf>
    <xf numFmtId="0" fontId="1" fillId="0" borderId="0" xfId="0" applyFont="1" applyFill="1" applyAlignment="1">
      <alignment horizontal="center" vertical="center" wrapText="1"/>
    </xf>
    <xf numFmtId="0" fontId="2" fillId="0" borderId="0" xfId="0" applyFont="1" applyFill="1">
      <alignment vertical="center"/>
    </xf>
    <xf numFmtId="0" fontId="2" fillId="0" borderId="0" xfId="0" applyFont="1" applyAlignment="1">
      <alignment horizontal="center" vertical="center"/>
    </xf>
    <xf numFmtId="0" fontId="28" fillId="0" borderId="0" xfId="0" applyFont="1" applyFill="1" applyAlignment="1">
      <alignment vertical="center"/>
    </xf>
    <xf numFmtId="0" fontId="10" fillId="0" borderId="0" xfId="0" applyFont="1" applyFill="1" applyAlignment="1">
      <alignment vertical="center"/>
    </xf>
    <xf numFmtId="0" fontId="10" fillId="0" borderId="0" xfId="0" applyFont="1" applyFill="1" applyBorder="1" applyAlignment="1">
      <alignment vertical="center"/>
    </xf>
    <xf numFmtId="0" fontId="31" fillId="0" borderId="0" xfId="0" applyFont="1" applyFill="1" applyAlignment="1">
      <alignment vertical="center"/>
    </xf>
    <xf numFmtId="0" fontId="10" fillId="0" borderId="0" xfId="0" applyFont="1" applyFill="1" applyAlignment="1">
      <alignment horizontal="right" vertical="center"/>
    </xf>
    <xf numFmtId="43" fontId="10" fillId="0" borderId="1" xfId="0" applyNumberFormat="1" applyFont="1" applyFill="1" applyBorder="1" applyAlignment="1">
      <alignment vertical="center"/>
    </xf>
    <xf numFmtId="0" fontId="10" fillId="0" borderId="5" xfId="0" applyFont="1" applyFill="1" applyBorder="1" applyAlignment="1">
      <alignment vertical="center"/>
    </xf>
    <xf numFmtId="0" fontId="10" fillId="0" borderId="6" xfId="0" applyFont="1" applyFill="1" applyBorder="1" applyAlignment="1">
      <alignment vertical="center"/>
    </xf>
    <xf numFmtId="0" fontId="10" fillId="0" borderId="4" xfId="0" applyFont="1" applyFill="1" applyBorder="1" applyAlignment="1">
      <alignment vertical="center"/>
    </xf>
    <xf numFmtId="0" fontId="8" fillId="7" borderId="2" xfId="0" applyFont="1" applyFill="1" applyBorder="1" applyAlignment="1">
      <alignment horizontal="center" vertical="center" wrapText="1"/>
    </xf>
    <xf numFmtId="0" fontId="8" fillId="7" borderId="5" xfId="0" applyFont="1" applyFill="1" applyBorder="1" applyAlignment="1">
      <alignment horizontal="center" vertical="center" wrapText="1"/>
    </xf>
    <xf numFmtId="0" fontId="11" fillId="7" borderId="4" xfId="0" applyFont="1" applyFill="1" applyBorder="1" applyAlignment="1">
      <alignment horizontal="center" vertical="center" wrapText="1"/>
    </xf>
    <xf numFmtId="0" fontId="11" fillId="7" borderId="3" xfId="0" applyFont="1" applyFill="1" applyBorder="1" applyAlignment="1">
      <alignment horizontal="center" vertical="center" wrapText="1"/>
    </xf>
    <xf numFmtId="177" fontId="8" fillId="7" borderId="1" xfId="0" applyNumberFormat="1" applyFont="1" applyFill="1" applyBorder="1" applyAlignment="1">
      <alignment horizontal="center" vertical="center" wrapText="1"/>
    </xf>
    <xf numFmtId="0" fontId="8" fillId="7" borderId="3" xfId="0" applyFont="1" applyFill="1" applyBorder="1" applyAlignment="1">
      <alignment horizontal="center" vertical="center" wrapText="1"/>
    </xf>
    <xf numFmtId="0" fontId="7" fillId="0" borderId="1" xfId="0" applyFont="1" applyFill="1" applyBorder="1" applyAlignment="1">
      <alignment horizontal="justify" vertical="center" wrapText="1"/>
    </xf>
    <xf numFmtId="0" fontId="7" fillId="0" borderId="1" xfId="0" applyFont="1" applyFill="1" applyBorder="1" applyAlignment="1">
      <alignment horizontal="center" vertical="center" wrapText="1"/>
    </xf>
    <xf numFmtId="9" fontId="10" fillId="0" borderId="1" xfId="3" applyFont="1" applyFill="1" applyBorder="1" applyAlignment="1">
      <alignment horizontal="center" vertical="center" wrapText="1"/>
    </xf>
    <xf numFmtId="179" fontId="10" fillId="0" borderId="1" xfId="0" applyNumberFormat="1" applyFont="1" applyFill="1" applyBorder="1" applyAlignment="1">
      <alignment horizontal="center" vertical="center" wrapText="1"/>
    </xf>
    <xf numFmtId="9" fontId="13" fillId="3" borderId="1" xfId="3" applyFont="1" applyFill="1" applyBorder="1" applyAlignment="1">
      <alignment horizontal="center" vertical="center" wrapText="1"/>
    </xf>
    <xf numFmtId="179" fontId="13" fillId="3" borderId="1" xfId="0" applyNumberFormat="1" applyFont="1" applyFill="1" applyBorder="1" applyAlignment="1">
      <alignment horizontal="center" vertical="center" wrapText="1"/>
    </xf>
    <xf numFmtId="0" fontId="10" fillId="0" borderId="1" xfId="0" applyFont="1" applyFill="1" applyBorder="1" applyAlignment="1">
      <alignment horizontal="center" vertical="center" wrapText="1"/>
    </xf>
    <xf numFmtId="43" fontId="10" fillId="0" borderId="1" xfId="0" applyNumberFormat="1" applyFont="1" applyFill="1" applyBorder="1" applyAlignment="1">
      <alignment horizontal="center" vertical="center" wrapText="1"/>
    </xf>
    <xf numFmtId="0" fontId="8" fillId="3" borderId="1" xfId="0" applyFont="1" applyFill="1" applyBorder="1" applyAlignment="1">
      <alignment horizontal="center" vertical="center" wrapText="1"/>
    </xf>
    <xf numFmtId="0" fontId="7" fillId="0" borderId="1" xfId="0" applyFont="1" applyFill="1" applyBorder="1" applyAlignment="1">
      <alignment vertical="center"/>
    </xf>
    <xf numFmtId="43" fontId="7" fillId="0" borderId="1" xfId="0" applyNumberFormat="1" applyFont="1" applyFill="1" applyBorder="1" applyAlignment="1">
      <alignment vertical="center"/>
    </xf>
    <xf numFmtId="177" fontId="10" fillId="14" borderId="1" xfId="0" applyNumberFormat="1" applyFont="1" applyFill="1" applyBorder="1" applyAlignment="1">
      <alignment horizontal="center" vertical="center" wrapText="1"/>
    </xf>
    <xf numFmtId="177" fontId="7" fillId="7" borderId="5" xfId="0" applyNumberFormat="1" applyFont="1" applyFill="1" applyBorder="1" applyAlignment="1">
      <alignment horizontal="center" vertical="center" wrapText="1"/>
    </xf>
    <xf numFmtId="177" fontId="7" fillId="7" borderId="1" xfId="0" applyNumberFormat="1" applyFont="1" applyFill="1" applyBorder="1" applyAlignment="1">
      <alignment horizontal="center" vertical="center" shrinkToFit="1"/>
    </xf>
    <xf numFmtId="0" fontId="32" fillId="14" borderId="1" xfId="0" applyFont="1" applyFill="1" applyBorder="1" applyAlignment="1">
      <alignment horizontal="left" vertical="center" shrinkToFit="1"/>
    </xf>
    <xf numFmtId="43" fontId="13" fillId="3" borderId="1" xfId="0" applyNumberFormat="1" applyFont="1" applyFill="1" applyBorder="1" applyAlignment="1">
      <alignment vertical="center" shrinkToFit="1"/>
    </xf>
    <xf numFmtId="0" fontId="23" fillId="7" borderId="1" xfId="0" applyFont="1" applyFill="1" applyBorder="1" applyAlignment="1">
      <alignment vertical="center" shrinkToFit="1"/>
    </xf>
    <xf numFmtId="43" fontId="13" fillId="0" borderId="1" xfId="0" applyNumberFormat="1" applyFont="1" applyFill="1" applyBorder="1" applyAlignment="1">
      <alignment horizontal="right" vertical="center" shrinkToFit="1"/>
    </xf>
    <xf numFmtId="43" fontId="13" fillId="0" borderId="1" xfId="0" applyNumberFormat="1" applyFont="1" applyFill="1" applyBorder="1" applyAlignment="1">
      <alignment vertical="center" shrinkToFit="1"/>
    </xf>
    <xf numFmtId="43" fontId="13" fillId="3" borderId="1" xfId="0" applyNumberFormat="1" applyFont="1" applyFill="1" applyBorder="1" applyAlignment="1">
      <alignment horizontal="left" vertical="center"/>
    </xf>
    <xf numFmtId="0" fontId="1" fillId="0" borderId="0" xfId="0" applyFont="1" applyAlignment="1">
      <alignment horizontal="center" vertical="center" wrapText="1"/>
    </xf>
    <xf numFmtId="0" fontId="2" fillId="2" borderId="2" xfId="0" applyFont="1" applyFill="1" applyBorder="1" applyAlignment="1">
      <alignment horizontal="center" vertical="center"/>
    </xf>
    <xf numFmtId="0" fontId="7" fillId="5" borderId="2"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0" fontId="17" fillId="0" borderId="1" xfId="0" applyFont="1" applyFill="1" applyBorder="1" applyAlignment="1">
      <alignment horizontal="left" vertical="center"/>
    </xf>
    <xf numFmtId="0" fontId="9"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10" fillId="5" borderId="3" xfId="0" applyNumberFormat="1"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3" fillId="0" borderId="2" xfId="0" applyFont="1" applyFill="1" applyBorder="1" applyAlignment="1">
      <alignment horizontal="center" vertical="center" wrapText="1"/>
    </xf>
    <xf numFmtId="0" fontId="13" fillId="0" borderId="1" xfId="0" applyNumberFormat="1" applyFont="1" applyFill="1" applyBorder="1" applyAlignment="1">
      <alignment horizontal="center" vertical="center"/>
    </xf>
    <xf numFmtId="43" fontId="13" fillId="0" borderId="1" xfId="0" applyNumberFormat="1" applyFont="1" applyFill="1" applyBorder="1" applyAlignment="1">
      <alignment horizontal="center" vertical="center"/>
    </xf>
    <xf numFmtId="43" fontId="34" fillId="0" borderId="4" xfId="0" applyNumberFormat="1" applyFont="1" applyFill="1" applyBorder="1" applyAlignment="1">
      <alignment horizontal="center" vertical="center"/>
    </xf>
    <xf numFmtId="0" fontId="0" fillId="0" borderId="1" xfId="0" applyFont="1" applyFill="1" applyBorder="1" applyAlignment="1">
      <alignment vertical="center"/>
    </xf>
    <xf numFmtId="0" fontId="11" fillId="5" borderId="1" xfId="0" applyNumberFormat="1" applyFont="1" applyFill="1" applyBorder="1" applyAlignment="1">
      <alignment horizontal="center" vertical="center"/>
    </xf>
    <xf numFmtId="39" fontId="26" fillId="4" borderId="1" xfId="0" applyNumberFormat="1" applyFont="1" applyFill="1" applyBorder="1" applyAlignment="1">
      <alignment horizontal="center" vertical="center"/>
    </xf>
    <xf numFmtId="43" fontId="34" fillId="4" borderId="1" xfId="0" applyNumberFormat="1" applyFont="1" applyFill="1" applyBorder="1" applyAlignment="1">
      <alignment horizontal="center" vertical="center"/>
    </xf>
    <xf numFmtId="0" fontId="17" fillId="4" borderId="1" xfId="0" applyFont="1" applyFill="1" applyBorder="1" applyAlignment="1">
      <alignment horizontal="center" vertical="center"/>
    </xf>
    <xf numFmtId="0" fontId="17" fillId="0" borderId="0" xfId="0" applyFont="1" applyFill="1" applyBorder="1" applyAlignment="1">
      <alignment horizontal="center" vertical="center"/>
    </xf>
    <xf numFmtId="0" fontId="5" fillId="0" borderId="1" xfId="0" applyFont="1" applyFill="1" applyBorder="1" applyAlignment="1">
      <alignment horizontal="center" vertical="center"/>
    </xf>
    <xf numFmtId="178" fontId="12" fillId="0" borderId="1" xfId="0" applyNumberFormat="1" applyFont="1" applyFill="1" applyBorder="1" applyAlignment="1">
      <alignment horizontal="right" vertical="center"/>
    </xf>
    <xf numFmtId="43" fontId="13" fillId="0" borderId="4" xfId="0" applyNumberFormat="1" applyFont="1" applyFill="1" applyBorder="1" applyAlignment="1">
      <alignment horizontal="center" vertical="center"/>
    </xf>
    <xf numFmtId="0" fontId="2" fillId="0" borderId="1" xfId="0" applyFont="1" applyFill="1" applyBorder="1" applyAlignment="1">
      <alignment horizontal="center" vertical="center"/>
    </xf>
    <xf numFmtId="0" fontId="35" fillId="0" borderId="1" xfId="0" applyFont="1" applyFill="1" applyBorder="1" applyAlignment="1">
      <alignment horizontal="center" vertical="center" wrapText="1"/>
    </xf>
    <xf numFmtId="0" fontId="36" fillId="0" borderId="1" xfId="0" applyFont="1" applyFill="1" applyBorder="1" applyAlignment="1">
      <alignment vertical="center" wrapText="1"/>
    </xf>
    <xf numFmtId="14" fontId="36" fillId="0" borderId="1" xfId="0" applyNumberFormat="1" applyFont="1" applyFill="1" applyBorder="1" applyAlignment="1">
      <alignment horizontal="center" vertical="center"/>
    </xf>
    <xf numFmtId="0" fontId="36" fillId="0" borderId="1" xfId="0" applyFont="1" applyFill="1" applyBorder="1" applyAlignment="1">
      <alignment horizontal="center" vertical="center"/>
    </xf>
    <xf numFmtId="0" fontId="36" fillId="0" borderId="1" xfId="0" applyFont="1" applyFill="1" applyBorder="1" applyAlignment="1">
      <alignment horizontal="center" vertical="center" wrapText="1"/>
    </xf>
    <xf numFmtId="0" fontId="23" fillId="15" borderId="1" xfId="0" applyNumberFormat="1" applyFont="1" applyFill="1" applyBorder="1" applyAlignment="1" applyProtection="1">
      <alignment horizontal="center" vertical="center"/>
      <protection locked="0"/>
    </xf>
    <xf numFmtId="180" fontId="23" fillId="15" borderId="1" xfId="0" applyNumberFormat="1" applyFont="1" applyFill="1" applyBorder="1" applyAlignment="1" applyProtection="1">
      <alignment horizontal="center" vertical="center"/>
      <protection locked="0"/>
    </xf>
    <xf numFmtId="0" fontId="19" fillId="15" borderId="2" xfId="0" applyFont="1" applyFill="1" applyBorder="1" applyAlignment="1">
      <alignment horizontal="center" vertical="center" wrapText="1"/>
    </xf>
    <xf numFmtId="0" fontId="7" fillId="15" borderId="1" xfId="0" applyFont="1" applyFill="1" applyBorder="1" applyAlignment="1">
      <alignment horizontal="center" vertical="center"/>
    </xf>
    <xf numFmtId="0" fontId="18" fillId="5" borderId="1" xfId="0" applyFont="1" applyFill="1" applyBorder="1" applyAlignment="1">
      <alignment horizontal="center" vertical="center"/>
    </xf>
    <xf numFmtId="0" fontId="19" fillId="15" borderId="3" xfId="0" applyFont="1" applyFill="1" applyBorder="1" applyAlignment="1">
      <alignment horizontal="center" vertical="center" wrapText="1"/>
    </xf>
    <xf numFmtId="0" fontId="10" fillId="15" borderId="1" xfId="0" applyFont="1" applyFill="1" applyBorder="1" applyAlignment="1">
      <alignment horizontal="center" vertical="center"/>
    </xf>
    <xf numFmtId="0" fontId="2" fillId="0" borderId="1" xfId="0" applyFont="1" applyBorder="1" applyAlignment="1">
      <alignment horizontal="center" vertical="center"/>
    </xf>
    <xf numFmtId="43" fontId="10" fillId="3" borderId="1" xfId="0" applyNumberFormat="1" applyFont="1" applyFill="1" applyBorder="1" applyAlignment="1" applyProtection="1">
      <alignment horizontal="right" vertical="center" shrinkToFit="1"/>
      <protection locked="0"/>
    </xf>
    <xf numFmtId="0" fontId="2" fillId="0" borderId="1" xfId="0" applyFont="1" applyBorder="1">
      <alignment vertical="center"/>
    </xf>
    <xf numFmtId="0" fontId="2" fillId="4" borderId="1" xfId="0" applyFont="1" applyFill="1" applyBorder="1" applyAlignment="1">
      <alignment horizontal="center" vertical="center"/>
    </xf>
    <xf numFmtId="0" fontId="0" fillId="2" borderId="1" xfId="0" applyFont="1" applyFill="1" applyBorder="1">
      <alignment vertical="center"/>
    </xf>
    <xf numFmtId="0" fontId="0" fillId="0" borderId="0" xfId="0" applyFont="1" applyFill="1" applyAlignment="1">
      <alignment horizontal="right" vertical="center"/>
    </xf>
    <xf numFmtId="0" fontId="0" fillId="0" borderId="0" xfId="0" applyFont="1" applyFill="1" applyAlignment="1">
      <alignment horizontal="center" vertical="center"/>
    </xf>
    <xf numFmtId="0" fontId="0" fillId="0" borderId="0" xfId="0" applyFont="1" applyFill="1" applyAlignment="1">
      <alignment vertical="center" wrapText="1"/>
    </xf>
    <xf numFmtId="0" fontId="1" fillId="0" borderId="0" xfId="0" applyFont="1" applyFill="1" applyAlignment="1">
      <alignment horizontal="right" vertical="center" wrapText="1"/>
    </xf>
    <xf numFmtId="0" fontId="0" fillId="0" borderId="0" xfId="0" applyFont="1" applyFill="1" applyAlignment="1">
      <alignment horizontal="center" vertical="center" wrapText="1"/>
    </xf>
    <xf numFmtId="0" fontId="6" fillId="2" borderId="5" xfId="0" applyFont="1" applyFill="1" applyBorder="1" applyAlignment="1">
      <alignment horizontal="center" vertical="center" wrapText="1"/>
    </xf>
    <xf numFmtId="0" fontId="5" fillId="0" borderId="1" xfId="0" applyFont="1" applyFill="1" applyBorder="1" applyAlignment="1">
      <alignment horizontal="center" vertical="center" wrapText="1"/>
    </xf>
    <xf numFmtId="43" fontId="13" fillId="0" borderId="1" xfId="1" applyNumberFormat="1" applyFont="1" applyFill="1" applyBorder="1" applyAlignment="1">
      <alignment horizontal="right" vertical="center" shrinkToFit="1"/>
    </xf>
    <xf numFmtId="43" fontId="13" fillId="0" borderId="1" xfId="1" applyNumberFormat="1" applyFont="1" applyBorder="1" applyAlignment="1">
      <alignment horizontal="right" vertical="center" shrinkToFit="1"/>
    </xf>
    <xf numFmtId="43" fontId="13" fillId="0" borderId="1" xfId="1" applyNumberFormat="1" applyFont="1" applyFill="1" applyBorder="1" applyAlignment="1">
      <alignment vertical="center" shrinkToFit="1"/>
    </xf>
    <xf numFmtId="43" fontId="13" fillId="4" borderId="1" xfId="0" applyNumberFormat="1" applyFont="1" applyFill="1" applyBorder="1" applyAlignment="1">
      <alignment horizontal="right" vertical="center"/>
    </xf>
    <xf numFmtId="43" fontId="13" fillId="4" borderId="4" xfId="0" applyNumberFormat="1" applyFont="1" applyFill="1" applyBorder="1" applyAlignment="1">
      <alignment horizontal="center" vertical="center"/>
    </xf>
    <xf numFmtId="0" fontId="3"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4" fontId="3" fillId="0" borderId="1" xfId="0" applyNumberFormat="1" applyFont="1" applyFill="1" applyBorder="1" applyAlignment="1">
      <alignment horizontal="center" vertical="center" wrapText="1"/>
    </xf>
    <xf numFmtId="0" fontId="10" fillId="5" borderId="5" xfId="0" applyNumberFormat="1" applyFont="1" applyFill="1" applyBorder="1" applyAlignment="1">
      <alignment horizontal="center" vertical="center" shrinkToFit="1"/>
    </xf>
    <xf numFmtId="0" fontId="10" fillId="5" borderId="4" xfId="0" applyNumberFormat="1" applyFont="1" applyFill="1" applyBorder="1" applyAlignment="1">
      <alignment horizontal="center" vertical="center" shrinkToFit="1"/>
    </xf>
    <xf numFmtId="0" fontId="17" fillId="0" borderId="4" xfId="0" applyFont="1" applyFill="1" applyBorder="1" applyAlignment="1">
      <alignment horizontal="center" vertical="center"/>
    </xf>
    <xf numFmtId="43" fontId="20" fillId="4" borderId="1" xfId="0" applyNumberFormat="1" applyFont="1" applyFill="1" applyBorder="1" applyAlignment="1">
      <alignment horizontal="right" vertical="center"/>
    </xf>
    <xf numFmtId="43" fontId="20" fillId="0" borderId="1" xfId="0" applyNumberFormat="1" applyFont="1" applyFill="1" applyBorder="1" applyAlignment="1">
      <alignment horizontal="center" vertical="center"/>
    </xf>
    <xf numFmtId="0" fontId="6" fillId="2" borderId="8" xfId="0" applyFont="1" applyFill="1" applyBorder="1" applyAlignment="1">
      <alignment horizontal="center" vertical="center"/>
    </xf>
    <xf numFmtId="43" fontId="7" fillId="5" borderId="5" xfId="0" applyNumberFormat="1" applyFont="1" applyFill="1" applyBorder="1" applyAlignment="1">
      <alignment horizontal="center" vertical="center" wrapText="1"/>
    </xf>
    <xf numFmtId="0" fontId="6" fillId="2" borderId="9" xfId="0" applyFont="1" applyFill="1" applyBorder="1" applyAlignment="1">
      <alignment horizontal="center" vertical="center"/>
    </xf>
    <xf numFmtId="177" fontId="13" fillId="3" borderId="1" xfId="1" applyNumberFormat="1" applyFont="1" applyFill="1" applyBorder="1" applyAlignment="1">
      <alignment horizontal="right" vertical="center" shrinkToFit="1"/>
    </xf>
    <xf numFmtId="177" fontId="13" fillId="0" borderId="1" xfId="1" applyNumberFormat="1" applyFont="1" applyFill="1" applyBorder="1" applyAlignment="1">
      <alignment horizontal="right" vertical="center" shrinkToFit="1"/>
    </xf>
    <xf numFmtId="0" fontId="4" fillId="0" borderId="1" xfId="0" applyFont="1" applyFill="1" applyBorder="1" applyAlignment="1">
      <alignment horizontal="center" vertical="center"/>
    </xf>
    <xf numFmtId="43" fontId="34" fillId="0" borderId="0" xfId="0" applyNumberFormat="1" applyFont="1" applyFill="1" applyBorder="1" applyAlignment="1">
      <alignment horizontal="center" vertical="center"/>
    </xf>
    <xf numFmtId="43" fontId="20" fillId="4" borderId="1" xfId="0" applyNumberFormat="1" applyFont="1" applyFill="1" applyBorder="1">
      <alignment vertical="center"/>
    </xf>
    <xf numFmtId="0" fontId="20" fillId="4" borderId="1" xfId="0" applyFont="1" applyFill="1" applyBorder="1">
      <alignment vertical="center"/>
    </xf>
    <xf numFmtId="0" fontId="0" fillId="0" borderId="0" xfId="0" applyFont="1" applyFill="1" applyBorder="1">
      <alignment vertical="center"/>
    </xf>
    <xf numFmtId="0" fontId="0" fillId="0" borderId="0" xfId="0" applyFont="1" applyBorder="1">
      <alignment vertical="center"/>
    </xf>
    <xf numFmtId="43" fontId="0" fillId="0" borderId="0" xfId="0" applyNumberFormat="1" applyFont="1" applyFill="1">
      <alignment vertical="center"/>
    </xf>
    <xf numFmtId="43" fontId="0" fillId="0" borderId="0" xfId="0" applyNumberFormat="1" applyFont="1">
      <alignment vertical="center"/>
    </xf>
    <xf numFmtId="43" fontId="1" fillId="0" borderId="0" xfId="0" applyNumberFormat="1" applyFont="1" applyAlignment="1">
      <alignment horizontal="center" vertical="center" wrapText="1"/>
    </xf>
    <xf numFmtId="43" fontId="2" fillId="0" borderId="0" xfId="0" applyNumberFormat="1" applyFont="1" applyAlignment="1">
      <alignment horizontal="left" vertical="center"/>
    </xf>
    <xf numFmtId="43" fontId="2" fillId="0" borderId="0" xfId="0" applyNumberFormat="1" applyFont="1">
      <alignment vertical="center"/>
    </xf>
    <xf numFmtId="43" fontId="0" fillId="0" borderId="0" xfId="0" applyNumberFormat="1" applyFont="1" applyAlignment="1">
      <alignment horizontal="center" vertical="center"/>
    </xf>
    <xf numFmtId="43" fontId="6" fillId="2" borderId="5" xfId="0" applyNumberFormat="1" applyFont="1" applyFill="1" applyBorder="1" applyAlignment="1">
      <alignment horizontal="center" vertical="center"/>
    </xf>
    <xf numFmtId="43" fontId="6" fillId="2" borderId="6" xfId="0" applyNumberFormat="1" applyFont="1" applyFill="1" applyBorder="1" applyAlignment="1">
      <alignment horizontal="center" vertical="center"/>
    </xf>
    <xf numFmtId="43" fontId="6" fillId="2" borderId="2" xfId="0" applyNumberFormat="1" applyFont="1" applyFill="1" applyBorder="1" applyAlignment="1">
      <alignment horizontal="center" vertical="center"/>
    </xf>
    <xf numFmtId="43" fontId="2" fillId="2" borderId="2" xfId="0" applyNumberFormat="1" applyFont="1" applyFill="1" applyBorder="1" applyAlignment="1">
      <alignment horizontal="center" vertical="center"/>
    </xf>
    <xf numFmtId="43" fontId="7" fillId="5" borderId="2" xfId="0" applyNumberFormat="1" applyFont="1" applyFill="1" applyBorder="1" applyAlignment="1">
      <alignment horizontal="center" vertical="center" wrapText="1"/>
    </xf>
    <xf numFmtId="43" fontId="2" fillId="2" borderId="2" xfId="0" applyNumberFormat="1" applyFont="1" applyFill="1" applyBorder="1" applyAlignment="1">
      <alignment horizontal="center" vertical="center" wrapText="1"/>
    </xf>
    <xf numFmtId="43" fontId="17" fillId="0" borderId="1" xfId="0" applyNumberFormat="1" applyFont="1" applyFill="1" applyBorder="1" applyAlignment="1">
      <alignment horizontal="left" vertical="center"/>
    </xf>
    <xf numFmtId="43" fontId="10" fillId="5" borderId="1" xfId="0" applyNumberFormat="1" applyFont="1" applyFill="1" applyBorder="1" applyAlignment="1">
      <alignment horizontal="center" vertical="center" wrapText="1"/>
    </xf>
    <xf numFmtId="43" fontId="6" fillId="2" borderId="3" xfId="0" applyNumberFormat="1" applyFont="1" applyFill="1" applyBorder="1" applyAlignment="1">
      <alignment horizontal="center" vertical="center"/>
    </xf>
    <xf numFmtId="43" fontId="2" fillId="2" borderId="7" xfId="0" applyNumberFormat="1" applyFont="1" applyFill="1" applyBorder="1" applyAlignment="1">
      <alignment horizontal="center" vertical="center"/>
    </xf>
    <xf numFmtId="43" fontId="10" fillId="5" borderId="3" xfId="0" applyNumberFormat="1" applyFont="1" applyFill="1" applyBorder="1" applyAlignment="1">
      <alignment horizontal="center" vertical="center" wrapText="1"/>
    </xf>
    <xf numFmtId="43" fontId="2" fillId="2" borderId="7" xfId="0" applyNumberFormat="1" applyFont="1" applyFill="1" applyBorder="1" applyAlignment="1">
      <alignment horizontal="center" vertical="center" wrapText="1"/>
    </xf>
    <xf numFmtId="43" fontId="2" fillId="2" borderId="3" xfId="0" applyNumberFormat="1" applyFont="1" applyFill="1" applyBorder="1" applyAlignment="1">
      <alignment horizontal="center" vertical="center" wrapText="1"/>
    </xf>
    <xf numFmtId="43" fontId="33" fillId="0" borderId="2" xfId="0" applyNumberFormat="1" applyFont="1" applyFill="1" applyBorder="1" applyAlignment="1">
      <alignment horizontal="center" vertical="center" wrapText="1"/>
    </xf>
    <xf numFmtId="43" fontId="5" fillId="0" borderId="1" xfId="0" applyNumberFormat="1" applyFont="1" applyFill="1" applyBorder="1" applyAlignment="1">
      <alignment horizontal="left" vertical="center"/>
    </xf>
    <xf numFmtId="43" fontId="4" fillId="0" borderId="1" xfId="0" applyNumberFormat="1" applyFont="1" applyFill="1" applyBorder="1" applyAlignment="1">
      <alignment horizontal="center" vertical="center"/>
    </xf>
    <xf numFmtId="43" fontId="13" fillId="4" borderId="1" xfId="0" applyNumberFormat="1" applyFont="1" applyFill="1" applyBorder="1" applyAlignment="1">
      <alignment vertical="center"/>
    </xf>
    <xf numFmtId="43" fontId="0" fillId="0" borderId="4" xfId="0" applyNumberFormat="1" applyFont="1" applyBorder="1">
      <alignment vertical="center"/>
    </xf>
    <xf numFmtId="43" fontId="0" fillId="0" borderId="1" xfId="0" applyNumberFormat="1" applyFont="1" applyBorder="1">
      <alignment vertical="center"/>
    </xf>
    <xf numFmtId="43" fontId="10" fillId="5" borderId="5" xfId="0" applyNumberFormat="1" applyFont="1" applyFill="1" applyBorder="1" applyAlignment="1">
      <alignment horizontal="center" vertical="center" shrinkToFit="1"/>
    </xf>
    <xf numFmtId="43" fontId="10" fillId="5" borderId="4" xfId="0" applyNumberFormat="1" applyFont="1" applyFill="1" applyBorder="1" applyAlignment="1">
      <alignment horizontal="center" vertical="center" shrinkToFit="1"/>
    </xf>
    <xf numFmtId="43" fontId="11" fillId="5" borderId="1" xfId="0" applyNumberFormat="1" applyFont="1" applyFill="1" applyBorder="1" applyAlignment="1">
      <alignment horizontal="center" vertical="center"/>
    </xf>
    <xf numFmtId="43" fontId="34" fillId="0" borderId="1" xfId="0" applyNumberFormat="1" applyFont="1" applyFill="1" applyBorder="1" applyAlignment="1">
      <alignment horizontal="center" vertical="center"/>
    </xf>
    <xf numFmtId="43" fontId="17" fillId="0" borderId="0" xfId="0" applyNumberFormat="1" applyFont="1" applyBorder="1" applyAlignment="1">
      <alignment horizontal="center" vertical="center"/>
    </xf>
    <xf numFmtId="43" fontId="13" fillId="4" borderId="1" xfId="0" applyNumberFormat="1" applyFont="1" applyFill="1" applyBorder="1">
      <alignment vertical="center"/>
    </xf>
    <xf numFmtId="43" fontId="13" fillId="0" borderId="1" xfId="0" applyNumberFormat="1" applyFont="1" applyFill="1" applyBorder="1">
      <alignment vertical="center"/>
    </xf>
    <xf numFmtId="43" fontId="3" fillId="0" borderId="1" xfId="0" applyNumberFormat="1" applyFont="1" applyBorder="1">
      <alignment vertical="center"/>
    </xf>
    <xf numFmtId="0" fontId="20" fillId="0" borderId="0" xfId="0" applyFont="1">
      <alignment vertical="center"/>
    </xf>
    <xf numFmtId="0" fontId="22" fillId="0" borderId="1" xfId="0" applyFont="1" applyFill="1" applyBorder="1" applyAlignment="1">
      <alignment horizontal="center" vertical="center"/>
    </xf>
    <xf numFmtId="14" fontId="23" fillId="16" borderId="1" xfId="0" applyNumberFormat="1" applyFont="1" applyFill="1" applyBorder="1" applyAlignment="1">
      <alignment horizontal="center" vertical="center"/>
    </xf>
    <xf numFmtId="14" fontId="23" fillId="3" borderId="1" xfId="0" applyNumberFormat="1" applyFont="1" applyFill="1" applyBorder="1" applyAlignment="1">
      <alignment horizontal="center" vertical="center"/>
    </xf>
    <xf numFmtId="0" fontId="7" fillId="14" borderId="1" xfId="0" applyFont="1" applyFill="1" applyBorder="1" applyAlignment="1">
      <alignment horizontal="center" vertical="center" wrapText="1"/>
    </xf>
    <xf numFmtId="0" fontId="13" fillId="0" borderId="1" xfId="0" applyFont="1" applyFill="1" applyBorder="1" applyAlignment="1">
      <alignment horizontal="center" vertical="center" wrapText="1"/>
    </xf>
    <xf numFmtId="43" fontId="20" fillId="0" borderId="1" xfId="1" applyFont="1" applyBorder="1" applyAlignment="1">
      <alignment vertical="center"/>
    </xf>
    <xf numFmtId="181" fontId="20" fillId="0" borderId="1" xfId="0" applyNumberFormat="1" applyFont="1" applyFill="1" applyBorder="1" applyAlignment="1">
      <alignment horizontal="center" vertical="center"/>
    </xf>
    <xf numFmtId="0" fontId="20" fillId="0" borderId="1" xfId="0" applyFont="1" applyFill="1" applyBorder="1" applyAlignment="1">
      <alignment horizontal="center" vertical="center"/>
    </xf>
    <xf numFmtId="0" fontId="20" fillId="3" borderId="1" xfId="0" applyFont="1" applyFill="1" applyBorder="1" applyAlignment="1">
      <alignment horizontal="center" vertical="center"/>
    </xf>
    <xf numFmtId="181" fontId="20" fillId="3" borderId="1" xfId="0" applyNumberFormat="1" applyFont="1" applyFill="1" applyBorder="1" applyAlignment="1">
      <alignment horizontal="center" vertical="center"/>
    </xf>
    <xf numFmtId="43" fontId="20" fillId="3" borderId="1" xfId="1" applyFont="1" applyFill="1" applyBorder="1" applyAlignment="1">
      <alignment horizontal="center" vertical="center"/>
    </xf>
    <xf numFmtId="43" fontId="20" fillId="3" borderId="1" xfId="1" applyFont="1" applyFill="1" applyBorder="1" applyAlignment="1">
      <alignment vertical="center"/>
    </xf>
    <xf numFmtId="0" fontId="37" fillId="5" borderId="1" xfId="0" applyFont="1" applyFill="1" applyBorder="1" applyAlignment="1">
      <alignment horizontal="center" vertical="center"/>
    </xf>
    <xf numFmtId="0" fontId="20" fillId="5" borderId="1" xfId="0" applyFont="1" applyFill="1" applyBorder="1" applyAlignment="1">
      <alignment horizontal="center" vertical="center"/>
    </xf>
    <xf numFmtId="0" fontId="7" fillId="0" borderId="0" xfId="0" applyFont="1" applyFill="1" applyBorder="1" applyAlignment="1">
      <alignment horizontal="center" vertical="center"/>
    </xf>
    <xf numFmtId="0" fontId="28" fillId="0" borderId="0" xfId="0" applyFont="1" applyFill="1" applyBorder="1" applyAlignment="1">
      <alignment horizontal="left" vertical="center"/>
    </xf>
    <xf numFmtId="0" fontId="10" fillId="0" borderId="0" xfId="0" applyFont="1" applyFill="1" applyBorder="1" applyAlignment="1">
      <alignment horizontal="left" vertical="center"/>
    </xf>
    <xf numFmtId="0" fontId="38" fillId="0" borderId="0" xfId="0" applyFont="1" applyFill="1" applyBorder="1" applyAlignment="1">
      <alignment vertical="center"/>
    </xf>
    <xf numFmtId="14" fontId="10" fillId="0" borderId="0" xfId="0" applyNumberFormat="1" applyFont="1" applyFill="1" applyBorder="1" applyAlignment="1">
      <alignment horizontal="left" vertical="center"/>
    </xf>
    <xf numFmtId="0" fontId="39" fillId="0" borderId="0" xfId="0" applyFont="1" applyFill="1" applyAlignment="1">
      <alignment vertical="center"/>
    </xf>
    <xf numFmtId="0" fontId="10" fillId="12" borderId="2" xfId="0" applyFont="1" applyFill="1" applyBorder="1" applyAlignment="1">
      <alignment horizontal="center" vertical="center"/>
    </xf>
    <xf numFmtId="0" fontId="7" fillId="12" borderId="2" xfId="0" applyFont="1" applyFill="1" applyBorder="1" applyAlignment="1">
      <alignment horizontal="center" vertical="center" wrapText="1"/>
    </xf>
    <xf numFmtId="177" fontId="10" fillId="14" borderId="5" xfId="0" applyNumberFormat="1" applyFont="1" applyFill="1" applyBorder="1" applyAlignment="1">
      <alignment horizontal="center" vertical="center" wrapText="1"/>
    </xf>
    <xf numFmtId="177" fontId="10" fillId="14" borderId="6" xfId="0" applyNumberFormat="1" applyFont="1" applyFill="1" applyBorder="1" applyAlignment="1">
      <alignment horizontal="center" vertical="center" wrapText="1"/>
    </xf>
    <xf numFmtId="177" fontId="10" fillId="14" borderId="4" xfId="0" applyNumberFormat="1" applyFont="1" applyFill="1" applyBorder="1" applyAlignment="1">
      <alignment horizontal="center" vertical="center" wrapText="1"/>
    </xf>
    <xf numFmtId="177" fontId="7" fillId="13" borderId="2" xfId="0" applyNumberFormat="1" applyFont="1" applyFill="1" applyBorder="1" applyAlignment="1">
      <alignment horizontal="center" vertical="center" wrapText="1"/>
    </xf>
    <xf numFmtId="0" fontId="10" fillId="12" borderId="3" xfId="0" applyFont="1" applyFill="1" applyBorder="1" applyAlignment="1">
      <alignment horizontal="center" vertical="center"/>
    </xf>
    <xf numFmtId="0" fontId="10" fillId="12" borderId="3" xfId="0" applyFont="1" applyFill="1" applyBorder="1" applyAlignment="1">
      <alignment horizontal="center" vertical="center" wrapText="1"/>
    </xf>
    <xf numFmtId="177" fontId="7" fillId="14" borderId="1" xfId="0" applyNumberFormat="1" applyFont="1" applyFill="1" applyBorder="1" applyAlignment="1">
      <alignment horizontal="center" vertical="center" wrapText="1"/>
    </xf>
    <xf numFmtId="177" fontId="10" fillId="5" borderId="1" xfId="0" applyNumberFormat="1" applyFont="1" applyFill="1" applyBorder="1" applyAlignment="1">
      <alignment horizontal="center" vertical="center" wrapText="1"/>
    </xf>
    <xf numFmtId="177" fontId="7" fillId="13" borderId="3" xfId="0" applyNumberFormat="1" applyFont="1" applyFill="1" applyBorder="1" applyAlignment="1">
      <alignment horizontal="center" vertical="center" wrapText="1"/>
    </xf>
    <xf numFmtId="0" fontId="11" fillId="0" borderId="1" xfId="0" applyFont="1" applyFill="1" applyBorder="1" applyAlignment="1">
      <alignment horizontal="center" vertical="center" shrinkToFit="1"/>
    </xf>
    <xf numFmtId="43" fontId="7" fillId="0" borderId="1" xfId="0" applyNumberFormat="1" applyFont="1" applyFill="1" applyBorder="1" applyAlignment="1">
      <alignment horizontal="center" vertical="center"/>
    </xf>
    <xf numFmtId="49" fontId="22" fillId="0" borderId="1" xfId="0" applyNumberFormat="1" applyFont="1" applyFill="1" applyBorder="1" applyAlignment="1">
      <alignment horizontal="center" vertical="center" shrinkToFit="1"/>
    </xf>
    <xf numFmtId="43" fontId="11" fillId="0" borderId="1" xfId="1" applyNumberFormat="1" applyFont="1" applyFill="1" applyBorder="1" applyAlignment="1">
      <alignment vertical="center"/>
    </xf>
    <xf numFmtId="43" fontId="11" fillId="3" borderId="1" xfId="1" applyNumberFormat="1" applyFont="1" applyFill="1" applyBorder="1" applyAlignment="1">
      <alignment vertical="center" shrinkToFit="1"/>
    </xf>
    <xf numFmtId="43" fontId="11" fillId="0" borderId="1" xfId="1" applyNumberFormat="1" applyFont="1" applyBorder="1" applyAlignment="1">
      <alignment vertical="center" shrinkToFit="1"/>
    </xf>
    <xf numFmtId="43" fontId="11" fillId="3" borderId="1" xfId="1" applyNumberFormat="1" applyFont="1" applyFill="1" applyBorder="1" applyAlignment="1">
      <alignment vertical="center"/>
    </xf>
    <xf numFmtId="49" fontId="7" fillId="12" borderId="1" xfId="0" applyNumberFormat="1" applyFont="1" applyFill="1" applyBorder="1" applyAlignment="1">
      <alignment horizontal="center" vertical="center" shrinkToFit="1"/>
    </xf>
    <xf numFmtId="49" fontId="10" fillId="12" borderId="1" xfId="0" applyNumberFormat="1" applyFont="1" applyFill="1" applyBorder="1" applyAlignment="1">
      <alignment horizontal="center" vertical="center" shrinkToFit="1"/>
    </xf>
    <xf numFmtId="43" fontId="11" fillId="3" borderId="1" xfId="0" applyNumberFormat="1" applyFont="1" applyFill="1" applyBorder="1" applyAlignment="1">
      <alignment vertical="center" shrinkToFit="1"/>
    </xf>
    <xf numFmtId="0" fontId="10" fillId="0" borderId="10" xfId="0" applyFont="1" applyFill="1" applyBorder="1" applyAlignment="1">
      <alignment horizontal="center" vertical="center"/>
    </xf>
    <xf numFmtId="0" fontId="39" fillId="0" borderId="0" xfId="0" applyFont="1" applyFill="1" applyAlignment="1"/>
    <xf numFmtId="0" fontId="10" fillId="0" borderId="1" xfId="0" applyFont="1" applyFill="1" applyBorder="1" applyAlignment="1">
      <alignment horizontal="center" vertical="center" shrinkToFit="1"/>
    </xf>
    <xf numFmtId="43" fontId="10" fillId="0" borderId="1" xfId="0" applyNumberFormat="1" applyFont="1" applyFill="1" applyBorder="1" applyAlignment="1">
      <alignment horizontal="center" vertical="center"/>
    </xf>
    <xf numFmtId="43" fontId="11" fillId="0" borderId="1" xfId="1" applyNumberFormat="1" applyFont="1" applyFill="1" applyBorder="1" applyAlignment="1">
      <alignment horizontal="right" vertical="center"/>
    </xf>
    <xf numFmtId="43" fontId="11" fillId="3" borderId="1" xfId="1" applyNumberFormat="1" applyFont="1" applyFill="1" applyBorder="1" applyAlignment="1">
      <alignment horizontal="center" vertical="center" shrinkToFit="1"/>
    </xf>
    <xf numFmtId="43" fontId="11" fillId="0" borderId="1" xfId="1" applyNumberFormat="1" applyFont="1" applyFill="1" applyBorder="1" applyAlignment="1">
      <alignment vertical="center" shrinkToFit="1"/>
    </xf>
    <xf numFmtId="43" fontId="11" fillId="3" borderId="1" xfId="1" applyNumberFormat="1" applyFont="1" applyFill="1" applyBorder="1" applyAlignment="1">
      <alignment horizontal="center" vertical="center"/>
    </xf>
    <xf numFmtId="43" fontId="11" fillId="0" borderId="1" xfId="1" applyNumberFormat="1" applyFont="1" applyFill="1" applyBorder="1" applyAlignment="1">
      <alignment horizontal="center" vertical="center" shrinkToFit="1"/>
    </xf>
    <xf numFmtId="0" fontId="10" fillId="12" borderId="1" xfId="0" applyNumberFormat="1" applyFont="1" applyFill="1" applyBorder="1" applyAlignment="1">
      <alignment horizontal="center" vertical="center" shrinkToFit="1"/>
    </xf>
    <xf numFmtId="43" fontId="11" fillId="3" borderId="1" xfId="1" applyNumberFormat="1" applyFont="1" applyFill="1" applyBorder="1" applyAlignment="1">
      <alignment horizontal="right" vertical="center" shrinkToFit="1"/>
    </xf>
    <xf numFmtId="0" fontId="10" fillId="0" borderId="0" xfId="0" applyNumberFormat="1" applyFont="1" applyFill="1" applyBorder="1" applyAlignment="1">
      <alignment vertical="center"/>
    </xf>
    <xf numFmtId="0" fontId="7" fillId="12" borderId="2" xfId="0" applyNumberFormat="1" applyFont="1" applyFill="1" applyBorder="1" applyAlignment="1">
      <alignment horizontal="center" vertical="center" wrapText="1"/>
    </xf>
    <xf numFmtId="0" fontId="10" fillId="12" borderId="3" xfId="0" applyNumberFormat="1" applyFont="1" applyFill="1" applyBorder="1" applyAlignment="1">
      <alignment horizontal="center" vertical="center" wrapText="1"/>
    </xf>
    <xf numFmtId="43" fontId="10" fillId="0" borderId="1" xfId="1" applyFont="1" applyFill="1" applyBorder="1" applyAlignment="1">
      <alignment vertical="center"/>
    </xf>
    <xf numFmtId="43" fontId="10" fillId="3" borderId="1" xfId="1" applyFont="1" applyFill="1" applyBorder="1" applyAlignment="1">
      <alignment vertical="center" shrinkToFit="1"/>
    </xf>
    <xf numFmtId="43" fontId="10" fillId="0" borderId="1" xfId="1" applyFont="1" applyBorder="1" applyAlignment="1">
      <alignment vertical="center" shrinkToFit="1"/>
    </xf>
    <xf numFmtId="43" fontId="10" fillId="0" borderId="1" xfId="1" applyFont="1" applyFill="1" applyBorder="1" applyAlignment="1">
      <alignment vertical="center" shrinkToFit="1"/>
    </xf>
    <xf numFmtId="43" fontId="10" fillId="3" borderId="1" xfId="1" applyFont="1" applyFill="1" applyBorder="1" applyAlignment="1">
      <alignment vertical="center"/>
    </xf>
    <xf numFmtId="0" fontId="28" fillId="5" borderId="1" xfId="0" applyFont="1" applyFill="1" applyBorder="1" applyAlignment="1">
      <alignment horizontal="center" vertical="center"/>
    </xf>
    <xf numFmtId="0" fontId="30" fillId="5" borderId="1" xfId="0" applyFont="1" applyFill="1" applyBorder="1" applyAlignment="1">
      <alignment horizontal="center" vertical="center"/>
    </xf>
    <xf numFmtId="0" fontId="10" fillId="5" borderId="1" xfId="0" applyFont="1" applyFill="1" applyBorder="1" applyAlignment="1">
      <alignment vertical="center"/>
    </xf>
    <xf numFmtId="43" fontId="10" fillId="3" borderId="1" xfId="0" applyNumberFormat="1" applyFont="1" applyFill="1" applyBorder="1" applyAlignment="1">
      <alignment vertical="center"/>
    </xf>
    <xf numFmtId="0" fontId="40" fillId="0" borderId="1" xfId="0" applyFont="1" applyFill="1" applyBorder="1" applyAlignment="1">
      <alignment horizontal="left" vertical="center" wrapText="1"/>
    </xf>
    <xf numFmtId="0" fontId="37" fillId="0" borderId="1" xfId="0" applyFont="1" applyFill="1" applyBorder="1" applyAlignment="1">
      <alignment horizontal="left" vertical="center" shrinkToFit="1"/>
    </xf>
    <xf numFmtId="0" fontId="7" fillId="5" borderId="2" xfId="0" applyNumberFormat="1" applyFont="1" applyFill="1" applyBorder="1" applyAlignment="1">
      <alignment horizontal="center" vertical="center"/>
    </xf>
    <xf numFmtId="0" fontId="10" fillId="5" borderId="2" xfId="0" applyNumberFormat="1" applyFont="1" applyFill="1" applyBorder="1" applyAlignment="1">
      <alignment horizontal="center" vertical="center"/>
    </xf>
    <xf numFmtId="14" fontId="10" fillId="17" borderId="2" xfId="0" applyNumberFormat="1" applyFont="1" applyFill="1" applyBorder="1" applyAlignment="1">
      <alignment horizontal="center" vertical="center" shrinkToFit="1"/>
    </xf>
    <xf numFmtId="0" fontId="10" fillId="14" borderId="1" xfId="0" applyFont="1" applyFill="1" applyBorder="1" applyAlignment="1">
      <alignment horizontal="center" vertical="center" wrapText="1"/>
    </xf>
    <xf numFmtId="0" fontId="10" fillId="14" borderId="1" xfId="0" applyNumberFormat="1" applyFont="1" applyFill="1" applyBorder="1" applyAlignment="1">
      <alignment horizontal="center" vertical="center" wrapText="1"/>
    </xf>
    <xf numFmtId="0" fontId="10" fillId="18" borderId="1" xfId="0" applyFont="1" applyFill="1" applyBorder="1" applyAlignment="1">
      <alignment horizontal="center" vertical="center" wrapText="1"/>
    </xf>
    <xf numFmtId="14" fontId="7" fillId="14" borderId="1" xfId="0" applyNumberFormat="1" applyFont="1" applyFill="1" applyBorder="1" applyAlignment="1">
      <alignment horizontal="center" vertical="center" wrapText="1"/>
    </xf>
    <xf numFmtId="14" fontId="10" fillId="14" borderId="1" xfId="0" applyNumberFormat="1" applyFont="1" applyFill="1" applyBorder="1" applyAlignment="1">
      <alignment horizontal="center" vertical="center" wrapText="1"/>
    </xf>
    <xf numFmtId="0" fontId="13" fillId="0" borderId="1" xfId="0" applyFont="1" applyFill="1" applyBorder="1" applyAlignment="1">
      <alignment horizontal="center" vertical="center"/>
    </xf>
    <xf numFmtId="43" fontId="13" fillId="0" borderId="1" xfId="0" applyNumberFormat="1" applyFont="1" applyFill="1" applyBorder="1" applyAlignment="1">
      <alignment horizontal="left" vertical="center"/>
    </xf>
    <xf numFmtId="43" fontId="13" fillId="0" borderId="1" xfId="0" applyNumberFormat="1" applyFont="1" applyFill="1" applyBorder="1" applyAlignment="1">
      <alignment horizontal="right" vertical="center"/>
    </xf>
    <xf numFmtId="43" fontId="13" fillId="0" borderId="1" xfId="0" applyNumberFormat="1" applyFont="1" applyFill="1" applyBorder="1" applyAlignment="1">
      <alignment vertical="center"/>
    </xf>
    <xf numFmtId="10" fontId="13" fillId="0" borderId="1" xfId="0" applyNumberFormat="1" applyFont="1" applyFill="1" applyBorder="1" applyAlignment="1">
      <alignment horizontal="center" vertical="center"/>
    </xf>
    <xf numFmtId="0" fontId="13" fillId="3" borderId="1" xfId="0" applyNumberFormat="1" applyFont="1" applyFill="1" applyBorder="1" applyAlignment="1">
      <alignment horizontal="center" vertical="center"/>
    </xf>
    <xf numFmtId="14" fontId="13" fillId="3" borderId="1" xfId="0" applyNumberFormat="1" applyFont="1" applyFill="1" applyBorder="1" applyAlignment="1">
      <alignment horizontal="center" vertical="center"/>
    </xf>
    <xf numFmtId="182" fontId="13" fillId="3" borderId="1" xfId="0" applyNumberFormat="1" applyFont="1" applyFill="1" applyBorder="1" applyAlignment="1">
      <alignment horizontal="center" vertical="center"/>
    </xf>
    <xf numFmtId="0" fontId="13" fillId="0" borderId="2" xfId="0" applyFont="1" applyFill="1" applyBorder="1" applyAlignment="1">
      <alignment horizontal="center" vertical="center"/>
    </xf>
    <xf numFmtId="0" fontId="37" fillId="2" borderId="5" xfId="0" applyFont="1" applyFill="1" applyBorder="1" applyAlignment="1">
      <alignment horizontal="center" vertical="center"/>
    </xf>
    <xf numFmtId="0" fontId="20" fillId="2" borderId="6" xfId="0" applyFont="1" applyFill="1" applyBorder="1" applyAlignment="1">
      <alignment horizontal="center" vertical="center"/>
    </xf>
    <xf numFmtId="0" fontId="20" fillId="2" borderId="4" xfId="0" applyFont="1" applyFill="1" applyBorder="1" applyAlignment="1">
      <alignment horizontal="center" vertical="center"/>
    </xf>
    <xf numFmtId="43" fontId="20" fillId="2" borderId="1" xfId="0" applyNumberFormat="1" applyFont="1" applyFill="1" applyBorder="1">
      <alignment vertical="center"/>
    </xf>
    <xf numFmtId="0" fontId="33" fillId="0" borderId="0" xfId="0" applyFont="1" applyFill="1">
      <alignment vertical="center"/>
    </xf>
    <xf numFmtId="0" fontId="11" fillId="18" borderId="1" xfId="0" applyNumberFormat="1" applyFont="1" applyFill="1" applyBorder="1" applyAlignment="1">
      <alignment horizontal="center" vertical="center" wrapText="1"/>
    </xf>
    <xf numFmtId="0" fontId="11" fillId="18" borderId="2"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8" borderId="1" xfId="0" applyFont="1" applyFill="1" applyBorder="1" applyAlignment="1">
      <alignment horizontal="center" vertical="center"/>
    </xf>
    <xf numFmtId="0" fontId="11" fillId="18" borderId="5" xfId="0" applyFont="1" applyFill="1" applyBorder="1" applyAlignment="1">
      <alignment horizontal="center" vertical="center"/>
    </xf>
    <xf numFmtId="0" fontId="11" fillId="18" borderId="6" xfId="0" applyFont="1" applyFill="1" applyBorder="1" applyAlignment="1">
      <alignment horizontal="center" vertical="center"/>
    </xf>
    <xf numFmtId="0" fontId="11" fillId="18" borderId="4" xfId="0" applyFont="1" applyFill="1" applyBorder="1" applyAlignment="1">
      <alignment horizontal="center" vertical="center"/>
    </xf>
    <xf numFmtId="0" fontId="3" fillId="2" borderId="1" xfId="0" applyFont="1" applyFill="1" applyBorder="1" applyAlignment="1">
      <alignment horizontal="center" vertical="center"/>
    </xf>
    <xf numFmtId="0" fontId="11" fillId="18" borderId="3" xfId="0" applyFont="1" applyFill="1" applyBorder="1" applyAlignment="1">
      <alignment horizontal="center" vertical="center" wrapText="1"/>
    </xf>
    <xf numFmtId="177" fontId="13" fillId="0" borderId="1" xfId="0" applyNumberFormat="1" applyFont="1" applyFill="1" applyBorder="1" applyAlignment="1">
      <alignment vertical="center" shrinkToFit="1"/>
    </xf>
    <xf numFmtId="14" fontId="11" fillId="0" borderId="1" xfId="0" applyNumberFormat="1" applyFont="1" applyFill="1" applyBorder="1" applyAlignment="1">
      <alignment horizontal="center" vertical="center"/>
    </xf>
    <xf numFmtId="183" fontId="11" fillId="0" borderId="1" xfId="0" applyNumberFormat="1" applyFont="1" applyFill="1" applyBorder="1" applyAlignment="1">
      <alignment horizontal="center" vertical="center"/>
    </xf>
    <xf numFmtId="0" fontId="4" fillId="2" borderId="5" xfId="0" applyFont="1" applyFill="1" applyBorder="1" applyAlignment="1">
      <alignment horizontal="center" vertical="center"/>
    </xf>
    <xf numFmtId="0" fontId="20" fillId="2" borderId="1" xfId="0" applyFont="1" applyFill="1" applyBorder="1">
      <alignment vertical="center"/>
    </xf>
    <xf numFmtId="0" fontId="0" fillId="0" borderId="0" xfId="0" applyFont="1" applyAlignment="1">
      <alignment vertical="center"/>
    </xf>
    <xf numFmtId="0" fontId="2" fillId="0" borderId="0" xfId="0" applyFont="1" applyAlignment="1">
      <alignment vertical="center"/>
    </xf>
    <xf numFmtId="0" fontId="10" fillId="5" borderId="1" xfId="0" applyFont="1" applyFill="1" applyBorder="1" applyAlignment="1">
      <alignment horizontal="center" vertical="center"/>
    </xf>
    <xf numFmtId="0" fontId="10" fillId="5" borderId="1" xfId="0" applyFont="1" applyFill="1" applyBorder="1" applyAlignment="1">
      <alignment horizontal="centerContinuous" vertical="center"/>
    </xf>
    <xf numFmtId="0" fontId="7" fillId="5" borderId="1" xfId="0" applyFont="1" applyFill="1" applyBorder="1" applyAlignment="1">
      <alignment horizontal="center" vertical="center"/>
    </xf>
    <xf numFmtId="177" fontId="10" fillId="0" borderId="1" xfId="0" applyNumberFormat="1" applyFont="1" applyFill="1" applyBorder="1" applyAlignment="1">
      <alignment vertical="center"/>
    </xf>
    <xf numFmtId="0" fontId="13" fillId="5" borderId="1" xfId="0" applyFont="1" applyFill="1" applyBorder="1" applyAlignment="1">
      <alignment horizontal="center" vertical="center"/>
    </xf>
    <xf numFmtId="43" fontId="13" fillId="3" borderId="1" xfId="1" applyNumberFormat="1" applyFont="1" applyFill="1" applyBorder="1" applyAlignment="1">
      <alignment horizontal="right" vertical="center"/>
    </xf>
    <xf numFmtId="43" fontId="13" fillId="5" borderId="1" xfId="0" applyNumberFormat="1" applyFont="1" applyFill="1" applyBorder="1" applyAlignment="1">
      <alignment horizontal="center" vertical="center"/>
    </xf>
    <xf numFmtId="177" fontId="7" fillId="10" borderId="2" xfId="0" applyNumberFormat="1" applyFont="1" applyFill="1" applyBorder="1" applyAlignment="1">
      <alignment horizontal="center" vertical="center" wrapText="1"/>
    </xf>
    <xf numFmtId="0" fontId="2" fillId="2" borderId="1" xfId="0" applyFont="1" applyFill="1" applyBorder="1" applyAlignment="1">
      <alignment horizontal="center" vertical="center"/>
    </xf>
    <xf numFmtId="177" fontId="7" fillId="10" borderId="3" xfId="0" applyNumberFormat="1" applyFont="1" applyFill="1" applyBorder="1" applyAlignment="1">
      <alignment horizontal="center" vertical="center" wrapText="1"/>
    </xf>
    <xf numFmtId="0" fontId="2" fillId="2" borderId="3" xfId="0" applyFont="1" applyFill="1" applyBorder="1" applyAlignment="1">
      <alignment horizontal="center" vertical="center"/>
    </xf>
    <xf numFmtId="0" fontId="33" fillId="2" borderId="1" xfId="0" applyFont="1" applyFill="1" applyBorder="1">
      <alignment vertical="center"/>
    </xf>
    <xf numFmtId="43" fontId="20" fillId="4" borderId="1" xfId="0" applyNumberFormat="1" applyFont="1" applyFill="1" applyBorder="1" applyAlignment="1">
      <alignment vertical="center"/>
    </xf>
    <xf numFmtId="0" fontId="41" fillId="2" borderId="5" xfId="0" applyFont="1" applyFill="1" applyBorder="1" applyAlignment="1">
      <alignment horizontal="center" vertical="center"/>
    </xf>
    <xf numFmtId="0" fontId="16" fillId="2" borderId="4" xfId="0" applyFont="1" applyFill="1" applyBorder="1" applyAlignment="1">
      <alignment horizontal="center" vertical="center"/>
    </xf>
    <xf numFmtId="0" fontId="10" fillId="18" borderId="1" xfId="0" applyFont="1" applyFill="1" applyBorder="1" applyAlignment="1">
      <alignment horizontal="center" vertical="center"/>
    </xf>
    <xf numFmtId="0" fontId="18" fillId="18" borderId="1" xfId="0" applyFont="1" applyFill="1" applyBorder="1" applyAlignment="1">
      <alignment horizontal="center" vertical="center"/>
    </xf>
    <xf numFmtId="0" fontId="19" fillId="18" borderId="1" xfId="0" applyFont="1" applyFill="1" applyBorder="1" applyAlignment="1">
      <alignment horizontal="center" vertical="center"/>
    </xf>
    <xf numFmtId="0" fontId="18" fillId="18" borderId="5" xfId="0" applyFont="1" applyFill="1" applyBorder="1" applyAlignment="1">
      <alignment horizontal="center" vertical="center"/>
    </xf>
    <xf numFmtId="0" fontId="18" fillId="18" borderId="6" xfId="0" applyFont="1" applyFill="1" applyBorder="1" applyAlignment="1">
      <alignment horizontal="center" vertical="center"/>
    </xf>
    <xf numFmtId="0" fontId="7" fillId="18" borderId="2" xfId="0" applyFont="1" applyFill="1" applyBorder="1" applyAlignment="1">
      <alignment horizontal="center" vertical="center" wrapText="1"/>
    </xf>
    <xf numFmtId="0" fontId="7" fillId="18" borderId="1" xfId="0" applyFont="1" applyFill="1" applyBorder="1" applyAlignment="1">
      <alignment horizontal="center" vertical="center"/>
    </xf>
    <xf numFmtId="0" fontId="7" fillId="18" borderId="1" xfId="0" applyFont="1" applyFill="1" applyBorder="1" applyAlignment="1">
      <alignment horizontal="center" vertical="center" wrapText="1"/>
    </xf>
    <xf numFmtId="0" fontId="7" fillId="18" borderId="3" xfId="0" applyFont="1" applyFill="1" applyBorder="1" applyAlignment="1">
      <alignment horizontal="center" vertical="center" wrapText="1"/>
    </xf>
    <xf numFmtId="0" fontId="7" fillId="7" borderId="1" xfId="0" applyNumberFormat="1" applyFont="1" applyFill="1" applyBorder="1" applyAlignment="1">
      <alignment horizontal="left" vertical="center"/>
    </xf>
    <xf numFmtId="0" fontId="10" fillId="7" borderId="1" xfId="0" applyNumberFormat="1" applyFont="1" applyFill="1" applyBorder="1" applyAlignment="1">
      <alignment horizontal="center" vertical="center"/>
    </xf>
    <xf numFmtId="49" fontId="10" fillId="7" borderId="1" xfId="0" applyNumberFormat="1" applyFont="1" applyFill="1" applyBorder="1" applyAlignment="1">
      <alignment horizontal="center" vertical="center"/>
    </xf>
    <xf numFmtId="14" fontId="10" fillId="7" borderId="1" xfId="0" applyNumberFormat="1" applyFont="1" applyFill="1" applyBorder="1" applyAlignment="1">
      <alignment horizontal="center" vertical="center"/>
    </xf>
    <xf numFmtId="43" fontId="20" fillId="0" borderId="1" xfId="0" applyNumberFormat="1" applyFont="1" applyBorder="1" applyAlignment="1">
      <alignment horizontal="center" vertical="center"/>
    </xf>
    <xf numFmtId="0" fontId="10" fillId="0" borderId="1" xfId="0" applyNumberFormat="1" applyFont="1" applyFill="1" applyBorder="1" applyAlignment="1">
      <alignment horizontal="center" vertical="center"/>
    </xf>
    <xf numFmtId="0" fontId="30" fillId="0" borderId="11" xfId="0" applyNumberFormat="1" applyFont="1" applyFill="1" applyBorder="1" applyAlignment="1">
      <alignment horizontal="left" vertical="center"/>
    </xf>
    <xf numFmtId="0" fontId="10" fillId="0" borderId="12" xfId="0" applyNumberFormat="1" applyFont="1" applyFill="1" applyBorder="1" applyAlignment="1">
      <alignment horizontal="center" vertical="center"/>
    </xf>
    <xf numFmtId="49" fontId="10" fillId="0" borderId="12" xfId="0" applyNumberFormat="1" applyFont="1" applyFill="1" applyBorder="1" applyAlignment="1">
      <alignment horizontal="center" vertical="center"/>
    </xf>
    <xf numFmtId="0" fontId="30" fillId="0" borderId="10" xfId="0" applyNumberFormat="1" applyFont="1" applyFill="1" applyBorder="1" applyAlignment="1">
      <alignment vertical="center"/>
    </xf>
    <xf numFmtId="0" fontId="19" fillId="0" borderId="0" xfId="0" applyFont="1" applyFill="1" applyBorder="1" applyAlignment="1">
      <alignment vertical="center"/>
    </xf>
    <xf numFmtId="0" fontId="10" fillId="0" borderId="0" xfId="0" applyNumberFormat="1" applyFont="1" applyFill="1" applyBorder="1" applyAlignment="1">
      <alignment horizontal="center" vertical="center"/>
    </xf>
    <xf numFmtId="0" fontId="10" fillId="7" borderId="5" xfId="0" applyNumberFormat="1" applyFont="1" applyFill="1" applyBorder="1" applyAlignment="1">
      <alignment horizontal="center" vertical="center"/>
    </xf>
    <xf numFmtId="0" fontId="10" fillId="7" borderId="6" xfId="0" applyNumberFormat="1" applyFont="1" applyFill="1" applyBorder="1" applyAlignment="1">
      <alignment horizontal="center" vertical="center"/>
    </xf>
    <xf numFmtId="0" fontId="10" fillId="7" borderId="4" xfId="0" applyNumberFormat="1" applyFont="1" applyFill="1" applyBorder="1" applyAlignment="1">
      <alignment horizontal="center" vertical="center"/>
    </xf>
    <xf numFmtId="0" fontId="7" fillId="0" borderId="1" xfId="0" applyNumberFormat="1" applyFont="1" applyFill="1" applyBorder="1" applyAlignment="1">
      <alignment horizontal="center" vertical="center"/>
    </xf>
    <xf numFmtId="49" fontId="10" fillId="0" borderId="1" xfId="0" applyNumberFormat="1" applyFont="1" applyFill="1" applyBorder="1" applyAlignment="1">
      <alignment horizontal="center" vertical="center"/>
    </xf>
    <xf numFmtId="0" fontId="18" fillId="0" borderId="1" xfId="0" applyFont="1" applyFill="1" applyBorder="1" applyAlignment="1">
      <alignment vertical="center"/>
    </xf>
    <xf numFmtId="49" fontId="7" fillId="0" borderId="1" xfId="0" applyNumberFormat="1" applyFont="1" applyFill="1" applyBorder="1" applyAlignment="1">
      <alignment vertical="center" wrapText="1"/>
    </xf>
    <xf numFmtId="49" fontId="7" fillId="0" borderId="1" xfId="0" applyNumberFormat="1" applyFont="1" applyFill="1" applyBorder="1" applyAlignment="1">
      <alignment horizontal="center" vertical="center" wrapText="1"/>
    </xf>
    <xf numFmtId="49" fontId="7" fillId="0" borderId="5" xfId="0" applyNumberFormat="1" applyFont="1" applyFill="1" applyBorder="1" applyAlignment="1">
      <alignment horizontal="left" vertical="center" wrapText="1"/>
    </xf>
    <xf numFmtId="49" fontId="7" fillId="0" borderId="6" xfId="0" applyNumberFormat="1" applyFont="1" applyFill="1" applyBorder="1" applyAlignment="1">
      <alignment horizontal="left" vertical="center" wrapText="1"/>
    </xf>
    <xf numFmtId="49" fontId="7" fillId="0" borderId="4" xfId="0" applyNumberFormat="1" applyFont="1" applyFill="1" applyBorder="1" applyAlignment="1">
      <alignment horizontal="left" vertical="center" wrapText="1"/>
    </xf>
    <xf numFmtId="0" fontId="33" fillId="0" borderId="0" xfId="0" applyFont="1">
      <alignment vertical="center"/>
    </xf>
    <xf numFmtId="177" fontId="8" fillId="5" borderId="1" xfId="0" applyNumberFormat="1" applyFont="1" applyFill="1" applyBorder="1" applyAlignment="1">
      <alignment horizontal="center" vertical="center" wrapText="1"/>
    </xf>
    <xf numFmtId="177" fontId="8" fillId="0" borderId="1" xfId="0" applyNumberFormat="1" applyFont="1" applyFill="1" applyBorder="1" applyAlignment="1">
      <alignment horizontal="center" vertical="center" wrapText="1"/>
    </xf>
    <xf numFmtId="177" fontId="11" fillId="0" borderId="1" xfId="0" applyNumberFormat="1" applyFont="1" applyFill="1" applyBorder="1" applyAlignment="1">
      <alignment horizontal="center" vertical="center" wrapText="1"/>
    </xf>
    <xf numFmtId="183" fontId="11" fillId="0" borderId="1" xfId="0" applyNumberFormat="1" applyFont="1" applyFill="1" applyBorder="1" applyAlignment="1">
      <alignment horizontal="center" vertical="center" wrapText="1"/>
    </xf>
    <xf numFmtId="177" fontId="11" fillId="0" borderId="13" xfId="0" applyNumberFormat="1" applyFont="1" applyFill="1" applyBorder="1" applyAlignment="1">
      <alignment vertical="center" wrapText="1"/>
    </xf>
    <xf numFmtId="177" fontId="11" fillId="0" borderId="14" xfId="0" applyNumberFormat="1" applyFont="1" applyFill="1" applyBorder="1" applyAlignment="1">
      <alignment vertical="center" wrapText="1"/>
    </xf>
    <xf numFmtId="0" fontId="8" fillId="5" borderId="1" xfId="0" applyNumberFormat="1" applyFont="1" applyFill="1" applyBorder="1" applyAlignment="1">
      <alignment horizontal="center" vertical="center"/>
    </xf>
    <xf numFmtId="0" fontId="8" fillId="5" borderId="1" xfId="0" applyNumberFormat="1" applyFont="1" applyFill="1" applyBorder="1" applyAlignment="1">
      <alignment horizontal="center" vertical="center" wrapText="1"/>
    </xf>
    <xf numFmtId="43" fontId="11" fillId="0" borderId="1" xfId="1" applyFont="1" applyFill="1" applyBorder="1" applyAlignment="1">
      <alignment horizontal="right" vertical="center"/>
    </xf>
    <xf numFmtId="43" fontId="11" fillId="3" borderId="1" xfId="1" applyFont="1" applyFill="1" applyBorder="1" applyAlignment="1">
      <alignment horizontal="right" vertical="center"/>
    </xf>
    <xf numFmtId="0" fontId="11" fillId="0" borderId="1" xfId="1" applyNumberFormat="1" applyFont="1" applyFill="1" applyBorder="1" applyAlignment="1">
      <alignment horizontal="right" vertical="center"/>
    </xf>
    <xf numFmtId="0" fontId="42" fillId="0" borderId="0" xfId="0" applyFont="1" applyFill="1" applyAlignment="1">
      <alignment vertical="center"/>
    </xf>
    <xf numFmtId="0" fontId="40" fillId="0" borderId="6" xfId="0" applyFont="1" applyFill="1" applyBorder="1" applyAlignment="1">
      <alignment horizontal="center" vertical="center"/>
    </xf>
    <xf numFmtId="0" fontId="40" fillId="0" borderId="6" xfId="0" applyFont="1" applyFill="1" applyBorder="1" applyAlignment="1">
      <alignment vertical="center"/>
    </xf>
    <xf numFmtId="0" fontId="42" fillId="0" borderId="6" xfId="0" applyFont="1" applyFill="1" applyBorder="1" applyAlignment="1">
      <alignment vertical="center"/>
    </xf>
    <xf numFmtId="177" fontId="43" fillId="0" borderId="6" xfId="0" applyNumberFormat="1" applyFont="1" applyFill="1" applyBorder="1" applyAlignment="1">
      <alignment vertical="center"/>
    </xf>
    <xf numFmtId="0" fontId="17" fillId="0" borderId="0" xfId="0" applyFont="1" applyAlignment="1">
      <alignment horizontal="center" vertical="center"/>
    </xf>
    <xf numFmtId="0" fontId="33" fillId="2" borderId="1" xfId="0" applyFont="1" applyFill="1" applyBorder="1" applyAlignment="1">
      <alignment horizontal="center" vertical="center"/>
    </xf>
    <xf numFmtId="0" fontId="3" fillId="0" borderId="1" xfId="0" applyFont="1" applyBorder="1">
      <alignment vertical="center"/>
    </xf>
    <xf numFmtId="0" fontId="5" fillId="0" borderId="1" xfId="0" applyFont="1" applyFill="1" applyBorder="1" applyAlignment="1">
      <alignment horizontal="left" vertical="center" wrapText="1"/>
    </xf>
    <xf numFmtId="0" fontId="17" fillId="0" borderId="1" xfId="0" applyFont="1" applyBorder="1" applyAlignment="1">
      <alignment horizontal="center" vertical="center"/>
    </xf>
    <xf numFmtId="0" fontId="7" fillId="5" borderId="1" xfId="0" applyFont="1" applyFill="1" applyBorder="1" applyAlignment="1">
      <alignment horizontal="center" vertical="center" wrapText="1"/>
    </xf>
    <xf numFmtId="0" fontId="39" fillId="5" borderId="2"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39" fillId="5" borderId="3" xfId="0" applyFont="1" applyFill="1" applyBorder="1" applyAlignment="1">
      <alignment horizontal="center" vertical="center" wrapText="1"/>
    </xf>
    <xf numFmtId="0" fontId="7" fillId="5" borderId="3" xfId="0" applyFont="1" applyFill="1" applyBorder="1" applyAlignment="1">
      <alignment horizontal="center" vertical="center" wrapText="1"/>
    </xf>
    <xf numFmtId="0" fontId="19" fillId="0" borderId="1" xfId="0" applyFont="1" applyFill="1" applyBorder="1" applyAlignment="1">
      <alignment horizontal="center" vertical="center"/>
    </xf>
    <xf numFmtId="0" fontId="18" fillId="0" borderId="1" xfId="0" applyFont="1" applyFill="1" applyBorder="1" applyAlignment="1">
      <alignment vertical="center" wrapText="1"/>
    </xf>
    <xf numFmtId="177" fontId="19" fillId="0" borderId="1" xfId="0" applyNumberFormat="1" applyFont="1" applyFill="1" applyBorder="1" applyAlignment="1">
      <alignment vertical="center"/>
    </xf>
    <xf numFmtId="0" fontId="7" fillId="0" borderId="1" xfId="0" applyFont="1" applyFill="1" applyBorder="1" applyAlignment="1">
      <alignment horizontal="left" vertical="center" wrapText="1"/>
    </xf>
    <xf numFmtId="0" fontId="2" fillId="2" borderId="5" xfId="0" applyFont="1" applyFill="1" applyBorder="1" applyAlignment="1">
      <alignment horizontal="center" vertical="center"/>
    </xf>
    <xf numFmtId="0" fontId="2" fillId="2" borderId="4" xfId="0" applyFont="1" applyFill="1" applyBorder="1" applyAlignment="1">
      <alignment horizontal="center" vertical="center"/>
    </xf>
    <xf numFmtId="0" fontId="44" fillId="0" borderId="0" xfId="0" applyFont="1">
      <alignment vertical="center"/>
    </xf>
    <xf numFmtId="0" fontId="8" fillId="5" borderId="1" xfId="0" applyFont="1" applyFill="1" applyBorder="1" applyAlignment="1">
      <alignment horizontal="center" vertical="center"/>
    </xf>
    <xf numFmtId="0" fontId="3" fillId="0" borderId="5" xfId="0" applyFont="1" applyBorder="1" applyAlignment="1">
      <alignment horizontal="center" vertical="center"/>
    </xf>
    <xf numFmtId="0" fontId="3" fillId="0" borderId="1" xfId="0" applyFont="1" applyFill="1" applyBorder="1" applyAlignment="1">
      <alignment vertical="center" wrapText="1"/>
    </xf>
    <xf numFmtId="0" fontId="11" fillId="0" borderId="1" xfId="0" applyFont="1" applyFill="1" applyBorder="1" applyAlignment="1">
      <alignment horizontal="center" vertical="center" wrapText="1"/>
    </xf>
    <xf numFmtId="0" fontId="7" fillId="0" borderId="1" xfId="0" applyFont="1" applyFill="1" applyBorder="1" applyAlignment="1">
      <alignment horizontal="center" vertical="center"/>
    </xf>
    <xf numFmtId="0" fontId="11" fillId="0" borderId="1" xfId="0" applyFont="1" applyFill="1" applyBorder="1" applyAlignment="1">
      <alignment vertical="center" wrapText="1"/>
    </xf>
    <xf numFmtId="0" fontId="10" fillId="0" borderId="1" xfId="0" applyFont="1" applyFill="1" applyBorder="1" applyAlignment="1">
      <alignment horizontal="center" vertical="center"/>
    </xf>
    <xf numFmtId="0" fontId="10" fillId="0" borderId="1" xfId="0" applyFont="1" applyFill="1" applyBorder="1" applyAlignment="1">
      <alignment vertical="center" wrapText="1"/>
    </xf>
    <xf numFmtId="0" fontId="8" fillId="0" borderId="1" xfId="0" applyFont="1" applyFill="1" applyBorder="1" applyAlignment="1">
      <alignment vertical="center" wrapText="1"/>
    </xf>
    <xf numFmtId="0" fontId="23" fillId="0" borderId="1" xfId="0" applyFont="1" applyFill="1" applyBorder="1" applyAlignment="1">
      <alignment horizontal="center" vertical="center"/>
    </xf>
    <xf numFmtId="0" fontId="8" fillId="5" borderId="1" xfId="0" applyFont="1" applyFill="1" applyBorder="1" applyAlignment="1">
      <alignment horizontal="center" vertical="center" wrapText="1"/>
    </xf>
    <xf numFmtId="0" fontId="8" fillId="0" borderId="1" xfId="0" applyFont="1" applyBorder="1" applyAlignment="1">
      <alignment horizontal="left" vertical="center" wrapText="1"/>
    </xf>
    <xf numFmtId="0" fontId="10" fillId="0" borderId="1" xfId="0" applyFont="1" applyFill="1" applyBorder="1" applyAlignment="1">
      <alignment horizontal="left" vertical="center" wrapText="1"/>
    </xf>
    <xf numFmtId="0" fontId="45" fillId="0" borderId="1" xfId="0" applyFont="1" applyFill="1" applyBorder="1" applyAlignment="1"/>
    <xf numFmtId="0" fontId="0" fillId="0" borderId="0" xfId="0" applyFont="1" applyAlignment="1">
      <alignment vertical="center" wrapText="1"/>
    </xf>
    <xf numFmtId="0" fontId="2" fillId="2" borderId="1" xfId="0" applyFont="1" applyFill="1" applyBorder="1" applyAlignment="1">
      <alignment vertical="center" wrapText="1"/>
    </xf>
    <xf numFmtId="0" fontId="2" fillId="0" borderId="1" xfId="0" applyFont="1" applyBorder="1" applyAlignment="1">
      <alignment vertical="center" wrapText="1"/>
    </xf>
    <xf numFmtId="0" fontId="46" fillId="0" borderId="1" xfId="6" applyFont="1" applyBorder="1" applyAlignment="1">
      <alignment horizontal="center" vertical="center"/>
    </xf>
    <xf numFmtId="0" fontId="47" fillId="0" borderId="1" xfId="6" applyBorder="1" applyAlignment="1">
      <alignment horizontal="center" vertical="center"/>
    </xf>
    <xf numFmtId="0" fontId="2" fillId="0" borderId="7" xfId="0" applyFont="1" applyBorder="1" applyAlignment="1">
      <alignment horizontal="center" vertical="center"/>
    </xf>
    <xf numFmtId="0" fontId="2" fillId="0" borderId="7"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0">
    <dxf>
      <font>
        <b val="1"/>
        <i val="0"/>
        <color rgb="FFFF0000"/>
      </font>
    </dxf>
    <dxf>
      <font>
        <color indexed="12"/>
      </font>
    </dxf>
    <dxf>
      <font>
        <color indexed="10"/>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2" Type="http://schemas.openxmlformats.org/officeDocument/2006/relationships/styles" Target="styles.xml"/><Relationship Id="rId41" Type="http://schemas.openxmlformats.org/officeDocument/2006/relationships/sharedStrings" Target="sharedStrings.xml"/><Relationship Id="rId40" Type="http://schemas.openxmlformats.org/officeDocument/2006/relationships/theme" Target="theme/theme1.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9.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23.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2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29.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L29"/>
  <sheetViews>
    <sheetView zoomScale="90" zoomScaleNormal="90" workbookViewId="0">
      <pane ySplit="1" topLeftCell="A2" activePane="bottomLeft" state="frozen"/>
      <selection/>
      <selection pane="bottomLeft" activeCell="A8" sqref="A8"/>
    </sheetView>
  </sheetViews>
  <sheetFormatPr defaultColWidth="8.73148148148148" defaultRowHeight="14.4"/>
  <cols>
    <col min="1" max="1" width="19.3611111111111" style="552" customWidth="1"/>
    <col min="2" max="2" width="3.43518518518518" customWidth="1"/>
    <col min="3" max="3" width="10.4537037037037" style="552" customWidth="1"/>
    <col min="4" max="4" width="4.03703703703704" customWidth="1"/>
    <col min="5" max="5" width="12.5277777777778" style="211" customWidth="1"/>
    <col min="6" max="6" width="17.9722222222222" style="211" customWidth="1"/>
    <col min="7" max="7" width="14.4351851851852" style="211" customWidth="1"/>
    <col min="8" max="8" width="51.4537037037037" style="211" customWidth="1"/>
    <col min="9" max="9" width="22.7314814814815" style="211" customWidth="1"/>
    <col min="10" max="10" width="13.9074074074074" style="211" customWidth="1"/>
    <col min="11" max="11" width="19.6388888888889" style="211" customWidth="1"/>
    <col min="12" max="12" width="22.9074074074074" style="211" customWidth="1"/>
  </cols>
  <sheetData>
    <row r="1" ht="31" customHeight="1" spans="1:12">
      <c r="A1" s="553" t="s">
        <v>0</v>
      </c>
      <c r="B1" s="285"/>
      <c r="C1" s="554"/>
      <c r="E1" s="283" t="s">
        <v>1</v>
      </c>
      <c r="F1" s="283" t="s">
        <v>2</v>
      </c>
      <c r="G1" s="283" t="s">
        <v>3</v>
      </c>
      <c r="H1" s="283" t="s">
        <v>4</v>
      </c>
      <c r="I1" s="283" t="s">
        <v>5</v>
      </c>
      <c r="J1" s="283" t="s">
        <v>6</v>
      </c>
      <c r="K1" s="283" t="s">
        <v>7</v>
      </c>
      <c r="L1" s="283" t="s">
        <v>8</v>
      </c>
    </row>
    <row r="2" ht="29" customHeight="1" spans="1:12">
      <c r="A2" s="553" t="s">
        <v>9</v>
      </c>
      <c r="B2" s="285"/>
      <c r="C2" s="553" t="s">
        <v>10</v>
      </c>
      <c r="E2" s="283" t="s">
        <v>11</v>
      </c>
      <c r="F2" s="283" t="s">
        <v>12</v>
      </c>
      <c r="G2" s="555" t="s">
        <v>13</v>
      </c>
      <c r="H2" s="283"/>
      <c r="I2" s="283"/>
      <c r="J2" s="283"/>
      <c r="K2" s="283"/>
      <c r="L2" s="283"/>
    </row>
    <row r="3" ht="29" customHeight="1" spans="1:12">
      <c r="A3" s="553" t="s">
        <v>14</v>
      </c>
      <c r="B3" s="285"/>
      <c r="C3" s="553" t="s">
        <v>15</v>
      </c>
      <c r="E3" s="283"/>
      <c r="F3" s="283" t="s">
        <v>16</v>
      </c>
      <c r="G3" s="555" t="s">
        <v>17</v>
      </c>
      <c r="H3" s="283"/>
      <c r="I3" s="283"/>
      <c r="J3" s="283"/>
      <c r="K3" s="283"/>
      <c r="L3" s="283"/>
    </row>
    <row r="4" ht="29" customHeight="1" spans="1:12">
      <c r="E4" s="117" t="s">
        <v>18</v>
      </c>
      <c r="F4" s="283" t="s">
        <v>19</v>
      </c>
      <c r="G4" s="555" t="s">
        <v>20</v>
      </c>
      <c r="H4" s="283"/>
      <c r="I4" s="283"/>
      <c r="J4" s="283"/>
      <c r="K4" s="283"/>
      <c r="L4" s="283"/>
    </row>
    <row r="5" ht="29" customHeight="1" spans="1:12">
      <c r="A5" s="290"/>
      <c r="B5" s="31"/>
      <c r="C5" s="290"/>
      <c r="E5" s="118"/>
      <c r="F5" s="283" t="s">
        <v>21</v>
      </c>
      <c r="G5" s="556" t="s">
        <v>22</v>
      </c>
      <c r="H5" s="283"/>
      <c r="I5" s="283"/>
      <c r="J5" s="283"/>
      <c r="K5" s="283"/>
      <c r="L5" s="283"/>
    </row>
    <row r="6" ht="29" customHeight="1" spans="1:12">
      <c r="A6" s="290"/>
      <c r="B6" s="31"/>
      <c r="C6" s="290"/>
      <c r="E6" s="117" t="s">
        <v>23</v>
      </c>
      <c r="F6" s="283" t="s">
        <v>24</v>
      </c>
      <c r="G6" s="556" t="s">
        <v>25</v>
      </c>
      <c r="H6" s="283"/>
      <c r="I6" s="283"/>
      <c r="J6" s="283"/>
      <c r="K6" s="283"/>
      <c r="L6" s="283"/>
    </row>
    <row r="7" ht="29" customHeight="1" spans="1:12">
      <c r="A7" s="290"/>
      <c r="B7" s="31"/>
      <c r="C7" s="290"/>
      <c r="E7" s="118"/>
      <c r="F7" s="283" t="s">
        <v>26</v>
      </c>
      <c r="G7" s="556" t="s">
        <v>27</v>
      </c>
      <c r="H7" s="283"/>
      <c r="I7" s="283"/>
      <c r="J7" s="283"/>
      <c r="K7" s="283"/>
      <c r="L7" s="283"/>
    </row>
    <row r="8" ht="29" customHeight="1" spans="1:12">
      <c r="A8" s="290"/>
      <c r="B8" s="31"/>
      <c r="C8" s="290"/>
      <c r="E8" s="557" t="s">
        <v>28</v>
      </c>
      <c r="F8" s="283" t="s">
        <v>29</v>
      </c>
      <c r="G8" s="556" t="s">
        <v>30</v>
      </c>
      <c r="H8" s="283"/>
      <c r="I8" s="283"/>
      <c r="J8" s="283"/>
      <c r="K8" s="283"/>
      <c r="L8" s="283"/>
    </row>
    <row r="9" ht="29" customHeight="1" spans="1:12">
      <c r="A9" s="290"/>
      <c r="B9" s="31"/>
      <c r="C9" s="290"/>
      <c r="E9" s="557"/>
      <c r="F9" s="283" t="s">
        <v>31</v>
      </c>
      <c r="G9" s="556" t="s">
        <v>32</v>
      </c>
      <c r="H9" s="283"/>
      <c r="I9" s="283"/>
      <c r="J9" s="283"/>
      <c r="K9" s="283"/>
      <c r="L9" s="283"/>
    </row>
    <row r="10" ht="29" customHeight="1" spans="1:12">
      <c r="A10" s="290"/>
      <c r="B10" s="31"/>
      <c r="C10" s="290"/>
      <c r="E10" s="283" t="s">
        <v>33</v>
      </c>
      <c r="F10" s="283" t="s">
        <v>34</v>
      </c>
      <c r="G10" s="555" t="s">
        <v>35</v>
      </c>
      <c r="H10" s="283"/>
      <c r="I10" s="283"/>
      <c r="J10" s="283"/>
      <c r="K10" s="283"/>
      <c r="L10" s="283"/>
    </row>
    <row r="11" ht="25" customHeight="1" spans="1:12">
      <c r="A11" s="290"/>
      <c r="B11" s="31"/>
      <c r="C11" s="290"/>
      <c r="E11" s="117" t="s">
        <v>36</v>
      </c>
      <c r="F11" s="283" t="s">
        <v>37</v>
      </c>
      <c r="G11" s="555" t="s">
        <v>38</v>
      </c>
      <c r="H11" s="283"/>
      <c r="I11" s="283"/>
      <c r="J11" s="283"/>
      <c r="K11" s="283"/>
      <c r="L11" s="283"/>
    </row>
    <row r="12" ht="25" customHeight="1" spans="1:12">
      <c r="E12" s="557"/>
      <c r="F12" s="283" t="s">
        <v>39</v>
      </c>
      <c r="G12" s="556" t="s">
        <v>40</v>
      </c>
      <c r="H12" s="283"/>
      <c r="I12" s="283"/>
      <c r="J12" s="283"/>
      <c r="K12" s="283"/>
      <c r="L12" s="283"/>
    </row>
    <row r="13" ht="25" customHeight="1" spans="1:12">
      <c r="A13" s="290"/>
      <c r="B13" s="31"/>
      <c r="C13" s="290"/>
      <c r="E13" s="557"/>
      <c r="F13" s="283" t="s">
        <v>41</v>
      </c>
      <c r="G13" s="555" t="s">
        <v>42</v>
      </c>
      <c r="H13" s="283"/>
      <c r="I13" s="283"/>
      <c r="J13" s="283"/>
      <c r="K13" s="283"/>
      <c r="L13" s="283"/>
    </row>
    <row r="14" ht="25" customHeight="1" spans="1:12">
      <c r="E14" s="557"/>
      <c r="F14" s="283" t="s">
        <v>43</v>
      </c>
      <c r="G14" s="556" t="s">
        <v>40</v>
      </c>
      <c r="H14" s="283"/>
      <c r="I14" s="283"/>
      <c r="J14" s="283"/>
      <c r="K14" s="283"/>
      <c r="L14" s="283"/>
    </row>
    <row r="15" ht="25" customHeight="1" spans="1:12">
      <c r="E15" s="557"/>
      <c r="F15" s="283" t="s">
        <v>44</v>
      </c>
      <c r="G15" s="556" t="s">
        <v>38</v>
      </c>
      <c r="H15" s="283"/>
      <c r="I15" s="283"/>
      <c r="J15" s="283"/>
      <c r="K15" s="283"/>
      <c r="L15" s="283"/>
    </row>
    <row r="16" ht="25" customHeight="1" spans="1:12">
      <c r="E16" s="557"/>
      <c r="F16" s="283" t="s">
        <v>45</v>
      </c>
      <c r="G16" s="556" t="s">
        <v>46</v>
      </c>
      <c r="H16" s="283"/>
      <c r="I16" s="283"/>
      <c r="J16" s="283"/>
      <c r="K16" s="283"/>
      <c r="L16" s="283"/>
    </row>
    <row r="17" ht="25" customHeight="1" spans="5:12">
      <c r="E17" s="118"/>
      <c r="F17" s="283" t="s">
        <v>47</v>
      </c>
      <c r="G17" s="556" t="s">
        <v>48</v>
      </c>
      <c r="H17" s="283"/>
      <c r="I17" s="283"/>
      <c r="J17" s="283"/>
      <c r="K17" s="283"/>
      <c r="L17" s="283"/>
    </row>
    <row r="18" ht="25" customHeight="1" spans="5:12">
      <c r="E18" s="558" t="s">
        <v>49</v>
      </c>
      <c r="F18" s="283" t="s">
        <v>50</v>
      </c>
      <c r="G18" s="556" t="s">
        <v>51</v>
      </c>
      <c r="H18" s="283"/>
      <c r="I18" s="283"/>
      <c r="J18" s="283"/>
      <c r="K18" s="283"/>
      <c r="L18" s="283"/>
    </row>
    <row r="19" ht="25" customHeight="1" spans="5:12">
      <c r="E19" s="558"/>
      <c r="F19" s="283" t="s">
        <v>52</v>
      </c>
      <c r="G19" s="555" t="s">
        <v>53</v>
      </c>
      <c r="H19" s="283"/>
      <c r="I19" s="283"/>
      <c r="J19" s="283"/>
      <c r="K19" s="283"/>
      <c r="L19" s="283"/>
    </row>
    <row r="20" ht="25" customHeight="1" spans="5:12">
      <c r="E20" s="117" t="s">
        <v>54</v>
      </c>
      <c r="F20" s="283" t="s">
        <v>55</v>
      </c>
      <c r="G20" s="556" t="s">
        <v>56</v>
      </c>
      <c r="H20" s="283"/>
      <c r="I20" s="283"/>
      <c r="J20" s="283"/>
      <c r="K20" s="283"/>
      <c r="L20" s="283"/>
    </row>
    <row r="21" ht="25" customHeight="1" spans="5:12">
      <c r="E21" s="118"/>
      <c r="F21" s="283" t="s">
        <v>57</v>
      </c>
      <c r="G21" s="555" t="s">
        <v>58</v>
      </c>
      <c r="H21" s="283"/>
      <c r="I21" s="283"/>
      <c r="J21" s="283"/>
      <c r="K21" s="283"/>
      <c r="L21" s="283"/>
    </row>
    <row r="22" ht="25" customHeight="1" spans="5:12">
      <c r="E22" s="117" t="s">
        <v>59</v>
      </c>
      <c r="F22" s="283" t="s">
        <v>60</v>
      </c>
      <c r="G22" s="556" t="s">
        <v>61</v>
      </c>
      <c r="H22" s="283"/>
      <c r="I22" s="283"/>
      <c r="J22" s="283"/>
      <c r="K22" s="283"/>
      <c r="L22" s="283"/>
    </row>
    <row r="23" ht="25" customHeight="1" spans="5:12">
      <c r="E23" s="557"/>
      <c r="F23" s="283" t="s">
        <v>62</v>
      </c>
      <c r="G23" s="556" t="s">
        <v>63</v>
      </c>
      <c r="H23" s="283"/>
      <c r="I23" s="283"/>
      <c r="J23" s="283"/>
      <c r="K23" s="283"/>
      <c r="L23" s="283"/>
    </row>
    <row r="24" ht="25" customHeight="1" spans="5:12">
      <c r="E24" s="118"/>
      <c r="F24" s="283" t="s">
        <v>64</v>
      </c>
      <c r="G24" s="556" t="s">
        <v>65</v>
      </c>
      <c r="H24" s="283"/>
      <c r="I24" s="283"/>
      <c r="J24" s="283"/>
      <c r="K24" s="283"/>
      <c r="L24" s="283"/>
    </row>
    <row r="25" ht="25" customHeight="1" spans="5:12">
      <c r="E25" s="117" t="s">
        <v>66</v>
      </c>
      <c r="F25" s="283" t="s">
        <v>67</v>
      </c>
      <c r="G25" s="556" t="s">
        <v>68</v>
      </c>
      <c r="H25" s="283"/>
      <c r="I25" s="283"/>
      <c r="J25" s="283"/>
      <c r="K25" s="283"/>
      <c r="L25" s="283"/>
    </row>
    <row r="26" ht="25" customHeight="1" spans="5:12">
      <c r="E26" s="557"/>
      <c r="F26" s="283" t="s">
        <v>69</v>
      </c>
      <c r="G26" s="556" t="s">
        <v>70</v>
      </c>
      <c r="H26" s="283"/>
      <c r="I26" s="283"/>
      <c r="J26" s="283"/>
      <c r="K26" s="283"/>
      <c r="L26" s="283"/>
    </row>
    <row r="27" ht="25" customHeight="1" spans="5:12">
      <c r="E27" s="557"/>
      <c r="F27" s="283" t="s">
        <v>71</v>
      </c>
      <c r="G27" s="556" t="s">
        <v>72</v>
      </c>
      <c r="H27" s="283"/>
      <c r="I27" s="283"/>
      <c r="J27" s="283"/>
      <c r="K27" s="283"/>
      <c r="L27" s="283"/>
    </row>
    <row r="28" ht="25" customHeight="1" spans="5:12">
      <c r="E28" s="557"/>
      <c r="F28" s="283" t="s">
        <v>73</v>
      </c>
      <c r="G28" s="556" t="s">
        <v>74</v>
      </c>
      <c r="H28" s="283"/>
      <c r="I28" s="283"/>
      <c r="J28" s="283"/>
      <c r="K28" s="283"/>
      <c r="L28" s="283"/>
    </row>
    <row r="29" ht="25" customHeight="1" spans="5:12">
      <c r="E29" s="118"/>
      <c r="F29" s="283" t="s">
        <v>75</v>
      </c>
      <c r="G29" s="556" t="s">
        <v>76</v>
      </c>
      <c r="H29" s="283"/>
      <c r="I29" s="283"/>
      <c r="J29" s="283"/>
      <c r="K29" s="283"/>
      <c r="L29" s="283"/>
    </row>
  </sheetData>
  <mergeCells count="9">
    <mergeCell ref="E2:E3"/>
    <mergeCell ref="E4:E5"/>
    <mergeCell ref="E6:E7"/>
    <mergeCell ref="E8:E9"/>
    <mergeCell ref="E11:E17"/>
    <mergeCell ref="E18:E19"/>
    <mergeCell ref="E20:E21"/>
    <mergeCell ref="E22:E24"/>
    <mergeCell ref="E25:E29"/>
  </mergeCells>
  <hyperlinks>
    <hyperlink ref="G2" location="货币资金!A1" display="HBZJ-1"/>
    <hyperlink ref="G11" location="应收账款!A1" display="YSZK-1"/>
    <hyperlink ref="G12" location="预付账款!A1" display="YFZK-1"/>
    <hyperlink ref="G13" location="其他应收款!A1" display="QTYSK-1"/>
    <hyperlink ref="G14" location="应付账款!A1" display="YFZK-1"/>
    <hyperlink ref="G15" location="预收账款!A1" display="YSZK-1"/>
    <hyperlink ref="G16" location="其他应付款!A1" display="QTYFK-1"/>
    <hyperlink ref="G17" location="关联方交易核对!A1" display="GLFJY-1"/>
    <hyperlink ref="G20" location="应交税费!A1" display="YJSF-1"/>
    <hyperlink ref="G21" location="应交增值税明细表!A1" display="YJSF-2"/>
    <hyperlink ref="G22" location="营业收入!A1" display="YYSR-1"/>
    <hyperlink ref="G23" location="营业成本!A1" display="YYCB-1"/>
    <hyperlink ref="G24" location="毛利率分析表!A1" display="MLLFX-1"/>
    <hyperlink ref="G25" location="销售费用!A1" display="XSFY-1"/>
    <hyperlink ref="G26" location="销售费用比例分析!A1" display="XSFY-2"/>
    <hyperlink ref="G27" location="管理费用!A1" display="GLFY-1"/>
    <hyperlink ref="G28" location="管理费用比例分析!A1" display="GLFY-2"/>
    <hyperlink ref="G29" location="财务费用!A1" display="CWFY-1"/>
    <hyperlink ref="G3" location="流水分析!A1" display="LSFX-1"/>
    <hyperlink ref="G4" location="库存商品!A1" display="KCSP-1"/>
    <hyperlink ref="G5" location="库存商品分析表!A1" display="KCSPFX-1"/>
    <hyperlink ref="G6" location="固定资产!A1" display="GDZC-1"/>
    <hyperlink ref="G7" location="固定资产测算表!A1" display="GDZCCS-1"/>
    <hyperlink ref="G8" location="无形资产!A1" display="WXZC-1"/>
    <hyperlink ref="G9" location="无形资产测算表!A1" display="WXZCCS-1"/>
    <hyperlink ref="G18" location="应付职工薪酬!A1" display="YFZGXCMX-1"/>
    <hyperlink ref="G19" location="应付职工薪酬检查表!A1" display="YFZGXCJC-1"/>
    <hyperlink ref="G10" location="其他流动资产!A1" display="QTLDZC-1"/>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I54"/>
  <sheetViews>
    <sheetView workbookViewId="0">
      <pane ySplit="2" topLeftCell="A10" activePane="bottomLeft" state="frozen"/>
      <selection/>
      <selection pane="bottomLeft" activeCell="D3" sqref="D3"/>
    </sheetView>
  </sheetViews>
  <sheetFormatPr defaultColWidth="8.73148148148148" defaultRowHeight="14.4"/>
  <cols>
    <col min="1" max="1" width="5.18518518518519" style="146" customWidth="1"/>
    <col min="2" max="2" width="12.0925925925926" style="146" customWidth="1"/>
    <col min="3" max="3" width="85.5462962962963" style="146" customWidth="1"/>
    <col min="4" max="4" width="17.6388888888889" style="146" customWidth="1"/>
    <col min="5" max="9" width="4.81481481481481" customWidth="1"/>
  </cols>
  <sheetData>
    <row r="1" ht="21" customHeight="1" spans="1:9">
      <c r="A1" s="448" t="s">
        <v>77</v>
      </c>
      <c r="B1" s="448" t="s">
        <v>78</v>
      </c>
      <c r="C1" s="538" t="s">
        <v>79</v>
      </c>
      <c r="D1" s="538" t="s">
        <v>80</v>
      </c>
      <c r="E1" s="459" t="s">
        <v>81</v>
      </c>
      <c r="F1" s="457"/>
      <c r="G1" s="457"/>
      <c r="H1" s="457"/>
      <c r="I1" s="457"/>
    </row>
    <row r="2" s="3" customFormat="1" ht="23" customHeight="1" spans="1:9">
      <c r="A2" s="448"/>
      <c r="B2" s="448"/>
      <c r="C2" s="538"/>
      <c r="D2" s="538"/>
      <c r="E2" s="548" t="s">
        <v>82</v>
      </c>
      <c r="F2" s="548" t="s">
        <v>83</v>
      </c>
      <c r="G2" s="548" t="s">
        <v>84</v>
      </c>
      <c r="H2" s="548" t="s">
        <v>85</v>
      </c>
      <c r="I2" s="548" t="s">
        <v>86</v>
      </c>
    </row>
    <row r="3" s="3" customFormat="1" ht="29" customHeight="1" spans="1:9">
      <c r="A3" s="100">
        <v>1</v>
      </c>
      <c r="B3" s="100" t="s">
        <v>11</v>
      </c>
      <c r="C3" s="119" t="s">
        <v>87</v>
      </c>
      <c r="D3" s="541"/>
      <c r="E3" s="523"/>
      <c r="F3" s="523"/>
      <c r="G3" s="523"/>
      <c r="H3" s="544" t="s">
        <v>88</v>
      </c>
      <c r="I3" s="523"/>
    </row>
    <row r="4" s="3" customFormat="1" ht="32" customHeight="1" spans="1:9">
      <c r="A4" s="100">
        <v>2</v>
      </c>
      <c r="B4" s="100" t="s">
        <v>11</v>
      </c>
      <c r="C4" s="105" t="s">
        <v>89</v>
      </c>
      <c r="D4" s="541"/>
      <c r="E4" s="544" t="s">
        <v>88</v>
      </c>
      <c r="F4" s="544" t="s">
        <v>88</v>
      </c>
      <c r="G4" s="544"/>
      <c r="H4" s="544" t="s">
        <v>88</v>
      </c>
      <c r="I4" s="544"/>
    </row>
    <row r="5" s="3" customFormat="1" ht="29" customHeight="1" spans="1:9">
      <c r="A5" s="100">
        <v>3</v>
      </c>
      <c r="B5" s="100" t="s">
        <v>11</v>
      </c>
      <c r="C5" s="105" t="s">
        <v>90</v>
      </c>
      <c r="D5" s="541"/>
      <c r="E5" s="544" t="s">
        <v>88</v>
      </c>
      <c r="F5" s="544"/>
      <c r="G5" s="544"/>
      <c r="H5" s="544" t="s">
        <v>88</v>
      </c>
      <c r="I5" s="523"/>
    </row>
    <row r="6" s="3" customFormat="1" ht="55" customHeight="1" spans="1:9">
      <c r="A6" s="100">
        <v>4</v>
      </c>
      <c r="B6" s="100" t="s">
        <v>11</v>
      </c>
      <c r="C6" s="105" t="s">
        <v>91</v>
      </c>
      <c r="D6" s="541"/>
      <c r="E6" s="544" t="s">
        <v>88</v>
      </c>
      <c r="F6" s="544"/>
      <c r="G6" s="544"/>
      <c r="H6" s="544" t="s">
        <v>88</v>
      </c>
      <c r="I6" s="523"/>
    </row>
    <row r="7" s="3" customFormat="1" ht="29" customHeight="1" spans="1:9">
      <c r="A7" s="100">
        <v>5</v>
      </c>
      <c r="B7" s="100" t="s">
        <v>11</v>
      </c>
      <c r="C7" s="105" t="s">
        <v>92</v>
      </c>
      <c r="D7" s="541"/>
      <c r="E7" s="544" t="s">
        <v>88</v>
      </c>
      <c r="F7" s="544"/>
      <c r="G7" s="544"/>
      <c r="H7" s="544" t="s">
        <v>88</v>
      </c>
      <c r="I7" s="523"/>
    </row>
    <row r="8" s="3" customFormat="1" ht="29" customHeight="1" spans="1:9">
      <c r="A8" s="100">
        <v>6</v>
      </c>
      <c r="B8" s="100" t="s">
        <v>11</v>
      </c>
      <c r="C8" s="105" t="s">
        <v>93</v>
      </c>
      <c r="D8" s="541"/>
      <c r="E8" s="544"/>
      <c r="F8" s="544"/>
      <c r="G8" s="544"/>
      <c r="H8" s="544"/>
      <c r="I8" s="544" t="s">
        <v>88</v>
      </c>
    </row>
    <row r="9" s="3" customFormat="1" ht="42" customHeight="1" spans="1:9">
      <c r="A9" s="100">
        <v>7</v>
      </c>
      <c r="B9" s="100" t="s">
        <v>18</v>
      </c>
      <c r="C9" s="105" t="s">
        <v>94</v>
      </c>
      <c r="D9" s="541"/>
      <c r="E9" s="228" t="s">
        <v>95</v>
      </c>
      <c r="F9" s="228" t="s">
        <v>95</v>
      </c>
      <c r="G9" s="228"/>
      <c r="H9" s="228" t="s">
        <v>95</v>
      </c>
      <c r="I9" s="228"/>
    </row>
    <row r="10" s="3" customFormat="1" ht="48" customHeight="1" spans="1:9">
      <c r="A10" s="100">
        <v>8</v>
      </c>
      <c r="B10" s="100" t="s">
        <v>18</v>
      </c>
      <c r="C10" s="105" t="s">
        <v>96</v>
      </c>
      <c r="D10" s="541"/>
      <c r="E10" s="542" t="s">
        <v>95</v>
      </c>
      <c r="F10" s="542" t="s">
        <v>95</v>
      </c>
      <c r="G10" s="542" t="s">
        <v>95</v>
      </c>
      <c r="H10" s="542" t="s">
        <v>95</v>
      </c>
      <c r="I10" s="542"/>
    </row>
    <row r="11" s="3" customFormat="1" ht="29" customHeight="1" spans="1:9">
      <c r="A11" s="100">
        <v>9</v>
      </c>
      <c r="B11" s="100" t="s">
        <v>18</v>
      </c>
      <c r="C11" s="105" t="s">
        <v>97</v>
      </c>
      <c r="D11" s="541"/>
      <c r="E11" s="542" t="s">
        <v>95</v>
      </c>
      <c r="F11" s="542"/>
      <c r="G11" s="542"/>
      <c r="H11" s="542" t="s">
        <v>95</v>
      </c>
      <c r="I11" s="542"/>
    </row>
    <row r="12" s="3" customFormat="1" ht="29" customHeight="1" spans="1:9">
      <c r="A12" s="100">
        <v>10</v>
      </c>
      <c r="B12" s="100" t="s">
        <v>23</v>
      </c>
      <c r="C12" s="105" t="s">
        <v>98</v>
      </c>
      <c r="D12" s="541"/>
      <c r="E12" s="236"/>
      <c r="F12" s="236"/>
      <c r="G12" s="236"/>
      <c r="H12" s="236" t="s">
        <v>95</v>
      </c>
      <c r="I12" s="236"/>
    </row>
    <row r="13" s="3" customFormat="1" ht="50" customHeight="1" spans="1:9">
      <c r="A13" s="100">
        <v>11</v>
      </c>
      <c r="B13" s="100" t="s">
        <v>23</v>
      </c>
      <c r="C13" s="105" t="s">
        <v>99</v>
      </c>
      <c r="D13" s="541"/>
      <c r="E13" s="236"/>
      <c r="F13" s="236"/>
      <c r="G13" s="236" t="s">
        <v>95</v>
      </c>
      <c r="H13" s="236"/>
      <c r="I13" s="236"/>
    </row>
    <row r="14" s="3" customFormat="1" ht="50" customHeight="1" spans="1:9">
      <c r="A14" s="100">
        <v>12</v>
      </c>
      <c r="B14" s="100" t="s">
        <v>23</v>
      </c>
      <c r="C14" s="105" t="s">
        <v>100</v>
      </c>
      <c r="D14" s="541"/>
      <c r="E14" s="236"/>
      <c r="F14" s="236"/>
      <c r="G14" s="236"/>
      <c r="H14" s="236" t="s">
        <v>95</v>
      </c>
      <c r="I14" s="236"/>
    </row>
    <row r="15" s="3" customFormat="1" ht="38" customHeight="1" spans="1:9">
      <c r="A15" s="100">
        <v>13</v>
      </c>
      <c r="B15" s="100" t="s">
        <v>28</v>
      </c>
      <c r="C15" s="105" t="s">
        <v>101</v>
      </c>
      <c r="D15" s="541"/>
      <c r="E15" s="542"/>
      <c r="F15" s="542"/>
      <c r="G15" s="542"/>
      <c r="H15" s="542" t="s">
        <v>95</v>
      </c>
      <c r="I15" s="542"/>
    </row>
    <row r="16" s="3" customFormat="1" ht="29" customHeight="1" spans="1:9">
      <c r="A16" s="100">
        <v>14</v>
      </c>
      <c r="B16" s="100" t="s">
        <v>28</v>
      </c>
      <c r="C16" s="105" t="s">
        <v>102</v>
      </c>
      <c r="D16" s="541"/>
      <c r="E16" s="542" t="s">
        <v>95</v>
      </c>
      <c r="F16" s="542"/>
      <c r="G16" s="542" t="s">
        <v>95</v>
      </c>
      <c r="H16" s="542"/>
      <c r="I16" s="542"/>
    </row>
    <row r="17" s="3" customFormat="1" ht="63" customHeight="1" spans="1:9">
      <c r="A17" s="100">
        <v>15</v>
      </c>
      <c r="B17" s="100" t="s">
        <v>28</v>
      </c>
      <c r="C17" s="105" t="s">
        <v>103</v>
      </c>
      <c r="D17" s="541"/>
      <c r="E17" s="542"/>
      <c r="F17" s="542"/>
      <c r="G17" s="542"/>
      <c r="H17" s="542" t="s">
        <v>95</v>
      </c>
      <c r="I17" s="542"/>
    </row>
    <row r="18" s="3" customFormat="1" ht="30" customHeight="1" spans="1:9">
      <c r="A18" s="100">
        <v>16</v>
      </c>
      <c r="B18" s="100" t="s">
        <v>104</v>
      </c>
      <c r="C18" s="105" t="s">
        <v>105</v>
      </c>
      <c r="D18" s="541"/>
      <c r="E18" s="523"/>
      <c r="F18" s="523"/>
      <c r="G18" s="523"/>
      <c r="H18" s="496" t="s">
        <v>95</v>
      </c>
      <c r="I18" s="523"/>
    </row>
    <row r="19" s="3" customFormat="1" ht="44" customHeight="1" spans="1:9">
      <c r="A19" s="100">
        <v>17</v>
      </c>
      <c r="B19" s="100" t="s">
        <v>104</v>
      </c>
      <c r="C19" s="105" t="s">
        <v>106</v>
      </c>
      <c r="D19" s="541"/>
      <c r="E19" s="523"/>
      <c r="F19" s="523"/>
      <c r="G19" s="523"/>
      <c r="H19" s="496" t="s">
        <v>95</v>
      </c>
      <c r="I19" s="523"/>
    </row>
    <row r="20" s="3" customFormat="1" ht="26" customHeight="1" spans="1:9">
      <c r="A20" s="100">
        <v>18</v>
      </c>
      <c r="B20" s="100" t="s">
        <v>104</v>
      </c>
      <c r="C20" s="105" t="s">
        <v>107</v>
      </c>
      <c r="D20" s="541"/>
      <c r="E20" s="523"/>
      <c r="F20" s="523"/>
      <c r="G20" s="523"/>
      <c r="H20" s="496" t="s">
        <v>95</v>
      </c>
      <c r="I20" s="523"/>
    </row>
    <row r="21" ht="22" customHeight="1" spans="1:9">
      <c r="A21" s="100">
        <v>19</v>
      </c>
      <c r="B21" s="100" t="s">
        <v>104</v>
      </c>
      <c r="C21" s="105" t="s">
        <v>108</v>
      </c>
      <c r="D21" s="541"/>
      <c r="E21" s="496" t="s">
        <v>95</v>
      </c>
      <c r="F21" s="486"/>
      <c r="G21" s="496" t="s">
        <v>95</v>
      </c>
      <c r="H21" s="496" t="s">
        <v>95</v>
      </c>
      <c r="I21" s="486"/>
    </row>
    <row r="22" ht="30" customHeight="1" spans="1:9">
      <c r="A22" s="100">
        <v>20</v>
      </c>
      <c r="B22" s="100" t="s">
        <v>109</v>
      </c>
      <c r="C22" s="105" t="s">
        <v>110</v>
      </c>
      <c r="D22" s="541"/>
      <c r="E22" s="105"/>
      <c r="F22" s="105"/>
      <c r="G22" s="50"/>
      <c r="H22" s="544" t="s">
        <v>88</v>
      </c>
      <c r="I22" s="50"/>
    </row>
    <row r="23" ht="39" customHeight="1" spans="1:9">
      <c r="A23" s="100">
        <v>21</v>
      </c>
      <c r="B23" s="100" t="s">
        <v>109</v>
      </c>
      <c r="C23" s="549" t="s">
        <v>111</v>
      </c>
      <c r="D23" s="541"/>
      <c r="E23" s="549"/>
      <c r="F23" s="549"/>
      <c r="G23" s="50"/>
      <c r="H23" s="544" t="s">
        <v>88</v>
      </c>
      <c r="I23" s="50"/>
    </row>
    <row r="24" ht="22" customHeight="1" spans="1:9">
      <c r="A24" s="100">
        <v>22</v>
      </c>
      <c r="B24" s="100" t="s">
        <v>109</v>
      </c>
      <c r="C24" s="105" t="s">
        <v>112</v>
      </c>
      <c r="D24" s="541"/>
      <c r="E24" s="523"/>
      <c r="F24" s="523"/>
      <c r="G24" s="523"/>
      <c r="H24" s="496" t="s">
        <v>95</v>
      </c>
      <c r="I24" s="523"/>
    </row>
    <row r="25" ht="22" customHeight="1" spans="1:9">
      <c r="A25" s="100">
        <v>23</v>
      </c>
      <c r="B25" s="100" t="s">
        <v>109</v>
      </c>
      <c r="C25" s="105" t="s">
        <v>113</v>
      </c>
      <c r="D25" s="541"/>
      <c r="E25" s="496" t="s">
        <v>95</v>
      </c>
      <c r="F25" s="486"/>
      <c r="G25" s="496" t="s">
        <v>95</v>
      </c>
      <c r="H25" s="496" t="s">
        <v>95</v>
      </c>
      <c r="I25" s="486"/>
    </row>
    <row r="26" ht="34" customHeight="1" spans="1:9">
      <c r="A26" s="100">
        <v>24</v>
      </c>
      <c r="B26" s="100" t="s">
        <v>114</v>
      </c>
      <c r="C26" s="105" t="s">
        <v>115</v>
      </c>
      <c r="D26" s="541"/>
      <c r="E26" s="50"/>
      <c r="F26" s="50"/>
      <c r="G26" s="50"/>
      <c r="H26" s="544" t="s">
        <v>88</v>
      </c>
      <c r="I26" s="50"/>
    </row>
    <row r="27" ht="21" customHeight="1" spans="1:9">
      <c r="A27" s="100">
        <v>25</v>
      </c>
      <c r="B27" s="100" t="s">
        <v>114</v>
      </c>
      <c r="C27" s="105" t="s">
        <v>116</v>
      </c>
      <c r="D27" s="541"/>
      <c r="E27" s="50"/>
      <c r="F27" s="50"/>
      <c r="G27" s="50"/>
      <c r="H27" s="544" t="s">
        <v>88</v>
      </c>
      <c r="I27" s="50"/>
    </row>
    <row r="28" ht="24" customHeight="1" spans="1:9">
      <c r="A28" s="100">
        <v>26</v>
      </c>
      <c r="B28" s="100" t="s">
        <v>114</v>
      </c>
      <c r="C28" s="105" t="s">
        <v>117</v>
      </c>
      <c r="D28" s="541"/>
      <c r="E28" s="523"/>
      <c r="F28" s="523"/>
      <c r="G28" s="523"/>
      <c r="H28" s="496" t="s">
        <v>95</v>
      </c>
      <c r="I28" s="523"/>
    </row>
    <row r="29" ht="24" customHeight="1" spans="1:9">
      <c r="A29" s="100">
        <v>27</v>
      </c>
      <c r="B29" s="100" t="s">
        <v>114</v>
      </c>
      <c r="C29" s="105" t="s">
        <v>118</v>
      </c>
      <c r="D29" s="541"/>
      <c r="E29" s="496" t="s">
        <v>95</v>
      </c>
      <c r="F29" s="486"/>
      <c r="G29" s="496" t="s">
        <v>95</v>
      </c>
      <c r="H29" s="496" t="s">
        <v>95</v>
      </c>
      <c r="I29" s="486"/>
    </row>
    <row r="30" ht="31" customHeight="1" spans="1:9">
      <c r="A30" s="100">
        <v>28</v>
      </c>
      <c r="B30" s="100" t="s">
        <v>119</v>
      </c>
      <c r="C30" s="105" t="s">
        <v>120</v>
      </c>
      <c r="D30" s="541"/>
      <c r="E30" s="105"/>
      <c r="F30" s="105"/>
      <c r="G30" s="50"/>
      <c r="H30" s="496" t="s">
        <v>95</v>
      </c>
      <c r="I30" s="50"/>
    </row>
    <row r="31" ht="29" customHeight="1" spans="1:9">
      <c r="A31" s="100">
        <v>29</v>
      </c>
      <c r="B31" s="100" t="s">
        <v>119</v>
      </c>
      <c r="C31" s="105" t="s">
        <v>121</v>
      </c>
      <c r="D31" s="541"/>
      <c r="E31" s="105"/>
      <c r="F31" s="105"/>
      <c r="G31" s="50"/>
      <c r="H31" s="496" t="s">
        <v>95</v>
      </c>
      <c r="I31" s="50"/>
    </row>
    <row r="32" ht="39" customHeight="1" spans="1:9">
      <c r="A32" s="100">
        <v>30</v>
      </c>
      <c r="B32" s="100" t="s">
        <v>119</v>
      </c>
      <c r="C32" s="105" t="s">
        <v>122</v>
      </c>
      <c r="D32" s="541"/>
      <c r="E32" s="105"/>
      <c r="F32" s="105"/>
      <c r="G32" s="50"/>
      <c r="H32" s="496" t="s">
        <v>95</v>
      </c>
      <c r="I32" s="50"/>
    </row>
    <row r="33" ht="31" customHeight="1" spans="1:9">
      <c r="A33" s="100">
        <v>31</v>
      </c>
      <c r="B33" s="100" t="s">
        <v>119</v>
      </c>
      <c r="C33" s="105" t="s">
        <v>123</v>
      </c>
      <c r="D33" s="541"/>
      <c r="E33" s="105"/>
      <c r="F33" s="105"/>
      <c r="G33" s="50"/>
      <c r="H33" s="496" t="s">
        <v>95</v>
      </c>
      <c r="I33" s="50"/>
    </row>
    <row r="34" ht="21" customHeight="1" spans="1:9">
      <c r="A34" s="100">
        <v>32</v>
      </c>
      <c r="B34" s="100" t="s">
        <v>119</v>
      </c>
      <c r="C34" s="105" t="s">
        <v>124</v>
      </c>
      <c r="D34" s="541"/>
      <c r="E34" s="105"/>
      <c r="F34" s="105"/>
      <c r="G34" s="50"/>
      <c r="H34" s="496" t="s">
        <v>95</v>
      </c>
      <c r="I34" s="50"/>
    </row>
    <row r="35" ht="21" customHeight="1" spans="1:9">
      <c r="A35" s="100">
        <v>33</v>
      </c>
      <c r="B35" s="100" t="s">
        <v>119</v>
      </c>
      <c r="C35" s="105" t="s">
        <v>125</v>
      </c>
      <c r="D35" s="541"/>
      <c r="E35" s="496" t="s">
        <v>95</v>
      </c>
      <c r="F35" s="486"/>
      <c r="G35" s="496" t="s">
        <v>95</v>
      </c>
      <c r="H35" s="496" t="s">
        <v>95</v>
      </c>
      <c r="I35" s="486"/>
    </row>
    <row r="36" ht="39" customHeight="1" spans="1:9">
      <c r="A36" s="100">
        <v>34</v>
      </c>
      <c r="B36" s="100" t="s">
        <v>126</v>
      </c>
      <c r="C36" s="105" t="s">
        <v>127</v>
      </c>
      <c r="D36" s="541"/>
      <c r="E36" s="105"/>
      <c r="F36" s="105"/>
      <c r="G36" s="50"/>
      <c r="H36" s="496" t="s">
        <v>95</v>
      </c>
      <c r="I36" s="50"/>
    </row>
    <row r="37" ht="26" customHeight="1" spans="1:9">
      <c r="A37" s="100">
        <v>35</v>
      </c>
      <c r="B37" s="100" t="s">
        <v>126</v>
      </c>
      <c r="C37" s="105" t="s">
        <v>128</v>
      </c>
      <c r="D37" s="541"/>
      <c r="E37" s="105"/>
      <c r="F37" s="105"/>
      <c r="G37" s="50"/>
      <c r="H37" s="496" t="s">
        <v>95</v>
      </c>
      <c r="I37" s="50"/>
    </row>
    <row r="38" ht="44" customHeight="1" spans="1:9">
      <c r="A38" s="100">
        <v>36</v>
      </c>
      <c r="B38" s="100" t="s">
        <v>126</v>
      </c>
      <c r="C38" s="105" t="s">
        <v>129</v>
      </c>
      <c r="D38" s="541"/>
      <c r="E38" s="105"/>
      <c r="F38" s="105"/>
      <c r="G38" s="50"/>
      <c r="H38" s="496" t="s">
        <v>95</v>
      </c>
      <c r="I38" s="50"/>
    </row>
    <row r="39" ht="37" customHeight="1" spans="1:9">
      <c r="A39" s="100">
        <v>37</v>
      </c>
      <c r="B39" s="100" t="s">
        <v>126</v>
      </c>
      <c r="C39" s="105" t="s">
        <v>130</v>
      </c>
      <c r="D39" s="541"/>
      <c r="E39" s="105"/>
      <c r="F39" s="105"/>
      <c r="G39" s="50"/>
      <c r="H39" s="496" t="s">
        <v>95</v>
      </c>
      <c r="I39" s="50"/>
    </row>
    <row r="40" ht="27" customHeight="1" spans="1:9">
      <c r="A40" s="100">
        <v>38</v>
      </c>
      <c r="B40" s="100" t="s">
        <v>126</v>
      </c>
      <c r="C40" s="105" t="s">
        <v>131</v>
      </c>
      <c r="D40" s="541"/>
      <c r="E40" s="105"/>
      <c r="F40" s="105"/>
      <c r="G40" s="50"/>
      <c r="H40" s="496" t="s">
        <v>95</v>
      </c>
      <c r="I40" s="50"/>
    </row>
    <row r="41" ht="27" customHeight="1" spans="1:9">
      <c r="A41" s="100">
        <v>39</v>
      </c>
      <c r="B41" s="100" t="s">
        <v>126</v>
      </c>
      <c r="C41" s="105" t="s">
        <v>132</v>
      </c>
      <c r="D41" s="541"/>
      <c r="E41" s="496" t="s">
        <v>95</v>
      </c>
      <c r="F41" s="486"/>
      <c r="G41" s="496" t="s">
        <v>95</v>
      </c>
      <c r="H41" s="496" t="s">
        <v>95</v>
      </c>
      <c r="I41" s="486"/>
    </row>
    <row r="42" ht="33" customHeight="1" spans="1:9">
      <c r="A42" s="100">
        <v>40</v>
      </c>
      <c r="B42" s="100" t="s">
        <v>133</v>
      </c>
      <c r="C42" s="105" t="s">
        <v>134</v>
      </c>
      <c r="D42" s="541"/>
      <c r="E42" s="105"/>
      <c r="F42" s="105"/>
      <c r="G42" s="50"/>
      <c r="H42" s="496" t="s">
        <v>95</v>
      </c>
      <c r="I42" s="50"/>
    </row>
    <row r="43" ht="35" customHeight="1" spans="1:9">
      <c r="A43" s="100">
        <v>41</v>
      </c>
      <c r="B43" s="100" t="s">
        <v>133</v>
      </c>
      <c r="C43" s="105" t="s">
        <v>135</v>
      </c>
      <c r="D43" s="541"/>
      <c r="E43" s="105"/>
      <c r="F43" s="105"/>
      <c r="G43" s="50"/>
      <c r="H43" s="496" t="s">
        <v>95</v>
      </c>
      <c r="I43" s="50"/>
    </row>
    <row r="44" ht="32" customHeight="1" spans="1:9">
      <c r="A44" s="100">
        <v>42</v>
      </c>
      <c r="B44" s="100" t="s">
        <v>133</v>
      </c>
      <c r="C44" s="105" t="s">
        <v>123</v>
      </c>
      <c r="D44" s="541"/>
      <c r="E44" s="105"/>
      <c r="F44" s="105"/>
      <c r="G44" s="50"/>
      <c r="H44" s="496" t="s">
        <v>95</v>
      </c>
      <c r="I44" s="50"/>
    </row>
    <row r="45" ht="25" customHeight="1" spans="1:9">
      <c r="A45" s="100">
        <v>43</v>
      </c>
      <c r="B45" s="100" t="s">
        <v>133</v>
      </c>
      <c r="C45" s="105" t="s">
        <v>136</v>
      </c>
      <c r="D45" s="541"/>
      <c r="E45" s="105"/>
      <c r="F45" s="105"/>
      <c r="G45" s="50"/>
      <c r="H45" s="496" t="s">
        <v>95</v>
      </c>
      <c r="I45" s="50"/>
    </row>
    <row r="46" ht="25" customHeight="1" spans="1:9">
      <c r="A46" s="100">
        <v>44</v>
      </c>
      <c r="B46" s="100" t="s">
        <v>133</v>
      </c>
      <c r="C46" s="105" t="s">
        <v>137</v>
      </c>
      <c r="D46" s="541"/>
      <c r="E46" s="496" t="s">
        <v>95</v>
      </c>
      <c r="F46" s="486"/>
      <c r="G46" s="496" t="s">
        <v>95</v>
      </c>
      <c r="H46" s="496" t="s">
        <v>95</v>
      </c>
      <c r="I46" s="486"/>
    </row>
    <row r="47" ht="33" customHeight="1" spans="1:9">
      <c r="A47" s="100">
        <v>45</v>
      </c>
      <c r="B47" s="100" t="s">
        <v>54</v>
      </c>
      <c r="C47" s="105" t="s">
        <v>138</v>
      </c>
      <c r="D47" s="541"/>
      <c r="E47" s="105"/>
      <c r="F47" s="105"/>
      <c r="G47" s="50"/>
      <c r="H47" s="496" t="s">
        <v>95</v>
      </c>
      <c r="I47" s="50"/>
    </row>
    <row r="48" ht="39" customHeight="1" spans="1:9">
      <c r="A48" s="100">
        <v>46</v>
      </c>
      <c r="B48" s="100" t="s">
        <v>54</v>
      </c>
      <c r="C48" s="105" t="s">
        <v>139</v>
      </c>
      <c r="D48" s="541"/>
      <c r="E48" s="544" t="s">
        <v>95</v>
      </c>
      <c r="F48" s="544" t="s">
        <v>95</v>
      </c>
      <c r="G48" s="544"/>
      <c r="H48" s="544" t="s">
        <v>95</v>
      </c>
      <c r="I48" s="544"/>
    </row>
    <row r="49" ht="29" customHeight="1" spans="1:9">
      <c r="A49" s="100">
        <v>47</v>
      </c>
      <c r="B49" s="100" t="s">
        <v>49</v>
      </c>
      <c r="C49" s="105" t="s">
        <v>140</v>
      </c>
      <c r="D49" s="541"/>
      <c r="E49" s="233"/>
      <c r="F49" s="233"/>
      <c r="G49" s="233"/>
      <c r="H49" s="544" t="s">
        <v>95</v>
      </c>
      <c r="I49" s="233"/>
    </row>
    <row r="50" ht="54" customHeight="1" spans="1:9">
      <c r="A50" s="100">
        <v>48</v>
      </c>
      <c r="B50" s="100" t="s">
        <v>49</v>
      </c>
      <c r="C50" s="105" t="s">
        <v>141</v>
      </c>
      <c r="D50" s="541"/>
      <c r="E50" s="233"/>
      <c r="F50" s="233"/>
      <c r="G50" s="233"/>
      <c r="H50" s="544" t="s">
        <v>95</v>
      </c>
      <c r="I50" s="233"/>
    </row>
    <row r="51" ht="70" customHeight="1" spans="1:9">
      <c r="A51" s="100">
        <v>49</v>
      </c>
      <c r="B51" s="100" t="s">
        <v>49</v>
      </c>
      <c r="C51" s="105" t="s">
        <v>142</v>
      </c>
      <c r="D51" s="541"/>
      <c r="E51" s="544" t="s">
        <v>95</v>
      </c>
      <c r="F51" s="544" t="s">
        <v>95</v>
      </c>
      <c r="G51" s="550"/>
      <c r="H51" s="544" t="s">
        <v>95</v>
      </c>
      <c r="I51" s="551"/>
    </row>
    <row r="52" ht="28" customHeight="1" spans="1:9">
      <c r="A52" s="100">
        <v>50</v>
      </c>
      <c r="B52" s="100" t="s">
        <v>33</v>
      </c>
      <c r="C52" s="105" t="s">
        <v>143</v>
      </c>
      <c r="D52" s="541"/>
      <c r="E52" s="544"/>
      <c r="F52" s="544"/>
      <c r="G52" s="544"/>
      <c r="H52" s="542" t="s">
        <v>95</v>
      </c>
      <c r="I52" s="544"/>
    </row>
    <row r="53" ht="28" customHeight="1" spans="1:9">
      <c r="A53" s="100">
        <v>51</v>
      </c>
      <c r="B53" s="100" t="s">
        <v>33</v>
      </c>
      <c r="C53" s="105" t="s">
        <v>144</v>
      </c>
      <c r="D53" s="541"/>
      <c r="E53" s="544"/>
      <c r="F53" s="544"/>
      <c r="G53" s="544"/>
      <c r="H53" s="542" t="s">
        <v>95</v>
      </c>
      <c r="I53" s="544"/>
    </row>
    <row r="54" ht="28" customHeight="1" spans="1:9">
      <c r="A54" s="100">
        <v>52</v>
      </c>
      <c r="B54" s="100" t="s">
        <v>33</v>
      </c>
      <c r="C54" s="105" t="s">
        <v>145</v>
      </c>
      <c r="D54" s="541"/>
      <c r="E54" s="544"/>
      <c r="F54" s="544"/>
      <c r="G54" s="544"/>
      <c r="H54" s="544"/>
      <c r="I54" s="542" t="s">
        <v>95</v>
      </c>
    </row>
  </sheetData>
  <autoFilter xmlns:etc="http://www.wps.cn/officeDocument/2017/etCustomData" ref="A2:I54" etc:filterBottomFollowUsedRange="0">
    <extLst/>
  </autoFilter>
  <mergeCells count="5">
    <mergeCell ref="E1:I1"/>
    <mergeCell ref="A1:A2"/>
    <mergeCell ref="B1:B2"/>
    <mergeCell ref="C1:C2"/>
    <mergeCell ref="D1:D2"/>
  </mergeCells>
  <dataValidations count="3">
    <dataValidation type="list" allowBlank="1" showInputMessage="1" showErrorMessage="1" sqref="H3 E4:I4 E48:I48 E5:H7 E8:I17 E52:I54">
      <formula1>"√"</formula1>
    </dataValidation>
    <dataValidation type="list" allowBlank="1" showInputMessage="1" showErrorMessage="1" sqref="D3:D54">
      <formula1>"已完成无异常,已完成但存在异常,没有做,无法完成,不适用"</formula1>
    </dataValidation>
    <dataValidation type="list" allowBlank="1" showInputMessage="1" showErrorMessage="1" sqref="E49:I51">
      <formula1>"√, "</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J36"/>
  <sheetViews>
    <sheetView workbookViewId="0">
      <pane ySplit="2" topLeftCell="A3" activePane="bottomLeft" state="frozen"/>
      <selection/>
      <selection pane="bottomLeft" activeCell="D3" sqref="D3"/>
    </sheetView>
  </sheetViews>
  <sheetFormatPr defaultColWidth="8.73148148148148" defaultRowHeight="14.4"/>
  <cols>
    <col min="1" max="1" width="5.81481481481481" customWidth="1"/>
    <col min="2" max="2" width="13" customWidth="1"/>
    <col min="3" max="3" width="78.0925925925926" customWidth="1"/>
    <col min="4" max="4" width="15.2685185185185" customWidth="1"/>
    <col min="5" max="10" width="4.36111111111111" customWidth="1"/>
  </cols>
  <sheetData>
    <row r="1" spans="1:10">
      <c r="A1" s="448" t="s">
        <v>77</v>
      </c>
      <c r="B1" s="448" t="s">
        <v>78</v>
      </c>
      <c r="C1" s="538" t="s">
        <v>79</v>
      </c>
      <c r="D1" s="538" t="s">
        <v>80</v>
      </c>
      <c r="E1" s="60" t="s">
        <v>146</v>
      </c>
      <c r="F1" s="60"/>
      <c r="G1" s="60"/>
      <c r="H1" s="60"/>
      <c r="I1" s="60"/>
      <c r="J1" s="60"/>
    </row>
    <row r="2" ht="36" spans="1:10">
      <c r="A2" s="448"/>
      <c r="B2" s="448"/>
      <c r="C2" s="538"/>
      <c r="D2" s="538"/>
      <c r="E2" s="41" t="s">
        <v>147</v>
      </c>
      <c r="F2" s="41" t="s">
        <v>148</v>
      </c>
      <c r="G2" s="41" t="s">
        <v>149</v>
      </c>
      <c r="H2" s="41" t="s">
        <v>150</v>
      </c>
      <c r="I2" s="41" t="s">
        <v>151</v>
      </c>
      <c r="J2" s="41" t="s">
        <v>152</v>
      </c>
    </row>
    <row r="3" ht="35" customHeight="1" spans="1:10">
      <c r="A3" s="539">
        <v>1</v>
      </c>
      <c r="B3" s="100" t="s">
        <v>153</v>
      </c>
      <c r="C3" s="540" t="s">
        <v>154</v>
      </c>
      <c r="D3" s="541"/>
      <c r="E3" s="261"/>
      <c r="F3" s="50"/>
      <c r="G3" s="542" t="s">
        <v>95</v>
      </c>
      <c r="H3" s="50"/>
      <c r="I3" s="50"/>
      <c r="J3" s="50"/>
    </row>
    <row r="4" ht="33" customHeight="1" spans="1:10">
      <c r="A4" s="539">
        <v>2</v>
      </c>
      <c r="B4" s="100" t="s">
        <v>153</v>
      </c>
      <c r="C4" s="543" t="s">
        <v>155</v>
      </c>
      <c r="D4" s="541"/>
      <c r="E4" s="542" t="s">
        <v>95</v>
      </c>
      <c r="F4" s="542" t="s">
        <v>95</v>
      </c>
      <c r="G4" s="542" t="s">
        <v>95</v>
      </c>
      <c r="H4" s="50"/>
      <c r="I4" s="50"/>
      <c r="J4" s="50"/>
    </row>
    <row r="5" ht="36" customHeight="1" spans="1:10">
      <c r="A5" s="539">
        <v>3</v>
      </c>
      <c r="B5" s="100" t="s">
        <v>153</v>
      </c>
      <c r="C5" s="543" t="s">
        <v>156</v>
      </c>
      <c r="D5" s="541"/>
      <c r="E5" s="542" t="s">
        <v>95</v>
      </c>
      <c r="F5" s="542" t="s">
        <v>95</v>
      </c>
      <c r="G5" s="542" t="s">
        <v>95</v>
      </c>
      <c r="H5" s="50"/>
      <c r="I5" s="50"/>
      <c r="J5" s="50"/>
    </row>
    <row r="6" ht="34" customHeight="1" spans="1:10">
      <c r="A6" s="539">
        <v>4</v>
      </c>
      <c r="B6" s="100" t="s">
        <v>153</v>
      </c>
      <c r="C6" s="543" t="s">
        <v>157</v>
      </c>
      <c r="D6" s="541"/>
      <c r="E6" s="542" t="s">
        <v>95</v>
      </c>
      <c r="F6" s="542" t="s">
        <v>95</v>
      </c>
      <c r="G6" s="542" t="s">
        <v>95</v>
      </c>
      <c r="H6" s="50"/>
      <c r="I6" s="50"/>
      <c r="J6" s="50"/>
    </row>
    <row r="7" ht="47" customHeight="1" spans="1:10">
      <c r="A7" s="539">
        <v>5</v>
      </c>
      <c r="B7" s="100" t="s">
        <v>153</v>
      </c>
      <c r="C7" s="540" t="s">
        <v>158</v>
      </c>
      <c r="D7" s="541"/>
      <c r="E7" s="542" t="s">
        <v>95</v>
      </c>
      <c r="F7" s="542" t="s">
        <v>95</v>
      </c>
      <c r="G7" s="542" t="s">
        <v>95</v>
      </c>
      <c r="H7" s="542" t="s">
        <v>95</v>
      </c>
      <c r="I7" s="50"/>
      <c r="J7" s="50"/>
    </row>
    <row r="8" ht="37" customHeight="1" spans="1:10">
      <c r="A8" s="539">
        <v>6</v>
      </c>
      <c r="B8" s="100" t="s">
        <v>153</v>
      </c>
      <c r="C8" s="540" t="s">
        <v>159</v>
      </c>
      <c r="D8" s="541"/>
      <c r="E8" s="261"/>
      <c r="F8" s="50"/>
      <c r="G8" s="542" t="s">
        <v>95</v>
      </c>
      <c r="H8" s="50"/>
      <c r="I8" s="50"/>
      <c r="J8" s="50"/>
    </row>
    <row r="9" ht="32.4" spans="1:10">
      <c r="A9" s="539">
        <v>7</v>
      </c>
      <c r="B9" s="100" t="s">
        <v>153</v>
      </c>
      <c r="C9" s="540" t="s">
        <v>160</v>
      </c>
      <c r="D9" s="541"/>
      <c r="E9" s="542" t="s">
        <v>95</v>
      </c>
      <c r="F9" s="544"/>
      <c r="G9" s="542" t="s">
        <v>95</v>
      </c>
      <c r="H9" s="50"/>
      <c r="I9" s="50"/>
      <c r="J9" s="50"/>
    </row>
    <row r="10" ht="37" customHeight="1" spans="1:10">
      <c r="A10" s="539">
        <v>8</v>
      </c>
      <c r="B10" s="100" t="s">
        <v>153</v>
      </c>
      <c r="C10" s="540" t="s">
        <v>161</v>
      </c>
      <c r="D10" s="541"/>
      <c r="E10" s="261"/>
      <c r="F10" s="50"/>
      <c r="G10" s="542" t="s">
        <v>95</v>
      </c>
      <c r="H10" s="50"/>
      <c r="I10" s="50"/>
      <c r="J10" s="50"/>
    </row>
    <row r="11" ht="25" customHeight="1" spans="1:10">
      <c r="A11" s="539">
        <v>9</v>
      </c>
      <c r="B11" s="100" t="s">
        <v>153</v>
      </c>
      <c r="C11" s="540" t="s">
        <v>162</v>
      </c>
      <c r="D11" s="541"/>
      <c r="E11" s="540"/>
      <c r="F11" s="50"/>
      <c r="G11" s="50"/>
      <c r="H11" s="50"/>
      <c r="I11" s="50"/>
      <c r="J11" s="542" t="s">
        <v>95</v>
      </c>
    </row>
    <row r="12" ht="33" customHeight="1" spans="1:10">
      <c r="A12" s="539">
        <v>10</v>
      </c>
      <c r="B12" s="100" t="s">
        <v>163</v>
      </c>
      <c r="C12" s="540" t="s">
        <v>164</v>
      </c>
      <c r="D12" s="541"/>
      <c r="E12" s="542" t="s">
        <v>95</v>
      </c>
      <c r="F12" s="542" t="s">
        <v>95</v>
      </c>
      <c r="G12" s="542" t="s">
        <v>95</v>
      </c>
      <c r="H12" s="50"/>
      <c r="I12" s="50"/>
      <c r="J12" s="50"/>
    </row>
    <row r="13" ht="33" customHeight="1" spans="1:10">
      <c r="A13" s="539">
        <v>11</v>
      </c>
      <c r="B13" s="100" t="s">
        <v>163</v>
      </c>
      <c r="C13" s="540" t="s">
        <v>165</v>
      </c>
      <c r="D13" s="541"/>
      <c r="E13" s="545"/>
      <c r="F13" s="542" t="s">
        <v>95</v>
      </c>
      <c r="G13" s="542" t="s">
        <v>95</v>
      </c>
      <c r="H13" s="542" t="s">
        <v>95</v>
      </c>
      <c r="I13" s="50"/>
      <c r="J13" s="50"/>
    </row>
    <row r="14" ht="33" customHeight="1" spans="1:10">
      <c r="A14" s="539">
        <v>12</v>
      </c>
      <c r="B14" s="100" t="s">
        <v>163</v>
      </c>
      <c r="C14" s="540" t="s">
        <v>166</v>
      </c>
      <c r="D14" s="541"/>
      <c r="E14" s="542" t="s">
        <v>95</v>
      </c>
      <c r="F14" s="542" t="s">
        <v>95</v>
      </c>
      <c r="G14" s="542"/>
      <c r="H14" s="542"/>
      <c r="I14" s="50"/>
      <c r="J14" s="50"/>
    </row>
    <row r="15" ht="23" customHeight="1" spans="1:10">
      <c r="A15" s="539">
        <v>13</v>
      </c>
      <c r="B15" s="100" t="s">
        <v>163</v>
      </c>
      <c r="C15" s="540" t="s">
        <v>167</v>
      </c>
      <c r="D15" s="541"/>
      <c r="E15" s="544"/>
      <c r="F15" s="542"/>
      <c r="G15" s="542"/>
      <c r="H15" s="542"/>
      <c r="I15" s="50"/>
      <c r="J15" s="542" t="s">
        <v>95</v>
      </c>
    </row>
    <row r="16" ht="45" customHeight="1" spans="1:10">
      <c r="A16" s="539">
        <v>14</v>
      </c>
      <c r="B16" s="100" t="s">
        <v>168</v>
      </c>
      <c r="C16" s="540" t="s">
        <v>169</v>
      </c>
      <c r="D16" s="541"/>
      <c r="E16" s="540"/>
      <c r="F16" s="540"/>
      <c r="G16" s="50"/>
      <c r="H16" s="50"/>
      <c r="I16" s="50"/>
      <c r="J16" s="50"/>
    </row>
    <row r="17" ht="48" customHeight="1" spans="1:10">
      <c r="A17" s="539">
        <v>15</v>
      </c>
      <c r="B17" s="100" t="s">
        <v>168</v>
      </c>
      <c r="C17" s="546" t="s">
        <v>170</v>
      </c>
      <c r="D17" s="541"/>
      <c r="E17" s="540"/>
      <c r="F17" s="540"/>
      <c r="G17" s="50"/>
      <c r="H17" s="50"/>
      <c r="I17" s="50"/>
      <c r="J17" s="50"/>
    </row>
    <row r="18" ht="29" customHeight="1" spans="1:10">
      <c r="A18" s="539">
        <v>16</v>
      </c>
      <c r="B18" s="100" t="s">
        <v>168</v>
      </c>
      <c r="C18" s="540" t="s">
        <v>171</v>
      </c>
      <c r="D18" s="541"/>
      <c r="E18" s="540"/>
      <c r="F18" s="540"/>
      <c r="G18" s="50"/>
      <c r="H18" s="50"/>
      <c r="I18" s="50"/>
      <c r="J18" s="50"/>
    </row>
    <row r="19" ht="31" customHeight="1" spans="1:10">
      <c r="A19" s="539">
        <v>17</v>
      </c>
      <c r="B19" s="100" t="s">
        <v>168</v>
      </c>
      <c r="C19" s="546" t="s">
        <v>172</v>
      </c>
      <c r="D19" s="541"/>
      <c r="E19" s="540"/>
      <c r="F19" s="540"/>
      <c r="G19" s="50"/>
      <c r="H19" s="50"/>
      <c r="I19" s="50"/>
      <c r="J19" s="50"/>
    </row>
    <row r="20" ht="38" customHeight="1" spans="1:10">
      <c r="A20" s="539">
        <v>18</v>
      </c>
      <c r="B20" s="100" t="s">
        <v>168</v>
      </c>
      <c r="C20" s="546" t="s">
        <v>173</v>
      </c>
      <c r="D20" s="541"/>
      <c r="E20" s="540"/>
      <c r="F20" s="540"/>
      <c r="G20" s="50"/>
      <c r="H20" s="50"/>
      <c r="I20" s="50"/>
      <c r="J20" s="50"/>
    </row>
    <row r="21" ht="42" customHeight="1" spans="1:10">
      <c r="A21" s="539">
        <v>19</v>
      </c>
      <c r="B21" s="100" t="s">
        <v>168</v>
      </c>
      <c r="C21" s="546" t="s">
        <v>174</v>
      </c>
      <c r="D21" s="541"/>
      <c r="E21" s="540"/>
      <c r="F21" s="540"/>
      <c r="G21" s="50"/>
      <c r="H21" s="50"/>
      <c r="I21" s="50"/>
      <c r="J21" s="50"/>
    </row>
    <row r="22" ht="26" customHeight="1" spans="1:10">
      <c r="A22" s="539">
        <v>20</v>
      </c>
      <c r="B22" s="100" t="s">
        <v>168</v>
      </c>
      <c r="C22" s="540" t="s">
        <v>175</v>
      </c>
      <c r="D22" s="541"/>
      <c r="E22" s="540"/>
      <c r="F22" s="540"/>
      <c r="G22" s="50"/>
      <c r="H22" s="50"/>
      <c r="I22" s="50"/>
      <c r="J22" s="50"/>
    </row>
    <row r="23" ht="44" customHeight="1" spans="1:10">
      <c r="A23" s="539">
        <v>21</v>
      </c>
      <c r="B23" s="100" t="s">
        <v>176</v>
      </c>
      <c r="C23" s="540" t="s">
        <v>177</v>
      </c>
      <c r="D23" s="541"/>
      <c r="E23" s="540"/>
      <c r="F23" s="540"/>
      <c r="G23" s="233" t="s">
        <v>95</v>
      </c>
      <c r="H23" s="50"/>
      <c r="I23" s="50"/>
      <c r="J23" s="50"/>
    </row>
    <row r="24" ht="47" customHeight="1" spans="1:10">
      <c r="A24" s="539">
        <v>22</v>
      </c>
      <c r="B24" s="100" t="s">
        <v>176</v>
      </c>
      <c r="C24" s="540" t="s">
        <v>178</v>
      </c>
      <c r="D24" s="541"/>
      <c r="E24" s="233" t="s">
        <v>95</v>
      </c>
      <c r="F24" s="233" t="s">
        <v>95</v>
      </c>
      <c r="G24" s="233" t="s">
        <v>95</v>
      </c>
      <c r="H24" s="50"/>
      <c r="I24" s="50"/>
      <c r="J24" s="50"/>
    </row>
    <row r="25" ht="32" customHeight="1" spans="1:10">
      <c r="A25" s="539">
        <v>23</v>
      </c>
      <c r="B25" s="100" t="s">
        <v>176</v>
      </c>
      <c r="C25" s="540" t="s">
        <v>179</v>
      </c>
      <c r="D25" s="541"/>
      <c r="E25" s="233" t="s">
        <v>95</v>
      </c>
      <c r="F25" s="233"/>
      <c r="G25" s="233" t="s">
        <v>95</v>
      </c>
      <c r="H25" s="233" t="s">
        <v>95</v>
      </c>
      <c r="I25" s="547" t="s">
        <v>95</v>
      </c>
      <c r="J25" s="50"/>
    </row>
    <row r="26" ht="36" customHeight="1" spans="1:10">
      <c r="A26" s="539">
        <v>24</v>
      </c>
      <c r="B26" s="100" t="s">
        <v>176</v>
      </c>
      <c r="C26" s="540" t="s">
        <v>180</v>
      </c>
      <c r="D26" s="541"/>
      <c r="E26" s="233" t="s">
        <v>95</v>
      </c>
      <c r="F26" s="233"/>
      <c r="G26" s="233" t="s">
        <v>95</v>
      </c>
      <c r="H26" s="233" t="s">
        <v>95</v>
      </c>
      <c r="I26" s="547" t="s">
        <v>95</v>
      </c>
      <c r="J26" s="50"/>
    </row>
    <row r="27" ht="28" customHeight="1" spans="1:10">
      <c r="A27" s="539">
        <v>25</v>
      </c>
      <c r="B27" s="100" t="s">
        <v>176</v>
      </c>
      <c r="C27" s="540" t="s">
        <v>181</v>
      </c>
      <c r="D27" s="541"/>
      <c r="E27" s="233" t="s">
        <v>95</v>
      </c>
      <c r="F27" s="233"/>
      <c r="G27" s="233" t="s">
        <v>95</v>
      </c>
      <c r="H27" s="233" t="s">
        <v>95</v>
      </c>
      <c r="I27" s="547" t="s">
        <v>95</v>
      </c>
      <c r="J27" s="50"/>
    </row>
    <row r="28" ht="29" customHeight="1" spans="1:10">
      <c r="A28" s="539">
        <v>26</v>
      </c>
      <c r="B28" s="100" t="s">
        <v>176</v>
      </c>
      <c r="C28" s="540" t="s">
        <v>182</v>
      </c>
      <c r="D28" s="541"/>
      <c r="E28" s="233" t="s">
        <v>95</v>
      </c>
      <c r="F28" s="233"/>
      <c r="G28" s="233" t="s">
        <v>95</v>
      </c>
      <c r="H28" s="233" t="s">
        <v>95</v>
      </c>
      <c r="I28" s="547" t="s">
        <v>95</v>
      </c>
      <c r="J28" s="50"/>
    </row>
    <row r="29" ht="24" customHeight="1" spans="1:10">
      <c r="A29" s="539">
        <v>27</v>
      </c>
      <c r="B29" s="100" t="s">
        <v>176</v>
      </c>
      <c r="C29" s="540" t="s">
        <v>183</v>
      </c>
      <c r="D29" s="541"/>
      <c r="E29" s="233" t="s">
        <v>95</v>
      </c>
      <c r="F29" s="233"/>
      <c r="G29" s="233" t="s">
        <v>95</v>
      </c>
      <c r="H29" s="233" t="s">
        <v>95</v>
      </c>
      <c r="I29" s="547" t="s">
        <v>95</v>
      </c>
      <c r="J29" s="50"/>
    </row>
    <row r="30" ht="49" customHeight="1" spans="1:10">
      <c r="A30" s="539">
        <v>28</v>
      </c>
      <c r="B30" s="100" t="s">
        <v>176</v>
      </c>
      <c r="C30" s="540" t="s">
        <v>184</v>
      </c>
      <c r="D30" s="541"/>
      <c r="E30" s="233" t="s">
        <v>95</v>
      </c>
      <c r="F30" s="233" t="s">
        <v>95</v>
      </c>
      <c r="G30" s="233" t="s">
        <v>95</v>
      </c>
      <c r="H30" s="50"/>
      <c r="I30" s="50"/>
      <c r="J30" s="50"/>
    </row>
    <row r="31" ht="34" customHeight="1" spans="1:10">
      <c r="A31" s="539">
        <v>29</v>
      </c>
      <c r="B31" s="100" t="s">
        <v>176</v>
      </c>
      <c r="C31" s="540" t="s">
        <v>185</v>
      </c>
      <c r="D31" s="541"/>
      <c r="E31" s="233" t="s">
        <v>95</v>
      </c>
      <c r="F31" s="233" t="s">
        <v>95</v>
      </c>
      <c r="G31" s="233" t="s">
        <v>95</v>
      </c>
      <c r="H31" s="50"/>
      <c r="I31" s="50"/>
      <c r="J31" s="50"/>
    </row>
    <row r="32" ht="29" customHeight="1" spans="1:10">
      <c r="A32" s="539">
        <v>30</v>
      </c>
      <c r="B32" s="100" t="s">
        <v>176</v>
      </c>
      <c r="C32" s="540" t="s">
        <v>186</v>
      </c>
      <c r="D32" s="541"/>
      <c r="E32" s="540"/>
      <c r="F32" s="540"/>
      <c r="G32" s="50"/>
      <c r="H32" s="50"/>
      <c r="I32" s="50"/>
      <c r="J32" s="233" t="s">
        <v>95</v>
      </c>
    </row>
    <row r="33" ht="38" customHeight="1" spans="1:10">
      <c r="A33" s="539">
        <v>31</v>
      </c>
      <c r="B33" s="100" t="s">
        <v>187</v>
      </c>
      <c r="C33" s="540" t="s">
        <v>188</v>
      </c>
      <c r="D33" s="541"/>
      <c r="E33" s="540"/>
      <c r="F33" s="540"/>
      <c r="G33" s="544" t="s">
        <v>95</v>
      </c>
      <c r="H33" s="50"/>
      <c r="I33" s="50"/>
      <c r="J33" s="50"/>
    </row>
    <row r="34" ht="33" customHeight="1" spans="1:10">
      <c r="A34" s="539">
        <v>32</v>
      </c>
      <c r="B34" s="100" t="s">
        <v>187</v>
      </c>
      <c r="C34" s="540" t="s">
        <v>189</v>
      </c>
      <c r="D34" s="541"/>
      <c r="E34" s="544" t="s">
        <v>95</v>
      </c>
      <c r="F34" s="544" t="s">
        <v>95</v>
      </c>
      <c r="G34" s="544" t="s">
        <v>95</v>
      </c>
      <c r="H34" s="50"/>
      <c r="I34" s="50"/>
      <c r="J34" s="50"/>
    </row>
    <row r="35" ht="34" customHeight="1" spans="1:10">
      <c r="A35" s="539">
        <v>33</v>
      </c>
      <c r="B35" s="100" t="s">
        <v>187</v>
      </c>
      <c r="C35" s="540" t="s">
        <v>190</v>
      </c>
      <c r="D35" s="541"/>
      <c r="E35" s="540"/>
      <c r="F35" s="540"/>
      <c r="G35" s="50"/>
      <c r="H35" s="50"/>
      <c r="I35" s="50"/>
      <c r="J35" s="544" t="s">
        <v>95</v>
      </c>
    </row>
    <row r="36" ht="24" customHeight="1" spans="1:10">
      <c r="A36" s="539">
        <v>34</v>
      </c>
      <c r="B36" s="100" t="s">
        <v>187</v>
      </c>
      <c r="C36" s="540" t="s">
        <v>191</v>
      </c>
      <c r="D36" s="541"/>
      <c r="E36" s="540"/>
      <c r="F36" s="540"/>
      <c r="G36" s="50"/>
      <c r="H36" s="50"/>
      <c r="I36" s="50"/>
      <c r="J36" s="544" t="s">
        <v>95</v>
      </c>
    </row>
  </sheetData>
  <autoFilter xmlns:etc="http://www.wps.cn/officeDocument/2017/etCustomData" ref="A2:J36" etc:filterBottomFollowUsedRange="0">
    <extLst/>
  </autoFilter>
  <mergeCells count="5">
    <mergeCell ref="E1:J1"/>
    <mergeCell ref="A1:A2"/>
    <mergeCell ref="B1:B2"/>
    <mergeCell ref="C1:C2"/>
    <mergeCell ref="D1:D2"/>
  </mergeCells>
  <dataValidations count="2">
    <dataValidation type="list" allowBlank="1" showInputMessage="1" showErrorMessage="1" sqref="G3 E7:H7 G8 E9:G9 G10 J11 E12:G12 F13:H13 J15 G23 E24:G24 J32 G33 E34:G34 J35:J36 E4:G6 E14:H15 E25:I29 E30:G31">
      <formula1>"√"</formula1>
    </dataValidation>
    <dataValidation type="list" allowBlank="1" showInputMessage="1" showErrorMessage="1" sqref="D3:D36">
      <formula1>"已完成无异常,已完成但存在异常,没有做,无法完成,不适用"</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K36"/>
  <sheetViews>
    <sheetView workbookViewId="0">
      <pane ySplit="5" topLeftCell="A6" activePane="bottomLeft" state="frozen"/>
      <selection/>
      <selection pane="bottomLeft" activeCell="G7" sqref="G7"/>
    </sheetView>
  </sheetViews>
  <sheetFormatPr defaultColWidth="8.73148148148148" defaultRowHeight="14.4"/>
  <cols>
    <col min="1" max="1" width="6.90740740740741" customWidth="1"/>
    <col min="2" max="2" width="12.6388888888889" customWidth="1"/>
    <col min="3" max="3" width="9.81481481481481" customWidth="1"/>
    <col min="4" max="4" width="22.0925925925926" customWidth="1"/>
    <col min="5" max="5" width="22.4537037037037" customWidth="1"/>
    <col min="6" max="6" width="13.8148148148148" customWidth="1"/>
    <col min="7" max="9" width="14.7314814814815" customWidth="1"/>
    <col min="10" max="10" width="19.8888888888889" customWidth="1"/>
    <col min="11" max="11" width="24.9074074074074" customWidth="1"/>
  </cols>
  <sheetData>
    <row r="1" ht="26" customHeight="1" spans="1:11">
      <c r="A1" s="1" t="s">
        <v>192</v>
      </c>
      <c r="B1" s="1"/>
      <c r="C1" s="1"/>
      <c r="D1" s="1"/>
      <c r="E1" s="1"/>
      <c r="F1" s="1"/>
      <c r="G1" s="1"/>
      <c r="H1" s="1"/>
      <c r="I1" s="1"/>
      <c r="J1" s="1"/>
      <c r="K1" s="1"/>
    </row>
    <row r="2" spans="1:11">
      <c r="A2" s="2" t="str">
        <f>备忘录!$A$1</f>
        <v>被审计单位：福禄福擎网络科技有限公司</v>
      </c>
      <c r="D2" s="4"/>
      <c r="E2" s="4"/>
      <c r="F2" s="4" t="s">
        <v>193</v>
      </c>
      <c r="G2" s="4"/>
      <c r="K2" s="4" t="str">
        <f>备忘录!$C$2</f>
        <v>日期：2025/10/30</v>
      </c>
    </row>
    <row r="3" spans="1:11">
      <c r="A3" s="2" t="str">
        <f>备忘录!$A$2</f>
        <v>财务报表截止日：2025/9/30</v>
      </c>
      <c r="D3" s="4"/>
      <c r="E3" s="4"/>
      <c r="F3" s="4" t="s">
        <v>194</v>
      </c>
      <c r="G3" s="4"/>
      <c r="K3" s="4" t="str">
        <f>备忘录!$C$3</f>
        <v>日期：2025/10/31</v>
      </c>
    </row>
    <row r="4" ht="14" customHeight="1" spans="1:11">
      <c r="A4" s="169" t="s">
        <v>77</v>
      </c>
      <c r="B4" s="169" t="s">
        <v>195</v>
      </c>
      <c r="C4" s="526" t="s">
        <v>196</v>
      </c>
      <c r="D4" s="526" t="s">
        <v>197</v>
      </c>
      <c r="E4" s="526" t="s">
        <v>78</v>
      </c>
      <c r="F4" s="526" t="s">
        <v>198</v>
      </c>
      <c r="G4" s="526" t="s">
        <v>199</v>
      </c>
      <c r="H4" s="527" t="s">
        <v>200</v>
      </c>
      <c r="I4" s="528" t="s">
        <v>201</v>
      </c>
      <c r="J4" s="526" t="s">
        <v>202</v>
      </c>
      <c r="K4" s="526" t="s">
        <v>203</v>
      </c>
    </row>
    <row r="5" ht="14" customHeight="1" spans="1:11">
      <c r="A5" s="169"/>
      <c r="B5" s="169"/>
      <c r="C5" s="526"/>
      <c r="D5" s="526"/>
      <c r="E5" s="526"/>
      <c r="F5" s="526"/>
      <c r="G5" s="526"/>
      <c r="H5" s="529"/>
      <c r="I5" s="530"/>
      <c r="J5" s="526"/>
      <c r="K5" s="526"/>
    </row>
    <row r="6" spans="1:11">
      <c r="A6" s="130">
        <v>1</v>
      </c>
      <c r="B6" s="50"/>
      <c r="C6" s="531"/>
      <c r="D6" s="531"/>
      <c r="E6" s="532"/>
      <c r="F6" s="228"/>
      <c r="G6" s="533"/>
      <c r="H6" s="137"/>
      <c r="I6" s="137"/>
      <c r="J6" s="137"/>
      <c r="K6" s="534"/>
    </row>
    <row r="7" spans="1:11">
      <c r="A7" s="130">
        <v>2</v>
      </c>
      <c r="B7" s="50"/>
      <c r="C7" s="531"/>
      <c r="D7" s="531"/>
      <c r="E7" s="532"/>
      <c r="F7" s="228"/>
      <c r="G7" s="533"/>
      <c r="H7" s="137"/>
      <c r="I7" s="137"/>
      <c r="J7" s="137"/>
      <c r="K7" s="534"/>
    </row>
    <row r="8" spans="1:11">
      <c r="A8" s="130">
        <v>3</v>
      </c>
      <c r="B8" s="50"/>
      <c r="C8" s="531"/>
      <c r="D8" s="531"/>
      <c r="E8" s="532"/>
      <c r="F8" s="228"/>
      <c r="G8" s="533"/>
      <c r="H8" s="137"/>
      <c r="I8" s="137"/>
      <c r="J8" s="137"/>
      <c r="K8" s="236"/>
    </row>
    <row r="9" spans="1:11">
      <c r="A9" s="130">
        <v>4</v>
      </c>
      <c r="B9" s="50"/>
      <c r="C9" s="531"/>
      <c r="D9" s="531"/>
      <c r="E9" s="532"/>
      <c r="F9" s="228"/>
      <c r="G9" s="533"/>
      <c r="H9" s="137"/>
      <c r="I9" s="137"/>
      <c r="J9" s="137"/>
      <c r="K9" s="534"/>
    </row>
    <row r="10" spans="1:11">
      <c r="A10" s="130">
        <v>5</v>
      </c>
      <c r="B10" s="50"/>
      <c r="C10" s="50"/>
      <c r="D10" s="50"/>
      <c r="E10" s="50"/>
      <c r="F10" s="50"/>
      <c r="G10" s="50"/>
      <c r="H10" s="50"/>
      <c r="I10" s="50"/>
      <c r="J10" s="50"/>
      <c r="K10" s="50"/>
    </row>
    <row r="11" spans="1:11">
      <c r="A11" s="130">
        <v>6</v>
      </c>
      <c r="B11" s="50"/>
      <c r="C11" s="50"/>
      <c r="D11" s="50"/>
      <c r="E11" s="50"/>
      <c r="F11" s="50"/>
      <c r="G11" s="50"/>
      <c r="H11" s="50"/>
      <c r="I11" s="50"/>
      <c r="J11" s="50"/>
      <c r="K11" s="50"/>
    </row>
    <row r="12" spans="1:11">
      <c r="A12" s="130">
        <v>7</v>
      </c>
      <c r="B12" s="50"/>
      <c r="C12" s="50"/>
      <c r="D12" s="50"/>
      <c r="E12" s="50"/>
      <c r="F12" s="50"/>
      <c r="G12" s="50"/>
      <c r="H12" s="50"/>
      <c r="I12" s="50"/>
      <c r="J12" s="50"/>
      <c r="K12" s="50"/>
    </row>
    <row r="13" spans="1:11">
      <c r="A13" s="130">
        <v>8</v>
      </c>
      <c r="B13" s="50"/>
      <c r="C13" s="50"/>
      <c r="D13" s="50"/>
      <c r="E13" s="50"/>
      <c r="F13" s="50"/>
      <c r="G13" s="50"/>
      <c r="H13" s="50"/>
      <c r="I13" s="50"/>
      <c r="J13" s="50"/>
      <c r="K13" s="50"/>
    </row>
    <row r="14" spans="1:11">
      <c r="A14" s="130">
        <v>9</v>
      </c>
      <c r="B14" s="50"/>
      <c r="C14" s="50"/>
      <c r="D14" s="50"/>
      <c r="E14" s="50"/>
      <c r="F14" s="50"/>
      <c r="G14" s="50"/>
      <c r="H14" s="50"/>
      <c r="I14" s="50"/>
      <c r="J14" s="50"/>
      <c r="K14" s="50"/>
    </row>
    <row r="15" spans="1:11">
      <c r="A15" s="130">
        <v>10</v>
      </c>
      <c r="B15" s="50"/>
      <c r="C15" s="50"/>
      <c r="D15" s="50"/>
      <c r="E15" s="50"/>
      <c r="F15" s="50"/>
      <c r="G15" s="50"/>
      <c r="H15" s="50"/>
      <c r="I15" s="50"/>
      <c r="J15" s="50"/>
      <c r="K15" s="50"/>
    </row>
    <row r="16" spans="1:11">
      <c r="A16" s="130">
        <v>11</v>
      </c>
      <c r="B16" s="50"/>
      <c r="C16" s="50"/>
      <c r="D16" s="50"/>
      <c r="E16" s="50"/>
      <c r="F16" s="50"/>
      <c r="G16" s="50"/>
      <c r="H16" s="50"/>
      <c r="I16" s="50"/>
      <c r="J16" s="50"/>
      <c r="K16" s="50"/>
    </row>
    <row r="17" spans="1:11">
      <c r="A17" s="130">
        <v>12</v>
      </c>
      <c r="B17" s="50"/>
      <c r="C17" s="50"/>
      <c r="D17" s="50"/>
      <c r="E17" s="50"/>
      <c r="F17" s="50"/>
      <c r="G17" s="50"/>
      <c r="H17" s="50"/>
      <c r="I17" s="50"/>
      <c r="J17" s="50"/>
      <c r="K17" s="50"/>
    </row>
    <row r="18" spans="1:11">
      <c r="A18" s="130">
        <v>13</v>
      </c>
      <c r="B18" s="50"/>
      <c r="C18" s="50"/>
      <c r="D18" s="50"/>
      <c r="E18" s="50"/>
      <c r="F18" s="50"/>
      <c r="G18" s="50"/>
      <c r="H18" s="50"/>
      <c r="I18" s="50"/>
      <c r="J18" s="50"/>
      <c r="K18" s="50"/>
    </row>
    <row r="19" spans="1:11">
      <c r="A19" s="130">
        <v>14</v>
      </c>
      <c r="B19" s="50"/>
      <c r="C19" s="50"/>
      <c r="D19" s="50"/>
      <c r="E19" s="50"/>
      <c r="F19" s="50"/>
      <c r="G19" s="50"/>
      <c r="H19" s="50"/>
      <c r="I19" s="50"/>
      <c r="J19" s="50"/>
      <c r="K19" s="50"/>
    </row>
    <row r="20" spans="1:11">
      <c r="A20" s="130">
        <v>15</v>
      </c>
      <c r="B20" s="50"/>
      <c r="C20" s="50"/>
      <c r="D20" s="50"/>
      <c r="E20" s="50"/>
      <c r="F20" s="50"/>
      <c r="G20" s="50"/>
      <c r="H20" s="50"/>
      <c r="I20" s="50"/>
      <c r="J20" s="50"/>
      <c r="K20" s="50"/>
    </row>
    <row r="21" spans="1:11">
      <c r="A21" s="130">
        <v>16</v>
      </c>
      <c r="B21" s="50"/>
      <c r="C21" s="50"/>
      <c r="D21" s="50"/>
      <c r="E21" s="50"/>
      <c r="F21" s="50"/>
      <c r="G21" s="50"/>
      <c r="H21" s="50"/>
      <c r="I21" s="50"/>
      <c r="J21" s="50"/>
      <c r="K21" s="50"/>
    </row>
    <row r="22" spans="1:11">
      <c r="A22" s="130">
        <v>17</v>
      </c>
      <c r="B22" s="50"/>
      <c r="C22" s="50"/>
      <c r="D22" s="50"/>
      <c r="E22" s="50"/>
      <c r="F22" s="50"/>
      <c r="G22" s="50"/>
      <c r="H22" s="50"/>
      <c r="I22" s="50"/>
      <c r="J22" s="50"/>
      <c r="K22" s="50"/>
    </row>
    <row r="23" spans="1:11">
      <c r="A23" s="130">
        <v>18</v>
      </c>
      <c r="B23" s="50"/>
      <c r="C23" s="50"/>
      <c r="D23" s="50"/>
      <c r="E23" s="50"/>
      <c r="F23" s="50"/>
      <c r="G23" s="50"/>
      <c r="H23" s="50"/>
      <c r="I23" s="50"/>
      <c r="J23" s="50"/>
      <c r="K23" s="50"/>
    </row>
    <row r="24" spans="1:11">
      <c r="A24" s="130">
        <v>19</v>
      </c>
      <c r="B24" s="50"/>
      <c r="C24" s="50"/>
      <c r="D24" s="50"/>
      <c r="E24" s="50"/>
      <c r="F24" s="50"/>
      <c r="G24" s="50"/>
      <c r="H24" s="50"/>
      <c r="I24" s="50"/>
      <c r="J24" s="50"/>
      <c r="K24" s="50"/>
    </row>
    <row r="25" spans="1:11">
      <c r="A25" s="130">
        <v>20</v>
      </c>
      <c r="B25" s="50"/>
      <c r="C25" s="50"/>
      <c r="D25" s="50"/>
      <c r="E25" s="50"/>
      <c r="F25" s="50"/>
      <c r="G25" s="50"/>
      <c r="H25" s="50"/>
      <c r="I25" s="50"/>
      <c r="J25" s="50"/>
      <c r="K25" s="50"/>
    </row>
    <row r="26" spans="1:11">
      <c r="A26" s="130">
        <v>21</v>
      </c>
      <c r="B26" s="50"/>
      <c r="C26" s="50"/>
      <c r="D26" s="50"/>
      <c r="E26" s="50"/>
      <c r="F26" s="50"/>
      <c r="G26" s="50"/>
      <c r="H26" s="50"/>
      <c r="I26" s="50"/>
      <c r="J26" s="50"/>
      <c r="K26" s="50"/>
    </row>
    <row r="27" spans="1:11">
      <c r="A27" s="130">
        <v>22</v>
      </c>
      <c r="B27" s="50"/>
      <c r="C27" s="50"/>
      <c r="D27" s="50"/>
      <c r="E27" s="50"/>
      <c r="F27" s="50"/>
      <c r="G27" s="50"/>
      <c r="H27" s="50"/>
      <c r="I27" s="50"/>
      <c r="J27" s="50"/>
      <c r="K27" s="50"/>
    </row>
    <row r="28" spans="1:11">
      <c r="A28" s="130">
        <v>23</v>
      </c>
      <c r="B28" s="50"/>
      <c r="C28" s="50"/>
      <c r="D28" s="50"/>
      <c r="E28" s="50"/>
      <c r="F28" s="50"/>
      <c r="G28" s="50"/>
      <c r="H28" s="50"/>
      <c r="I28" s="50"/>
      <c r="J28" s="50"/>
      <c r="K28" s="50"/>
    </row>
    <row r="29" spans="1:11">
      <c r="A29" s="130">
        <v>24</v>
      </c>
      <c r="B29" s="50"/>
      <c r="C29" s="50"/>
      <c r="D29" s="50"/>
      <c r="E29" s="50"/>
      <c r="F29" s="50"/>
      <c r="G29" s="50"/>
      <c r="H29" s="50"/>
      <c r="I29" s="50"/>
      <c r="J29" s="50"/>
      <c r="K29" s="50"/>
    </row>
    <row r="30" spans="1:11">
      <c r="A30" s="130">
        <v>25</v>
      </c>
      <c r="B30" s="50"/>
      <c r="C30" s="50"/>
      <c r="D30" s="50"/>
      <c r="E30" s="50"/>
      <c r="F30" s="50"/>
      <c r="G30" s="50"/>
      <c r="H30" s="50"/>
      <c r="I30" s="50"/>
      <c r="J30" s="50"/>
      <c r="K30" s="50"/>
    </row>
    <row r="31" spans="1:11">
      <c r="A31" s="535" t="s">
        <v>204</v>
      </c>
      <c r="B31" s="536"/>
      <c r="C31" s="287"/>
      <c r="D31" s="287"/>
      <c r="E31" s="287"/>
      <c r="F31" s="287"/>
      <c r="G31" s="286">
        <f>SUM(G6:G30)</f>
        <v>0</v>
      </c>
      <c r="H31" s="286">
        <f>SUM(H6:H30)</f>
        <v>0</v>
      </c>
      <c r="I31" s="286">
        <f>SUM(I6:I30)</f>
        <v>0</v>
      </c>
      <c r="J31" s="287"/>
      <c r="K31" s="287"/>
    </row>
    <row r="36" spans="1:1">
      <c r="A36" s="537" t="s">
        <v>205</v>
      </c>
    </row>
  </sheetData>
  <mergeCells count="13">
    <mergeCell ref="A1:K1"/>
    <mergeCell ref="A31:B31"/>
    <mergeCell ref="A4:A5"/>
    <mergeCell ref="B4:B5"/>
    <mergeCell ref="C4:C5"/>
    <mergeCell ref="D4:D5"/>
    <mergeCell ref="E4:E5"/>
    <mergeCell ref="F4:F5"/>
    <mergeCell ref="G4:G5"/>
    <mergeCell ref="H4:H5"/>
    <mergeCell ref="I4:I5"/>
    <mergeCell ref="J4:J5"/>
    <mergeCell ref="K4:K5"/>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K37"/>
  <sheetViews>
    <sheetView zoomScale="90" zoomScaleNormal="90" workbookViewId="0">
      <pane xSplit="2" ySplit="5" topLeftCell="C6" activePane="bottomRight" state="frozen"/>
      <selection/>
      <selection pane="topRight"/>
      <selection pane="bottomLeft"/>
      <selection pane="bottomRight" activeCell="D5" sqref="D5"/>
    </sheetView>
  </sheetViews>
  <sheetFormatPr defaultColWidth="8.73148148148148" defaultRowHeight="14.4"/>
  <cols>
    <col min="1" max="1" width="7.47222222222222" style="146" customWidth="1"/>
    <col min="2" max="2" width="27.4722222222222" customWidth="1"/>
    <col min="3" max="3" width="17.6759259259259" customWidth="1"/>
    <col min="4" max="4" width="13.9351851851852" customWidth="1"/>
    <col min="5" max="5" width="15.6481481481481" customWidth="1"/>
    <col min="6" max="6" width="18.8518518518519" customWidth="1"/>
    <col min="7" max="7" width="16.0185185185185" customWidth="1"/>
    <col min="8" max="8" width="16.4537037037037" customWidth="1"/>
    <col min="9" max="9" width="13.2314814814815" customWidth="1"/>
    <col min="10" max="10" width="11.712962962963" customWidth="1"/>
    <col min="11" max="11" width="25.25" customWidth="1"/>
  </cols>
  <sheetData>
    <row r="1" ht="26" customHeight="1" spans="1:11">
      <c r="A1" s="1" t="s">
        <v>12</v>
      </c>
      <c r="B1" s="1"/>
      <c r="C1" s="1"/>
      <c r="D1" s="1"/>
      <c r="E1" s="1"/>
      <c r="F1" s="1"/>
      <c r="G1" s="1"/>
      <c r="H1" s="1"/>
      <c r="I1" s="1"/>
      <c r="J1" s="1"/>
      <c r="K1" s="1"/>
    </row>
    <row r="2" s="4" customFormat="1" ht="17" customHeight="1" spans="1:11">
      <c r="A2" s="2" t="str">
        <f>备忘录!$A$1</f>
        <v>被审计单位：福禄福擎网络科技有限公司</v>
      </c>
      <c r="E2" s="4" t="s">
        <v>193</v>
      </c>
      <c r="H2" s="4" t="str">
        <f>备忘录!$C$2</f>
        <v>日期：2025/10/30</v>
      </c>
      <c r="I2" s="440"/>
    </row>
    <row r="3" s="4" customFormat="1" ht="17" customHeight="1" spans="1:11">
      <c r="A3" s="2" t="str">
        <f>备忘录!$A$2</f>
        <v>财务报表截止日：2025/9/30</v>
      </c>
      <c r="E3" s="4" t="s">
        <v>194</v>
      </c>
      <c r="H3" s="4" t="str">
        <f>备忘录!$C$3</f>
        <v>日期：2025/10/31</v>
      </c>
    </row>
    <row r="4" s="210" customFormat="1" ht="18" customHeight="1" spans="1:11">
      <c r="A4" s="171" t="s">
        <v>77</v>
      </c>
      <c r="B4" s="171" t="s">
        <v>78</v>
      </c>
      <c r="C4" s="171" t="s">
        <v>206</v>
      </c>
      <c r="D4" s="160" t="s">
        <v>207</v>
      </c>
      <c r="E4" s="161"/>
      <c r="F4" s="161"/>
      <c r="G4" s="162"/>
      <c r="H4" s="89" t="s">
        <v>208</v>
      </c>
      <c r="I4" s="89" t="s">
        <v>201</v>
      </c>
      <c r="J4" s="89" t="s">
        <v>209</v>
      </c>
      <c r="K4" s="465" t="s">
        <v>203</v>
      </c>
    </row>
    <row r="5" s="210" customFormat="1" ht="18" customHeight="1" spans="1:11">
      <c r="A5" s="172"/>
      <c r="B5" s="172"/>
      <c r="C5" s="172"/>
      <c r="D5" s="124" t="s">
        <v>210</v>
      </c>
      <c r="E5" s="124" t="s">
        <v>211</v>
      </c>
      <c r="F5" s="124" t="s">
        <v>212</v>
      </c>
      <c r="G5" s="124" t="s">
        <v>213</v>
      </c>
      <c r="H5" s="93"/>
      <c r="I5" s="89"/>
      <c r="J5" s="89"/>
      <c r="K5" s="465"/>
    </row>
    <row r="6" ht="21" customHeight="1" spans="1:11">
      <c r="A6" s="522" t="s">
        <v>214</v>
      </c>
      <c r="B6" s="522"/>
      <c r="C6" s="522"/>
      <c r="D6" s="19">
        <f t="shared" ref="D6:H6" si="0">ROUND(SUM(D7),2)</f>
        <v>0</v>
      </c>
      <c r="E6" s="19">
        <f t="shared" si="0"/>
        <v>0</v>
      </c>
      <c r="F6" s="19">
        <f t="shared" si="0"/>
        <v>0</v>
      </c>
      <c r="G6" s="19">
        <f t="shared" si="0"/>
        <v>0</v>
      </c>
      <c r="H6" s="19">
        <f t="shared" si="0"/>
        <v>0</v>
      </c>
      <c r="I6" s="19"/>
      <c r="J6" s="50"/>
      <c r="K6" s="100"/>
    </row>
    <row r="7" ht="23" customHeight="1" spans="1:11">
      <c r="A7" s="130">
        <v>1</v>
      </c>
      <c r="B7" s="523"/>
      <c r="C7" s="50"/>
      <c r="D7" s="17"/>
      <c r="E7" s="80"/>
      <c r="F7" s="17"/>
      <c r="G7" s="19">
        <f>ROUND(D7+E7-F7,2)</f>
        <v>0</v>
      </c>
      <c r="H7" s="17"/>
      <c r="I7" s="19">
        <f t="shared" ref="I7:I17" si="1">ROUND(G7-H7,2)</f>
        <v>0</v>
      </c>
      <c r="J7" s="50"/>
      <c r="K7" s="50"/>
    </row>
    <row r="8" ht="27" customHeight="1" spans="1:11">
      <c r="A8" s="522" t="s">
        <v>215</v>
      </c>
      <c r="B8" s="522"/>
      <c r="C8" s="522"/>
      <c r="D8" s="19">
        <f t="shared" ref="D8:I8" si="2">ROUND(SUM(D9:D17),2)</f>
        <v>0</v>
      </c>
      <c r="E8" s="19">
        <f t="shared" si="2"/>
        <v>0</v>
      </c>
      <c r="F8" s="19">
        <f t="shared" si="2"/>
        <v>0</v>
      </c>
      <c r="G8" s="19">
        <f t="shared" si="2"/>
        <v>0</v>
      </c>
      <c r="H8" s="19">
        <f t="shared" si="2"/>
        <v>0</v>
      </c>
      <c r="I8" s="19">
        <f t="shared" si="2"/>
        <v>0</v>
      </c>
      <c r="J8" s="50"/>
      <c r="K8" s="50"/>
    </row>
    <row r="9" ht="19" customHeight="1" spans="1:11">
      <c r="A9" s="130">
        <v>1</v>
      </c>
      <c r="B9" s="523"/>
      <c r="C9" s="50"/>
      <c r="D9" s="77"/>
      <c r="E9" s="77"/>
      <c r="F9" s="77"/>
      <c r="G9" s="19">
        <f>ROUND(D9+E9-F9,2)</f>
        <v>0</v>
      </c>
      <c r="H9" s="17"/>
      <c r="I9" s="19">
        <f>ROUND(G9-H9,2)</f>
        <v>0</v>
      </c>
      <c r="J9" s="50"/>
      <c r="K9" s="50"/>
    </row>
    <row r="10" ht="19" customHeight="1" spans="1:11">
      <c r="A10" s="130">
        <v>2</v>
      </c>
      <c r="B10" s="523"/>
      <c r="C10" s="50"/>
      <c r="D10" s="77"/>
      <c r="E10" s="77"/>
      <c r="F10" s="77"/>
      <c r="G10" s="19">
        <f t="shared" ref="G7:G17" si="3">ROUND(D10+E10-F10,2)</f>
        <v>0</v>
      </c>
      <c r="H10" s="17"/>
      <c r="I10" s="19">
        <f t="shared" si="1"/>
        <v>0</v>
      </c>
      <c r="J10" s="50"/>
      <c r="K10" s="50"/>
    </row>
    <row r="11" ht="19" customHeight="1" spans="1:11">
      <c r="A11" s="130">
        <v>3</v>
      </c>
      <c r="B11" s="523"/>
      <c r="C11" s="50"/>
      <c r="D11" s="77"/>
      <c r="E11" s="77"/>
      <c r="F11" s="77"/>
      <c r="G11" s="19">
        <f t="shared" si="3"/>
        <v>0</v>
      </c>
      <c r="H11" s="17"/>
      <c r="I11" s="19">
        <f t="shared" si="1"/>
        <v>0</v>
      </c>
      <c r="J11" s="50"/>
      <c r="K11" s="50"/>
    </row>
    <row r="12" ht="19" customHeight="1" spans="1:11">
      <c r="A12" s="130">
        <v>4</v>
      </c>
      <c r="B12" s="523"/>
      <c r="C12" s="50"/>
      <c r="D12" s="77"/>
      <c r="E12" s="77"/>
      <c r="F12" s="77"/>
      <c r="G12" s="19">
        <f t="shared" si="3"/>
        <v>0</v>
      </c>
      <c r="H12" s="17"/>
      <c r="I12" s="19">
        <f t="shared" si="1"/>
        <v>0</v>
      </c>
      <c r="J12" s="50"/>
      <c r="K12" s="50"/>
    </row>
    <row r="13" ht="19" customHeight="1" spans="1:11">
      <c r="A13" s="130">
        <v>5</v>
      </c>
      <c r="B13" s="523"/>
      <c r="C13" s="50"/>
      <c r="D13" s="77"/>
      <c r="E13" s="77"/>
      <c r="F13" s="77"/>
      <c r="G13" s="19">
        <f t="shared" si="3"/>
        <v>0</v>
      </c>
      <c r="H13" s="17"/>
      <c r="I13" s="19">
        <f t="shared" si="1"/>
        <v>0</v>
      </c>
      <c r="J13" s="50"/>
      <c r="K13" s="50"/>
    </row>
    <row r="14" ht="19" customHeight="1" spans="1:11">
      <c r="A14" s="130">
        <v>6</v>
      </c>
      <c r="B14" s="523"/>
      <c r="C14" s="524"/>
      <c r="D14" s="77"/>
      <c r="E14" s="77"/>
      <c r="F14" s="77"/>
      <c r="G14" s="19">
        <f t="shared" si="3"/>
        <v>0</v>
      </c>
      <c r="H14" s="17"/>
      <c r="I14" s="19">
        <f t="shared" si="1"/>
        <v>0</v>
      </c>
      <c r="J14" s="50"/>
      <c r="K14" s="50"/>
    </row>
    <row r="15" ht="19" customHeight="1" spans="1:11">
      <c r="A15" s="130">
        <v>7</v>
      </c>
      <c r="B15" s="523"/>
      <c r="C15" s="524"/>
      <c r="D15" s="17"/>
      <c r="E15" s="80"/>
      <c r="F15" s="17"/>
      <c r="G15" s="19">
        <f t="shared" si="3"/>
        <v>0</v>
      </c>
      <c r="H15" s="17"/>
      <c r="I15" s="19">
        <f t="shared" si="1"/>
        <v>0</v>
      </c>
      <c r="J15" s="50"/>
      <c r="K15" s="523"/>
    </row>
    <row r="16" ht="19" customHeight="1" spans="1:11">
      <c r="A16" s="130">
        <v>8</v>
      </c>
      <c r="B16" s="523"/>
      <c r="C16" s="524"/>
      <c r="D16" s="17"/>
      <c r="E16" s="80"/>
      <c r="F16" s="17"/>
      <c r="G16" s="19">
        <f t="shared" si="3"/>
        <v>0</v>
      </c>
      <c r="H16" s="17"/>
      <c r="I16" s="19">
        <f t="shared" si="1"/>
        <v>0</v>
      </c>
      <c r="J16" s="100"/>
      <c r="K16" s="523"/>
    </row>
    <row r="17" ht="19" customHeight="1" spans="1:11">
      <c r="A17" s="130">
        <v>9</v>
      </c>
      <c r="B17" s="523"/>
      <c r="C17" s="524"/>
      <c r="D17" s="17"/>
      <c r="E17" s="80"/>
      <c r="F17" s="17"/>
      <c r="G17" s="19">
        <f t="shared" si="3"/>
        <v>0</v>
      </c>
      <c r="H17" s="17"/>
      <c r="I17" s="19">
        <f t="shared" si="1"/>
        <v>0</v>
      </c>
      <c r="J17" s="100"/>
      <c r="K17" s="523"/>
    </row>
    <row r="18" ht="26" customHeight="1" spans="1:11">
      <c r="A18" s="522" t="s">
        <v>216</v>
      </c>
      <c r="B18" s="522"/>
      <c r="C18" s="522"/>
      <c r="D18" s="19">
        <f t="shared" ref="D18:I18" si="4">ROUND(SUM(D19:D30),2)</f>
        <v>0</v>
      </c>
      <c r="E18" s="19">
        <f t="shared" si="4"/>
        <v>0</v>
      </c>
      <c r="F18" s="19">
        <f t="shared" si="4"/>
        <v>0</v>
      </c>
      <c r="G18" s="19">
        <f t="shared" si="4"/>
        <v>0</v>
      </c>
      <c r="H18" s="19">
        <f t="shared" si="4"/>
        <v>0</v>
      </c>
      <c r="I18" s="19">
        <f t="shared" si="4"/>
        <v>0</v>
      </c>
      <c r="J18" s="50"/>
      <c r="K18" s="50"/>
    </row>
    <row r="19" customFormat="1" ht="17" customHeight="1" spans="1:11">
      <c r="A19" s="130">
        <v>1</v>
      </c>
      <c r="B19" s="523"/>
      <c r="C19" s="50"/>
      <c r="D19" s="77"/>
      <c r="E19" s="77"/>
      <c r="F19" s="77"/>
      <c r="G19" s="19">
        <f>ROUND(D19+E19-F19,2)</f>
        <v>0</v>
      </c>
      <c r="H19" s="17"/>
      <c r="I19" s="19">
        <f>ROUND(G19-H19,2)</f>
        <v>0</v>
      </c>
      <c r="J19" s="50"/>
      <c r="K19" s="50"/>
    </row>
    <row r="20" customFormat="1" ht="17" customHeight="1" spans="1:11">
      <c r="A20" s="130">
        <v>2</v>
      </c>
      <c r="B20" s="523"/>
      <c r="C20" s="50"/>
      <c r="D20" s="77"/>
      <c r="E20" s="77"/>
      <c r="F20" s="77"/>
      <c r="G20" s="19">
        <f>ROUND(D20+E20-F20,2)</f>
        <v>0</v>
      </c>
      <c r="H20" s="17"/>
      <c r="I20" s="19">
        <f t="shared" ref="I20:I34" si="5">ROUND(G20-H20,2)</f>
        <v>0</v>
      </c>
      <c r="J20" s="50"/>
      <c r="K20" s="50"/>
    </row>
    <row r="21" customFormat="1" ht="17" customHeight="1" spans="1:11">
      <c r="A21" s="130">
        <v>3</v>
      </c>
      <c r="B21" s="523"/>
      <c r="C21" s="50"/>
      <c r="D21" s="77"/>
      <c r="E21" s="77"/>
      <c r="F21" s="77"/>
      <c r="G21" s="19">
        <f t="shared" ref="G20:G34" si="6">ROUND(D21+E21-F21,2)</f>
        <v>0</v>
      </c>
      <c r="H21" s="17"/>
      <c r="I21" s="19">
        <f t="shared" si="5"/>
        <v>0</v>
      </c>
      <c r="J21" s="50"/>
      <c r="K21" s="50"/>
    </row>
    <row r="22" customFormat="1" ht="17" customHeight="1" spans="1:11">
      <c r="A22" s="130">
        <v>4</v>
      </c>
      <c r="B22" s="523"/>
      <c r="C22" s="50"/>
      <c r="D22" s="77"/>
      <c r="E22" s="77"/>
      <c r="F22" s="77"/>
      <c r="G22" s="19">
        <f t="shared" si="6"/>
        <v>0</v>
      </c>
      <c r="H22" s="17"/>
      <c r="I22" s="19">
        <f t="shared" si="5"/>
        <v>0</v>
      </c>
      <c r="J22" s="50"/>
      <c r="K22" s="50"/>
    </row>
    <row r="23" customFormat="1" ht="17" customHeight="1" spans="1:11">
      <c r="A23" s="130">
        <v>5</v>
      </c>
      <c r="B23" s="523"/>
      <c r="C23" s="50"/>
      <c r="D23" s="77"/>
      <c r="E23" s="77"/>
      <c r="F23" s="77"/>
      <c r="G23" s="19">
        <f t="shared" si="6"/>
        <v>0</v>
      </c>
      <c r="H23" s="17"/>
      <c r="I23" s="19">
        <f t="shared" si="5"/>
        <v>0</v>
      </c>
      <c r="J23" s="50"/>
      <c r="K23" s="50"/>
    </row>
    <row r="24" customFormat="1" ht="17" customHeight="1" spans="1:11">
      <c r="A24" s="130">
        <v>6</v>
      </c>
      <c r="B24" s="523"/>
      <c r="C24" s="50"/>
      <c r="D24" s="77"/>
      <c r="E24" s="77"/>
      <c r="F24" s="77"/>
      <c r="G24" s="19">
        <f t="shared" si="6"/>
        <v>0</v>
      </c>
      <c r="H24" s="17"/>
      <c r="I24" s="19">
        <f t="shared" si="5"/>
        <v>0</v>
      </c>
      <c r="J24" s="50"/>
      <c r="K24" s="50"/>
    </row>
    <row r="25" customFormat="1" ht="17" customHeight="1" spans="1:11">
      <c r="A25" s="130">
        <v>7</v>
      </c>
      <c r="B25" s="523"/>
      <c r="C25" s="50"/>
      <c r="D25" s="77"/>
      <c r="E25" s="77"/>
      <c r="F25" s="77"/>
      <c r="G25" s="19">
        <f t="shared" si="6"/>
        <v>0</v>
      </c>
      <c r="H25" s="17"/>
      <c r="I25" s="19">
        <f t="shared" si="5"/>
        <v>0</v>
      </c>
      <c r="J25" s="50"/>
      <c r="K25" s="50"/>
    </row>
    <row r="26" customFormat="1" ht="17" customHeight="1" spans="1:11">
      <c r="A26" s="130">
        <v>8</v>
      </c>
      <c r="B26" s="523"/>
      <c r="C26" s="50"/>
      <c r="D26" s="77"/>
      <c r="E26" s="77"/>
      <c r="F26" s="77"/>
      <c r="G26" s="19">
        <f t="shared" si="6"/>
        <v>0</v>
      </c>
      <c r="H26" s="17"/>
      <c r="I26" s="19">
        <f t="shared" si="5"/>
        <v>0</v>
      </c>
      <c r="J26" s="50"/>
      <c r="K26" s="50"/>
    </row>
    <row r="27" customFormat="1" ht="17" customHeight="1" spans="1:11">
      <c r="A27" s="130">
        <v>9</v>
      </c>
      <c r="B27" s="523"/>
      <c r="C27" s="50"/>
      <c r="D27" s="77"/>
      <c r="E27" s="77"/>
      <c r="F27" s="77"/>
      <c r="G27" s="19">
        <f t="shared" si="6"/>
        <v>0</v>
      </c>
      <c r="H27" s="17"/>
      <c r="I27" s="19">
        <f t="shared" si="5"/>
        <v>0</v>
      </c>
      <c r="J27" s="50"/>
      <c r="K27" s="50"/>
    </row>
    <row r="28" customFormat="1" ht="17" customHeight="1" spans="1:11">
      <c r="A28" s="130">
        <v>10</v>
      </c>
      <c r="B28" s="523"/>
      <c r="C28" s="50"/>
      <c r="D28" s="77"/>
      <c r="E28" s="77"/>
      <c r="F28" s="77"/>
      <c r="G28" s="19">
        <f t="shared" si="6"/>
        <v>0</v>
      </c>
      <c r="H28" s="17"/>
      <c r="I28" s="19">
        <f t="shared" si="5"/>
        <v>0</v>
      </c>
      <c r="J28" s="50"/>
      <c r="K28" s="50"/>
    </row>
    <row r="29" customFormat="1" ht="17" customHeight="1" spans="1:11">
      <c r="A29" s="130">
        <v>11</v>
      </c>
      <c r="B29" s="523"/>
      <c r="C29" s="50"/>
      <c r="D29" s="77"/>
      <c r="E29" s="77"/>
      <c r="F29" s="77"/>
      <c r="G29" s="19">
        <f t="shared" si="6"/>
        <v>0</v>
      </c>
      <c r="H29" s="17"/>
      <c r="I29" s="19">
        <f t="shared" si="5"/>
        <v>0</v>
      </c>
      <c r="J29" s="50"/>
      <c r="K29" s="50"/>
    </row>
    <row r="30" customFormat="1" ht="17" customHeight="1" spans="1:11">
      <c r="A30" s="130">
        <v>12</v>
      </c>
      <c r="B30" s="523"/>
      <c r="C30" s="50"/>
      <c r="D30" s="77"/>
      <c r="E30" s="77"/>
      <c r="F30" s="77"/>
      <c r="G30" s="19">
        <f t="shared" si="6"/>
        <v>0</v>
      </c>
      <c r="H30" s="17"/>
      <c r="I30" s="19">
        <f t="shared" si="5"/>
        <v>0</v>
      </c>
      <c r="J30" s="50"/>
      <c r="K30" s="50"/>
    </row>
    <row r="31" s="521" customFormat="1" ht="22" customHeight="1" spans="1:11">
      <c r="A31" s="522" t="s">
        <v>217</v>
      </c>
      <c r="B31" s="522"/>
      <c r="C31" s="522"/>
      <c r="D31" s="25">
        <f>ROUND(D6+D8+D18,2)</f>
        <v>0</v>
      </c>
      <c r="E31" s="25">
        <f t="shared" ref="D31:I31" si="7">ROUND(E6+E8+E18,2)</f>
        <v>0</v>
      </c>
      <c r="F31" s="25">
        <f t="shared" si="7"/>
        <v>0</v>
      </c>
      <c r="G31" s="25">
        <f t="shared" si="7"/>
        <v>0</v>
      </c>
      <c r="H31" s="26">
        <f t="shared" si="7"/>
        <v>0</v>
      </c>
      <c r="I31" s="26">
        <f t="shared" si="7"/>
        <v>0</v>
      </c>
      <c r="J31" s="525"/>
      <c r="K31" s="525"/>
    </row>
    <row r="33" ht="19" customHeight="1" spans="2:2">
      <c r="B33" s="29" t="s">
        <v>218</v>
      </c>
    </row>
    <row r="34" ht="19" customHeight="1"/>
    <row r="35" ht="19" customHeight="1"/>
    <row r="36" ht="19" customHeight="1"/>
    <row r="37" ht="19" customHeight="1"/>
  </sheetData>
  <mergeCells count="13">
    <mergeCell ref="A1:K1"/>
    <mergeCell ref="D4:G4"/>
    <mergeCell ref="A6:C6"/>
    <mergeCell ref="A8:C8"/>
    <mergeCell ref="A18:C18"/>
    <mergeCell ref="A31:C31"/>
    <mergeCell ref="A4:A5"/>
    <mergeCell ref="B4:B5"/>
    <mergeCell ref="C4:C5"/>
    <mergeCell ref="H4:H5"/>
    <mergeCell ref="I4:I5"/>
    <mergeCell ref="J4:J5"/>
    <mergeCell ref="K4:K5"/>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0"/>
  <sheetViews>
    <sheetView workbookViewId="0">
      <selection activeCell="A1" sqref="$A1:$XFD1"/>
    </sheetView>
  </sheetViews>
  <sheetFormatPr defaultColWidth="8.73148148148148" defaultRowHeight="14.4"/>
  <cols>
    <col min="2" max="2" width="12.2685185185185" customWidth="1"/>
    <col min="3" max="3" width="13.2685185185185" customWidth="1"/>
    <col min="4" max="4" width="14.0925925925926" customWidth="1"/>
    <col min="5" max="5" width="11.5462962962963" customWidth="1"/>
    <col min="6" max="6" width="12.2685185185185"/>
    <col min="7" max="7" width="11.9074074074074" customWidth="1"/>
    <col min="8" max="8" width="11.7314814814815" customWidth="1"/>
    <col min="9" max="9" width="10.7314814814815"/>
    <col min="10" max="10" width="11.8148148148148" customWidth="1"/>
    <col min="11" max="11" width="12.0925925925926" customWidth="1"/>
    <col min="12" max="12" width="16.2685185185185" customWidth="1"/>
  </cols>
  <sheetData>
    <row r="1" ht="21" customHeight="1" spans="1:12">
      <c r="A1" s="1" t="s">
        <v>219</v>
      </c>
      <c r="B1" s="1"/>
      <c r="C1" s="1"/>
      <c r="D1" s="1"/>
      <c r="E1" s="1"/>
      <c r="F1" s="1"/>
      <c r="G1" s="1"/>
      <c r="H1" s="1"/>
      <c r="I1" s="1"/>
      <c r="J1" s="1"/>
      <c r="K1" s="1"/>
    </row>
    <row r="2" s="4" customFormat="1" ht="15" customHeight="1" spans="1:12">
      <c r="A2" s="2" t="str">
        <f>备忘录!$A$1</f>
        <v>被审计单位：福禄福擎网络科技有限公司</v>
      </c>
      <c r="E2" s="4" t="s">
        <v>193</v>
      </c>
      <c r="H2" s="4" t="str">
        <f>备忘录!$C$2</f>
        <v>日期：2025/10/30</v>
      </c>
      <c r="I2" s="440"/>
    </row>
    <row r="3" s="4" customFormat="1" ht="15" customHeight="1" spans="1:12">
      <c r="A3" s="2" t="str">
        <f>备忘录!$A$2</f>
        <v>财务报表截止日：2025/9/30</v>
      </c>
      <c r="E3" s="4" t="s">
        <v>194</v>
      </c>
      <c r="H3" s="4" t="str">
        <f>备忘录!$C$3</f>
        <v>日期：2025/10/31</v>
      </c>
    </row>
    <row r="4" s="3" customFormat="1" ht="18" customHeight="1" spans="1:12">
      <c r="A4" s="505" t="s">
        <v>220</v>
      </c>
      <c r="B4" s="506"/>
      <c r="C4" s="507"/>
      <c r="D4" s="505" t="s">
        <v>221</v>
      </c>
      <c r="E4" s="508"/>
      <c r="F4" s="508"/>
      <c r="G4" s="509"/>
      <c r="H4" s="510"/>
      <c r="I4" s="510"/>
      <c r="J4" s="510"/>
      <c r="K4" s="510"/>
      <c r="L4" s="510"/>
    </row>
    <row r="5" s="3" customFormat="1" ht="17" customHeight="1" spans="1:12">
      <c r="A5" s="511" t="s">
        <v>1</v>
      </c>
      <c r="B5" s="511" t="s">
        <v>222</v>
      </c>
      <c r="C5" s="262"/>
      <c r="D5" s="262"/>
      <c r="E5" s="262"/>
      <c r="F5" s="511" t="s">
        <v>223</v>
      </c>
      <c r="G5" s="262"/>
      <c r="H5" s="262"/>
      <c r="I5" s="262"/>
      <c r="J5" s="511" t="s">
        <v>224</v>
      </c>
      <c r="K5" s="262"/>
      <c r="L5" s="262"/>
    </row>
    <row r="6" s="3" customFormat="1" ht="26" customHeight="1" spans="1:12">
      <c r="A6" s="262"/>
      <c r="B6" s="511" t="s">
        <v>225</v>
      </c>
      <c r="C6" s="512" t="s">
        <v>226</v>
      </c>
      <c r="D6" s="512" t="s">
        <v>227</v>
      </c>
      <c r="E6" s="511" t="s">
        <v>228</v>
      </c>
      <c r="F6" s="511" t="s">
        <v>225</v>
      </c>
      <c r="G6" s="512" t="s">
        <v>229</v>
      </c>
      <c r="H6" s="512" t="s">
        <v>230</v>
      </c>
      <c r="I6" s="511" t="s">
        <v>228</v>
      </c>
      <c r="J6" s="512" t="s">
        <v>229</v>
      </c>
      <c r="K6" s="512" t="s">
        <v>230</v>
      </c>
      <c r="L6" s="511" t="s">
        <v>231</v>
      </c>
    </row>
    <row r="7" s="3" customFormat="1" ht="11.4" spans="1:12">
      <c r="A7" s="262" t="s">
        <v>232</v>
      </c>
      <c r="B7" s="513"/>
      <c r="C7" s="513"/>
      <c r="D7" s="513"/>
      <c r="E7" s="514">
        <f t="shared" ref="E7:E19" si="0">ROUND(B7+C7-D7,2)</f>
        <v>0</v>
      </c>
      <c r="F7" s="513"/>
      <c r="G7" s="513"/>
      <c r="H7" s="513"/>
      <c r="I7" s="514">
        <f t="shared" ref="I7:I19" si="1">ROUND(F7+G7-H7,2)</f>
        <v>0</v>
      </c>
      <c r="J7" s="514">
        <f t="shared" ref="J7:J18" si="2">C7-G7</f>
        <v>0</v>
      </c>
      <c r="K7" s="514">
        <f t="shared" ref="K7:K18" si="3">D7-H7</f>
        <v>0</v>
      </c>
      <c r="L7" s="515"/>
    </row>
    <row r="8" s="3" customFormat="1" ht="11.4" spans="1:12">
      <c r="A8" s="262" t="s">
        <v>233</v>
      </c>
      <c r="B8" s="514">
        <f>E7</f>
        <v>0</v>
      </c>
      <c r="C8" s="513"/>
      <c r="D8" s="513"/>
      <c r="E8" s="514">
        <f t="shared" si="0"/>
        <v>0</v>
      </c>
      <c r="F8" s="514">
        <f t="shared" ref="F8:F18" si="4">I7</f>
        <v>0</v>
      </c>
      <c r="G8" s="513"/>
      <c r="H8" s="513"/>
      <c r="I8" s="514">
        <f t="shared" si="1"/>
        <v>0</v>
      </c>
      <c r="J8" s="514">
        <f t="shared" si="2"/>
        <v>0</v>
      </c>
      <c r="K8" s="514">
        <f t="shared" si="3"/>
        <v>0</v>
      </c>
      <c r="L8" s="515"/>
    </row>
    <row r="9" s="3" customFormat="1" ht="11.4" spans="1:12">
      <c r="A9" s="262" t="s">
        <v>234</v>
      </c>
      <c r="B9" s="514">
        <f t="shared" ref="B8:B18" si="5">E8</f>
        <v>0</v>
      </c>
      <c r="C9" s="513"/>
      <c r="D9" s="513"/>
      <c r="E9" s="514">
        <f t="shared" si="0"/>
        <v>0</v>
      </c>
      <c r="F9" s="514">
        <f t="shared" si="4"/>
        <v>0</v>
      </c>
      <c r="G9" s="513"/>
      <c r="H9" s="513"/>
      <c r="I9" s="514">
        <f t="shared" si="1"/>
        <v>0</v>
      </c>
      <c r="J9" s="514">
        <f t="shared" si="2"/>
        <v>0</v>
      </c>
      <c r="K9" s="514">
        <f t="shared" si="3"/>
        <v>0</v>
      </c>
      <c r="L9" s="515"/>
    </row>
    <row r="10" s="3" customFormat="1" ht="11.4" spans="1:12">
      <c r="A10" s="262" t="s">
        <v>235</v>
      </c>
      <c r="B10" s="514">
        <f t="shared" si="5"/>
        <v>0</v>
      </c>
      <c r="C10" s="513"/>
      <c r="D10" s="513"/>
      <c r="E10" s="514">
        <f t="shared" si="0"/>
        <v>0</v>
      </c>
      <c r="F10" s="514">
        <f t="shared" si="4"/>
        <v>0</v>
      </c>
      <c r="G10" s="513"/>
      <c r="H10" s="513"/>
      <c r="I10" s="514">
        <f t="shared" si="1"/>
        <v>0</v>
      </c>
      <c r="J10" s="514">
        <f t="shared" si="2"/>
        <v>0</v>
      </c>
      <c r="K10" s="514">
        <f t="shared" si="3"/>
        <v>0</v>
      </c>
      <c r="L10" s="515"/>
    </row>
    <row r="11" s="3" customFormat="1" ht="11.4" spans="1:12">
      <c r="A11" s="262" t="s">
        <v>236</v>
      </c>
      <c r="B11" s="514">
        <f t="shared" si="5"/>
        <v>0</v>
      </c>
      <c r="C11" s="516"/>
      <c r="D11" s="513"/>
      <c r="E11" s="514">
        <f t="shared" si="0"/>
        <v>0</v>
      </c>
      <c r="F11" s="514">
        <f t="shared" si="4"/>
        <v>0</v>
      </c>
      <c r="G11" s="516"/>
      <c r="H11" s="513"/>
      <c r="I11" s="514">
        <f t="shared" si="1"/>
        <v>0</v>
      </c>
      <c r="J11" s="514">
        <f t="shared" si="2"/>
        <v>0</v>
      </c>
      <c r="K11" s="514">
        <f t="shared" si="3"/>
        <v>0</v>
      </c>
      <c r="L11" s="515"/>
    </row>
    <row r="12" s="3" customFormat="1" ht="11.4" spans="1:12">
      <c r="A12" s="262" t="s">
        <v>237</v>
      </c>
      <c r="B12" s="514">
        <f t="shared" si="5"/>
        <v>0</v>
      </c>
      <c r="C12" s="513"/>
      <c r="D12" s="513"/>
      <c r="E12" s="514">
        <f t="shared" si="0"/>
        <v>0</v>
      </c>
      <c r="F12" s="514">
        <f t="shared" si="4"/>
        <v>0</v>
      </c>
      <c r="G12" s="513"/>
      <c r="H12" s="513"/>
      <c r="I12" s="514">
        <f t="shared" si="1"/>
        <v>0</v>
      </c>
      <c r="J12" s="514">
        <f t="shared" si="2"/>
        <v>0</v>
      </c>
      <c r="K12" s="514">
        <f t="shared" si="3"/>
        <v>0</v>
      </c>
      <c r="L12" s="515"/>
    </row>
    <row r="13" s="3" customFormat="1" ht="11.4" spans="1:12">
      <c r="A13" s="262" t="s">
        <v>238</v>
      </c>
      <c r="B13" s="514">
        <f t="shared" si="5"/>
        <v>0</v>
      </c>
      <c r="C13" s="513"/>
      <c r="D13" s="513"/>
      <c r="E13" s="514">
        <f t="shared" si="0"/>
        <v>0</v>
      </c>
      <c r="F13" s="514">
        <f t="shared" si="4"/>
        <v>0</v>
      </c>
      <c r="G13" s="513"/>
      <c r="H13" s="513"/>
      <c r="I13" s="514">
        <f t="shared" si="1"/>
        <v>0</v>
      </c>
      <c r="J13" s="514">
        <f t="shared" si="2"/>
        <v>0</v>
      </c>
      <c r="K13" s="514">
        <f t="shared" si="3"/>
        <v>0</v>
      </c>
      <c r="L13" s="515"/>
    </row>
    <row r="14" s="3" customFormat="1" ht="11.4" spans="1:12">
      <c r="A14" s="262" t="s">
        <v>239</v>
      </c>
      <c r="B14" s="514">
        <f t="shared" si="5"/>
        <v>0</v>
      </c>
      <c r="C14" s="513"/>
      <c r="D14" s="513"/>
      <c r="E14" s="514">
        <f t="shared" si="0"/>
        <v>0</v>
      </c>
      <c r="F14" s="514">
        <f t="shared" si="4"/>
        <v>0</v>
      </c>
      <c r="G14" s="513"/>
      <c r="H14" s="513"/>
      <c r="I14" s="514">
        <f t="shared" si="1"/>
        <v>0</v>
      </c>
      <c r="J14" s="514">
        <f t="shared" si="2"/>
        <v>0</v>
      </c>
      <c r="K14" s="514">
        <f t="shared" si="3"/>
        <v>0</v>
      </c>
      <c r="L14" s="515"/>
    </row>
    <row r="15" s="3" customFormat="1" ht="11.4" spans="1:12">
      <c r="A15" s="262" t="s">
        <v>240</v>
      </c>
      <c r="B15" s="514">
        <f t="shared" si="5"/>
        <v>0</v>
      </c>
      <c r="C15" s="513"/>
      <c r="D15" s="513"/>
      <c r="E15" s="514">
        <f t="shared" si="0"/>
        <v>0</v>
      </c>
      <c r="F15" s="514">
        <f t="shared" si="4"/>
        <v>0</v>
      </c>
      <c r="G15" s="513"/>
      <c r="H15" s="513"/>
      <c r="I15" s="514">
        <f t="shared" si="1"/>
        <v>0</v>
      </c>
      <c r="J15" s="514">
        <f t="shared" si="2"/>
        <v>0</v>
      </c>
      <c r="K15" s="514">
        <f t="shared" si="3"/>
        <v>0</v>
      </c>
      <c r="L15" s="515"/>
    </row>
    <row r="16" s="3" customFormat="1" ht="11.4" spans="1:12">
      <c r="A16" s="262" t="s">
        <v>241</v>
      </c>
      <c r="B16" s="514">
        <f t="shared" si="5"/>
        <v>0</v>
      </c>
      <c r="C16" s="513"/>
      <c r="D16" s="513"/>
      <c r="E16" s="514">
        <f t="shared" si="0"/>
        <v>0</v>
      </c>
      <c r="F16" s="514">
        <f t="shared" si="4"/>
        <v>0</v>
      </c>
      <c r="G16" s="513"/>
      <c r="H16" s="513"/>
      <c r="I16" s="514">
        <f t="shared" si="1"/>
        <v>0</v>
      </c>
      <c r="J16" s="514">
        <f t="shared" si="2"/>
        <v>0</v>
      </c>
      <c r="K16" s="514">
        <f t="shared" si="3"/>
        <v>0</v>
      </c>
      <c r="L16" s="515"/>
    </row>
    <row r="17" s="3" customFormat="1" ht="11.4" spans="1:12">
      <c r="A17" s="262" t="s">
        <v>242</v>
      </c>
      <c r="B17" s="514">
        <f t="shared" si="5"/>
        <v>0</v>
      </c>
      <c r="C17" s="513"/>
      <c r="D17" s="513"/>
      <c r="E17" s="514">
        <f t="shared" si="0"/>
        <v>0</v>
      </c>
      <c r="F17" s="514">
        <f t="shared" si="4"/>
        <v>0</v>
      </c>
      <c r="G17" s="513"/>
      <c r="H17" s="513"/>
      <c r="I17" s="514">
        <f t="shared" si="1"/>
        <v>0</v>
      </c>
      <c r="J17" s="514">
        <f t="shared" si="2"/>
        <v>0</v>
      </c>
      <c r="K17" s="514">
        <f t="shared" si="3"/>
        <v>0</v>
      </c>
      <c r="L17" s="515"/>
    </row>
    <row r="18" s="3" customFormat="1" ht="11.4" spans="1:12">
      <c r="A18" s="262" t="s">
        <v>243</v>
      </c>
      <c r="B18" s="514">
        <f t="shared" si="5"/>
        <v>0</v>
      </c>
      <c r="C18" s="513"/>
      <c r="D18" s="513"/>
      <c r="E18" s="514">
        <f t="shared" si="0"/>
        <v>0</v>
      </c>
      <c r="F18" s="514">
        <f t="shared" si="4"/>
        <v>0</v>
      </c>
      <c r="G18" s="513"/>
      <c r="H18" s="513"/>
      <c r="I18" s="514">
        <f t="shared" si="1"/>
        <v>0</v>
      </c>
      <c r="J18" s="514">
        <f t="shared" si="2"/>
        <v>0</v>
      </c>
      <c r="K18" s="514">
        <f t="shared" si="3"/>
        <v>0</v>
      </c>
      <c r="L18" s="515"/>
    </row>
    <row r="19" s="3" customFormat="1" ht="11.4" spans="1:12">
      <c r="A19" s="511" t="s">
        <v>217</v>
      </c>
      <c r="B19" s="514">
        <f>B7</f>
        <v>0</v>
      </c>
      <c r="C19" s="514">
        <f t="shared" ref="C19:H19" si="6">SUM(C7:C18)</f>
        <v>0</v>
      </c>
      <c r="D19" s="514">
        <f t="shared" si="6"/>
        <v>0</v>
      </c>
      <c r="E19" s="514">
        <f t="shared" si="0"/>
        <v>0</v>
      </c>
      <c r="F19" s="514">
        <f>F7</f>
        <v>0</v>
      </c>
      <c r="G19" s="514">
        <f t="shared" si="6"/>
        <v>0</v>
      </c>
      <c r="H19" s="514">
        <f t="shared" si="6"/>
        <v>0</v>
      </c>
      <c r="I19" s="514">
        <f t="shared" si="1"/>
        <v>0</v>
      </c>
      <c r="J19" s="514">
        <f>SUM(J7:J18)</f>
        <v>0</v>
      </c>
      <c r="K19" s="514">
        <f>SUM(K7:K18)</f>
        <v>0</v>
      </c>
      <c r="L19" s="262"/>
    </row>
    <row r="20" s="3" customFormat="1" ht="19" customHeight="1" spans="1:12">
      <c r="A20" s="517" t="s">
        <v>224</v>
      </c>
      <c r="B20" s="518"/>
      <c r="C20" s="519"/>
      <c r="D20" s="519"/>
      <c r="E20" s="519"/>
      <c r="F20" s="519"/>
      <c r="G20" s="520">
        <f>C19-G19</f>
        <v>0</v>
      </c>
      <c r="H20" s="520">
        <f>D19-H19</f>
        <v>0</v>
      </c>
      <c r="I20" s="519"/>
      <c r="J20" s="519"/>
      <c r="K20" s="519"/>
      <c r="L20" s="519"/>
    </row>
  </sheetData>
  <mergeCells count="6">
    <mergeCell ref="A1:K1"/>
    <mergeCell ref="B4:C4"/>
    <mergeCell ref="E4:F4"/>
    <mergeCell ref="B5:E5"/>
    <mergeCell ref="F5:I5"/>
    <mergeCell ref="J5:L5"/>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0"/>
  <sheetViews>
    <sheetView workbookViewId="0">
      <selection activeCell="D10" sqref="D10"/>
    </sheetView>
  </sheetViews>
  <sheetFormatPr defaultColWidth="8.73148148148148" defaultRowHeight="14.4"/>
  <cols>
    <col min="2" max="2" width="14.1851851851852" customWidth="1"/>
    <col min="3" max="3" width="14.4537037037037" customWidth="1"/>
    <col min="4" max="4" width="16.5462962962963" customWidth="1"/>
    <col min="5" max="5" width="10.7314814814815"/>
    <col min="6" max="6" width="12.2685185185185"/>
    <col min="7" max="8" width="13.2685185185185"/>
    <col min="9" max="9" width="10.7314814814815"/>
    <col min="10" max="10" width="11.8148148148148" customWidth="1"/>
    <col min="11" max="11" width="12.0925925925926" customWidth="1"/>
    <col min="12" max="12" width="18.0925925925926" customWidth="1"/>
  </cols>
  <sheetData>
    <row r="1" customFormat="1" ht="21" customHeight="1" spans="1:12">
      <c r="A1" s="1" t="s">
        <v>219</v>
      </c>
      <c r="B1" s="1"/>
      <c r="C1" s="1"/>
      <c r="D1" s="1"/>
      <c r="E1" s="1"/>
      <c r="F1" s="1"/>
      <c r="G1" s="1"/>
      <c r="H1" s="1"/>
      <c r="I1" s="1"/>
      <c r="J1" s="1"/>
      <c r="K1" s="1"/>
    </row>
    <row r="2" s="4" customFormat="1" ht="14" customHeight="1" spans="1:12">
      <c r="A2" s="2" t="str">
        <f>备忘录!$A$1</f>
        <v>被审计单位：福禄福擎网络科技有限公司</v>
      </c>
      <c r="E2" s="4" t="s">
        <v>193</v>
      </c>
      <c r="H2" s="4" t="str">
        <f>备忘录!$C$2</f>
        <v>日期：2025/10/30</v>
      </c>
      <c r="I2" s="440"/>
    </row>
    <row r="3" s="4" customFormat="1" ht="14" customHeight="1" spans="1:12">
      <c r="A3" s="2" t="str">
        <f>备忘录!$A$2</f>
        <v>财务报表截止日：2025/9/30</v>
      </c>
      <c r="E3" s="4" t="s">
        <v>194</v>
      </c>
      <c r="H3" s="4" t="str">
        <f>备忘录!$C$3</f>
        <v>日期：2025/10/31</v>
      </c>
    </row>
    <row r="4" s="3" customFormat="1" ht="18" customHeight="1" spans="1:12">
      <c r="A4" s="505" t="s">
        <v>220</v>
      </c>
      <c r="B4" s="506"/>
      <c r="C4" s="507"/>
      <c r="D4" s="505" t="s">
        <v>221</v>
      </c>
      <c r="E4" s="508"/>
      <c r="F4" s="508"/>
      <c r="G4" s="509"/>
      <c r="H4" s="510"/>
      <c r="I4" s="510"/>
      <c r="J4" s="510"/>
      <c r="K4" s="510"/>
      <c r="L4" s="510"/>
    </row>
    <row r="5" s="3" customFormat="1" ht="17" customHeight="1" spans="1:12">
      <c r="A5" s="511" t="s">
        <v>1</v>
      </c>
      <c r="B5" s="511" t="s">
        <v>222</v>
      </c>
      <c r="C5" s="262"/>
      <c r="D5" s="262"/>
      <c r="E5" s="262"/>
      <c r="F5" s="511" t="s">
        <v>223</v>
      </c>
      <c r="G5" s="262"/>
      <c r="H5" s="262"/>
      <c r="I5" s="262"/>
      <c r="J5" s="511" t="s">
        <v>224</v>
      </c>
      <c r="K5" s="262"/>
      <c r="L5" s="262"/>
    </row>
    <row r="6" s="3" customFormat="1" ht="28" customHeight="1" spans="1:12">
      <c r="A6" s="262"/>
      <c r="B6" s="511" t="s">
        <v>225</v>
      </c>
      <c r="C6" s="512" t="s">
        <v>226</v>
      </c>
      <c r="D6" s="512" t="s">
        <v>227</v>
      </c>
      <c r="E6" s="511" t="s">
        <v>228</v>
      </c>
      <c r="F6" s="511" t="s">
        <v>225</v>
      </c>
      <c r="G6" s="512" t="s">
        <v>229</v>
      </c>
      <c r="H6" s="512" t="s">
        <v>230</v>
      </c>
      <c r="I6" s="511" t="s">
        <v>228</v>
      </c>
      <c r="J6" s="512" t="s">
        <v>229</v>
      </c>
      <c r="K6" s="512" t="s">
        <v>230</v>
      </c>
      <c r="L6" s="511" t="s">
        <v>231</v>
      </c>
    </row>
    <row r="7" s="3" customFormat="1" ht="11.4" spans="1:12">
      <c r="A7" s="262" t="s">
        <v>232</v>
      </c>
      <c r="B7" s="513"/>
      <c r="C7" s="513"/>
      <c r="D7" s="513"/>
      <c r="E7" s="514">
        <f t="shared" ref="E7:E19" si="0">ROUND(B7+C7-D7,2)</f>
        <v>0</v>
      </c>
      <c r="F7" s="513"/>
      <c r="G7" s="513"/>
      <c r="H7" s="513"/>
      <c r="I7" s="514">
        <f t="shared" ref="I7:I19" si="1">ROUND(F7+G7-H7,2)</f>
        <v>0</v>
      </c>
      <c r="J7" s="514">
        <f t="shared" ref="J7:J18" si="2">C7-G7</f>
        <v>0</v>
      </c>
      <c r="K7" s="514">
        <f t="shared" ref="K7:K18" si="3">D7-H7</f>
        <v>0</v>
      </c>
      <c r="L7" s="515"/>
    </row>
    <row r="8" s="3" customFormat="1" ht="11.4" spans="1:12">
      <c r="A8" s="262" t="s">
        <v>233</v>
      </c>
      <c r="B8" s="514">
        <f t="shared" ref="B8:B18" si="4">E7</f>
        <v>0</v>
      </c>
      <c r="C8" s="513"/>
      <c r="D8" s="513"/>
      <c r="E8" s="514">
        <f t="shared" si="0"/>
        <v>0</v>
      </c>
      <c r="F8" s="514">
        <f t="shared" ref="F8:F18" si="5">I7</f>
        <v>0</v>
      </c>
      <c r="G8" s="513"/>
      <c r="H8" s="513"/>
      <c r="I8" s="514">
        <f t="shared" si="1"/>
        <v>0</v>
      </c>
      <c r="J8" s="514">
        <f t="shared" si="2"/>
        <v>0</v>
      </c>
      <c r="K8" s="514">
        <f t="shared" si="3"/>
        <v>0</v>
      </c>
      <c r="L8" s="515"/>
    </row>
    <row r="9" s="3" customFormat="1" ht="11.4" spans="1:12">
      <c r="A9" s="262" t="s">
        <v>234</v>
      </c>
      <c r="B9" s="514">
        <f t="shared" si="4"/>
        <v>0</v>
      </c>
      <c r="C9" s="513"/>
      <c r="D9" s="513"/>
      <c r="E9" s="514">
        <f t="shared" si="0"/>
        <v>0</v>
      </c>
      <c r="F9" s="514">
        <f t="shared" si="5"/>
        <v>0</v>
      </c>
      <c r="G9" s="513"/>
      <c r="H9" s="513"/>
      <c r="I9" s="514">
        <f t="shared" si="1"/>
        <v>0</v>
      </c>
      <c r="J9" s="514">
        <f t="shared" si="2"/>
        <v>0</v>
      </c>
      <c r="K9" s="514">
        <f t="shared" si="3"/>
        <v>0</v>
      </c>
      <c r="L9" s="515"/>
    </row>
    <row r="10" s="3" customFormat="1" ht="11.4" spans="1:12">
      <c r="A10" s="262" t="s">
        <v>235</v>
      </c>
      <c r="B10" s="514">
        <f t="shared" si="4"/>
        <v>0</v>
      </c>
      <c r="C10" s="513"/>
      <c r="D10" s="513"/>
      <c r="E10" s="514">
        <f t="shared" si="0"/>
        <v>0</v>
      </c>
      <c r="F10" s="514">
        <f t="shared" si="5"/>
        <v>0</v>
      </c>
      <c r="G10" s="513"/>
      <c r="H10" s="513"/>
      <c r="I10" s="514">
        <f t="shared" si="1"/>
        <v>0</v>
      </c>
      <c r="J10" s="514">
        <f t="shared" si="2"/>
        <v>0</v>
      </c>
      <c r="K10" s="514">
        <f t="shared" si="3"/>
        <v>0</v>
      </c>
      <c r="L10" s="515"/>
    </row>
    <row r="11" s="3" customFormat="1" ht="11.4" spans="1:12">
      <c r="A11" s="262" t="s">
        <v>236</v>
      </c>
      <c r="B11" s="514">
        <f t="shared" si="4"/>
        <v>0</v>
      </c>
      <c r="C11" s="516"/>
      <c r="D11" s="513"/>
      <c r="E11" s="514">
        <f t="shared" si="0"/>
        <v>0</v>
      </c>
      <c r="F11" s="514">
        <f t="shared" si="5"/>
        <v>0</v>
      </c>
      <c r="G11" s="516"/>
      <c r="H11" s="513"/>
      <c r="I11" s="514">
        <f t="shared" si="1"/>
        <v>0</v>
      </c>
      <c r="J11" s="514">
        <f t="shared" si="2"/>
        <v>0</v>
      </c>
      <c r="K11" s="514">
        <f t="shared" si="3"/>
        <v>0</v>
      </c>
      <c r="L11" s="515"/>
    </row>
    <row r="12" s="3" customFormat="1" ht="11.4" spans="1:12">
      <c r="A12" s="262" t="s">
        <v>237</v>
      </c>
      <c r="B12" s="514">
        <f t="shared" si="4"/>
        <v>0</v>
      </c>
      <c r="C12" s="513"/>
      <c r="D12" s="513"/>
      <c r="E12" s="514">
        <f t="shared" si="0"/>
        <v>0</v>
      </c>
      <c r="F12" s="514">
        <f t="shared" si="5"/>
        <v>0</v>
      </c>
      <c r="G12" s="513"/>
      <c r="H12" s="513"/>
      <c r="I12" s="514">
        <f t="shared" si="1"/>
        <v>0</v>
      </c>
      <c r="J12" s="514">
        <f t="shared" si="2"/>
        <v>0</v>
      </c>
      <c r="K12" s="514">
        <f t="shared" si="3"/>
        <v>0</v>
      </c>
      <c r="L12" s="515"/>
    </row>
    <row r="13" s="3" customFormat="1" ht="11.4" spans="1:12">
      <c r="A13" s="262" t="s">
        <v>238</v>
      </c>
      <c r="B13" s="514">
        <f t="shared" si="4"/>
        <v>0</v>
      </c>
      <c r="C13" s="513"/>
      <c r="D13" s="513"/>
      <c r="E13" s="514">
        <f t="shared" si="0"/>
        <v>0</v>
      </c>
      <c r="F13" s="514">
        <f t="shared" si="5"/>
        <v>0</v>
      </c>
      <c r="G13" s="513"/>
      <c r="H13" s="513"/>
      <c r="I13" s="514">
        <f t="shared" si="1"/>
        <v>0</v>
      </c>
      <c r="J13" s="514">
        <f t="shared" si="2"/>
        <v>0</v>
      </c>
      <c r="K13" s="514">
        <f t="shared" si="3"/>
        <v>0</v>
      </c>
      <c r="L13" s="515"/>
    </row>
    <row r="14" s="3" customFormat="1" ht="11.4" spans="1:12">
      <c r="A14" s="262" t="s">
        <v>239</v>
      </c>
      <c r="B14" s="514">
        <f t="shared" si="4"/>
        <v>0</v>
      </c>
      <c r="C14" s="513"/>
      <c r="D14" s="513"/>
      <c r="E14" s="514">
        <f t="shared" si="0"/>
        <v>0</v>
      </c>
      <c r="F14" s="514">
        <f t="shared" si="5"/>
        <v>0</v>
      </c>
      <c r="G14" s="513"/>
      <c r="H14" s="513"/>
      <c r="I14" s="514">
        <f t="shared" si="1"/>
        <v>0</v>
      </c>
      <c r="J14" s="514">
        <f t="shared" si="2"/>
        <v>0</v>
      </c>
      <c r="K14" s="514">
        <f t="shared" si="3"/>
        <v>0</v>
      </c>
      <c r="L14" s="515"/>
    </row>
    <row r="15" s="3" customFormat="1" ht="11.4" spans="1:12">
      <c r="A15" s="262" t="s">
        <v>240</v>
      </c>
      <c r="B15" s="514">
        <f t="shared" si="4"/>
        <v>0</v>
      </c>
      <c r="C15" s="513"/>
      <c r="D15" s="513"/>
      <c r="E15" s="514">
        <f t="shared" si="0"/>
        <v>0</v>
      </c>
      <c r="F15" s="514">
        <f t="shared" si="5"/>
        <v>0</v>
      </c>
      <c r="G15" s="513"/>
      <c r="H15" s="513"/>
      <c r="I15" s="514">
        <f t="shared" si="1"/>
        <v>0</v>
      </c>
      <c r="J15" s="514">
        <f t="shared" si="2"/>
        <v>0</v>
      </c>
      <c r="K15" s="514">
        <f t="shared" si="3"/>
        <v>0</v>
      </c>
      <c r="L15" s="515"/>
    </row>
    <row r="16" s="3" customFormat="1" ht="11.4" spans="1:12">
      <c r="A16" s="262" t="s">
        <v>241</v>
      </c>
      <c r="B16" s="514">
        <f t="shared" si="4"/>
        <v>0</v>
      </c>
      <c r="C16" s="513"/>
      <c r="D16" s="513"/>
      <c r="E16" s="514">
        <f t="shared" si="0"/>
        <v>0</v>
      </c>
      <c r="F16" s="514">
        <f t="shared" si="5"/>
        <v>0</v>
      </c>
      <c r="G16" s="513"/>
      <c r="H16" s="513"/>
      <c r="I16" s="514">
        <f t="shared" si="1"/>
        <v>0</v>
      </c>
      <c r="J16" s="514">
        <f t="shared" si="2"/>
        <v>0</v>
      </c>
      <c r="K16" s="514">
        <f t="shared" si="3"/>
        <v>0</v>
      </c>
      <c r="L16" s="515"/>
    </row>
    <row r="17" s="3" customFormat="1" ht="11.4" spans="1:12">
      <c r="A17" s="262" t="s">
        <v>242</v>
      </c>
      <c r="B17" s="514">
        <f t="shared" si="4"/>
        <v>0</v>
      </c>
      <c r="C17" s="513"/>
      <c r="D17" s="513"/>
      <c r="E17" s="514">
        <f t="shared" si="0"/>
        <v>0</v>
      </c>
      <c r="F17" s="514">
        <f t="shared" si="5"/>
        <v>0</v>
      </c>
      <c r="G17" s="513"/>
      <c r="H17" s="513"/>
      <c r="I17" s="514">
        <f t="shared" si="1"/>
        <v>0</v>
      </c>
      <c r="J17" s="514">
        <f t="shared" si="2"/>
        <v>0</v>
      </c>
      <c r="K17" s="514">
        <f t="shared" si="3"/>
        <v>0</v>
      </c>
      <c r="L17" s="515"/>
    </row>
    <row r="18" s="3" customFormat="1" ht="11.4" spans="1:12">
      <c r="A18" s="262" t="s">
        <v>243</v>
      </c>
      <c r="B18" s="514">
        <f t="shared" si="4"/>
        <v>0</v>
      </c>
      <c r="C18" s="513"/>
      <c r="D18" s="513"/>
      <c r="E18" s="514">
        <f t="shared" si="0"/>
        <v>0</v>
      </c>
      <c r="F18" s="514">
        <f t="shared" si="5"/>
        <v>0</v>
      </c>
      <c r="G18" s="513"/>
      <c r="H18" s="513"/>
      <c r="I18" s="514">
        <f t="shared" si="1"/>
        <v>0</v>
      </c>
      <c r="J18" s="514">
        <f t="shared" si="2"/>
        <v>0</v>
      </c>
      <c r="K18" s="514">
        <f t="shared" si="3"/>
        <v>0</v>
      </c>
      <c r="L18" s="515"/>
    </row>
    <row r="19" s="3" customFormat="1" ht="11.4" spans="1:12">
      <c r="A19" s="511" t="s">
        <v>217</v>
      </c>
      <c r="B19" s="514">
        <f>B7</f>
        <v>0</v>
      </c>
      <c r="C19" s="514">
        <f t="shared" ref="C19:H19" si="6">SUM(C7:C18)</f>
        <v>0</v>
      </c>
      <c r="D19" s="514">
        <f t="shared" si="6"/>
        <v>0</v>
      </c>
      <c r="E19" s="514">
        <f t="shared" si="0"/>
        <v>0</v>
      </c>
      <c r="F19" s="514">
        <f>F7</f>
        <v>0</v>
      </c>
      <c r="G19" s="514">
        <f t="shared" si="6"/>
        <v>0</v>
      </c>
      <c r="H19" s="514">
        <f t="shared" si="6"/>
        <v>0</v>
      </c>
      <c r="I19" s="514">
        <f t="shared" si="1"/>
        <v>0</v>
      </c>
      <c r="J19" s="514">
        <f>SUM(J7:J18)</f>
        <v>0</v>
      </c>
      <c r="K19" s="514">
        <f>SUM(K7:K18)</f>
        <v>0</v>
      </c>
      <c r="L19" s="262"/>
    </row>
    <row r="20" s="3" customFormat="1" ht="17" customHeight="1" spans="1:12">
      <c r="A20" s="517" t="s">
        <v>224</v>
      </c>
      <c r="B20" s="518"/>
      <c r="C20" s="519"/>
      <c r="D20" s="519"/>
      <c r="E20" s="519"/>
      <c r="F20" s="519"/>
      <c r="G20" s="520">
        <f>C19-G19</f>
        <v>0</v>
      </c>
      <c r="H20" s="520">
        <f>D19-H19</f>
        <v>0</v>
      </c>
      <c r="I20" s="519"/>
      <c r="J20" s="519"/>
      <c r="K20" s="519"/>
      <c r="L20" s="519"/>
    </row>
  </sheetData>
  <mergeCells count="6">
    <mergeCell ref="A1:K1"/>
    <mergeCell ref="B4:C4"/>
    <mergeCell ref="E4:F4"/>
    <mergeCell ref="B5:E5"/>
    <mergeCell ref="F5:I5"/>
    <mergeCell ref="J5:L5"/>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0"/>
  <sheetViews>
    <sheetView workbookViewId="0">
      <selection activeCell="H21" sqref="H21"/>
    </sheetView>
  </sheetViews>
  <sheetFormatPr defaultColWidth="8.73148148148148" defaultRowHeight="14.4"/>
  <cols>
    <col min="2" max="2" width="12.6388888888889" customWidth="1"/>
    <col min="3" max="3" width="14.4537037037037" customWidth="1"/>
    <col min="4" max="4" width="16.5462962962963" customWidth="1"/>
    <col min="5" max="5" width="10.7314814814815"/>
    <col min="6" max="6" width="12.2685185185185"/>
    <col min="7" max="8" width="13.2685185185185"/>
    <col min="9" max="9" width="10.7314814814815"/>
    <col min="10" max="10" width="11.8148148148148" customWidth="1"/>
    <col min="11" max="11" width="12.0925925925926" customWidth="1"/>
    <col min="12" max="12" width="18.0925925925926" customWidth="1"/>
  </cols>
  <sheetData>
    <row r="1" customFormat="1" ht="21" customHeight="1" spans="1:12">
      <c r="A1" s="1" t="s">
        <v>219</v>
      </c>
      <c r="B1" s="1"/>
      <c r="C1" s="1"/>
      <c r="D1" s="1"/>
      <c r="E1" s="1"/>
      <c r="F1" s="1"/>
      <c r="G1" s="1"/>
      <c r="H1" s="1"/>
      <c r="I1" s="1"/>
      <c r="J1" s="1"/>
      <c r="K1" s="1"/>
    </row>
    <row r="2" s="4" customFormat="1" ht="14" customHeight="1" spans="1:12">
      <c r="A2" s="2" t="str">
        <f>备忘录!$A$1</f>
        <v>被审计单位：福禄福擎网络科技有限公司</v>
      </c>
      <c r="E2" s="4" t="s">
        <v>193</v>
      </c>
      <c r="H2" s="4" t="str">
        <f>备忘录!$C$2</f>
        <v>日期：2025/10/30</v>
      </c>
      <c r="I2" s="440"/>
    </row>
    <row r="3" s="4" customFormat="1" ht="14" customHeight="1" spans="1:12">
      <c r="A3" s="2" t="str">
        <f>备忘录!$A$2</f>
        <v>财务报表截止日：2025/9/30</v>
      </c>
      <c r="E3" s="4" t="s">
        <v>194</v>
      </c>
      <c r="H3" s="4" t="str">
        <f>备忘录!$C$3</f>
        <v>日期：2025/10/31</v>
      </c>
    </row>
    <row r="4" s="3" customFormat="1" ht="18" customHeight="1" spans="1:12">
      <c r="A4" s="505" t="s">
        <v>220</v>
      </c>
      <c r="B4" s="506"/>
      <c r="C4" s="507"/>
      <c r="D4" s="505" t="s">
        <v>221</v>
      </c>
      <c r="E4" s="508"/>
      <c r="F4" s="508"/>
      <c r="G4" s="509"/>
      <c r="H4" s="510"/>
      <c r="I4" s="510"/>
      <c r="J4" s="510"/>
      <c r="K4" s="510"/>
      <c r="L4" s="510"/>
    </row>
    <row r="5" s="3" customFormat="1" ht="16" customHeight="1" spans="1:12">
      <c r="A5" s="511" t="s">
        <v>1</v>
      </c>
      <c r="B5" s="511" t="s">
        <v>222</v>
      </c>
      <c r="C5" s="262"/>
      <c r="D5" s="262"/>
      <c r="E5" s="262"/>
      <c r="F5" s="511" t="s">
        <v>223</v>
      </c>
      <c r="G5" s="262"/>
      <c r="H5" s="262"/>
      <c r="I5" s="262"/>
      <c r="J5" s="511" t="s">
        <v>224</v>
      </c>
      <c r="K5" s="262"/>
      <c r="L5" s="262"/>
    </row>
    <row r="6" s="3" customFormat="1" ht="25" customHeight="1" spans="1:12">
      <c r="A6" s="262"/>
      <c r="B6" s="511" t="s">
        <v>225</v>
      </c>
      <c r="C6" s="512" t="s">
        <v>226</v>
      </c>
      <c r="D6" s="512" t="s">
        <v>227</v>
      </c>
      <c r="E6" s="511" t="s">
        <v>228</v>
      </c>
      <c r="F6" s="511" t="s">
        <v>225</v>
      </c>
      <c r="G6" s="512" t="s">
        <v>229</v>
      </c>
      <c r="H6" s="512" t="s">
        <v>230</v>
      </c>
      <c r="I6" s="511" t="s">
        <v>228</v>
      </c>
      <c r="J6" s="512" t="s">
        <v>229</v>
      </c>
      <c r="K6" s="512" t="s">
        <v>230</v>
      </c>
      <c r="L6" s="511" t="s">
        <v>231</v>
      </c>
    </row>
    <row r="7" s="3" customFormat="1" ht="11.4" spans="1:12">
      <c r="A7" s="262" t="s">
        <v>232</v>
      </c>
      <c r="B7" s="513"/>
      <c r="C7" s="513"/>
      <c r="D7" s="513"/>
      <c r="E7" s="514">
        <f t="shared" ref="E7:E19" si="0">ROUND(B7+C7-D7,2)</f>
        <v>0</v>
      </c>
      <c r="F7" s="513"/>
      <c r="G7" s="513"/>
      <c r="H7" s="513"/>
      <c r="I7" s="514">
        <f t="shared" ref="I7:I19" si="1">ROUND(F7+G7-H7,2)</f>
        <v>0</v>
      </c>
      <c r="J7" s="514">
        <f t="shared" ref="J7:J18" si="2">C7-G7</f>
        <v>0</v>
      </c>
      <c r="K7" s="514">
        <f t="shared" ref="K7:K18" si="3">D7-H7</f>
        <v>0</v>
      </c>
      <c r="L7" s="515"/>
    </row>
    <row r="8" s="3" customFormat="1" ht="11.4" spans="1:12">
      <c r="A8" s="262" t="s">
        <v>233</v>
      </c>
      <c r="B8" s="514">
        <f t="shared" ref="B8:B18" si="4">E7</f>
        <v>0</v>
      </c>
      <c r="C8" s="513"/>
      <c r="D8" s="513"/>
      <c r="E8" s="514">
        <f t="shared" si="0"/>
        <v>0</v>
      </c>
      <c r="F8" s="514">
        <f t="shared" ref="F8:F18" si="5">I7</f>
        <v>0</v>
      </c>
      <c r="G8" s="513"/>
      <c r="H8" s="513"/>
      <c r="I8" s="514">
        <f t="shared" si="1"/>
        <v>0</v>
      </c>
      <c r="J8" s="514">
        <f t="shared" si="2"/>
        <v>0</v>
      </c>
      <c r="K8" s="514">
        <f t="shared" si="3"/>
        <v>0</v>
      </c>
      <c r="L8" s="515"/>
    </row>
    <row r="9" s="3" customFormat="1" ht="11.4" spans="1:12">
      <c r="A9" s="262" t="s">
        <v>234</v>
      </c>
      <c r="B9" s="514">
        <f t="shared" si="4"/>
        <v>0</v>
      </c>
      <c r="C9" s="513"/>
      <c r="D9" s="513"/>
      <c r="E9" s="514">
        <f t="shared" si="0"/>
        <v>0</v>
      </c>
      <c r="F9" s="514">
        <f t="shared" si="5"/>
        <v>0</v>
      </c>
      <c r="G9" s="513"/>
      <c r="H9" s="513"/>
      <c r="I9" s="514">
        <f t="shared" si="1"/>
        <v>0</v>
      </c>
      <c r="J9" s="514">
        <f t="shared" si="2"/>
        <v>0</v>
      </c>
      <c r="K9" s="514">
        <f t="shared" si="3"/>
        <v>0</v>
      </c>
      <c r="L9" s="515"/>
    </row>
    <row r="10" s="3" customFormat="1" ht="11.4" spans="1:12">
      <c r="A10" s="262" t="s">
        <v>235</v>
      </c>
      <c r="B10" s="514">
        <f t="shared" si="4"/>
        <v>0</v>
      </c>
      <c r="C10" s="513"/>
      <c r="D10" s="513"/>
      <c r="E10" s="514">
        <f t="shared" si="0"/>
        <v>0</v>
      </c>
      <c r="F10" s="514">
        <f t="shared" si="5"/>
        <v>0</v>
      </c>
      <c r="G10" s="513"/>
      <c r="H10" s="513"/>
      <c r="I10" s="514">
        <f t="shared" si="1"/>
        <v>0</v>
      </c>
      <c r="J10" s="514">
        <f t="shared" si="2"/>
        <v>0</v>
      </c>
      <c r="K10" s="514">
        <f t="shared" si="3"/>
        <v>0</v>
      </c>
      <c r="L10" s="515"/>
    </row>
    <row r="11" s="3" customFormat="1" ht="11.4" spans="1:12">
      <c r="A11" s="262" t="s">
        <v>236</v>
      </c>
      <c r="B11" s="514">
        <f t="shared" si="4"/>
        <v>0</v>
      </c>
      <c r="C11" s="516"/>
      <c r="D11" s="513"/>
      <c r="E11" s="514">
        <f t="shared" si="0"/>
        <v>0</v>
      </c>
      <c r="F11" s="514">
        <f t="shared" si="5"/>
        <v>0</v>
      </c>
      <c r="G11" s="516"/>
      <c r="H11" s="513"/>
      <c r="I11" s="514">
        <f t="shared" si="1"/>
        <v>0</v>
      </c>
      <c r="J11" s="514">
        <f t="shared" si="2"/>
        <v>0</v>
      </c>
      <c r="K11" s="514">
        <f t="shared" si="3"/>
        <v>0</v>
      </c>
      <c r="L11" s="515"/>
    </row>
    <row r="12" s="3" customFormat="1" ht="11.4" spans="1:12">
      <c r="A12" s="262" t="s">
        <v>237</v>
      </c>
      <c r="B12" s="514">
        <f t="shared" si="4"/>
        <v>0</v>
      </c>
      <c r="C12" s="513"/>
      <c r="D12" s="513"/>
      <c r="E12" s="514">
        <f t="shared" si="0"/>
        <v>0</v>
      </c>
      <c r="F12" s="514">
        <f t="shared" si="5"/>
        <v>0</v>
      </c>
      <c r="G12" s="513"/>
      <c r="H12" s="513"/>
      <c r="I12" s="514">
        <f t="shared" si="1"/>
        <v>0</v>
      </c>
      <c r="J12" s="514">
        <f t="shared" si="2"/>
        <v>0</v>
      </c>
      <c r="K12" s="514">
        <f t="shared" si="3"/>
        <v>0</v>
      </c>
      <c r="L12" s="515"/>
    </row>
    <row r="13" s="3" customFormat="1" ht="11.4" spans="1:12">
      <c r="A13" s="262" t="s">
        <v>238</v>
      </c>
      <c r="B13" s="514">
        <f t="shared" si="4"/>
        <v>0</v>
      </c>
      <c r="C13" s="513"/>
      <c r="D13" s="513"/>
      <c r="E13" s="514">
        <f t="shared" si="0"/>
        <v>0</v>
      </c>
      <c r="F13" s="514">
        <f t="shared" si="5"/>
        <v>0</v>
      </c>
      <c r="G13" s="513"/>
      <c r="H13" s="513"/>
      <c r="I13" s="514">
        <f t="shared" si="1"/>
        <v>0</v>
      </c>
      <c r="J13" s="514">
        <f t="shared" si="2"/>
        <v>0</v>
      </c>
      <c r="K13" s="514">
        <f t="shared" si="3"/>
        <v>0</v>
      </c>
      <c r="L13" s="515"/>
    </row>
    <row r="14" s="3" customFormat="1" ht="11.4" spans="1:12">
      <c r="A14" s="262" t="s">
        <v>239</v>
      </c>
      <c r="B14" s="514">
        <f t="shared" si="4"/>
        <v>0</v>
      </c>
      <c r="C14" s="513"/>
      <c r="D14" s="513"/>
      <c r="E14" s="514">
        <f t="shared" si="0"/>
        <v>0</v>
      </c>
      <c r="F14" s="514">
        <f t="shared" si="5"/>
        <v>0</v>
      </c>
      <c r="G14" s="513"/>
      <c r="H14" s="513"/>
      <c r="I14" s="514">
        <f t="shared" si="1"/>
        <v>0</v>
      </c>
      <c r="J14" s="514">
        <f t="shared" si="2"/>
        <v>0</v>
      </c>
      <c r="K14" s="514">
        <f t="shared" si="3"/>
        <v>0</v>
      </c>
      <c r="L14" s="515"/>
    </row>
    <row r="15" s="3" customFormat="1" ht="11.4" spans="1:12">
      <c r="A15" s="262" t="s">
        <v>240</v>
      </c>
      <c r="B15" s="514">
        <f t="shared" si="4"/>
        <v>0</v>
      </c>
      <c r="C15" s="513"/>
      <c r="D15" s="513"/>
      <c r="E15" s="514">
        <f t="shared" si="0"/>
        <v>0</v>
      </c>
      <c r="F15" s="514">
        <f t="shared" si="5"/>
        <v>0</v>
      </c>
      <c r="G15" s="513"/>
      <c r="H15" s="513"/>
      <c r="I15" s="514">
        <f t="shared" si="1"/>
        <v>0</v>
      </c>
      <c r="J15" s="514">
        <f t="shared" si="2"/>
        <v>0</v>
      </c>
      <c r="K15" s="514">
        <f t="shared" si="3"/>
        <v>0</v>
      </c>
      <c r="L15" s="515"/>
    </row>
    <row r="16" s="3" customFormat="1" ht="11.4" spans="1:12">
      <c r="A16" s="262" t="s">
        <v>241</v>
      </c>
      <c r="B16" s="514">
        <f t="shared" si="4"/>
        <v>0</v>
      </c>
      <c r="C16" s="513"/>
      <c r="D16" s="513"/>
      <c r="E16" s="514">
        <f t="shared" si="0"/>
        <v>0</v>
      </c>
      <c r="F16" s="514">
        <f t="shared" si="5"/>
        <v>0</v>
      </c>
      <c r="G16" s="513"/>
      <c r="H16" s="513"/>
      <c r="I16" s="514">
        <f t="shared" si="1"/>
        <v>0</v>
      </c>
      <c r="J16" s="514">
        <f t="shared" si="2"/>
        <v>0</v>
      </c>
      <c r="K16" s="514">
        <f t="shared" si="3"/>
        <v>0</v>
      </c>
      <c r="L16" s="515"/>
    </row>
    <row r="17" s="3" customFormat="1" ht="11.4" spans="1:12">
      <c r="A17" s="262" t="s">
        <v>242</v>
      </c>
      <c r="B17" s="514">
        <f t="shared" si="4"/>
        <v>0</v>
      </c>
      <c r="C17" s="513"/>
      <c r="D17" s="513"/>
      <c r="E17" s="514">
        <f t="shared" si="0"/>
        <v>0</v>
      </c>
      <c r="F17" s="514">
        <f t="shared" si="5"/>
        <v>0</v>
      </c>
      <c r="G17" s="513"/>
      <c r="H17" s="513"/>
      <c r="I17" s="514">
        <f t="shared" si="1"/>
        <v>0</v>
      </c>
      <c r="J17" s="514">
        <f t="shared" si="2"/>
        <v>0</v>
      </c>
      <c r="K17" s="514">
        <f t="shared" si="3"/>
        <v>0</v>
      </c>
      <c r="L17" s="515"/>
    </row>
    <row r="18" s="3" customFormat="1" ht="11.4" spans="1:12">
      <c r="A18" s="262" t="s">
        <v>243</v>
      </c>
      <c r="B18" s="514">
        <f t="shared" si="4"/>
        <v>0</v>
      </c>
      <c r="C18" s="513"/>
      <c r="D18" s="513"/>
      <c r="E18" s="514">
        <f t="shared" si="0"/>
        <v>0</v>
      </c>
      <c r="F18" s="514">
        <f t="shared" si="5"/>
        <v>0</v>
      </c>
      <c r="G18" s="513"/>
      <c r="H18" s="513"/>
      <c r="I18" s="514">
        <f t="shared" si="1"/>
        <v>0</v>
      </c>
      <c r="J18" s="514">
        <f t="shared" si="2"/>
        <v>0</v>
      </c>
      <c r="K18" s="514">
        <f t="shared" si="3"/>
        <v>0</v>
      </c>
      <c r="L18" s="515"/>
    </row>
    <row r="19" s="3" customFormat="1" ht="11.4" spans="1:12">
      <c r="A19" s="511" t="s">
        <v>217</v>
      </c>
      <c r="B19" s="514">
        <f>B7</f>
        <v>0</v>
      </c>
      <c r="C19" s="514">
        <f t="shared" ref="C19:H19" si="6">SUM(C7:C18)</f>
        <v>0</v>
      </c>
      <c r="D19" s="514">
        <f t="shared" si="6"/>
        <v>0</v>
      </c>
      <c r="E19" s="514">
        <f t="shared" si="0"/>
        <v>0</v>
      </c>
      <c r="F19" s="514">
        <f>F7</f>
        <v>0</v>
      </c>
      <c r="G19" s="514">
        <f t="shared" si="6"/>
        <v>0</v>
      </c>
      <c r="H19" s="514">
        <f t="shared" si="6"/>
        <v>0</v>
      </c>
      <c r="I19" s="514">
        <f t="shared" si="1"/>
        <v>0</v>
      </c>
      <c r="J19" s="514">
        <f>SUM(J7:J18)</f>
        <v>0</v>
      </c>
      <c r="K19" s="514">
        <f>SUM(K7:K18)</f>
        <v>0</v>
      </c>
      <c r="L19" s="262"/>
    </row>
    <row r="20" s="3" customFormat="1" ht="17" customHeight="1" spans="1:12">
      <c r="A20" s="517" t="s">
        <v>224</v>
      </c>
      <c r="B20" s="518"/>
      <c r="C20" s="519"/>
      <c r="D20" s="519"/>
      <c r="E20" s="519"/>
      <c r="F20" s="519"/>
      <c r="G20" s="520">
        <f>C19-G19</f>
        <v>0</v>
      </c>
      <c r="H20" s="520">
        <f>D19-H19</f>
        <v>0</v>
      </c>
      <c r="I20" s="519"/>
      <c r="J20" s="519"/>
      <c r="K20" s="519"/>
      <c r="L20" s="519"/>
    </row>
  </sheetData>
  <mergeCells count="6">
    <mergeCell ref="A1:K1"/>
    <mergeCell ref="B4:C4"/>
    <mergeCell ref="E4:F4"/>
    <mergeCell ref="B5:E5"/>
    <mergeCell ref="F5:I5"/>
    <mergeCell ref="J5:L5"/>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8"/>
  <sheetViews>
    <sheetView zoomScale="90" zoomScaleNormal="90" workbookViewId="0">
      <pane ySplit="5" topLeftCell="A6" activePane="bottomLeft" state="frozen"/>
      <selection/>
      <selection pane="bottomLeft" activeCell="G4" sqref="G4:L15"/>
    </sheetView>
  </sheetViews>
  <sheetFormatPr defaultColWidth="8.73148148148148" defaultRowHeight="14.4"/>
  <cols>
    <col min="2" max="2" width="19.6944444444444" customWidth="1"/>
    <col min="3" max="3" width="14.8148148148148" customWidth="1"/>
    <col min="4" max="4" width="9.99074074074074" customWidth="1"/>
    <col min="5" max="5" width="10.6018518518519" customWidth="1"/>
    <col min="6" max="6" width="9.28703703703704" customWidth="1"/>
    <col min="7" max="7" width="13.2314814814815" customWidth="1"/>
    <col min="8" max="8" width="12.6296296296296" customWidth="1"/>
    <col min="9" max="9" width="12.7314814814815" customWidth="1"/>
    <col min="10" max="10" width="12.212962962963" customWidth="1"/>
    <col min="11" max="11" width="10.3981481481481" customWidth="1"/>
    <col min="13" max="13" width="13.4259259259259" customWidth="1"/>
  </cols>
  <sheetData>
    <row r="1" ht="26" customHeight="1" spans="1:14">
      <c r="A1" s="1" t="s">
        <v>244</v>
      </c>
      <c r="B1" s="1"/>
      <c r="C1" s="1"/>
      <c r="D1" s="1"/>
      <c r="E1" s="1"/>
      <c r="F1" s="1"/>
      <c r="G1" s="1"/>
      <c r="H1" s="1"/>
      <c r="I1" s="1"/>
      <c r="J1" s="1"/>
      <c r="K1" s="1"/>
      <c r="L1" s="1"/>
      <c r="M1" s="1"/>
      <c r="N1" s="1"/>
    </row>
    <row r="2" ht="17" customHeight="1" spans="1:14">
      <c r="A2" s="2" t="str">
        <f>备忘录!$A$1</f>
        <v>被审计单位：福禄福擎网络科技有限公司</v>
      </c>
      <c r="B2" s="4"/>
      <c r="C2" s="4"/>
      <c r="D2" s="4"/>
      <c r="E2" s="4" t="s">
        <v>193</v>
      </c>
      <c r="F2" s="4"/>
      <c r="G2" s="4"/>
      <c r="H2" s="4" t="str">
        <f>备忘录!$C$2</f>
        <v>日期：2025/10/30</v>
      </c>
      <c r="I2" s="440"/>
      <c r="J2" s="4"/>
      <c r="K2" s="4"/>
    </row>
    <row r="3" ht="17" customHeight="1" spans="1:14">
      <c r="A3" s="2" t="str">
        <f>备忘录!$A$2</f>
        <v>财务报表截止日：2025/9/30</v>
      </c>
      <c r="B3" s="4"/>
      <c r="C3" s="4"/>
      <c r="D3" s="4"/>
      <c r="E3" s="4" t="s">
        <v>194</v>
      </c>
      <c r="F3" s="4"/>
      <c r="G3" s="4"/>
      <c r="H3" s="4" t="str">
        <f>备忘录!$C$3</f>
        <v>日期：2025/10/31</v>
      </c>
      <c r="I3" s="4"/>
      <c r="J3" s="4"/>
      <c r="K3" s="4"/>
    </row>
    <row r="4" ht="18" customHeight="1" spans="1:14">
      <c r="A4" s="472" t="s">
        <v>245</v>
      </c>
      <c r="B4" s="473" t="s">
        <v>246</v>
      </c>
      <c r="C4" s="474"/>
      <c r="D4" s="474"/>
      <c r="E4" s="474"/>
      <c r="F4" s="474"/>
      <c r="G4" s="475" t="s">
        <v>247</v>
      </c>
      <c r="H4" s="476"/>
      <c r="I4" s="476"/>
      <c r="J4" s="476"/>
      <c r="K4" s="476"/>
      <c r="L4" s="476"/>
      <c r="M4" s="477" t="s">
        <v>248</v>
      </c>
      <c r="N4" s="472" t="s">
        <v>249</v>
      </c>
    </row>
    <row r="5" ht="24" spans="1:14">
      <c r="A5" s="472"/>
      <c r="B5" s="472" t="s">
        <v>250</v>
      </c>
      <c r="C5" s="472" t="s">
        <v>251</v>
      </c>
      <c r="D5" s="478" t="s">
        <v>252</v>
      </c>
      <c r="E5" s="478" t="s">
        <v>209</v>
      </c>
      <c r="F5" s="478" t="s">
        <v>253</v>
      </c>
      <c r="G5" s="479" t="s">
        <v>254</v>
      </c>
      <c r="H5" s="479" t="s">
        <v>255</v>
      </c>
      <c r="I5" s="479" t="s">
        <v>256</v>
      </c>
      <c r="J5" s="479" t="s">
        <v>257</v>
      </c>
      <c r="K5" s="479" t="s">
        <v>258</v>
      </c>
      <c r="L5" s="479" t="s">
        <v>259</v>
      </c>
      <c r="M5" s="480"/>
      <c r="N5" s="472"/>
    </row>
    <row r="6" ht="18" customHeight="1" spans="1:14">
      <c r="A6" s="481" t="s">
        <v>260</v>
      </c>
      <c r="B6" s="482"/>
      <c r="C6" s="483"/>
      <c r="D6" s="482"/>
      <c r="E6" s="482"/>
      <c r="F6" s="482"/>
      <c r="G6" s="482"/>
      <c r="H6" s="482"/>
      <c r="I6" s="482"/>
      <c r="J6" s="482"/>
      <c r="K6" s="484" t="s">
        <v>261</v>
      </c>
      <c r="L6" s="484" t="s">
        <v>261</v>
      </c>
      <c r="M6" s="482"/>
      <c r="N6" s="482"/>
    </row>
    <row r="7" spans="1:14">
      <c r="A7" s="130">
        <v>1</v>
      </c>
      <c r="B7" s="485">
        <f>货币资金!B9</f>
        <v>0</v>
      </c>
      <c r="C7" s="485">
        <f>货币资金!C9</f>
        <v>0</v>
      </c>
      <c r="D7" s="50"/>
      <c r="E7" s="50"/>
      <c r="F7" s="50"/>
      <c r="G7" s="486"/>
      <c r="H7" s="486"/>
      <c r="I7" s="486"/>
      <c r="J7" s="486"/>
      <c r="K7" s="50"/>
      <c r="L7" s="50"/>
      <c r="M7" s="50"/>
      <c r="N7" s="50"/>
    </row>
    <row r="8" spans="1:14">
      <c r="A8" s="130">
        <v>2</v>
      </c>
      <c r="B8" s="485">
        <f>货币资金!B10</f>
        <v>0</v>
      </c>
      <c r="C8" s="485">
        <f>货币资金!C10</f>
        <v>0</v>
      </c>
      <c r="D8" s="50"/>
      <c r="E8" s="50"/>
      <c r="F8" s="50"/>
      <c r="G8" s="486"/>
      <c r="H8" s="486"/>
      <c r="I8" s="486"/>
      <c r="J8" s="486"/>
      <c r="K8" s="50"/>
      <c r="L8" s="50"/>
      <c r="M8" s="50"/>
      <c r="N8" s="50"/>
    </row>
    <row r="9" spans="1:14">
      <c r="A9" s="130">
        <v>3</v>
      </c>
      <c r="B9" s="485">
        <f>货币资金!B11</f>
        <v>0</v>
      </c>
      <c r="C9" s="485">
        <f>货币资金!C11</f>
        <v>0</v>
      </c>
      <c r="D9" s="50"/>
      <c r="E9" s="50"/>
      <c r="F9" s="50"/>
      <c r="G9" s="486"/>
      <c r="H9" s="486"/>
      <c r="I9" s="486"/>
      <c r="J9" s="486"/>
      <c r="K9" s="50"/>
      <c r="L9" s="50"/>
      <c r="M9" s="50"/>
      <c r="N9" s="50"/>
    </row>
    <row r="10" spans="1:14">
      <c r="A10" s="130">
        <v>4</v>
      </c>
      <c r="B10" s="485">
        <f>货币资金!B12</f>
        <v>0</v>
      </c>
      <c r="C10" s="485">
        <f>货币资金!C12</f>
        <v>0</v>
      </c>
      <c r="D10" s="50"/>
      <c r="E10" s="50"/>
      <c r="F10" s="50"/>
      <c r="G10" s="486"/>
      <c r="H10" s="486"/>
      <c r="I10" s="486"/>
      <c r="J10" s="486"/>
      <c r="K10" s="50"/>
      <c r="L10" s="50"/>
      <c r="M10" s="50"/>
      <c r="N10" s="50"/>
    </row>
    <row r="11" spans="1:14">
      <c r="A11" s="130">
        <v>5</v>
      </c>
      <c r="B11" s="485">
        <f>货币资金!B13</f>
        <v>0</v>
      </c>
      <c r="C11" s="485">
        <f>货币资金!C13</f>
        <v>0</v>
      </c>
      <c r="D11" s="50"/>
      <c r="E11" s="50"/>
      <c r="F11" s="50"/>
      <c r="G11" s="486"/>
      <c r="H11" s="486"/>
      <c r="I11" s="486"/>
      <c r="J11" s="486"/>
      <c r="K11" s="50"/>
      <c r="L11" s="50"/>
      <c r="M11" s="50"/>
      <c r="N11" s="50"/>
    </row>
    <row r="12" spans="1:14">
      <c r="A12" s="130">
        <v>6</v>
      </c>
      <c r="B12" s="485">
        <f>货币资金!B14</f>
        <v>0</v>
      </c>
      <c r="C12" s="485">
        <f>货币资金!C14</f>
        <v>0</v>
      </c>
      <c r="D12" s="50"/>
      <c r="E12" s="50"/>
      <c r="F12" s="50"/>
      <c r="G12" s="486"/>
      <c r="H12" s="486"/>
      <c r="I12" s="486"/>
      <c r="J12" s="486"/>
      <c r="K12" s="50"/>
      <c r="L12" s="50"/>
      <c r="M12" s="50"/>
      <c r="N12" s="50"/>
    </row>
    <row r="13" spans="1:14">
      <c r="A13" s="130">
        <v>7</v>
      </c>
      <c r="B13" s="485">
        <f>货币资金!B15</f>
        <v>0</v>
      </c>
      <c r="C13" s="485">
        <f>货币资金!C15</f>
        <v>0</v>
      </c>
      <c r="D13" s="50"/>
      <c r="E13" s="50"/>
      <c r="F13" s="50"/>
      <c r="G13" s="486"/>
      <c r="H13" s="486"/>
      <c r="I13" s="486"/>
      <c r="J13" s="486"/>
      <c r="K13" s="50"/>
      <c r="L13" s="50"/>
      <c r="M13" s="50"/>
      <c r="N13" s="50"/>
    </row>
    <row r="14" spans="1:14">
      <c r="A14" s="130">
        <v>8</v>
      </c>
      <c r="B14" s="485">
        <f>货币资金!B16</f>
        <v>0</v>
      </c>
      <c r="C14" s="485">
        <f>货币资金!C16</f>
        <v>0</v>
      </c>
      <c r="D14" s="50"/>
      <c r="E14" s="50"/>
      <c r="F14" s="50"/>
      <c r="G14" s="486"/>
      <c r="H14" s="486"/>
      <c r="I14" s="486"/>
      <c r="J14" s="486"/>
      <c r="K14" s="50"/>
      <c r="L14" s="50"/>
      <c r="M14" s="50"/>
      <c r="N14" s="50"/>
    </row>
    <row r="15" spans="1:14">
      <c r="A15" s="130">
        <v>9</v>
      </c>
      <c r="B15" s="485">
        <f>货币资金!B17</f>
        <v>0</v>
      </c>
      <c r="C15" s="485">
        <f>货币资金!C17</f>
        <v>0</v>
      </c>
      <c r="D15" s="50"/>
      <c r="E15" s="50"/>
      <c r="F15" s="50"/>
      <c r="G15" s="486"/>
      <c r="H15" s="486"/>
      <c r="I15" s="486"/>
      <c r="J15" s="486"/>
      <c r="K15" s="50"/>
      <c r="L15" s="50"/>
      <c r="M15" s="50"/>
      <c r="N15" s="50"/>
    </row>
    <row r="16" ht="16" customHeight="1" spans="1:14">
      <c r="A16" s="481" t="s">
        <v>262</v>
      </c>
      <c r="B16" s="482"/>
      <c r="C16" s="483"/>
      <c r="D16" s="482"/>
      <c r="E16" s="482"/>
      <c r="F16" s="482"/>
      <c r="G16" s="482"/>
      <c r="H16" s="482"/>
      <c r="I16" s="482"/>
      <c r="J16" s="482"/>
      <c r="K16" s="484"/>
      <c r="L16" s="484"/>
      <c r="M16" s="482"/>
      <c r="N16" s="482"/>
    </row>
    <row r="17" spans="1:14">
      <c r="A17" s="130">
        <v>1</v>
      </c>
      <c r="B17" s="485">
        <f>货币资金!B19</f>
        <v>0</v>
      </c>
      <c r="C17" s="485">
        <f>货币资金!C19</f>
        <v>0</v>
      </c>
      <c r="D17" s="50"/>
      <c r="E17" s="50"/>
      <c r="F17" s="50"/>
      <c r="G17" s="50"/>
      <c r="H17" s="50"/>
      <c r="I17" s="50"/>
      <c r="J17" s="50"/>
      <c r="K17" s="50"/>
      <c r="L17" s="50"/>
      <c r="M17" s="50"/>
      <c r="N17" s="50"/>
    </row>
    <row r="18" spans="1:14">
      <c r="A18" s="130">
        <v>2</v>
      </c>
      <c r="B18" s="485">
        <f>货币资金!B20</f>
        <v>0</v>
      </c>
      <c r="C18" s="485">
        <f>货币资金!C20</f>
        <v>0</v>
      </c>
      <c r="D18" s="50"/>
      <c r="E18" s="50"/>
      <c r="F18" s="50"/>
      <c r="G18" s="50"/>
      <c r="H18" s="50"/>
      <c r="I18" s="50"/>
      <c r="J18" s="50"/>
      <c r="K18" s="50"/>
      <c r="L18" s="50"/>
      <c r="M18" s="50"/>
      <c r="N18" s="50"/>
    </row>
    <row r="19" spans="1:14">
      <c r="A19" s="130">
        <v>3</v>
      </c>
      <c r="B19" s="485">
        <f>货币资金!B21</f>
        <v>0</v>
      </c>
      <c r="C19" s="485">
        <f>货币资金!C21</f>
        <v>0</v>
      </c>
      <c r="D19" s="50"/>
      <c r="E19" s="50"/>
      <c r="F19" s="50"/>
      <c r="G19" s="50"/>
      <c r="H19" s="50"/>
      <c r="I19" s="50"/>
      <c r="J19" s="50"/>
      <c r="K19" s="50"/>
      <c r="L19" s="50"/>
      <c r="M19" s="50"/>
      <c r="N19" s="50"/>
    </row>
    <row r="20" spans="1:14">
      <c r="A20" s="130">
        <v>4</v>
      </c>
      <c r="B20" s="485">
        <f>货币资金!B22</f>
        <v>0</v>
      </c>
      <c r="C20" s="485">
        <f>货币资金!C22</f>
        <v>0</v>
      </c>
      <c r="D20" s="50"/>
      <c r="E20" s="50"/>
      <c r="F20" s="50"/>
      <c r="G20" s="50"/>
      <c r="H20" s="50"/>
      <c r="I20" s="50"/>
      <c r="J20" s="50"/>
      <c r="K20" s="50"/>
      <c r="L20" s="50"/>
      <c r="M20" s="50"/>
      <c r="N20" s="50"/>
    </row>
    <row r="21" spans="1:14">
      <c r="A21" s="130">
        <v>5</v>
      </c>
      <c r="B21" s="485">
        <f>货币资金!B23</f>
        <v>0</v>
      </c>
      <c r="C21" s="485">
        <f>货币资金!C23</f>
        <v>0</v>
      </c>
      <c r="D21" s="50"/>
      <c r="E21" s="50"/>
      <c r="F21" s="50"/>
      <c r="G21" s="50"/>
      <c r="H21" s="50"/>
      <c r="I21" s="50"/>
      <c r="J21" s="50"/>
      <c r="K21" s="50"/>
      <c r="L21" s="50"/>
      <c r="M21" s="50"/>
      <c r="N21" s="50"/>
    </row>
    <row r="22" spans="1:14">
      <c r="A22" s="130">
        <v>6</v>
      </c>
      <c r="B22" s="485">
        <f>货币资金!B24</f>
        <v>0</v>
      </c>
      <c r="C22" s="485">
        <f>货币资金!C24</f>
        <v>0</v>
      </c>
      <c r="D22" s="50"/>
      <c r="E22" s="50"/>
      <c r="F22" s="50"/>
      <c r="G22" s="50"/>
      <c r="H22" s="50"/>
      <c r="I22" s="50"/>
      <c r="J22" s="50"/>
      <c r="K22" s="50"/>
      <c r="L22" s="50"/>
      <c r="M22" s="50"/>
      <c r="N22" s="50"/>
    </row>
    <row r="23" spans="1:14">
      <c r="A23" s="130">
        <v>7</v>
      </c>
      <c r="B23" s="485">
        <f>货币资金!B25</f>
        <v>0</v>
      </c>
      <c r="C23" s="485">
        <f>货币资金!C25</f>
        <v>0</v>
      </c>
      <c r="D23" s="50"/>
      <c r="E23" s="50"/>
      <c r="F23" s="50"/>
      <c r="G23" s="50"/>
      <c r="H23" s="50"/>
      <c r="I23" s="50"/>
      <c r="J23" s="50"/>
      <c r="K23" s="50"/>
      <c r="L23" s="50"/>
      <c r="M23" s="50"/>
      <c r="N23" s="50"/>
    </row>
    <row r="24" spans="1:14">
      <c r="A24" s="130">
        <v>8</v>
      </c>
      <c r="B24" s="485">
        <f>货币资金!B26</f>
        <v>0</v>
      </c>
      <c r="C24" s="485">
        <f>货币资金!C26</f>
        <v>0</v>
      </c>
      <c r="D24" s="50"/>
      <c r="E24" s="50"/>
      <c r="F24" s="50"/>
      <c r="G24" s="50"/>
      <c r="H24" s="50"/>
      <c r="I24" s="50"/>
      <c r="J24" s="50"/>
      <c r="K24" s="50"/>
      <c r="L24" s="50"/>
      <c r="M24" s="50"/>
      <c r="N24" s="50"/>
    </row>
    <row r="25" spans="1:14">
      <c r="A25" s="130">
        <v>9</v>
      </c>
      <c r="B25" s="485">
        <f>货币资金!B27</f>
        <v>0</v>
      </c>
      <c r="C25" s="485">
        <f>货币资金!C27</f>
        <v>0</v>
      </c>
      <c r="D25" s="50"/>
      <c r="E25" s="50"/>
      <c r="F25" s="50"/>
      <c r="G25" s="50"/>
      <c r="H25" s="50"/>
      <c r="I25" s="50"/>
      <c r="J25" s="50"/>
      <c r="K25" s="50"/>
      <c r="L25" s="50"/>
      <c r="M25" s="50"/>
      <c r="N25" s="50"/>
    </row>
    <row r="26" spans="1:14">
      <c r="A26" s="130">
        <v>10</v>
      </c>
      <c r="B26" s="485">
        <f>货币资金!B28</f>
        <v>0</v>
      </c>
      <c r="C26" s="485">
        <f>货币资金!C28</f>
        <v>0</v>
      </c>
      <c r="D26" s="50"/>
      <c r="E26" s="50"/>
      <c r="F26" s="50"/>
      <c r="G26" s="50"/>
      <c r="H26" s="50"/>
      <c r="I26" s="50"/>
      <c r="J26" s="50"/>
      <c r="K26" s="50"/>
      <c r="L26" s="50"/>
      <c r="M26" s="50"/>
      <c r="N26" s="50"/>
    </row>
    <row r="27" spans="1:14">
      <c r="A27" s="130">
        <v>11</v>
      </c>
      <c r="B27" s="485">
        <f>货币资金!B29</f>
        <v>0</v>
      </c>
      <c r="C27" s="485">
        <f>货币资金!C29</f>
        <v>0</v>
      </c>
      <c r="D27" s="50"/>
      <c r="E27" s="50"/>
      <c r="F27" s="50"/>
      <c r="G27" s="50"/>
      <c r="H27" s="50"/>
      <c r="I27" s="50"/>
      <c r="J27" s="50"/>
      <c r="K27" s="50"/>
      <c r="L27" s="50"/>
      <c r="M27" s="50"/>
      <c r="N27" s="50"/>
    </row>
    <row r="28" spans="1:14">
      <c r="A28" s="130">
        <v>12</v>
      </c>
      <c r="B28" s="485">
        <f>货币资金!B30</f>
        <v>0</v>
      </c>
      <c r="C28" s="485">
        <f>货币资金!C30</f>
        <v>0</v>
      </c>
      <c r="D28" s="50"/>
      <c r="E28" s="50"/>
      <c r="F28" s="50"/>
      <c r="G28" s="50"/>
      <c r="H28" s="50"/>
      <c r="I28" s="50"/>
      <c r="J28" s="50"/>
      <c r="K28" s="50"/>
      <c r="L28" s="50"/>
      <c r="M28" s="50"/>
      <c r="N28" s="50"/>
    </row>
    <row r="30" ht="15" customHeight="1" spans="1:14">
      <c r="A30" s="487" t="s">
        <v>263</v>
      </c>
      <c r="B30" s="488"/>
      <c r="C30" s="489"/>
      <c r="D30" s="489"/>
      <c r="E30" s="488"/>
      <c r="F30" s="488"/>
      <c r="G30" s="488"/>
      <c r="H30" s="488"/>
      <c r="I30" s="488"/>
      <c r="J30" s="488"/>
      <c r="K30" s="488"/>
      <c r="L30" s="488"/>
      <c r="M30" s="488"/>
    </row>
    <row r="31" spans="1:14">
      <c r="A31" s="490" t="s">
        <v>264</v>
      </c>
      <c r="B31" s="491"/>
      <c r="C31" s="405"/>
      <c r="D31" s="405"/>
      <c r="E31" s="492"/>
      <c r="F31" s="492"/>
      <c r="G31" s="492"/>
      <c r="H31" s="492"/>
      <c r="I31" s="492"/>
      <c r="J31" s="492"/>
      <c r="K31" s="492"/>
      <c r="L31" s="492"/>
      <c r="M31" s="492"/>
    </row>
    <row r="32" ht="16" customHeight="1" spans="1:14">
      <c r="A32" s="482" t="s">
        <v>77</v>
      </c>
      <c r="B32" s="37" t="s">
        <v>265</v>
      </c>
      <c r="C32" s="482" t="s">
        <v>266</v>
      </c>
      <c r="D32" s="478" t="s">
        <v>252</v>
      </c>
      <c r="E32" s="478" t="s">
        <v>209</v>
      </c>
      <c r="F32" s="478" t="s">
        <v>253</v>
      </c>
      <c r="G32" s="493" t="s">
        <v>267</v>
      </c>
      <c r="H32" s="494"/>
      <c r="I32" s="494"/>
      <c r="J32" s="494"/>
      <c r="K32" s="494"/>
      <c r="L32" s="494"/>
      <c r="M32" s="495"/>
    </row>
    <row r="33" ht="17" customHeight="1" spans="1:13">
      <c r="A33" s="486">
        <v>1</v>
      </c>
      <c r="B33" s="496"/>
      <c r="C33" s="497"/>
      <c r="D33" s="498"/>
      <c r="E33" s="499"/>
      <c r="F33" s="500"/>
      <c r="G33" s="501"/>
      <c r="H33" s="502"/>
      <c r="I33" s="502"/>
      <c r="J33" s="502"/>
      <c r="K33" s="502"/>
      <c r="L33" s="502"/>
      <c r="M33" s="503"/>
    </row>
    <row r="35" s="4" customFormat="1" ht="12" spans="1:13">
      <c r="A35" s="504" t="s">
        <v>268</v>
      </c>
    </row>
    <row r="38" s="4" customFormat="1" ht="16" customHeight="1" spans="1:13">
      <c r="A38" s="504" t="s">
        <v>269</v>
      </c>
    </row>
  </sheetData>
  <mergeCells count="8">
    <mergeCell ref="A1:N1"/>
    <mergeCell ref="B4:F4"/>
    <mergeCell ref="G4:L4"/>
    <mergeCell ref="G32:M32"/>
    <mergeCell ref="G33:M33"/>
    <mergeCell ref="A4:A5"/>
    <mergeCell ref="M4:M5"/>
    <mergeCell ref="N4:N5"/>
  </mergeCells>
  <dataValidations count="1">
    <dataValidation type="list" allowBlank="1" showInputMessage="1" showErrorMessage="1" sqref="G30:L30 G6:J16">
      <formula1>"√,×"</formula1>
    </dataValidation>
  </dataValidations>
  <pageMargins left="0.75" right="0.75" top="1" bottom="1" header="0.5" footer="0.5"/>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M27"/>
  <sheetViews>
    <sheetView zoomScale="90" zoomScaleNormal="90" workbookViewId="0">
      <pane ySplit="6" topLeftCell="A7" activePane="bottomLeft" state="frozen"/>
      <selection/>
      <selection pane="bottomLeft" activeCell="B16" sqref="B16"/>
    </sheetView>
  </sheetViews>
  <sheetFormatPr defaultColWidth="8.73148148148148" defaultRowHeight="14.4"/>
  <cols>
    <col min="1" max="1" width="7.37037037037037" customWidth="1"/>
    <col min="2" max="2" width="14.3333333333333" customWidth="1"/>
    <col min="3" max="4" width="16.4537037037037" customWidth="1"/>
    <col min="5" max="9" width="12.3611111111111" customWidth="1"/>
    <col min="10" max="10" width="12.7314814814815" customWidth="1"/>
    <col min="11" max="11" width="15.1851851851852" customWidth="1"/>
    <col min="12" max="12" width="14.9074074074074" customWidth="1"/>
    <col min="13" max="13" width="18.7314814814815" customWidth="1"/>
  </cols>
  <sheetData>
    <row r="1" ht="20.4" spans="1:13">
      <c r="A1" s="1" t="s">
        <v>19</v>
      </c>
      <c r="B1" s="1"/>
      <c r="C1" s="1"/>
      <c r="D1" s="1"/>
      <c r="E1" s="1"/>
      <c r="F1" s="1"/>
      <c r="G1" s="1"/>
      <c r="H1" s="1"/>
      <c r="I1" s="1"/>
      <c r="J1" s="1"/>
      <c r="K1" s="1"/>
      <c r="L1" s="1"/>
    </row>
    <row r="2" ht="16" customHeight="1" spans="1:13">
      <c r="A2" s="2" t="str">
        <f>备忘录!$A$1</f>
        <v>被审计单位：福禄福擎网络科技有限公司</v>
      </c>
      <c r="B2" s="4"/>
      <c r="C2" s="4"/>
      <c r="D2" s="4"/>
      <c r="E2" s="4"/>
      <c r="F2" s="4" t="s">
        <v>193</v>
      </c>
      <c r="G2" s="4"/>
      <c r="H2" s="4"/>
      <c r="I2" s="4" t="str">
        <f>备忘录!$C$2</f>
        <v>日期：2025/10/30</v>
      </c>
      <c r="J2" s="440"/>
      <c r="K2" s="4"/>
      <c r="L2" s="4"/>
    </row>
    <row r="3" ht="16" customHeight="1" spans="1:13">
      <c r="A3" s="2" t="str">
        <f>备忘录!$A$2</f>
        <v>财务报表截止日：2025/9/30</v>
      </c>
      <c r="B3" s="4"/>
      <c r="C3" s="4"/>
      <c r="D3" s="4"/>
      <c r="E3" s="4"/>
      <c r="F3" s="4" t="s">
        <v>194</v>
      </c>
      <c r="G3" s="4"/>
      <c r="H3" s="4"/>
      <c r="I3" s="4" t="str">
        <f>备忘录!$C$3</f>
        <v>日期：2025/10/31</v>
      </c>
      <c r="J3" s="4"/>
      <c r="K3" s="4"/>
      <c r="L3" s="4"/>
    </row>
    <row r="4" ht="19" customHeight="1" spans="1:13">
      <c r="A4" s="171" t="s">
        <v>77</v>
      </c>
      <c r="B4" s="171" t="s">
        <v>78</v>
      </c>
      <c r="C4" s="171" t="s">
        <v>270</v>
      </c>
      <c r="D4" s="464" t="s">
        <v>271</v>
      </c>
      <c r="E4" s="89" t="s">
        <v>207</v>
      </c>
      <c r="F4" s="89"/>
      <c r="G4" s="89"/>
      <c r="H4" s="89"/>
      <c r="I4" s="89"/>
      <c r="J4" s="89"/>
      <c r="K4" s="465" t="s">
        <v>272</v>
      </c>
      <c r="L4" s="465" t="s">
        <v>273</v>
      </c>
      <c r="M4" s="248" t="s">
        <v>203</v>
      </c>
    </row>
    <row r="5" ht="19" customHeight="1" spans="1:13">
      <c r="A5" s="172"/>
      <c r="B5" s="172"/>
      <c r="C5" s="172"/>
      <c r="D5" s="466"/>
      <c r="E5" s="124" t="s">
        <v>210</v>
      </c>
      <c r="F5" s="124" t="s">
        <v>211</v>
      </c>
      <c r="G5" s="124" t="s">
        <v>212</v>
      </c>
      <c r="H5" s="124" t="s">
        <v>213</v>
      </c>
      <c r="I5" s="382" t="s">
        <v>274</v>
      </c>
      <c r="J5" s="382" t="s">
        <v>275</v>
      </c>
      <c r="K5" s="465"/>
      <c r="L5" s="465"/>
      <c r="M5" s="467"/>
    </row>
    <row r="6" ht="18" customHeight="1" spans="1:13">
      <c r="A6" s="468" t="s">
        <v>276</v>
      </c>
      <c r="B6" s="287"/>
      <c r="C6" s="287"/>
      <c r="D6" s="287"/>
      <c r="E6" s="287"/>
      <c r="F6" s="287"/>
      <c r="G6" s="287"/>
      <c r="H6" s="287"/>
      <c r="I6" s="287"/>
      <c r="J6" s="287"/>
      <c r="K6" s="287"/>
      <c r="L6" s="287"/>
      <c r="M6" s="50"/>
    </row>
    <row r="7" spans="1:13">
      <c r="A7" s="130">
        <v>1</v>
      </c>
      <c r="B7" s="267" t="s">
        <v>277</v>
      </c>
      <c r="C7" s="80"/>
      <c r="D7" s="80"/>
      <c r="E7" s="134"/>
      <c r="F7" s="134"/>
      <c r="G7" s="134"/>
      <c r="H7" s="315">
        <f>E7+F7-G7</f>
        <v>0</v>
      </c>
      <c r="I7" s="134"/>
      <c r="J7" s="315">
        <f t="shared" ref="J7:J22" si="0">H7+I7</f>
        <v>0</v>
      </c>
      <c r="K7" s="134"/>
      <c r="L7" s="469">
        <f t="shared" ref="L7:L22" si="1">J7+K7</f>
        <v>0</v>
      </c>
      <c r="M7" s="80"/>
    </row>
    <row r="8" spans="1:13">
      <c r="A8" s="130">
        <v>2</v>
      </c>
      <c r="B8" s="267" t="s">
        <v>278</v>
      </c>
      <c r="C8" s="80"/>
      <c r="D8" s="80"/>
      <c r="E8" s="134"/>
      <c r="F8" s="134"/>
      <c r="G8" s="134"/>
      <c r="H8" s="315">
        <f t="shared" ref="H8:H21" si="2">E8+F8-G8</f>
        <v>0</v>
      </c>
      <c r="I8" s="134"/>
      <c r="J8" s="315">
        <f t="shared" si="0"/>
        <v>0</v>
      </c>
      <c r="K8" s="134"/>
      <c r="L8" s="469">
        <f t="shared" si="1"/>
        <v>0</v>
      </c>
      <c r="M8" s="80"/>
    </row>
    <row r="9" spans="1:13">
      <c r="A9" s="130">
        <v>3</v>
      </c>
      <c r="B9" s="130"/>
      <c r="C9" s="80"/>
      <c r="D9" s="80"/>
      <c r="E9" s="134"/>
      <c r="F9" s="134"/>
      <c r="G9" s="134"/>
      <c r="H9" s="315">
        <f t="shared" si="2"/>
        <v>0</v>
      </c>
      <c r="I9" s="134"/>
      <c r="J9" s="315">
        <f t="shared" si="0"/>
        <v>0</v>
      </c>
      <c r="K9" s="134"/>
      <c r="L9" s="469">
        <f t="shared" si="1"/>
        <v>0</v>
      </c>
      <c r="M9" s="80"/>
    </row>
    <row r="10" spans="1:13">
      <c r="A10" s="130">
        <v>4</v>
      </c>
      <c r="B10" s="130"/>
      <c r="C10" s="80"/>
      <c r="D10" s="80"/>
      <c r="E10" s="134"/>
      <c r="F10" s="134"/>
      <c r="G10" s="134"/>
      <c r="H10" s="315">
        <f t="shared" si="2"/>
        <v>0</v>
      </c>
      <c r="I10" s="134"/>
      <c r="J10" s="315">
        <f t="shared" si="0"/>
        <v>0</v>
      </c>
      <c r="K10" s="134"/>
      <c r="L10" s="469">
        <f t="shared" si="1"/>
        <v>0</v>
      </c>
      <c r="M10" s="80"/>
    </row>
    <row r="11" spans="1:13">
      <c r="A11" s="130">
        <v>5</v>
      </c>
      <c r="B11" s="130"/>
      <c r="C11" s="80"/>
      <c r="D11" s="80"/>
      <c r="E11" s="134"/>
      <c r="F11" s="134"/>
      <c r="G11" s="134"/>
      <c r="H11" s="315">
        <f t="shared" si="2"/>
        <v>0</v>
      </c>
      <c r="I11" s="134"/>
      <c r="J11" s="315">
        <f t="shared" si="0"/>
        <v>0</v>
      </c>
      <c r="K11" s="134"/>
      <c r="L11" s="469">
        <f t="shared" si="1"/>
        <v>0</v>
      </c>
      <c r="M11" s="80"/>
    </row>
    <row r="12" spans="1:13">
      <c r="A12" s="130">
        <v>6</v>
      </c>
      <c r="B12" s="130"/>
      <c r="C12" s="80"/>
      <c r="D12" s="80"/>
      <c r="E12" s="134"/>
      <c r="F12" s="134"/>
      <c r="G12" s="134"/>
      <c r="H12" s="315">
        <f t="shared" si="2"/>
        <v>0</v>
      </c>
      <c r="I12" s="134"/>
      <c r="J12" s="315">
        <f t="shared" si="0"/>
        <v>0</v>
      </c>
      <c r="K12" s="134"/>
      <c r="L12" s="469">
        <f t="shared" si="1"/>
        <v>0</v>
      </c>
      <c r="M12" s="80"/>
    </row>
    <row r="13" spans="1:13">
      <c r="A13" s="130">
        <v>7</v>
      </c>
      <c r="B13" s="130"/>
      <c r="C13" s="80"/>
      <c r="D13" s="80"/>
      <c r="E13" s="134"/>
      <c r="F13" s="134"/>
      <c r="G13" s="134"/>
      <c r="H13" s="315">
        <f t="shared" si="2"/>
        <v>0</v>
      </c>
      <c r="I13" s="134"/>
      <c r="J13" s="315">
        <f t="shared" si="0"/>
        <v>0</v>
      </c>
      <c r="K13" s="134"/>
      <c r="L13" s="469">
        <f t="shared" si="1"/>
        <v>0</v>
      </c>
      <c r="M13" s="80"/>
    </row>
    <row r="14" spans="1:13">
      <c r="A14" s="130">
        <v>8</v>
      </c>
      <c r="B14" s="130"/>
      <c r="C14" s="80"/>
      <c r="D14" s="80"/>
      <c r="E14" s="134"/>
      <c r="F14" s="134"/>
      <c r="G14" s="134"/>
      <c r="H14" s="315">
        <f t="shared" si="2"/>
        <v>0</v>
      </c>
      <c r="I14" s="134"/>
      <c r="J14" s="315">
        <f t="shared" si="0"/>
        <v>0</v>
      </c>
      <c r="K14" s="134"/>
      <c r="L14" s="469">
        <f t="shared" si="1"/>
        <v>0</v>
      </c>
      <c r="M14" s="80"/>
    </row>
    <row r="15" spans="1:13">
      <c r="A15" s="130">
        <v>9</v>
      </c>
      <c r="B15" s="80"/>
      <c r="C15" s="80"/>
      <c r="D15" s="80"/>
      <c r="E15" s="134"/>
      <c r="F15" s="134"/>
      <c r="G15" s="134"/>
      <c r="H15" s="315">
        <f t="shared" si="2"/>
        <v>0</v>
      </c>
      <c r="I15" s="134"/>
      <c r="J15" s="315">
        <f t="shared" si="0"/>
        <v>0</v>
      </c>
      <c r="K15" s="134"/>
      <c r="L15" s="469">
        <f t="shared" si="1"/>
        <v>0</v>
      </c>
      <c r="M15" s="80"/>
    </row>
    <row r="16" spans="1:13">
      <c r="A16" s="130">
        <v>10</v>
      </c>
      <c r="B16" s="80"/>
      <c r="C16" s="80"/>
      <c r="D16" s="80"/>
      <c r="E16" s="134"/>
      <c r="F16" s="134"/>
      <c r="G16" s="134"/>
      <c r="H16" s="315">
        <f t="shared" si="2"/>
        <v>0</v>
      </c>
      <c r="I16" s="134"/>
      <c r="J16" s="315">
        <f t="shared" si="0"/>
        <v>0</v>
      </c>
      <c r="K16" s="134"/>
      <c r="L16" s="469">
        <f t="shared" si="1"/>
        <v>0</v>
      </c>
      <c r="M16" s="80"/>
    </row>
    <row r="17" spans="1:13">
      <c r="A17" s="130">
        <v>11</v>
      </c>
      <c r="B17" s="80"/>
      <c r="C17" s="80"/>
      <c r="D17" s="80"/>
      <c r="E17" s="134"/>
      <c r="F17" s="134"/>
      <c r="G17" s="134"/>
      <c r="H17" s="315">
        <f t="shared" si="2"/>
        <v>0</v>
      </c>
      <c r="I17" s="134"/>
      <c r="J17" s="315">
        <f t="shared" si="0"/>
        <v>0</v>
      </c>
      <c r="K17" s="134"/>
      <c r="L17" s="469">
        <f t="shared" si="1"/>
        <v>0</v>
      </c>
      <c r="M17" s="80"/>
    </row>
    <row r="18" spans="1:13">
      <c r="A18" s="130">
        <v>12</v>
      </c>
      <c r="B18" s="80"/>
      <c r="C18" s="80"/>
      <c r="D18" s="80"/>
      <c r="E18" s="134"/>
      <c r="F18" s="134"/>
      <c r="G18" s="134"/>
      <c r="H18" s="315">
        <f t="shared" si="2"/>
        <v>0</v>
      </c>
      <c r="I18" s="134"/>
      <c r="J18" s="315">
        <f t="shared" si="0"/>
        <v>0</v>
      </c>
      <c r="K18" s="134"/>
      <c r="L18" s="469">
        <f t="shared" si="1"/>
        <v>0</v>
      </c>
      <c r="M18" s="80"/>
    </row>
    <row r="19" spans="1:13">
      <c r="A19" s="130">
        <v>13</v>
      </c>
      <c r="B19" s="80"/>
      <c r="C19" s="80"/>
      <c r="D19" s="80"/>
      <c r="E19" s="134"/>
      <c r="F19" s="134"/>
      <c r="G19" s="134"/>
      <c r="H19" s="315">
        <f t="shared" si="2"/>
        <v>0</v>
      </c>
      <c r="I19" s="134"/>
      <c r="J19" s="315">
        <f t="shared" si="0"/>
        <v>0</v>
      </c>
      <c r="K19" s="134"/>
      <c r="L19" s="469">
        <f t="shared" si="1"/>
        <v>0</v>
      </c>
      <c r="M19" s="80"/>
    </row>
    <row r="20" spans="1:13">
      <c r="A20" s="130">
        <v>14</v>
      </c>
      <c r="B20" s="80"/>
      <c r="C20" s="80"/>
      <c r="D20" s="80"/>
      <c r="E20" s="134"/>
      <c r="F20" s="134"/>
      <c r="G20" s="134"/>
      <c r="H20" s="315">
        <f t="shared" si="2"/>
        <v>0</v>
      </c>
      <c r="I20" s="134"/>
      <c r="J20" s="315">
        <f t="shared" si="0"/>
        <v>0</v>
      </c>
      <c r="K20" s="134"/>
      <c r="L20" s="469">
        <f t="shared" si="1"/>
        <v>0</v>
      </c>
      <c r="M20" s="80"/>
    </row>
    <row r="21" spans="1:13">
      <c r="A21" s="130">
        <v>15</v>
      </c>
      <c r="B21" s="80"/>
      <c r="C21" s="80"/>
      <c r="D21" s="80"/>
      <c r="E21" s="134"/>
      <c r="F21" s="134"/>
      <c r="G21" s="134"/>
      <c r="H21" s="315">
        <f t="shared" si="2"/>
        <v>0</v>
      </c>
      <c r="I21" s="134"/>
      <c r="J21" s="315">
        <f t="shared" si="0"/>
        <v>0</v>
      </c>
      <c r="K21" s="134"/>
      <c r="L21" s="469">
        <f t="shared" si="1"/>
        <v>0</v>
      </c>
      <c r="M21" s="80"/>
    </row>
    <row r="22" spans="1:13">
      <c r="A22" s="470" t="s">
        <v>279</v>
      </c>
      <c r="B22" s="471"/>
      <c r="C22" s="454"/>
      <c r="D22" s="454"/>
      <c r="E22" s="315">
        <f>SUM(E7:E21)</f>
        <v>0</v>
      </c>
      <c r="F22" s="315">
        <f t="shared" ref="E22:L22" si="3">SUM(F7:F21)</f>
        <v>0</v>
      </c>
      <c r="G22" s="315">
        <f t="shared" si="3"/>
        <v>0</v>
      </c>
      <c r="H22" s="315">
        <f t="shared" si="3"/>
        <v>0</v>
      </c>
      <c r="I22" s="315">
        <f t="shared" si="3"/>
        <v>0</v>
      </c>
      <c r="J22" s="315">
        <f t="shared" si="3"/>
        <v>0</v>
      </c>
      <c r="K22" s="315">
        <f t="shared" si="3"/>
        <v>0</v>
      </c>
      <c r="L22" s="315">
        <f t="shared" si="3"/>
        <v>0</v>
      </c>
      <c r="M22" s="454"/>
    </row>
    <row r="24" ht="19" customHeight="1" spans="1:13">
      <c r="B24" s="29" t="s">
        <v>218</v>
      </c>
    </row>
    <row r="25" ht="19" customHeight="1"/>
    <row r="26" ht="19" customHeight="1"/>
    <row r="27" ht="19" customHeight="1"/>
  </sheetData>
  <mergeCells count="10">
    <mergeCell ref="A1:L1"/>
    <mergeCell ref="E4:J4"/>
    <mergeCell ref="A22:B22"/>
    <mergeCell ref="A4:A5"/>
    <mergeCell ref="B4:B5"/>
    <mergeCell ref="C4:C5"/>
    <mergeCell ref="D4:D5"/>
    <mergeCell ref="K4:K5"/>
    <mergeCell ref="L4:L5"/>
    <mergeCell ref="M4:M5"/>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I23"/>
  <sheetViews>
    <sheetView zoomScale="90" zoomScaleNormal="90" workbookViewId="0">
      <selection activeCell="B4" sqref="$A4:$XFD4"/>
    </sheetView>
  </sheetViews>
  <sheetFormatPr defaultColWidth="8.73148148148148" defaultRowHeight="14.4"/>
  <cols>
    <col min="1" max="1" width="9.99074074074074" style="455" customWidth="1"/>
    <col min="2" max="2" width="15.25" style="455" customWidth="1"/>
    <col min="3" max="3" width="16.25" style="455" customWidth="1"/>
    <col min="4" max="4" width="11.4537037037037" style="455" customWidth="1"/>
    <col min="5" max="5" width="15.3611111111111" style="455" customWidth="1"/>
    <col min="6" max="6" width="13.5462962962963" style="455" customWidth="1"/>
    <col min="7" max="7" width="15.9074074074074" style="455" customWidth="1"/>
    <col min="8" max="8" width="12" style="455" customWidth="1"/>
    <col min="9" max="9" width="15.5462962962963" style="455" customWidth="1"/>
    <col min="10" max="16384" width="8.73148148148148" style="455"/>
  </cols>
  <sheetData>
    <row r="1" ht="24" customHeight="1" spans="1:9">
      <c r="A1" s="1" t="s">
        <v>280</v>
      </c>
      <c r="B1" s="1"/>
      <c r="C1" s="1"/>
      <c r="D1" s="1"/>
      <c r="E1" s="1"/>
      <c r="F1" s="1"/>
      <c r="G1" s="1"/>
      <c r="H1" s="1"/>
      <c r="I1" s="1"/>
    </row>
    <row r="2" spans="1:9">
      <c r="A2" s="2" t="str">
        <f>备忘录!$A$1</f>
        <v>被审计单位：福禄福擎网络科技有限公司</v>
      </c>
      <c r="B2" s="456"/>
      <c r="C2" s="456"/>
      <c r="E2" s="456" t="s">
        <v>193</v>
      </c>
      <c r="F2" s="456"/>
      <c r="G2" s="456"/>
      <c r="H2" s="456" t="str">
        <f>备忘录!$C$2</f>
        <v>日期：2025/10/30</v>
      </c>
      <c r="I2" s="456"/>
    </row>
    <row r="3" spans="1:9">
      <c r="A3" s="2" t="str">
        <f>备忘录!$A$2</f>
        <v>财务报表截止日：2025/9/30</v>
      </c>
      <c r="B3" s="456"/>
      <c r="C3" s="456"/>
      <c r="E3" s="456" t="s">
        <v>194</v>
      </c>
      <c r="F3" s="456"/>
      <c r="G3" s="456"/>
      <c r="H3" s="456" t="str">
        <f>备忘录!$C$3</f>
        <v>日期：2025/10/31</v>
      </c>
      <c r="I3" s="456"/>
    </row>
    <row r="4" ht="18" customHeight="1" spans="1:9">
      <c r="A4" s="457" t="s">
        <v>281</v>
      </c>
      <c r="B4" s="458" t="s">
        <v>282</v>
      </c>
      <c r="C4" s="458"/>
      <c r="D4" s="458"/>
      <c r="E4" s="458" t="s">
        <v>283</v>
      </c>
      <c r="F4" s="458"/>
      <c r="G4" s="458"/>
      <c r="H4" s="458"/>
      <c r="I4" s="457" t="s">
        <v>284</v>
      </c>
    </row>
    <row r="5" ht="20" customHeight="1" spans="1:9">
      <c r="A5" s="457"/>
      <c r="B5" s="457" t="s">
        <v>285</v>
      </c>
      <c r="C5" s="457" t="s">
        <v>286</v>
      </c>
      <c r="D5" s="457" t="s">
        <v>287</v>
      </c>
      <c r="E5" s="459" t="s">
        <v>288</v>
      </c>
      <c r="F5" s="459" t="s">
        <v>289</v>
      </c>
      <c r="G5" s="459" t="s">
        <v>290</v>
      </c>
      <c r="H5" s="457" t="s">
        <v>291</v>
      </c>
      <c r="I5" s="457"/>
    </row>
    <row r="6" ht="16" customHeight="1" spans="1:9">
      <c r="A6" s="459" t="s">
        <v>292</v>
      </c>
      <c r="B6" s="415"/>
      <c r="C6" s="415"/>
      <c r="D6" s="457"/>
      <c r="E6" s="457"/>
      <c r="F6" s="457"/>
      <c r="G6" s="457"/>
      <c r="H6" s="457"/>
      <c r="I6" s="460"/>
    </row>
    <row r="7" ht="16" customHeight="1" spans="1:9">
      <c r="A7" s="461" t="s">
        <v>293</v>
      </c>
      <c r="B7" s="429"/>
      <c r="C7" s="429"/>
      <c r="D7" s="462">
        <f t="shared" ref="D7:D18" si="0">SUM(B7:C7)</f>
        <v>0</v>
      </c>
      <c r="E7" s="429"/>
      <c r="F7" s="429"/>
      <c r="G7" s="429"/>
      <c r="H7" s="462">
        <f t="shared" ref="H7:H18" si="1">SUM(E7:G7)</f>
        <v>0</v>
      </c>
      <c r="I7" s="462">
        <f t="shared" ref="I7:I18" si="2">I6+D7-H7</f>
        <v>0</v>
      </c>
    </row>
    <row r="8" ht="16" customHeight="1" spans="1:9">
      <c r="A8" s="461" t="s">
        <v>294</v>
      </c>
      <c r="B8" s="429"/>
      <c r="C8" s="429"/>
      <c r="D8" s="462">
        <f t="shared" si="0"/>
        <v>0</v>
      </c>
      <c r="E8" s="429"/>
      <c r="F8" s="429"/>
      <c r="G8" s="429"/>
      <c r="H8" s="462">
        <f t="shared" si="1"/>
        <v>0</v>
      </c>
      <c r="I8" s="462">
        <f t="shared" si="2"/>
        <v>0</v>
      </c>
    </row>
    <row r="9" ht="16" customHeight="1" spans="1:9">
      <c r="A9" s="461" t="s">
        <v>295</v>
      </c>
      <c r="B9" s="429"/>
      <c r="C9" s="429"/>
      <c r="D9" s="462">
        <f t="shared" si="0"/>
        <v>0</v>
      </c>
      <c r="E9" s="429"/>
      <c r="F9" s="429"/>
      <c r="G9" s="429"/>
      <c r="H9" s="462">
        <f t="shared" si="1"/>
        <v>0</v>
      </c>
      <c r="I9" s="462">
        <f t="shared" si="2"/>
        <v>0</v>
      </c>
    </row>
    <row r="10" ht="16" customHeight="1" spans="1:9">
      <c r="A10" s="461" t="s">
        <v>296</v>
      </c>
      <c r="B10" s="429"/>
      <c r="C10" s="429"/>
      <c r="D10" s="462">
        <f t="shared" si="0"/>
        <v>0</v>
      </c>
      <c r="E10" s="429"/>
      <c r="F10" s="429"/>
      <c r="G10" s="429"/>
      <c r="H10" s="462">
        <f t="shared" si="1"/>
        <v>0</v>
      </c>
      <c r="I10" s="462">
        <f t="shared" si="2"/>
        <v>0</v>
      </c>
    </row>
    <row r="11" ht="16" customHeight="1" spans="1:9">
      <c r="A11" s="461" t="s">
        <v>297</v>
      </c>
      <c r="B11" s="429"/>
      <c r="C11" s="429"/>
      <c r="D11" s="462">
        <f t="shared" si="0"/>
        <v>0</v>
      </c>
      <c r="E11" s="429"/>
      <c r="F11" s="429"/>
      <c r="G11" s="429"/>
      <c r="H11" s="462">
        <f t="shared" si="1"/>
        <v>0</v>
      </c>
      <c r="I11" s="462">
        <f t="shared" si="2"/>
        <v>0</v>
      </c>
    </row>
    <row r="12" ht="16" customHeight="1" spans="1:9">
      <c r="A12" s="461" t="s">
        <v>298</v>
      </c>
      <c r="B12" s="429"/>
      <c r="C12" s="429"/>
      <c r="D12" s="462">
        <f t="shared" si="0"/>
        <v>0</v>
      </c>
      <c r="E12" s="429"/>
      <c r="F12" s="429"/>
      <c r="G12" s="429"/>
      <c r="H12" s="462">
        <f t="shared" si="1"/>
        <v>0</v>
      </c>
      <c r="I12" s="462">
        <f t="shared" si="2"/>
        <v>0</v>
      </c>
    </row>
    <row r="13" ht="16" customHeight="1" spans="1:9">
      <c r="A13" s="461" t="s">
        <v>299</v>
      </c>
      <c r="B13" s="429"/>
      <c r="C13" s="429"/>
      <c r="D13" s="462">
        <f t="shared" si="0"/>
        <v>0</v>
      </c>
      <c r="E13" s="429"/>
      <c r="F13" s="429"/>
      <c r="G13" s="429"/>
      <c r="H13" s="462">
        <f t="shared" si="1"/>
        <v>0</v>
      </c>
      <c r="I13" s="462">
        <f t="shared" si="2"/>
        <v>0</v>
      </c>
    </row>
    <row r="14" ht="16" customHeight="1" spans="1:9">
      <c r="A14" s="461" t="s">
        <v>300</v>
      </c>
      <c r="B14" s="429"/>
      <c r="C14" s="429"/>
      <c r="D14" s="462">
        <f t="shared" si="0"/>
        <v>0</v>
      </c>
      <c r="E14" s="429"/>
      <c r="F14" s="429"/>
      <c r="G14" s="429"/>
      <c r="H14" s="462">
        <f t="shared" si="1"/>
        <v>0</v>
      </c>
      <c r="I14" s="462">
        <f t="shared" si="2"/>
        <v>0</v>
      </c>
    </row>
    <row r="15" ht="16" customHeight="1" spans="1:9">
      <c r="A15" s="461" t="s">
        <v>301</v>
      </c>
      <c r="B15" s="429"/>
      <c r="C15" s="429"/>
      <c r="D15" s="462">
        <f t="shared" si="0"/>
        <v>0</v>
      </c>
      <c r="E15" s="429"/>
      <c r="F15" s="429"/>
      <c r="G15" s="429"/>
      <c r="H15" s="462">
        <f t="shared" si="1"/>
        <v>0</v>
      </c>
      <c r="I15" s="462">
        <f t="shared" si="2"/>
        <v>0</v>
      </c>
    </row>
    <row r="16" ht="16" customHeight="1" spans="1:9">
      <c r="A16" s="461" t="s">
        <v>302</v>
      </c>
      <c r="B16" s="429"/>
      <c r="C16" s="429"/>
      <c r="D16" s="462">
        <f t="shared" si="0"/>
        <v>0</v>
      </c>
      <c r="E16" s="429"/>
      <c r="F16" s="429"/>
      <c r="G16" s="429"/>
      <c r="H16" s="462">
        <f t="shared" si="1"/>
        <v>0</v>
      </c>
      <c r="I16" s="462">
        <f t="shared" si="2"/>
        <v>0</v>
      </c>
    </row>
    <row r="17" ht="16" customHeight="1" spans="1:9">
      <c r="A17" s="461" t="s">
        <v>303</v>
      </c>
      <c r="B17" s="429"/>
      <c r="C17" s="429"/>
      <c r="D17" s="462">
        <f t="shared" si="0"/>
        <v>0</v>
      </c>
      <c r="E17" s="429"/>
      <c r="F17" s="429"/>
      <c r="G17" s="429"/>
      <c r="H17" s="462">
        <f t="shared" si="1"/>
        <v>0</v>
      </c>
      <c r="I17" s="462">
        <f t="shared" si="2"/>
        <v>0</v>
      </c>
    </row>
    <row r="18" ht="16" customHeight="1" spans="1:9">
      <c r="A18" s="461" t="s">
        <v>304</v>
      </c>
      <c r="B18" s="429"/>
      <c r="C18" s="429"/>
      <c r="D18" s="462">
        <f t="shared" si="0"/>
        <v>0</v>
      </c>
      <c r="E18" s="429"/>
      <c r="F18" s="429"/>
      <c r="G18" s="429"/>
      <c r="H18" s="462">
        <f t="shared" si="1"/>
        <v>0</v>
      </c>
      <c r="I18" s="462">
        <f t="shared" si="2"/>
        <v>0</v>
      </c>
    </row>
    <row r="19" ht="16" customHeight="1" spans="1:9">
      <c r="A19" s="459" t="s">
        <v>217</v>
      </c>
      <c r="B19" s="462">
        <f>SUM(B7:B18)</f>
        <v>0</v>
      </c>
      <c r="C19" s="462">
        <f>SUM(C7:C18)</f>
        <v>0</v>
      </c>
      <c r="D19" s="462">
        <f t="shared" ref="D19:I19" si="3">SUM(D7:D18)</f>
        <v>0</v>
      </c>
      <c r="E19" s="462">
        <f t="shared" si="3"/>
        <v>0</v>
      </c>
      <c r="F19" s="462">
        <f t="shared" si="3"/>
        <v>0</v>
      </c>
      <c r="G19" s="462">
        <f t="shared" si="3"/>
        <v>0</v>
      </c>
      <c r="H19" s="462">
        <f t="shared" si="3"/>
        <v>0</v>
      </c>
      <c r="I19" s="463"/>
    </row>
    <row r="21" ht="21" customHeight="1" spans="1:9">
      <c r="B21" s="29" t="s">
        <v>218</v>
      </c>
    </row>
    <row r="22" ht="21" customHeight="1"/>
    <row r="23" ht="21" customHeight="1"/>
  </sheetData>
  <mergeCells count="3">
    <mergeCell ref="A1:I1"/>
    <mergeCell ref="A4:A5"/>
    <mergeCell ref="I4:I5"/>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AE40"/>
  <sheetViews>
    <sheetView workbookViewId="0">
      <pane ySplit="5" topLeftCell="A6" activePane="bottomLeft" state="frozen"/>
      <selection/>
      <selection pane="bottomLeft" activeCell="J10" sqref="J10"/>
    </sheetView>
  </sheetViews>
  <sheetFormatPr defaultColWidth="8.73148148148148" defaultRowHeight="14.4"/>
  <cols>
    <col min="16" max="16" width="8.81481481481481"/>
    <col min="21" max="26" width="7.81481481481481" customWidth="1"/>
    <col min="31" max="31" width="13.3611111111111" customWidth="1"/>
  </cols>
  <sheetData>
    <row r="1" ht="20.4" spans="1:31">
      <c r="A1" s="1" t="s">
        <v>305</v>
      </c>
      <c r="B1" s="1"/>
      <c r="C1" s="1"/>
      <c r="D1" s="1"/>
      <c r="E1" s="1"/>
      <c r="F1" s="1"/>
      <c r="G1" s="1"/>
      <c r="H1" s="1"/>
      <c r="I1" s="1"/>
      <c r="J1" s="1"/>
      <c r="K1" s="1"/>
      <c r="L1" s="1"/>
      <c r="M1" s="1"/>
      <c r="N1" s="1"/>
      <c r="O1" s="1"/>
      <c r="P1" s="1"/>
      <c r="Q1" s="1"/>
      <c r="R1" s="1"/>
      <c r="S1" s="1"/>
      <c r="T1" s="1"/>
      <c r="U1" s="1"/>
      <c r="V1" s="1"/>
      <c r="W1" s="1"/>
      <c r="X1" s="1"/>
      <c r="Y1" s="1"/>
      <c r="Z1" s="1"/>
      <c r="AA1" s="1"/>
      <c r="AB1" s="1"/>
      <c r="AC1" s="1"/>
      <c r="AD1" s="1"/>
    </row>
    <row r="2" ht="16" customHeight="1" spans="1:31">
      <c r="A2" s="2" t="str">
        <f>备忘录!$A$1</f>
        <v>被审计单位：福禄福擎网络科技有限公司</v>
      </c>
      <c r="B2" s="4"/>
      <c r="C2" s="4"/>
      <c r="D2" s="4"/>
      <c r="J2" s="4"/>
      <c r="K2" s="4"/>
      <c r="M2" s="4" t="s">
        <v>193</v>
      </c>
      <c r="N2" s="4"/>
      <c r="O2" s="4"/>
      <c r="Q2" s="440"/>
      <c r="V2" s="4" t="str">
        <f>备忘录!$C$2</f>
        <v>日期：2025/10/30</v>
      </c>
    </row>
    <row r="3" ht="16" customHeight="1" spans="1:31">
      <c r="A3" s="2" t="str">
        <f>备忘录!$A$2</f>
        <v>财务报表截止日：2025/9/30</v>
      </c>
      <c r="B3" s="4"/>
      <c r="C3" s="4"/>
      <c r="D3" s="4"/>
      <c r="J3" s="4"/>
      <c r="K3" s="4"/>
      <c r="M3" s="4" t="s">
        <v>194</v>
      </c>
      <c r="N3" s="4"/>
      <c r="O3" s="4"/>
      <c r="Q3" s="4"/>
      <c r="V3" s="4" t="str">
        <f>备忘录!$C$3</f>
        <v>日期：2025/10/31</v>
      </c>
    </row>
    <row r="4" ht="23" customHeight="1" spans="1:31">
      <c r="A4" s="441" t="s">
        <v>306</v>
      </c>
      <c r="B4" s="442" t="s">
        <v>307</v>
      </c>
      <c r="C4" s="443" t="s">
        <v>308</v>
      </c>
      <c r="D4" s="443" t="s">
        <v>309</v>
      </c>
      <c r="E4" s="443" t="s">
        <v>310</v>
      </c>
      <c r="F4" s="443" t="s">
        <v>311</v>
      </c>
      <c r="G4" s="443" t="s">
        <v>312</v>
      </c>
      <c r="H4" s="443" t="s">
        <v>313</v>
      </c>
      <c r="I4" s="443" t="s">
        <v>314</v>
      </c>
      <c r="J4" s="443"/>
      <c r="K4" s="443"/>
      <c r="L4" s="443"/>
      <c r="M4" s="444" t="s">
        <v>315</v>
      </c>
      <c r="N4" s="444"/>
      <c r="O4" s="444"/>
      <c r="P4" s="444"/>
      <c r="Q4" s="444" t="s">
        <v>316</v>
      </c>
      <c r="R4" s="444"/>
      <c r="S4" s="444"/>
      <c r="T4" s="444"/>
      <c r="U4" s="445" t="s">
        <v>317</v>
      </c>
      <c r="V4" s="446"/>
      <c r="W4" s="446" t="s">
        <v>318</v>
      </c>
      <c r="X4" s="446"/>
      <c r="Y4" s="446" t="s">
        <v>319</v>
      </c>
      <c r="Z4" s="447"/>
      <c r="AA4" s="444" t="s">
        <v>320</v>
      </c>
      <c r="AB4" s="444"/>
      <c r="AC4" s="444"/>
      <c r="AD4" s="444"/>
      <c r="AE4" s="448" t="s">
        <v>321</v>
      </c>
    </row>
    <row r="5" ht="21.6" spans="1:31">
      <c r="A5" s="441"/>
      <c r="B5" s="449"/>
      <c r="C5" s="443"/>
      <c r="D5" s="443"/>
      <c r="E5" s="443"/>
      <c r="F5" s="443"/>
      <c r="G5" s="443"/>
      <c r="H5" s="443"/>
      <c r="I5" s="443" t="s">
        <v>322</v>
      </c>
      <c r="J5" s="443" t="s">
        <v>323</v>
      </c>
      <c r="K5" s="443" t="s">
        <v>324</v>
      </c>
      <c r="L5" s="443" t="s">
        <v>325</v>
      </c>
      <c r="M5" s="443" t="s">
        <v>326</v>
      </c>
      <c r="N5" s="443" t="s">
        <v>323</v>
      </c>
      <c r="O5" s="443" t="s">
        <v>324</v>
      </c>
      <c r="P5" s="443" t="s">
        <v>327</v>
      </c>
      <c r="Q5" s="443" t="s">
        <v>328</v>
      </c>
      <c r="R5" s="443" t="s">
        <v>323</v>
      </c>
      <c r="S5" s="443" t="s">
        <v>324</v>
      </c>
      <c r="T5" s="443" t="s">
        <v>329</v>
      </c>
      <c r="U5" s="444" t="s">
        <v>323</v>
      </c>
      <c r="V5" s="444" t="s">
        <v>324</v>
      </c>
      <c r="W5" s="444" t="s">
        <v>323</v>
      </c>
      <c r="X5" s="444" t="s">
        <v>324</v>
      </c>
      <c r="Y5" s="444" t="s">
        <v>323</v>
      </c>
      <c r="Z5" s="444" t="s">
        <v>324</v>
      </c>
      <c r="AA5" s="444" t="s">
        <v>314</v>
      </c>
      <c r="AB5" s="444" t="s">
        <v>315</v>
      </c>
      <c r="AC5" s="444" t="s">
        <v>316</v>
      </c>
      <c r="AD5" s="444" t="s">
        <v>330</v>
      </c>
      <c r="AE5" s="448"/>
    </row>
    <row r="6" spans="1:31">
      <c r="A6" s="130">
        <v>1</v>
      </c>
      <c r="B6" s="50"/>
      <c r="C6" s="50"/>
      <c r="D6" s="50"/>
      <c r="E6" s="50"/>
      <c r="F6" s="433">
        <f t="shared" ref="F6:F34" si="0">IF(D6="",0,IF(DAY(D6)=1,IF(D6=0,0,DATE(YEAR(D6),MONTH(D6)+E6*12,DAY(D6))),IF(D6=0,0,DATE(YEAR(D6),MONTH(D6)+E6*12,DAY(D6)-1))))</f>
        <v>0</v>
      </c>
      <c r="G6" s="80"/>
      <c r="H6" s="80"/>
      <c r="I6" s="80"/>
      <c r="J6" s="80"/>
      <c r="K6" s="80"/>
      <c r="L6" s="242">
        <f>I6+J6-K6</f>
        <v>0</v>
      </c>
      <c r="M6" s="430"/>
      <c r="N6" s="450"/>
      <c r="O6" s="245"/>
      <c r="P6" s="24">
        <f t="shared" ref="P6:P38" si="1">M6+N6-O6</f>
        <v>0</v>
      </c>
      <c r="Q6" s="80"/>
      <c r="R6" s="80"/>
      <c r="S6" s="80"/>
      <c r="T6" s="24">
        <f t="shared" ref="T6:T34" si="2">Q6+R6-S6</f>
        <v>0</v>
      </c>
      <c r="U6" s="80"/>
      <c r="V6" s="80"/>
      <c r="W6" s="80"/>
      <c r="X6" s="80"/>
      <c r="Y6" s="80"/>
      <c r="Z6" s="80"/>
      <c r="AA6" s="24">
        <f t="shared" ref="AA6:AA34" si="3">L6+U6-V6</f>
        <v>0</v>
      </c>
      <c r="AB6" s="24">
        <f t="shared" ref="AB6:AB34" si="4">P6+W6-X6</f>
        <v>0</v>
      </c>
      <c r="AC6" s="24">
        <f t="shared" ref="AC6:AC34" si="5">T6+Y6-Z6</f>
        <v>0</v>
      </c>
      <c r="AD6" s="24">
        <f t="shared" ref="AD6:AD34" si="6">ROUND(AA6-AB6-AC6,2)</f>
        <v>0</v>
      </c>
      <c r="AE6" s="50"/>
    </row>
    <row r="7" spans="1:31">
      <c r="A7" s="130">
        <v>2</v>
      </c>
      <c r="B7" s="50"/>
      <c r="C7" s="50"/>
      <c r="D7" s="50"/>
      <c r="E7" s="50"/>
      <c r="F7" s="433">
        <f t="shared" si="0"/>
        <v>0</v>
      </c>
      <c r="G7" s="80"/>
      <c r="H7" s="80"/>
      <c r="I7" s="80"/>
      <c r="J7" s="80"/>
      <c r="K7" s="80"/>
      <c r="L7" s="242">
        <f t="shared" ref="L6:L38" si="7">I7+J7-K7</f>
        <v>0</v>
      </c>
      <c r="M7" s="430"/>
      <c r="N7" s="450"/>
      <c r="O7" s="245"/>
      <c r="P7" s="24">
        <f t="shared" si="1"/>
        <v>0</v>
      </c>
      <c r="Q7" s="80"/>
      <c r="R7" s="80"/>
      <c r="S7" s="80"/>
      <c r="T7" s="24">
        <f t="shared" si="2"/>
        <v>0</v>
      </c>
      <c r="U7" s="80"/>
      <c r="V7" s="80"/>
      <c r="W7" s="80"/>
      <c r="X7" s="80"/>
      <c r="Y7" s="80"/>
      <c r="Z7" s="80"/>
      <c r="AA7" s="24">
        <f t="shared" si="3"/>
        <v>0</v>
      </c>
      <c r="AB7" s="24">
        <f t="shared" si="4"/>
        <v>0</v>
      </c>
      <c r="AC7" s="24">
        <f t="shared" si="5"/>
        <v>0</v>
      </c>
      <c r="AD7" s="24">
        <f t="shared" si="6"/>
        <v>0</v>
      </c>
      <c r="AE7" s="50"/>
    </row>
    <row r="8" spans="1:31">
      <c r="A8" s="130">
        <v>3</v>
      </c>
      <c r="B8" s="50"/>
      <c r="C8" s="50"/>
      <c r="D8" s="50"/>
      <c r="E8" s="50"/>
      <c r="F8" s="433">
        <f t="shared" si="0"/>
        <v>0</v>
      </c>
      <c r="G8" s="80"/>
      <c r="H8" s="80"/>
      <c r="I8" s="80"/>
      <c r="J8" s="80"/>
      <c r="K8" s="80"/>
      <c r="L8" s="242">
        <f t="shared" si="7"/>
        <v>0</v>
      </c>
      <c r="M8" s="430"/>
      <c r="N8" s="450"/>
      <c r="O8" s="245"/>
      <c r="P8" s="24">
        <f t="shared" si="1"/>
        <v>0</v>
      </c>
      <c r="Q8" s="80"/>
      <c r="R8" s="80"/>
      <c r="S8" s="80"/>
      <c r="T8" s="24">
        <f t="shared" si="2"/>
        <v>0</v>
      </c>
      <c r="U8" s="80"/>
      <c r="V8" s="80"/>
      <c r="W8" s="80"/>
      <c r="X8" s="80"/>
      <c r="Y8" s="80"/>
      <c r="Z8" s="80"/>
      <c r="AA8" s="24">
        <f t="shared" si="3"/>
        <v>0</v>
      </c>
      <c r="AB8" s="24">
        <f t="shared" si="4"/>
        <v>0</v>
      </c>
      <c r="AC8" s="24">
        <f t="shared" si="5"/>
        <v>0</v>
      </c>
      <c r="AD8" s="24">
        <f t="shared" si="6"/>
        <v>0</v>
      </c>
      <c r="AE8" s="50"/>
    </row>
    <row r="9" spans="1:31">
      <c r="A9" s="130">
        <v>4</v>
      </c>
      <c r="B9" s="50"/>
      <c r="C9" s="50"/>
      <c r="D9" s="50"/>
      <c r="E9" s="50"/>
      <c r="F9" s="433">
        <f t="shared" si="0"/>
        <v>0</v>
      </c>
      <c r="G9" s="80"/>
      <c r="H9" s="80"/>
      <c r="I9" s="80"/>
      <c r="J9" s="80"/>
      <c r="K9" s="80"/>
      <c r="L9" s="242">
        <f t="shared" si="7"/>
        <v>0</v>
      </c>
      <c r="M9" s="430"/>
      <c r="N9" s="450"/>
      <c r="O9" s="245"/>
      <c r="P9" s="24">
        <f t="shared" si="1"/>
        <v>0</v>
      </c>
      <c r="Q9" s="80"/>
      <c r="R9" s="80"/>
      <c r="S9" s="80"/>
      <c r="T9" s="24">
        <f t="shared" si="2"/>
        <v>0</v>
      </c>
      <c r="U9" s="80"/>
      <c r="V9" s="80"/>
      <c r="W9" s="80"/>
      <c r="X9" s="80"/>
      <c r="Y9" s="80"/>
      <c r="Z9" s="80"/>
      <c r="AA9" s="24">
        <f t="shared" si="3"/>
        <v>0</v>
      </c>
      <c r="AB9" s="24">
        <f t="shared" si="4"/>
        <v>0</v>
      </c>
      <c r="AC9" s="24">
        <f t="shared" si="5"/>
        <v>0</v>
      </c>
      <c r="AD9" s="24">
        <f t="shared" si="6"/>
        <v>0</v>
      </c>
      <c r="AE9" s="50"/>
    </row>
    <row r="10" spans="1:31">
      <c r="A10" s="130">
        <v>5</v>
      </c>
      <c r="B10" s="50"/>
      <c r="C10" s="50"/>
      <c r="D10" s="50"/>
      <c r="E10" s="50"/>
      <c r="F10" s="433">
        <f t="shared" si="0"/>
        <v>0</v>
      </c>
      <c r="G10" s="80"/>
      <c r="H10" s="80"/>
      <c r="I10" s="80"/>
      <c r="J10" s="80"/>
      <c r="K10" s="80"/>
      <c r="L10" s="242">
        <f t="shared" si="7"/>
        <v>0</v>
      </c>
      <c r="M10" s="430"/>
      <c r="N10" s="450"/>
      <c r="O10" s="245"/>
      <c r="P10" s="24">
        <f t="shared" si="1"/>
        <v>0</v>
      </c>
      <c r="Q10" s="80"/>
      <c r="R10" s="80"/>
      <c r="S10" s="80"/>
      <c r="T10" s="24">
        <f t="shared" si="2"/>
        <v>0</v>
      </c>
      <c r="U10" s="80"/>
      <c r="V10" s="80"/>
      <c r="W10" s="80"/>
      <c r="X10" s="80"/>
      <c r="Y10" s="80"/>
      <c r="Z10" s="80"/>
      <c r="AA10" s="24">
        <f t="shared" si="3"/>
        <v>0</v>
      </c>
      <c r="AB10" s="24">
        <f t="shared" si="4"/>
        <v>0</v>
      </c>
      <c r="AC10" s="24">
        <f t="shared" si="5"/>
        <v>0</v>
      </c>
      <c r="AD10" s="24">
        <f t="shared" si="6"/>
        <v>0</v>
      </c>
      <c r="AE10" s="50"/>
    </row>
    <row r="11" spans="1:31">
      <c r="A11" s="130">
        <v>6</v>
      </c>
      <c r="B11" s="50"/>
      <c r="C11" s="50"/>
      <c r="D11" s="50"/>
      <c r="E11" s="50"/>
      <c r="F11" s="433">
        <f t="shared" si="0"/>
        <v>0</v>
      </c>
      <c r="G11" s="80"/>
      <c r="H11" s="80"/>
      <c r="I11" s="80"/>
      <c r="J11" s="80"/>
      <c r="K11" s="80"/>
      <c r="L11" s="242">
        <f t="shared" si="7"/>
        <v>0</v>
      </c>
      <c r="M11" s="430"/>
      <c r="N11" s="450"/>
      <c r="O11" s="245"/>
      <c r="P11" s="24">
        <f t="shared" si="1"/>
        <v>0</v>
      </c>
      <c r="Q11" s="80"/>
      <c r="R11" s="80"/>
      <c r="S11" s="80"/>
      <c r="T11" s="24">
        <f t="shared" si="2"/>
        <v>0</v>
      </c>
      <c r="U11" s="80"/>
      <c r="V11" s="80"/>
      <c r="W11" s="80"/>
      <c r="X11" s="80"/>
      <c r="Y11" s="80"/>
      <c r="Z11" s="80"/>
      <c r="AA11" s="24">
        <f t="shared" si="3"/>
        <v>0</v>
      </c>
      <c r="AB11" s="24">
        <f t="shared" si="4"/>
        <v>0</v>
      </c>
      <c r="AC11" s="24">
        <f t="shared" si="5"/>
        <v>0</v>
      </c>
      <c r="AD11" s="24">
        <f t="shared" si="6"/>
        <v>0</v>
      </c>
      <c r="AE11" s="50"/>
    </row>
    <row r="12" spans="1:31">
      <c r="A12" s="130">
        <v>7</v>
      </c>
      <c r="B12" s="50"/>
      <c r="C12" s="50"/>
      <c r="D12" s="50"/>
      <c r="E12" s="50"/>
      <c r="F12" s="433">
        <f t="shared" si="0"/>
        <v>0</v>
      </c>
      <c r="G12" s="80"/>
      <c r="H12" s="80"/>
      <c r="I12" s="80"/>
      <c r="J12" s="80"/>
      <c r="K12" s="80"/>
      <c r="L12" s="242">
        <f t="shared" si="7"/>
        <v>0</v>
      </c>
      <c r="M12" s="430"/>
      <c r="N12" s="450"/>
      <c r="O12" s="245"/>
      <c r="P12" s="24">
        <f t="shared" si="1"/>
        <v>0</v>
      </c>
      <c r="Q12" s="80"/>
      <c r="R12" s="80"/>
      <c r="S12" s="80"/>
      <c r="T12" s="24">
        <f t="shared" si="2"/>
        <v>0</v>
      </c>
      <c r="U12" s="80"/>
      <c r="V12" s="80"/>
      <c r="W12" s="80"/>
      <c r="X12" s="80"/>
      <c r="Y12" s="80"/>
      <c r="Z12" s="80"/>
      <c r="AA12" s="24">
        <f t="shared" si="3"/>
        <v>0</v>
      </c>
      <c r="AB12" s="24">
        <f t="shared" si="4"/>
        <v>0</v>
      </c>
      <c r="AC12" s="24">
        <f t="shared" si="5"/>
        <v>0</v>
      </c>
      <c r="AD12" s="24">
        <f t="shared" si="6"/>
        <v>0</v>
      </c>
      <c r="AE12" s="50"/>
    </row>
    <row r="13" spans="1:31">
      <c r="A13" s="130">
        <v>8</v>
      </c>
      <c r="B13" s="50"/>
      <c r="C13" s="50"/>
      <c r="D13" s="50"/>
      <c r="E13" s="50"/>
      <c r="F13" s="433">
        <f t="shared" si="0"/>
        <v>0</v>
      </c>
      <c r="G13" s="80"/>
      <c r="H13" s="80"/>
      <c r="I13" s="80"/>
      <c r="J13" s="80"/>
      <c r="K13" s="80"/>
      <c r="L13" s="242">
        <f t="shared" si="7"/>
        <v>0</v>
      </c>
      <c r="M13" s="430"/>
      <c r="N13" s="450"/>
      <c r="O13" s="245"/>
      <c r="P13" s="24">
        <f t="shared" si="1"/>
        <v>0</v>
      </c>
      <c r="Q13" s="80"/>
      <c r="R13" s="80"/>
      <c r="S13" s="80"/>
      <c r="T13" s="24">
        <f t="shared" si="2"/>
        <v>0</v>
      </c>
      <c r="U13" s="80"/>
      <c r="V13" s="80"/>
      <c r="W13" s="80"/>
      <c r="X13" s="80"/>
      <c r="Y13" s="80"/>
      <c r="Z13" s="80"/>
      <c r="AA13" s="24">
        <f t="shared" si="3"/>
        <v>0</v>
      </c>
      <c r="AB13" s="24">
        <f t="shared" si="4"/>
        <v>0</v>
      </c>
      <c r="AC13" s="24">
        <f t="shared" si="5"/>
        <v>0</v>
      </c>
      <c r="AD13" s="24">
        <f t="shared" si="6"/>
        <v>0</v>
      </c>
      <c r="AE13" s="50"/>
    </row>
    <row r="14" spans="1:31">
      <c r="A14" s="130">
        <v>9</v>
      </c>
      <c r="B14" s="50"/>
      <c r="C14" s="50"/>
      <c r="D14" s="50"/>
      <c r="E14" s="50"/>
      <c r="F14" s="433">
        <f t="shared" si="0"/>
        <v>0</v>
      </c>
      <c r="G14" s="80"/>
      <c r="H14" s="80"/>
      <c r="I14" s="80"/>
      <c r="J14" s="80"/>
      <c r="K14" s="80"/>
      <c r="L14" s="242">
        <f t="shared" si="7"/>
        <v>0</v>
      </c>
      <c r="M14" s="430"/>
      <c r="N14" s="450"/>
      <c r="O14" s="245"/>
      <c r="P14" s="24">
        <f t="shared" si="1"/>
        <v>0</v>
      </c>
      <c r="Q14" s="80"/>
      <c r="R14" s="80"/>
      <c r="S14" s="80"/>
      <c r="T14" s="24">
        <f t="shared" si="2"/>
        <v>0</v>
      </c>
      <c r="U14" s="80"/>
      <c r="V14" s="80"/>
      <c r="W14" s="80"/>
      <c r="X14" s="80"/>
      <c r="Y14" s="80"/>
      <c r="Z14" s="80"/>
      <c r="AA14" s="24">
        <f t="shared" si="3"/>
        <v>0</v>
      </c>
      <c r="AB14" s="24">
        <f t="shared" si="4"/>
        <v>0</v>
      </c>
      <c r="AC14" s="24">
        <f t="shared" si="5"/>
        <v>0</v>
      </c>
      <c r="AD14" s="24">
        <f t="shared" si="6"/>
        <v>0</v>
      </c>
      <c r="AE14" s="50"/>
    </row>
    <row r="15" spans="1:31">
      <c r="A15" s="130">
        <v>10</v>
      </c>
      <c r="B15" s="50"/>
      <c r="C15" s="50"/>
      <c r="D15" s="50"/>
      <c r="E15" s="50"/>
      <c r="F15" s="433">
        <f t="shared" si="0"/>
        <v>0</v>
      </c>
      <c r="G15" s="80"/>
      <c r="H15" s="80"/>
      <c r="I15" s="80"/>
      <c r="J15" s="80"/>
      <c r="K15" s="80"/>
      <c r="L15" s="242">
        <f t="shared" si="7"/>
        <v>0</v>
      </c>
      <c r="M15" s="430"/>
      <c r="N15" s="450"/>
      <c r="O15" s="245"/>
      <c r="P15" s="24">
        <f t="shared" si="1"/>
        <v>0</v>
      </c>
      <c r="Q15" s="80"/>
      <c r="R15" s="80"/>
      <c r="S15" s="80"/>
      <c r="T15" s="24">
        <f t="shared" si="2"/>
        <v>0</v>
      </c>
      <c r="U15" s="80"/>
      <c r="V15" s="80"/>
      <c r="W15" s="80"/>
      <c r="X15" s="80"/>
      <c r="Y15" s="80"/>
      <c r="Z15" s="80"/>
      <c r="AA15" s="24">
        <f t="shared" si="3"/>
        <v>0</v>
      </c>
      <c r="AB15" s="24">
        <f t="shared" si="4"/>
        <v>0</v>
      </c>
      <c r="AC15" s="24">
        <f t="shared" si="5"/>
        <v>0</v>
      </c>
      <c r="AD15" s="24">
        <f t="shared" si="6"/>
        <v>0</v>
      </c>
      <c r="AE15" s="50"/>
    </row>
    <row r="16" spans="1:31">
      <c r="A16" s="130">
        <v>11</v>
      </c>
      <c r="B16" s="50"/>
      <c r="C16" s="50"/>
      <c r="D16" s="50"/>
      <c r="E16" s="50"/>
      <c r="F16" s="433">
        <f t="shared" si="0"/>
        <v>0</v>
      </c>
      <c r="G16" s="80"/>
      <c r="H16" s="80"/>
      <c r="I16" s="80"/>
      <c r="J16" s="80"/>
      <c r="K16" s="80"/>
      <c r="L16" s="242">
        <f t="shared" si="7"/>
        <v>0</v>
      </c>
      <c r="M16" s="430"/>
      <c r="N16" s="450"/>
      <c r="O16" s="245"/>
      <c r="P16" s="24">
        <f t="shared" si="1"/>
        <v>0</v>
      </c>
      <c r="Q16" s="80"/>
      <c r="R16" s="80"/>
      <c r="S16" s="80"/>
      <c r="T16" s="24">
        <f t="shared" si="2"/>
        <v>0</v>
      </c>
      <c r="U16" s="80"/>
      <c r="V16" s="80"/>
      <c r="W16" s="80"/>
      <c r="X16" s="80"/>
      <c r="Y16" s="80"/>
      <c r="Z16" s="80"/>
      <c r="AA16" s="24">
        <f t="shared" si="3"/>
        <v>0</v>
      </c>
      <c r="AB16" s="24">
        <f t="shared" si="4"/>
        <v>0</v>
      </c>
      <c r="AC16" s="24">
        <f t="shared" si="5"/>
        <v>0</v>
      </c>
      <c r="AD16" s="24">
        <f t="shared" si="6"/>
        <v>0</v>
      </c>
      <c r="AE16" s="50"/>
    </row>
    <row r="17" spans="1:31">
      <c r="A17" s="130">
        <v>12</v>
      </c>
      <c r="B17" s="50"/>
      <c r="C17" s="50"/>
      <c r="D17" s="50"/>
      <c r="E17" s="50"/>
      <c r="F17" s="433">
        <f t="shared" si="0"/>
        <v>0</v>
      </c>
      <c r="G17" s="80"/>
      <c r="H17" s="80"/>
      <c r="I17" s="80"/>
      <c r="J17" s="80"/>
      <c r="K17" s="80"/>
      <c r="L17" s="242">
        <f t="shared" si="7"/>
        <v>0</v>
      </c>
      <c r="M17" s="430"/>
      <c r="N17" s="450"/>
      <c r="O17" s="245"/>
      <c r="P17" s="24">
        <f t="shared" si="1"/>
        <v>0</v>
      </c>
      <c r="Q17" s="80"/>
      <c r="R17" s="80"/>
      <c r="S17" s="80"/>
      <c r="T17" s="24">
        <f t="shared" si="2"/>
        <v>0</v>
      </c>
      <c r="U17" s="80"/>
      <c r="V17" s="80"/>
      <c r="W17" s="80"/>
      <c r="X17" s="80"/>
      <c r="Y17" s="80"/>
      <c r="Z17" s="80"/>
      <c r="AA17" s="24">
        <f t="shared" si="3"/>
        <v>0</v>
      </c>
      <c r="AB17" s="24">
        <f t="shared" si="4"/>
        <v>0</v>
      </c>
      <c r="AC17" s="24">
        <f t="shared" si="5"/>
        <v>0</v>
      </c>
      <c r="AD17" s="24">
        <f t="shared" si="6"/>
        <v>0</v>
      </c>
      <c r="AE17" s="50"/>
    </row>
    <row r="18" spans="1:31">
      <c r="A18" s="130">
        <v>13</v>
      </c>
      <c r="B18" s="50"/>
      <c r="C18" s="50"/>
      <c r="D18" s="50"/>
      <c r="E18" s="50"/>
      <c r="F18" s="433">
        <f t="shared" si="0"/>
        <v>0</v>
      </c>
      <c r="G18" s="80"/>
      <c r="H18" s="80"/>
      <c r="I18" s="80"/>
      <c r="J18" s="80"/>
      <c r="K18" s="80"/>
      <c r="L18" s="242">
        <f t="shared" si="7"/>
        <v>0</v>
      </c>
      <c r="M18" s="430"/>
      <c r="N18" s="450"/>
      <c r="O18" s="245"/>
      <c r="P18" s="24">
        <f t="shared" si="1"/>
        <v>0</v>
      </c>
      <c r="Q18" s="80"/>
      <c r="R18" s="80"/>
      <c r="S18" s="80"/>
      <c r="T18" s="24">
        <f t="shared" si="2"/>
        <v>0</v>
      </c>
      <c r="U18" s="80"/>
      <c r="V18" s="80"/>
      <c r="W18" s="80"/>
      <c r="X18" s="80"/>
      <c r="Y18" s="80"/>
      <c r="Z18" s="80"/>
      <c r="AA18" s="24">
        <f t="shared" si="3"/>
        <v>0</v>
      </c>
      <c r="AB18" s="24">
        <f t="shared" si="4"/>
        <v>0</v>
      </c>
      <c r="AC18" s="24">
        <f t="shared" si="5"/>
        <v>0</v>
      </c>
      <c r="AD18" s="24">
        <f t="shared" si="6"/>
        <v>0</v>
      </c>
      <c r="AE18" s="50"/>
    </row>
    <row r="19" spans="1:31">
      <c r="A19" s="130">
        <v>14</v>
      </c>
      <c r="B19" s="50"/>
      <c r="C19" s="50"/>
      <c r="D19" s="50"/>
      <c r="E19" s="50"/>
      <c r="F19" s="433">
        <f t="shared" si="0"/>
        <v>0</v>
      </c>
      <c r="G19" s="80"/>
      <c r="H19" s="80"/>
      <c r="I19" s="80"/>
      <c r="J19" s="80"/>
      <c r="K19" s="80"/>
      <c r="L19" s="242">
        <f t="shared" si="7"/>
        <v>0</v>
      </c>
      <c r="M19" s="430"/>
      <c r="N19" s="450"/>
      <c r="O19" s="245"/>
      <c r="P19" s="24">
        <f t="shared" si="1"/>
        <v>0</v>
      </c>
      <c r="Q19" s="80"/>
      <c r="R19" s="80"/>
      <c r="S19" s="80"/>
      <c r="T19" s="24">
        <f t="shared" si="2"/>
        <v>0</v>
      </c>
      <c r="U19" s="80"/>
      <c r="V19" s="80"/>
      <c r="W19" s="80"/>
      <c r="X19" s="80"/>
      <c r="Y19" s="80"/>
      <c r="Z19" s="80"/>
      <c r="AA19" s="24">
        <f t="shared" si="3"/>
        <v>0</v>
      </c>
      <c r="AB19" s="24">
        <f t="shared" si="4"/>
        <v>0</v>
      </c>
      <c r="AC19" s="24">
        <f t="shared" si="5"/>
        <v>0</v>
      </c>
      <c r="AD19" s="24">
        <f t="shared" si="6"/>
        <v>0</v>
      </c>
      <c r="AE19" s="50"/>
    </row>
    <row r="20" spans="1:31">
      <c r="A20" s="130">
        <v>15</v>
      </c>
      <c r="B20" s="50"/>
      <c r="C20" s="50"/>
      <c r="D20" s="50"/>
      <c r="E20" s="50"/>
      <c r="F20" s="433">
        <f t="shared" si="0"/>
        <v>0</v>
      </c>
      <c r="G20" s="80"/>
      <c r="H20" s="80"/>
      <c r="I20" s="80"/>
      <c r="J20" s="80"/>
      <c r="K20" s="80"/>
      <c r="L20" s="242">
        <f t="shared" si="7"/>
        <v>0</v>
      </c>
      <c r="M20" s="430"/>
      <c r="N20" s="450"/>
      <c r="O20" s="245"/>
      <c r="P20" s="24">
        <f t="shared" si="1"/>
        <v>0</v>
      </c>
      <c r="Q20" s="80"/>
      <c r="R20" s="80"/>
      <c r="S20" s="80"/>
      <c r="T20" s="24">
        <f t="shared" si="2"/>
        <v>0</v>
      </c>
      <c r="U20" s="80"/>
      <c r="V20" s="80"/>
      <c r="W20" s="80"/>
      <c r="X20" s="80"/>
      <c r="Y20" s="80"/>
      <c r="Z20" s="80"/>
      <c r="AA20" s="24">
        <f t="shared" si="3"/>
        <v>0</v>
      </c>
      <c r="AB20" s="24">
        <f t="shared" si="4"/>
        <v>0</v>
      </c>
      <c r="AC20" s="24">
        <f t="shared" si="5"/>
        <v>0</v>
      </c>
      <c r="AD20" s="24">
        <f t="shared" si="6"/>
        <v>0</v>
      </c>
      <c r="AE20" s="50"/>
    </row>
    <row r="21" spans="1:31">
      <c r="A21" s="130">
        <v>16</v>
      </c>
      <c r="B21" s="50"/>
      <c r="C21" s="50"/>
      <c r="D21" s="451"/>
      <c r="E21" s="452"/>
      <c r="F21" s="433">
        <f t="shared" si="0"/>
        <v>0</v>
      </c>
      <c r="G21" s="80"/>
      <c r="H21" s="80"/>
      <c r="I21" s="80"/>
      <c r="J21" s="80"/>
      <c r="K21" s="80"/>
      <c r="L21" s="242">
        <f t="shared" si="7"/>
        <v>0</v>
      </c>
      <c r="M21" s="430"/>
      <c r="N21" s="450"/>
      <c r="O21" s="245"/>
      <c r="P21" s="24">
        <f t="shared" si="1"/>
        <v>0</v>
      </c>
      <c r="Q21" s="80"/>
      <c r="R21" s="80"/>
      <c r="S21" s="80"/>
      <c r="T21" s="24">
        <f t="shared" si="2"/>
        <v>0</v>
      </c>
      <c r="U21" s="80"/>
      <c r="V21" s="80"/>
      <c r="W21" s="80"/>
      <c r="X21" s="80"/>
      <c r="Y21" s="80"/>
      <c r="Z21" s="80"/>
      <c r="AA21" s="24">
        <f t="shared" si="3"/>
        <v>0</v>
      </c>
      <c r="AB21" s="24">
        <f t="shared" si="4"/>
        <v>0</v>
      </c>
      <c r="AC21" s="24">
        <f t="shared" si="5"/>
        <v>0</v>
      </c>
      <c r="AD21" s="24">
        <f t="shared" si="6"/>
        <v>0</v>
      </c>
      <c r="AE21" s="50"/>
    </row>
    <row r="22" spans="1:31">
      <c r="A22" s="130">
        <v>17</v>
      </c>
      <c r="B22" s="50"/>
      <c r="C22" s="50"/>
      <c r="D22" s="50"/>
      <c r="E22" s="50"/>
      <c r="F22" s="433">
        <f t="shared" si="0"/>
        <v>0</v>
      </c>
      <c r="G22" s="80"/>
      <c r="H22" s="80"/>
      <c r="I22" s="80"/>
      <c r="J22" s="80"/>
      <c r="K22" s="80"/>
      <c r="L22" s="242">
        <f t="shared" si="7"/>
        <v>0</v>
      </c>
      <c r="M22" s="430"/>
      <c r="N22" s="450"/>
      <c r="O22" s="245"/>
      <c r="P22" s="24">
        <f t="shared" si="1"/>
        <v>0</v>
      </c>
      <c r="Q22" s="80"/>
      <c r="R22" s="80"/>
      <c r="S22" s="80"/>
      <c r="T22" s="24">
        <f t="shared" si="2"/>
        <v>0</v>
      </c>
      <c r="U22" s="80"/>
      <c r="V22" s="80"/>
      <c r="W22" s="80"/>
      <c r="X22" s="80"/>
      <c r="Y22" s="80"/>
      <c r="Z22" s="80"/>
      <c r="AA22" s="24">
        <f t="shared" si="3"/>
        <v>0</v>
      </c>
      <c r="AB22" s="24">
        <f t="shared" si="4"/>
        <v>0</v>
      </c>
      <c r="AC22" s="24">
        <f t="shared" si="5"/>
        <v>0</v>
      </c>
      <c r="AD22" s="24">
        <f t="shared" si="6"/>
        <v>0</v>
      </c>
      <c r="AE22" s="50"/>
    </row>
    <row r="23" spans="1:31">
      <c r="A23" s="130">
        <v>18</v>
      </c>
      <c r="B23" s="50"/>
      <c r="C23" s="50"/>
      <c r="D23" s="50"/>
      <c r="E23" s="50"/>
      <c r="F23" s="433">
        <f t="shared" si="0"/>
        <v>0</v>
      </c>
      <c r="G23" s="80"/>
      <c r="H23" s="80"/>
      <c r="I23" s="80"/>
      <c r="J23" s="80"/>
      <c r="K23" s="80"/>
      <c r="L23" s="242">
        <f t="shared" si="7"/>
        <v>0</v>
      </c>
      <c r="M23" s="430"/>
      <c r="N23" s="450"/>
      <c r="O23" s="245"/>
      <c r="P23" s="24">
        <f t="shared" si="1"/>
        <v>0</v>
      </c>
      <c r="Q23" s="80"/>
      <c r="R23" s="80"/>
      <c r="S23" s="80"/>
      <c r="T23" s="24">
        <f t="shared" si="2"/>
        <v>0</v>
      </c>
      <c r="U23" s="80"/>
      <c r="V23" s="80"/>
      <c r="W23" s="80"/>
      <c r="X23" s="80"/>
      <c r="Y23" s="80"/>
      <c r="Z23" s="80"/>
      <c r="AA23" s="24">
        <f t="shared" si="3"/>
        <v>0</v>
      </c>
      <c r="AB23" s="24">
        <f t="shared" si="4"/>
        <v>0</v>
      </c>
      <c r="AC23" s="24">
        <f t="shared" si="5"/>
        <v>0</v>
      </c>
      <c r="AD23" s="24">
        <f t="shared" si="6"/>
        <v>0</v>
      </c>
      <c r="AE23" s="50"/>
    </row>
    <row r="24" spans="1:31">
      <c r="A24" s="130">
        <v>19</v>
      </c>
      <c r="B24" s="50"/>
      <c r="C24" s="50"/>
      <c r="D24" s="50"/>
      <c r="E24" s="50"/>
      <c r="F24" s="433">
        <f t="shared" si="0"/>
        <v>0</v>
      </c>
      <c r="G24" s="80"/>
      <c r="H24" s="80"/>
      <c r="I24" s="80"/>
      <c r="J24" s="80"/>
      <c r="K24" s="80"/>
      <c r="L24" s="242">
        <f t="shared" si="7"/>
        <v>0</v>
      </c>
      <c r="M24" s="430"/>
      <c r="N24" s="450"/>
      <c r="O24" s="245"/>
      <c r="P24" s="24">
        <f t="shared" si="1"/>
        <v>0</v>
      </c>
      <c r="Q24" s="80"/>
      <c r="R24" s="80"/>
      <c r="S24" s="80"/>
      <c r="T24" s="24">
        <f t="shared" si="2"/>
        <v>0</v>
      </c>
      <c r="U24" s="80"/>
      <c r="V24" s="80"/>
      <c r="W24" s="80"/>
      <c r="X24" s="80"/>
      <c r="Y24" s="80"/>
      <c r="Z24" s="80"/>
      <c r="AA24" s="24">
        <f t="shared" si="3"/>
        <v>0</v>
      </c>
      <c r="AB24" s="24">
        <f t="shared" si="4"/>
        <v>0</v>
      </c>
      <c r="AC24" s="24">
        <f t="shared" si="5"/>
        <v>0</v>
      </c>
      <c r="AD24" s="24">
        <f t="shared" si="6"/>
        <v>0</v>
      </c>
      <c r="AE24" s="50"/>
    </row>
    <row r="25" spans="1:31">
      <c r="A25" s="130">
        <v>20</v>
      </c>
      <c r="B25" s="50"/>
      <c r="C25" s="50"/>
      <c r="D25" s="50"/>
      <c r="E25" s="50"/>
      <c r="F25" s="433">
        <f t="shared" si="0"/>
        <v>0</v>
      </c>
      <c r="G25" s="80"/>
      <c r="H25" s="80"/>
      <c r="I25" s="80"/>
      <c r="J25" s="80"/>
      <c r="K25" s="80"/>
      <c r="L25" s="242">
        <f t="shared" si="7"/>
        <v>0</v>
      </c>
      <c r="M25" s="430"/>
      <c r="N25" s="450"/>
      <c r="O25" s="245"/>
      <c r="P25" s="24">
        <f t="shared" si="1"/>
        <v>0</v>
      </c>
      <c r="Q25" s="80"/>
      <c r="R25" s="80"/>
      <c r="S25" s="80"/>
      <c r="T25" s="24">
        <f t="shared" si="2"/>
        <v>0</v>
      </c>
      <c r="U25" s="80"/>
      <c r="V25" s="80"/>
      <c r="W25" s="80"/>
      <c r="X25" s="80"/>
      <c r="Y25" s="80"/>
      <c r="Z25" s="80"/>
      <c r="AA25" s="24">
        <f t="shared" si="3"/>
        <v>0</v>
      </c>
      <c r="AB25" s="24">
        <f t="shared" si="4"/>
        <v>0</v>
      </c>
      <c r="AC25" s="24">
        <f t="shared" si="5"/>
        <v>0</v>
      </c>
      <c r="AD25" s="24">
        <f t="shared" si="6"/>
        <v>0</v>
      </c>
      <c r="AE25" s="50"/>
    </row>
    <row r="26" spans="1:31">
      <c r="A26" s="130">
        <v>21</v>
      </c>
      <c r="B26" s="50"/>
      <c r="C26" s="50"/>
      <c r="D26" s="50"/>
      <c r="E26" s="50"/>
      <c r="F26" s="433">
        <f t="shared" si="0"/>
        <v>0</v>
      </c>
      <c r="G26" s="80"/>
      <c r="H26" s="80"/>
      <c r="I26" s="80"/>
      <c r="J26" s="80"/>
      <c r="K26" s="80"/>
      <c r="L26" s="242">
        <f t="shared" si="7"/>
        <v>0</v>
      </c>
      <c r="M26" s="430"/>
      <c r="N26" s="450"/>
      <c r="O26" s="245"/>
      <c r="P26" s="24">
        <f t="shared" si="1"/>
        <v>0</v>
      </c>
      <c r="Q26" s="80"/>
      <c r="R26" s="80"/>
      <c r="S26" s="80"/>
      <c r="T26" s="24">
        <f t="shared" si="2"/>
        <v>0</v>
      </c>
      <c r="U26" s="80"/>
      <c r="V26" s="80"/>
      <c r="W26" s="80"/>
      <c r="X26" s="80"/>
      <c r="Y26" s="80"/>
      <c r="Z26" s="80"/>
      <c r="AA26" s="24">
        <f t="shared" si="3"/>
        <v>0</v>
      </c>
      <c r="AB26" s="24">
        <f t="shared" si="4"/>
        <v>0</v>
      </c>
      <c r="AC26" s="24">
        <f t="shared" si="5"/>
        <v>0</v>
      </c>
      <c r="AD26" s="24">
        <f t="shared" si="6"/>
        <v>0</v>
      </c>
      <c r="AE26" s="50"/>
    </row>
    <row r="27" spans="1:31">
      <c r="A27" s="130">
        <v>22</v>
      </c>
      <c r="B27" s="50"/>
      <c r="C27" s="50"/>
      <c r="D27" s="50"/>
      <c r="E27" s="50"/>
      <c r="F27" s="433">
        <f t="shared" si="0"/>
        <v>0</v>
      </c>
      <c r="G27" s="80"/>
      <c r="H27" s="80"/>
      <c r="I27" s="80"/>
      <c r="J27" s="80"/>
      <c r="K27" s="80"/>
      <c r="L27" s="242">
        <f t="shared" si="7"/>
        <v>0</v>
      </c>
      <c r="M27" s="430"/>
      <c r="N27" s="450"/>
      <c r="O27" s="245"/>
      <c r="P27" s="24">
        <f t="shared" si="1"/>
        <v>0</v>
      </c>
      <c r="Q27" s="80"/>
      <c r="R27" s="80"/>
      <c r="S27" s="80"/>
      <c r="T27" s="24">
        <f t="shared" si="2"/>
        <v>0</v>
      </c>
      <c r="U27" s="80"/>
      <c r="V27" s="80"/>
      <c r="W27" s="80"/>
      <c r="X27" s="80"/>
      <c r="Y27" s="80"/>
      <c r="Z27" s="80"/>
      <c r="AA27" s="24">
        <f t="shared" si="3"/>
        <v>0</v>
      </c>
      <c r="AB27" s="24">
        <f t="shared" si="4"/>
        <v>0</v>
      </c>
      <c r="AC27" s="24">
        <f t="shared" si="5"/>
        <v>0</v>
      </c>
      <c r="AD27" s="24">
        <f t="shared" si="6"/>
        <v>0</v>
      </c>
      <c r="AE27" s="50"/>
    </row>
    <row r="28" spans="1:31">
      <c r="A28" s="130">
        <v>23</v>
      </c>
      <c r="B28" s="50"/>
      <c r="C28" s="50"/>
      <c r="D28" s="50"/>
      <c r="E28" s="50"/>
      <c r="F28" s="433">
        <f t="shared" si="0"/>
        <v>0</v>
      </c>
      <c r="G28" s="80"/>
      <c r="H28" s="80"/>
      <c r="I28" s="80"/>
      <c r="J28" s="80"/>
      <c r="K28" s="80"/>
      <c r="L28" s="242">
        <f t="shared" si="7"/>
        <v>0</v>
      </c>
      <c r="M28" s="430"/>
      <c r="N28" s="450"/>
      <c r="O28" s="245"/>
      <c r="P28" s="24">
        <f t="shared" si="1"/>
        <v>0</v>
      </c>
      <c r="Q28" s="80"/>
      <c r="R28" s="80"/>
      <c r="S28" s="80"/>
      <c r="T28" s="24">
        <f t="shared" si="2"/>
        <v>0</v>
      </c>
      <c r="U28" s="80"/>
      <c r="V28" s="80"/>
      <c r="W28" s="80"/>
      <c r="X28" s="80"/>
      <c r="Y28" s="80"/>
      <c r="Z28" s="80"/>
      <c r="AA28" s="24">
        <f t="shared" si="3"/>
        <v>0</v>
      </c>
      <c r="AB28" s="24">
        <f t="shared" si="4"/>
        <v>0</v>
      </c>
      <c r="AC28" s="24">
        <f t="shared" si="5"/>
        <v>0</v>
      </c>
      <c r="AD28" s="24">
        <f t="shared" si="6"/>
        <v>0</v>
      </c>
      <c r="AE28" s="50"/>
    </row>
    <row r="29" spans="1:31">
      <c r="A29" s="130">
        <v>24</v>
      </c>
      <c r="B29" s="50"/>
      <c r="C29" s="50"/>
      <c r="D29" s="50"/>
      <c r="E29" s="50"/>
      <c r="F29" s="433">
        <f t="shared" si="0"/>
        <v>0</v>
      </c>
      <c r="G29" s="80"/>
      <c r="H29" s="80"/>
      <c r="I29" s="80"/>
      <c r="J29" s="80"/>
      <c r="K29" s="80"/>
      <c r="L29" s="242">
        <f t="shared" si="7"/>
        <v>0</v>
      </c>
      <c r="M29" s="430"/>
      <c r="N29" s="450"/>
      <c r="O29" s="245"/>
      <c r="P29" s="24">
        <f t="shared" si="1"/>
        <v>0</v>
      </c>
      <c r="Q29" s="80"/>
      <c r="R29" s="80"/>
      <c r="S29" s="80"/>
      <c r="T29" s="24">
        <f t="shared" si="2"/>
        <v>0</v>
      </c>
      <c r="U29" s="80"/>
      <c r="V29" s="80"/>
      <c r="W29" s="80"/>
      <c r="X29" s="80"/>
      <c r="Y29" s="80"/>
      <c r="Z29" s="80"/>
      <c r="AA29" s="24">
        <f t="shared" si="3"/>
        <v>0</v>
      </c>
      <c r="AB29" s="24">
        <f t="shared" si="4"/>
        <v>0</v>
      </c>
      <c r="AC29" s="24">
        <f t="shared" si="5"/>
        <v>0</v>
      </c>
      <c r="AD29" s="24">
        <f t="shared" si="6"/>
        <v>0</v>
      </c>
      <c r="AE29" s="50"/>
    </row>
    <row r="30" spans="1:31">
      <c r="A30" s="130">
        <v>25</v>
      </c>
      <c r="B30" s="50"/>
      <c r="C30" s="50"/>
      <c r="D30" s="50"/>
      <c r="E30" s="50"/>
      <c r="F30" s="433">
        <f t="shared" si="0"/>
        <v>0</v>
      </c>
      <c r="G30" s="80"/>
      <c r="H30" s="80"/>
      <c r="I30" s="80"/>
      <c r="J30" s="80"/>
      <c r="K30" s="80"/>
      <c r="L30" s="242">
        <f t="shared" si="7"/>
        <v>0</v>
      </c>
      <c r="M30" s="430"/>
      <c r="N30" s="450"/>
      <c r="O30" s="245"/>
      <c r="P30" s="24">
        <f t="shared" si="1"/>
        <v>0</v>
      </c>
      <c r="Q30" s="80"/>
      <c r="R30" s="80"/>
      <c r="S30" s="80"/>
      <c r="T30" s="24">
        <f t="shared" si="2"/>
        <v>0</v>
      </c>
      <c r="U30" s="80"/>
      <c r="V30" s="80"/>
      <c r="W30" s="80"/>
      <c r="X30" s="80"/>
      <c r="Y30" s="80"/>
      <c r="Z30" s="80"/>
      <c r="AA30" s="24">
        <f t="shared" si="3"/>
        <v>0</v>
      </c>
      <c r="AB30" s="24">
        <f t="shared" si="4"/>
        <v>0</v>
      </c>
      <c r="AC30" s="24">
        <f t="shared" si="5"/>
        <v>0</v>
      </c>
      <c r="AD30" s="24">
        <f t="shared" si="6"/>
        <v>0</v>
      </c>
      <c r="AE30" s="50"/>
    </row>
    <row r="31" spans="1:31">
      <c r="A31" s="130">
        <v>26</v>
      </c>
      <c r="B31" s="50"/>
      <c r="C31" s="50"/>
      <c r="D31" s="50"/>
      <c r="E31" s="50"/>
      <c r="F31" s="433">
        <f t="shared" si="0"/>
        <v>0</v>
      </c>
      <c r="G31" s="80"/>
      <c r="H31" s="80"/>
      <c r="I31" s="80"/>
      <c r="J31" s="80"/>
      <c r="K31" s="80"/>
      <c r="L31" s="242">
        <f t="shared" si="7"/>
        <v>0</v>
      </c>
      <c r="M31" s="430"/>
      <c r="N31" s="450"/>
      <c r="O31" s="245"/>
      <c r="P31" s="24">
        <f t="shared" si="1"/>
        <v>0</v>
      </c>
      <c r="Q31" s="80"/>
      <c r="R31" s="80"/>
      <c r="S31" s="80"/>
      <c r="T31" s="24">
        <f t="shared" si="2"/>
        <v>0</v>
      </c>
      <c r="U31" s="80"/>
      <c r="V31" s="80"/>
      <c r="W31" s="80"/>
      <c r="X31" s="80"/>
      <c r="Y31" s="80"/>
      <c r="Z31" s="80"/>
      <c r="AA31" s="24">
        <f t="shared" si="3"/>
        <v>0</v>
      </c>
      <c r="AB31" s="24">
        <f t="shared" si="4"/>
        <v>0</v>
      </c>
      <c r="AC31" s="24">
        <f t="shared" si="5"/>
        <v>0</v>
      </c>
      <c r="AD31" s="24">
        <f t="shared" si="6"/>
        <v>0</v>
      </c>
      <c r="AE31" s="50"/>
    </row>
    <row r="32" spans="1:31">
      <c r="A32" s="130">
        <v>27</v>
      </c>
      <c r="B32" s="50"/>
      <c r="C32" s="50"/>
      <c r="D32" s="50"/>
      <c r="E32" s="50"/>
      <c r="F32" s="433">
        <f t="shared" si="0"/>
        <v>0</v>
      </c>
      <c r="G32" s="80"/>
      <c r="H32" s="80"/>
      <c r="I32" s="80"/>
      <c r="J32" s="80"/>
      <c r="K32" s="80"/>
      <c r="L32" s="242">
        <f t="shared" si="7"/>
        <v>0</v>
      </c>
      <c r="M32" s="430"/>
      <c r="N32" s="450"/>
      <c r="O32" s="245"/>
      <c r="P32" s="24">
        <f t="shared" si="1"/>
        <v>0</v>
      </c>
      <c r="Q32" s="80"/>
      <c r="R32" s="80"/>
      <c r="S32" s="80"/>
      <c r="T32" s="24">
        <f t="shared" si="2"/>
        <v>0</v>
      </c>
      <c r="U32" s="80"/>
      <c r="V32" s="80"/>
      <c r="W32" s="80"/>
      <c r="X32" s="80"/>
      <c r="Y32" s="80"/>
      <c r="Z32" s="80"/>
      <c r="AA32" s="24">
        <f t="shared" si="3"/>
        <v>0</v>
      </c>
      <c r="AB32" s="24">
        <f t="shared" si="4"/>
        <v>0</v>
      </c>
      <c r="AC32" s="24">
        <f t="shared" si="5"/>
        <v>0</v>
      </c>
      <c r="AD32" s="24">
        <f t="shared" si="6"/>
        <v>0</v>
      </c>
      <c r="AE32" s="50"/>
    </row>
    <row r="33" spans="1:31">
      <c r="A33" s="130">
        <v>28</v>
      </c>
      <c r="B33" s="50"/>
      <c r="C33" s="50"/>
      <c r="D33" s="50"/>
      <c r="E33" s="50"/>
      <c r="F33" s="433">
        <f t="shared" si="0"/>
        <v>0</v>
      </c>
      <c r="G33" s="80"/>
      <c r="H33" s="80"/>
      <c r="I33" s="80"/>
      <c r="J33" s="80"/>
      <c r="K33" s="80"/>
      <c r="L33" s="242">
        <f t="shared" si="7"/>
        <v>0</v>
      </c>
      <c r="M33" s="430"/>
      <c r="N33" s="450"/>
      <c r="O33" s="245"/>
      <c r="P33" s="24">
        <f t="shared" si="1"/>
        <v>0</v>
      </c>
      <c r="Q33" s="80"/>
      <c r="R33" s="80"/>
      <c r="S33" s="80"/>
      <c r="T33" s="24">
        <f t="shared" si="2"/>
        <v>0</v>
      </c>
      <c r="U33" s="80"/>
      <c r="V33" s="80"/>
      <c r="W33" s="80"/>
      <c r="X33" s="80"/>
      <c r="Y33" s="80"/>
      <c r="Z33" s="80"/>
      <c r="AA33" s="24">
        <f t="shared" si="3"/>
        <v>0</v>
      </c>
      <c r="AB33" s="24">
        <f t="shared" si="4"/>
        <v>0</v>
      </c>
      <c r="AC33" s="24">
        <f t="shared" si="5"/>
        <v>0</v>
      </c>
      <c r="AD33" s="24">
        <f t="shared" si="6"/>
        <v>0</v>
      </c>
      <c r="AE33" s="50"/>
    </row>
    <row r="34" spans="1:31">
      <c r="A34" s="130">
        <v>29</v>
      </c>
      <c r="B34" s="50"/>
      <c r="C34" s="50"/>
      <c r="D34" s="50"/>
      <c r="E34" s="50"/>
      <c r="F34" s="433">
        <f t="shared" si="0"/>
        <v>0</v>
      </c>
      <c r="G34" s="80"/>
      <c r="H34" s="80"/>
      <c r="I34" s="80"/>
      <c r="J34" s="80"/>
      <c r="K34" s="80"/>
      <c r="L34" s="242">
        <f t="shared" si="7"/>
        <v>0</v>
      </c>
      <c r="M34" s="430"/>
      <c r="N34" s="450"/>
      <c r="O34" s="245"/>
      <c r="P34" s="24">
        <f t="shared" si="1"/>
        <v>0</v>
      </c>
      <c r="Q34" s="80"/>
      <c r="R34" s="80"/>
      <c r="S34" s="80"/>
      <c r="T34" s="24">
        <f t="shared" si="2"/>
        <v>0</v>
      </c>
      <c r="U34" s="80"/>
      <c r="V34" s="80"/>
      <c r="W34" s="80"/>
      <c r="X34" s="80"/>
      <c r="Y34" s="80"/>
      <c r="Z34" s="80"/>
      <c r="AA34" s="24">
        <f t="shared" si="3"/>
        <v>0</v>
      </c>
      <c r="AB34" s="24">
        <f t="shared" si="4"/>
        <v>0</v>
      </c>
      <c r="AC34" s="24">
        <f t="shared" si="5"/>
        <v>0</v>
      </c>
      <c r="AD34" s="24">
        <f t="shared" si="6"/>
        <v>0</v>
      </c>
      <c r="AE34" s="50"/>
    </row>
    <row r="35" spans="1:31">
      <c r="A35" s="453" t="s">
        <v>217</v>
      </c>
      <c r="B35" s="438"/>
      <c r="C35" s="287"/>
      <c r="D35" s="287"/>
      <c r="E35" s="287"/>
      <c r="F35" s="454"/>
      <c r="G35" s="454"/>
      <c r="H35" s="454"/>
      <c r="I35" s="315">
        <f>ROUND(SUM(I6:I34),2)</f>
        <v>0</v>
      </c>
      <c r="J35" s="315">
        <f t="shared" ref="I35:AD35" si="8">ROUND(SUM(J6:J34),2)</f>
        <v>0</v>
      </c>
      <c r="K35" s="315">
        <f t="shared" si="8"/>
        <v>0</v>
      </c>
      <c r="L35" s="315">
        <f t="shared" si="8"/>
        <v>0</v>
      </c>
      <c r="M35" s="315">
        <f t="shared" si="8"/>
        <v>0</v>
      </c>
      <c r="N35" s="315">
        <f t="shared" si="8"/>
        <v>0</v>
      </c>
      <c r="O35" s="315">
        <f t="shared" si="8"/>
        <v>0</v>
      </c>
      <c r="P35" s="315">
        <f t="shared" si="8"/>
        <v>0</v>
      </c>
      <c r="Q35" s="315">
        <f t="shared" si="8"/>
        <v>0</v>
      </c>
      <c r="R35" s="315">
        <f t="shared" si="8"/>
        <v>0</v>
      </c>
      <c r="S35" s="315">
        <f t="shared" si="8"/>
        <v>0</v>
      </c>
      <c r="T35" s="315">
        <f t="shared" si="8"/>
        <v>0</v>
      </c>
      <c r="U35" s="315">
        <f t="shared" si="8"/>
        <v>0</v>
      </c>
      <c r="V35" s="315">
        <f t="shared" si="8"/>
        <v>0</v>
      </c>
      <c r="W35" s="315">
        <f t="shared" si="8"/>
        <v>0</v>
      </c>
      <c r="X35" s="315">
        <f t="shared" si="8"/>
        <v>0</v>
      </c>
      <c r="Y35" s="315">
        <f t="shared" si="8"/>
        <v>0</v>
      </c>
      <c r="Z35" s="315">
        <f t="shared" si="8"/>
        <v>0</v>
      </c>
      <c r="AA35" s="315">
        <f t="shared" si="8"/>
        <v>0</v>
      </c>
      <c r="AB35" s="315">
        <f t="shared" si="8"/>
        <v>0</v>
      </c>
      <c r="AC35" s="315">
        <f t="shared" si="8"/>
        <v>0</v>
      </c>
      <c r="AD35" s="315">
        <f t="shared" si="8"/>
        <v>0</v>
      </c>
      <c r="AE35" s="287"/>
    </row>
    <row r="37" ht="16" customHeight="1" spans="1:31">
      <c r="B37" s="29" t="s">
        <v>218</v>
      </c>
    </row>
    <row r="38" ht="16" customHeight="1"/>
    <row r="39" ht="16" customHeight="1"/>
    <row r="40" ht="16" customHeight="1"/>
  </sheetData>
  <mergeCells count="18">
    <mergeCell ref="A1:AD1"/>
    <mergeCell ref="I4:L4"/>
    <mergeCell ref="M4:P4"/>
    <mergeCell ref="Q4:T4"/>
    <mergeCell ref="U4:V4"/>
    <mergeCell ref="W4:X4"/>
    <mergeCell ref="Y4:Z4"/>
    <mergeCell ref="AA4:AD4"/>
    <mergeCell ref="A35:B35"/>
    <mergeCell ref="A4:A5"/>
    <mergeCell ref="B4:B5"/>
    <mergeCell ref="C4:C5"/>
    <mergeCell ref="D4:D5"/>
    <mergeCell ref="E4:E5"/>
    <mergeCell ref="F4:F5"/>
    <mergeCell ref="G4:G5"/>
    <mergeCell ref="H4:H5"/>
    <mergeCell ref="AE4:AE5"/>
  </mergeCells>
  <dataValidations count="1">
    <dataValidation allowBlank="1" showInputMessage="1" showErrorMessage="1" prompt="如果年限改为按月份填列，则本列公式删除“*12”即可" sqref="F6:F34"/>
  </dataValidation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S37"/>
  <sheetViews>
    <sheetView zoomScale="90" zoomScaleNormal="90" workbookViewId="0">
      <pane ySplit="5" topLeftCell="A27" activePane="bottomLeft" state="frozen"/>
      <selection/>
      <selection pane="bottomLeft" activeCell="J10" sqref="J10"/>
    </sheetView>
  </sheetViews>
  <sheetFormatPr defaultColWidth="8.73148148148148" defaultRowHeight="14.4"/>
  <cols>
    <col min="2" max="2" width="12.2222222222222" customWidth="1"/>
    <col min="3" max="3" width="13.1296296296296" customWidth="1"/>
    <col min="4" max="4" width="9.18518518518519" customWidth="1"/>
    <col min="5" max="5" width="10.9074074074074" customWidth="1"/>
    <col min="6" max="6" width="10.6018518518519" customWidth="1"/>
    <col min="10" max="10" width="13.6388888888889" customWidth="1"/>
    <col min="12" max="12" width="9.69444444444444" customWidth="1"/>
    <col min="17" max="17" width="15.8518518518519" customWidth="1"/>
  </cols>
  <sheetData>
    <row r="1" ht="29" customHeight="1" spans="1:19">
      <c r="A1" s="1" t="s">
        <v>331</v>
      </c>
      <c r="B1" s="1"/>
      <c r="C1" s="1"/>
      <c r="D1" s="1"/>
      <c r="E1" s="1"/>
      <c r="F1" s="1"/>
      <c r="G1" s="1"/>
      <c r="H1" s="1"/>
      <c r="I1" s="1"/>
      <c r="J1" s="1"/>
      <c r="K1" s="1"/>
      <c r="L1" s="1"/>
      <c r="M1" s="1"/>
      <c r="N1" s="1"/>
      <c r="O1" s="1"/>
      <c r="P1" s="1"/>
      <c r="Q1" s="1"/>
      <c r="R1" s="1"/>
      <c r="S1" s="1"/>
    </row>
    <row r="2" ht="15" customHeight="1" spans="1:19">
      <c r="A2" s="2" t="str">
        <f>备忘录!$A$1</f>
        <v>被审计单位：福禄福擎网络科技有限公司</v>
      </c>
      <c r="B2" s="4"/>
      <c r="C2" s="4"/>
      <c r="H2" s="4" t="s">
        <v>193</v>
      </c>
      <c r="L2" s="4"/>
      <c r="M2" s="4"/>
      <c r="N2" s="4" t="str">
        <f>备忘录!$C$2</f>
        <v>日期：2025/10/30</v>
      </c>
      <c r="O2" s="4"/>
    </row>
    <row r="3" ht="15" customHeight="1" spans="1:19">
      <c r="A3" s="2" t="str">
        <f>备忘录!$A$2</f>
        <v>财务报表截止日：2025/9/30</v>
      </c>
      <c r="B3" s="4"/>
      <c r="C3" s="4"/>
      <c r="H3" s="4" t="s">
        <v>194</v>
      </c>
      <c r="L3" s="4"/>
      <c r="M3" s="4"/>
      <c r="N3" s="4" t="str">
        <f>备忘录!$C$3</f>
        <v>日期：2025/10/31</v>
      </c>
      <c r="O3" s="4"/>
    </row>
    <row r="4" ht="18" customHeight="1" spans="1:19">
      <c r="A4" s="419" t="s">
        <v>332</v>
      </c>
      <c r="B4" s="420"/>
      <c r="C4" s="421">
        <v>45658</v>
      </c>
      <c r="D4" s="419" t="s">
        <v>333</v>
      </c>
      <c r="E4" s="421">
        <v>45930</v>
      </c>
    </row>
    <row r="5" ht="39" customHeight="1" spans="1:19">
      <c r="A5" s="422" t="s">
        <v>245</v>
      </c>
      <c r="B5" s="423" t="s">
        <v>334</v>
      </c>
      <c r="C5" s="424" t="s">
        <v>335</v>
      </c>
      <c r="D5" s="356" t="s">
        <v>336</v>
      </c>
      <c r="E5" s="356" t="s">
        <v>337</v>
      </c>
      <c r="F5" s="356" t="s">
        <v>338</v>
      </c>
      <c r="G5" s="425" t="s">
        <v>339</v>
      </c>
      <c r="H5" s="426" t="s">
        <v>340</v>
      </c>
      <c r="I5" s="422" t="s">
        <v>341</v>
      </c>
      <c r="J5" s="356" t="s">
        <v>342</v>
      </c>
      <c r="K5" s="426" t="s">
        <v>343</v>
      </c>
      <c r="L5" s="426" t="s">
        <v>344</v>
      </c>
      <c r="M5" s="422" t="s">
        <v>345</v>
      </c>
      <c r="N5" s="356" t="s">
        <v>346</v>
      </c>
      <c r="O5" s="422" t="s">
        <v>347</v>
      </c>
      <c r="P5" s="356" t="s">
        <v>348</v>
      </c>
      <c r="Q5" s="356" t="s">
        <v>349</v>
      </c>
      <c r="R5" s="422" t="s">
        <v>350</v>
      </c>
      <c r="S5" s="422" t="s">
        <v>351</v>
      </c>
    </row>
    <row r="6" ht="17" customHeight="1" spans="1:19">
      <c r="A6" s="427">
        <v>1</v>
      </c>
      <c r="B6" s="428">
        <f>固定资产!B6</f>
        <v>0</v>
      </c>
      <c r="C6" s="259">
        <f>固定资产!C6</f>
        <v>0</v>
      </c>
      <c r="D6" s="259"/>
      <c r="E6" s="429">
        <f>固定资产!AA6</f>
        <v>0</v>
      </c>
      <c r="F6" s="430">
        <f>固定资产!P6</f>
        <v>0</v>
      </c>
      <c r="G6" s="259">
        <f>固定资产!D6</f>
        <v>0</v>
      </c>
      <c r="H6" s="259">
        <f>固定资产!E6</f>
        <v>0</v>
      </c>
      <c r="I6" s="431"/>
      <c r="J6" s="430"/>
      <c r="K6" s="432">
        <f>IF(H6=0,0,IF(RIGHT(H6,1)&lt;&gt;"年",H6*12,IF(LEN(H6)=3,VALUE(LEFT(H6,2))*12,IF(LEN(H6)=2,VALUE(LEFT(H6,1))*12,"??"))))</f>
        <v>0</v>
      </c>
      <c r="L6" s="433">
        <f>IF(DAY(G6)=1,IF(G6=0,0,DATE(YEAR(G6),MONTH(G6)+K6,DAY(G6))),IF(G6=0,0,DATE(YEAR(G6),MONTH(G6)+K6,DAY(G6)-1)))</f>
        <v>0</v>
      </c>
      <c r="M6" s="434">
        <f>MIN(IF(AND(DAY($E$4)=30,DAY(G6)=31),IF(OR(G6=0,G6=$E$4),0,IF(L6&gt;$E$4,VALUE(DATEDIF(G6,MIN($E$4,L6),"m"))+1,VALUE(DATEDIF(G6,MIN($E$4,L6),"m")+2))),IF(OR(G6=0,G6=$E$4),0,IF(L6&gt;$E$4,DATEDIF(G6,MIN($E$4,L6),"m"),VALUE(DATEDIF(G6,MIN($E$4,L6),"m")+1)))),K6)</f>
        <v>0</v>
      </c>
      <c r="N6" s="434">
        <f>IF(AND(YEAR(G6)=YEAR($E$4),DAY($E$4)=30,DAY(G6)=31),IF(OR(G6=0,L6&lt;$C$4),0,IF(AND(G6&lt;$C$4,L6&gt;$E$4),VALUE(DATEDIF($C$4,$E$4,"m")+2),IF(AND(G6&lt;$C$4,L6&lt;=$E$4),VALUE(DATEDIF($C$4,L6,"m")+2),IF(AND(G6&gt;=$C$4,L6&gt;$E$4),VALUE(DATEDIF(G6,$E$4,"m")+1),IF(AND(G6&gt;=$C$4,L6&lt;=$E$4),VALUE(DATEDIF(G6,L6,"m")+2),))))),IF(OR(G6=0,L6&lt;$C$4),0,IF(AND(G6&lt;$C$4,L6&gt;$E$4),VALUE(DATEDIF($C$4,$E$4,"m")+1),IF(AND(G6&lt;$C$4,L6&lt;=$E$4),VALUE(DATEDIF($C$4,L6,"m")+1),IF(AND(G6&gt;=$C$4,L6&gt;$E$4),VALUE(DATEDIF(G6,$E$4,"m")),IF(AND(G6&gt;=$C$4,L6&lt;=$E$4),VALUE(DATEDIF(G6,L6,"m")+1),))))))</f>
        <v>0</v>
      </c>
      <c r="O6" s="24">
        <f>IF(K6=0,0,ROUND(((1-I6)/K6)*E6,4))</f>
        <v>0</v>
      </c>
      <c r="P6" s="24">
        <f>ROUND(O6*N6,2)</f>
        <v>0</v>
      </c>
      <c r="Q6" s="24" t="str">
        <f>IF(J6="","",ROUND(J6-P6,2))</f>
        <v/>
      </c>
      <c r="R6" s="24">
        <f>ROUND(O6*M6,2)</f>
        <v>0</v>
      </c>
      <c r="S6" s="24">
        <f t="shared" ref="S6:S34" si="0">ROUND(F6-R6,2)</f>
        <v>0</v>
      </c>
    </row>
    <row r="7" spans="1:19">
      <c r="A7" s="427">
        <v>2</v>
      </c>
      <c r="B7" s="428">
        <f>固定资产!B7</f>
        <v>0</v>
      </c>
      <c r="C7" s="259">
        <f>固定资产!C7</f>
        <v>0</v>
      </c>
      <c r="D7" s="259"/>
      <c r="E7" s="429">
        <f>固定资产!AA7</f>
        <v>0</v>
      </c>
      <c r="F7" s="430">
        <f>固定资产!P7</f>
        <v>0</v>
      </c>
      <c r="G7" s="259">
        <f>固定资产!D7</f>
        <v>0</v>
      </c>
      <c r="H7" s="259">
        <f>固定资产!E7</f>
        <v>0</v>
      </c>
      <c r="I7" s="431"/>
      <c r="J7" s="430"/>
      <c r="K7" s="432">
        <f t="shared" ref="K6:K34" si="1">IF(H7=0,0,IF(RIGHT(H7,1)&lt;&gt;"年",H7*12,IF(LEN(H7)=3,VALUE(LEFT(H7,2))*12,IF(LEN(H7)=2,VALUE(LEFT(H7,1))*12,"??"))))</f>
        <v>0</v>
      </c>
      <c r="L7" s="433">
        <f t="shared" ref="L6:L34" si="2">IF(DAY(G7)=1,IF(G7=0,0,DATE(YEAR(G7),MONTH(G7)+K7,DAY(G7))),IF(G7=0,0,DATE(YEAR(G7),MONTH(G7)+K7,DAY(G7)-1)))</f>
        <v>0</v>
      </c>
      <c r="M7" s="434">
        <f t="shared" ref="M6:M34" si="3">MIN(IF(AND(DAY($E$4)=30,DAY(G7)=31),IF(OR(G7=0,G7=$E$4),0,IF(L7&gt;$E$4,VALUE(DATEDIF(G7,MIN($E$4,L7),"m"))+1,VALUE(DATEDIF(G7,MIN($E$4,L7),"m")+2))),IF(OR(G7=0,G7=$E$4),0,IF(L7&gt;$E$4,DATEDIF(G7,MIN($E$4,L7),"m"),VALUE(DATEDIF(G7,MIN($E$4,L7),"m")+1)))),K7)</f>
        <v>0</v>
      </c>
      <c r="N7" s="434">
        <f t="shared" ref="N6:N34" si="4">IF(AND(YEAR(G7)=YEAR($E$4),DAY($E$4)=30,DAY(G7)=31),IF(OR(G7=0,L7&lt;$C$4),0,IF(AND(G7&lt;$C$4,L7&gt;$E$4),VALUE(DATEDIF($C$4,$E$4,"m")+2),IF(AND(G7&lt;$C$4,L7&lt;=$E$4),VALUE(DATEDIF($C$4,L7,"m")+2),IF(AND(G7&gt;=$C$4,L7&gt;$E$4),VALUE(DATEDIF(G7,$E$4,"m")+1),IF(AND(G7&gt;=$C$4,L7&lt;=$E$4),VALUE(DATEDIF(G7,L7,"m")+2),))))),IF(OR(G7=0,L7&lt;$C$4),0,IF(AND(G7&lt;$C$4,L7&gt;$E$4),VALUE(DATEDIF($C$4,$E$4,"m")+1),IF(AND(G7&lt;$C$4,L7&lt;=$E$4),VALUE(DATEDIF($C$4,L7,"m")+1),IF(AND(G7&gt;=$C$4,L7&gt;$E$4),VALUE(DATEDIF(G7,$E$4,"m")),IF(AND(G7&gt;=$C$4,L7&lt;=$E$4),VALUE(DATEDIF(G7,L7,"m")+1),))))))</f>
        <v>0</v>
      </c>
      <c r="O7" s="24">
        <f t="shared" ref="O6:O34" si="5">IF(K7=0,0,ROUND(((1-I7)/K7)*E7,4))</f>
        <v>0</v>
      </c>
      <c r="P7" s="24">
        <f t="shared" ref="P6:P34" si="6">ROUND(O7*N7,2)</f>
        <v>0</v>
      </c>
      <c r="Q7" s="24" t="str">
        <f t="shared" ref="Q6:Q34" si="7">IF(J7="","",ROUND(J7-P7,2))</f>
        <v/>
      </c>
      <c r="R7" s="24">
        <f t="shared" ref="R6:R34" si="8">ROUND(O7*M7,2)</f>
        <v>0</v>
      </c>
      <c r="S7" s="24">
        <f t="shared" si="0"/>
        <v>0</v>
      </c>
    </row>
    <row r="8" spans="1:19">
      <c r="A8" s="427">
        <v>3</v>
      </c>
      <c r="B8" s="428">
        <f>固定资产!B8</f>
        <v>0</v>
      </c>
      <c r="C8" s="259">
        <f>固定资产!C8</f>
        <v>0</v>
      </c>
      <c r="D8" s="259"/>
      <c r="E8" s="429">
        <f>固定资产!AA8</f>
        <v>0</v>
      </c>
      <c r="F8" s="430">
        <f>固定资产!P8</f>
        <v>0</v>
      </c>
      <c r="G8" s="259">
        <f>固定资产!D8</f>
        <v>0</v>
      </c>
      <c r="H8" s="259">
        <f>固定资产!E8</f>
        <v>0</v>
      </c>
      <c r="I8" s="431"/>
      <c r="J8" s="430"/>
      <c r="K8" s="432">
        <f t="shared" si="1"/>
        <v>0</v>
      </c>
      <c r="L8" s="433">
        <f t="shared" si="2"/>
        <v>0</v>
      </c>
      <c r="M8" s="434">
        <f t="shared" si="3"/>
        <v>0</v>
      </c>
      <c r="N8" s="434">
        <f t="shared" si="4"/>
        <v>0</v>
      </c>
      <c r="O8" s="24">
        <f t="shared" si="5"/>
        <v>0</v>
      </c>
      <c r="P8" s="24">
        <f t="shared" si="6"/>
        <v>0</v>
      </c>
      <c r="Q8" s="24" t="str">
        <f t="shared" si="7"/>
        <v/>
      </c>
      <c r="R8" s="24">
        <f t="shared" si="8"/>
        <v>0</v>
      </c>
      <c r="S8" s="24">
        <f t="shared" si="0"/>
        <v>0</v>
      </c>
    </row>
    <row r="9" spans="1:19">
      <c r="A9" s="427">
        <v>4</v>
      </c>
      <c r="B9" s="428">
        <f>固定资产!B9</f>
        <v>0</v>
      </c>
      <c r="C9" s="259">
        <f>固定资产!C9</f>
        <v>0</v>
      </c>
      <c r="D9" s="259"/>
      <c r="E9" s="429">
        <f>固定资产!AA9</f>
        <v>0</v>
      </c>
      <c r="F9" s="430">
        <f>固定资产!P9</f>
        <v>0</v>
      </c>
      <c r="G9" s="259">
        <f>固定资产!D9</f>
        <v>0</v>
      </c>
      <c r="H9" s="259">
        <f>固定资产!E9</f>
        <v>0</v>
      </c>
      <c r="I9" s="431"/>
      <c r="J9" s="430"/>
      <c r="K9" s="432">
        <f t="shared" si="1"/>
        <v>0</v>
      </c>
      <c r="L9" s="433">
        <f t="shared" si="2"/>
        <v>0</v>
      </c>
      <c r="M9" s="434">
        <f t="shared" si="3"/>
        <v>0</v>
      </c>
      <c r="N9" s="434">
        <f t="shared" si="4"/>
        <v>0</v>
      </c>
      <c r="O9" s="24">
        <f t="shared" si="5"/>
        <v>0</v>
      </c>
      <c r="P9" s="24">
        <f t="shared" si="6"/>
        <v>0</v>
      </c>
      <c r="Q9" s="24" t="str">
        <f t="shared" si="7"/>
        <v/>
      </c>
      <c r="R9" s="24">
        <f t="shared" si="8"/>
        <v>0</v>
      </c>
      <c r="S9" s="24">
        <f t="shared" si="0"/>
        <v>0</v>
      </c>
    </row>
    <row r="10" spans="1:19">
      <c r="A10" s="427">
        <v>5</v>
      </c>
      <c r="B10" s="428">
        <f>固定资产!B10</f>
        <v>0</v>
      </c>
      <c r="C10" s="259">
        <f>固定资产!C10</f>
        <v>0</v>
      </c>
      <c r="D10" s="259"/>
      <c r="E10" s="429">
        <f>固定资产!AA10</f>
        <v>0</v>
      </c>
      <c r="F10" s="430">
        <f>固定资产!P10</f>
        <v>0</v>
      </c>
      <c r="G10" s="259">
        <f>固定资产!D10</f>
        <v>0</v>
      </c>
      <c r="H10" s="259">
        <f>固定资产!E10</f>
        <v>0</v>
      </c>
      <c r="I10" s="431"/>
      <c r="J10" s="430"/>
      <c r="K10" s="432">
        <f t="shared" si="1"/>
        <v>0</v>
      </c>
      <c r="L10" s="433">
        <f t="shared" si="2"/>
        <v>0</v>
      </c>
      <c r="M10" s="434">
        <f t="shared" si="3"/>
        <v>0</v>
      </c>
      <c r="N10" s="434">
        <f t="shared" si="4"/>
        <v>0</v>
      </c>
      <c r="O10" s="24">
        <f t="shared" si="5"/>
        <v>0</v>
      </c>
      <c r="P10" s="24">
        <f t="shared" si="6"/>
        <v>0</v>
      </c>
      <c r="Q10" s="24" t="str">
        <f t="shared" si="7"/>
        <v/>
      </c>
      <c r="R10" s="24">
        <f t="shared" si="8"/>
        <v>0</v>
      </c>
      <c r="S10" s="24">
        <f t="shared" si="0"/>
        <v>0</v>
      </c>
    </row>
    <row r="11" spans="1:19">
      <c r="A11" s="427">
        <v>6</v>
      </c>
      <c r="B11" s="428">
        <f>固定资产!B11</f>
        <v>0</v>
      </c>
      <c r="C11" s="259">
        <f>固定资产!C11</f>
        <v>0</v>
      </c>
      <c r="D11" s="259"/>
      <c r="E11" s="429">
        <f>固定资产!AA11</f>
        <v>0</v>
      </c>
      <c r="F11" s="430">
        <f>固定资产!P11</f>
        <v>0</v>
      </c>
      <c r="G11" s="259">
        <f>固定资产!D11</f>
        <v>0</v>
      </c>
      <c r="H11" s="259">
        <f>固定资产!E11</f>
        <v>0</v>
      </c>
      <c r="I11" s="431"/>
      <c r="J11" s="430"/>
      <c r="K11" s="432">
        <f t="shared" si="1"/>
        <v>0</v>
      </c>
      <c r="L11" s="433">
        <f t="shared" si="2"/>
        <v>0</v>
      </c>
      <c r="M11" s="434">
        <f t="shared" si="3"/>
        <v>0</v>
      </c>
      <c r="N11" s="434">
        <f t="shared" si="4"/>
        <v>0</v>
      </c>
      <c r="O11" s="24">
        <f t="shared" si="5"/>
        <v>0</v>
      </c>
      <c r="P11" s="24">
        <f t="shared" si="6"/>
        <v>0</v>
      </c>
      <c r="Q11" s="24" t="str">
        <f t="shared" si="7"/>
        <v/>
      </c>
      <c r="R11" s="24">
        <f t="shared" si="8"/>
        <v>0</v>
      </c>
      <c r="S11" s="24">
        <f t="shared" si="0"/>
        <v>0</v>
      </c>
    </row>
    <row r="12" spans="1:19">
      <c r="A12" s="427">
        <v>7</v>
      </c>
      <c r="B12" s="428">
        <f>固定资产!B12</f>
        <v>0</v>
      </c>
      <c r="C12" s="259">
        <f>固定资产!C12</f>
        <v>0</v>
      </c>
      <c r="D12" s="259"/>
      <c r="E12" s="429">
        <f>固定资产!AA12</f>
        <v>0</v>
      </c>
      <c r="F12" s="430">
        <f>固定资产!P12</f>
        <v>0</v>
      </c>
      <c r="G12" s="259">
        <f>固定资产!D12</f>
        <v>0</v>
      </c>
      <c r="H12" s="259">
        <f>固定资产!E12</f>
        <v>0</v>
      </c>
      <c r="I12" s="431"/>
      <c r="J12" s="430"/>
      <c r="K12" s="432">
        <f t="shared" si="1"/>
        <v>0</v>
      </c>
      <c r="L12" s="433">
        <f t="shared" si="2"/>
        <v>0</v>
      </c>
      <c r="M12" s="434">
        <f t="shared" si="3"/>
        <v>0</v>
      </c>
      <c r="N12" s="434">
        <f t="shared" si="4"/>
        <v>0</v>
      </c>
      <c r="O12" s="24">
        <f t="shared" si="5"/>
        <v>0</v>
      </c>
      <c r="P12" s="24">
        <f t="shared" si="6"/>
        <v>0</v>
      </c>
      <c r="Q12" s="24" t="str">
        <f t="shared" si="7"/>
        <v/>
      </c>
      <c r="R12" s="24">
        <f t="shared" si="8"/>
        <v>0</v>
      </c>
      <c r="S12" s="24">
        <f t="shared" si="0"/>
        <v>0</v>
      </c>
    </row>
    <row r="13" spans="1:19">
      <c r="A13" s="427">
        <v>8</v>
      </c>
      <c r="B13" s="428">
        <f>固定资产!B13</f>
        <v>0</v>
      </c>
      <c r="C13" s="259">
        <f>固定资产!C13</f>
        <v>0</v>
      </c>
      <c r="D13" s="259"/>
      <c r="E13" s="429">
        <f>固定资产!AA13</f>
        <v>0</v>
      </c>
      <c r="F13" s="430">
        <f>固定资产!P13</f>
        <v>0</v>
      </c>
      <c r="G13" s="259">
        <f>固定资产!D13</f>
        <v>0</v>
      </c>
      <c r="H13" s="259">
        <f>固定资产!E13</f>
        <v>0</v>
      </c>
      <c r="I13" s="431"/>
      <c r="J13" s="430"/>
      <c r="K13" s="432">
        <f t="shared" si="1"/>
        <v>0</v>
      </c>
      <c r="L13" s="433">
        <f t="shared" si="2"/>
        <v>0</v>
      </c>
      <c r="M13" s="434">
        <f t="shared" si="3"/>
        <v>0</v>
      </c>
      <c r="N13" s="434">
        <f t="shared" si="4"/>
        <v>0</v>
      </c>
      <c r="O13" s="24">
        <f t="shared" si="5"/>
        <v>0</v>
      </c>
      <c r="P13" s="24">
        <f t="shared" si="6"/>
        <v>0</v>
      </c>
      <c r="Q13" s="24" t="str">
        <f t="shared" si="7"/>
        <v/>
      </c>
      <c r="R13" s="24">
        <f t="shared" si="8"/>
        <v>0</v>
      </c>
      <c r="S13" s="24">
        <f t="shared" si="0"/>
        <v>0</v>
      </c>
    </row>
    <row r="14" spans="1:19">
      <c r="A14" s="427">
        <v>9</v>
      </c>
      <c r="B14" s="428">
        <f>固定资产!B14</f>
        <v>0</v>
      </c>
      <c r="C14" s="259">
        <f>固定资产!C14</f>
        <v>0</v>
      </c>
      <c r="D14" s="259"/>
      <c r="E14" s="429">
        <f>固定资产!AA14</f>
        <v>0</v>
      </c>
      <c r="F14" s="430">
        <f>固定资产!P14</f>
        <v>0</v>
      </c>
      <c r="G14" s="259">
        <f>固定资产!D14</f>
        <v>0</v>
      </c>
      <c r="H14" s="259">
        <f>固定资产!E14</f>
        <v>0</v>
      </c>
      <c r="I14" s="431"/>
      <c r="J14" s="430"/>
      <c r="K14" s="432">
        <f t="shared" si="1"/>
        <v>0</v>
      </c>
      <c r="L14" s="433">
        <f t="shared" si="2"/>
        <v>0</v>
      </c>
      <c r="M14" s="434">
        <f t="shared" si="3"/>
        <v>0</v>
      </c>
      <c r="N14" s="434">
        <f t="shared" si="4"/>
        <v>0</v>
      </c>
      <c r="O14" s="24">
        <f t="shared" si="5"/>
        <v>0</v>
      </c>
      <c r="P14" s="24">
        <f t="shared" si="6"/>
        <v>0</v>
      </c>
      <c r="Q14" s="24" t="str">
        <f t="shared" si="7"/>
        <v/>
      </c>
      <c r="R14" s="24">
        <f t="shared" si="8"/>
        <v>0</v>
      </c>
      <c r="S14" s="24">
        <f t="shared" si="0"/>
        <v>0</v>
      </c>
    </row>
    <row r="15" spans="1:19">
      <c r="A15" s="427">
        <v>10</v>
      </c>
      <c r="B15" s="428">
        <f>固定资产!B15</f>
        <v>0</v>
      </c>
      <c r="C15" s="259">
        <f>固定资产!C15</f>
        <v>0</v>
      </c>
      <c r="D15" s="259"/>
      <c r="E15" s="429">
        <f>固定资产!AA15</f>
        <v>0</v>
      </c>
      <c r="F15" s="430">
        <f>固定资产!P15</f>
        <v>0</v>
      </c>
      <c r="G15" s="259">
        <f>固定资产!D15</f>
        <v>0</v>
      </c>
      <c r="H15" s="259">
        <f>固定资产!E15</f>
        <v>0</v>
      </c>
      <c r="I15" s="431"/>
      <c r="J15" s="430"/>
      <c r="K15" s="432">
        <f t="shared" si="1"/>
        <v>0</v>
      </c>
      <c r="L15" s="433">
        <f t="shared" si="2"/>
        <v>0</v>
      </c>
      <c r="M15" s="434">
        <f t="shared" si="3"/>
        <v>0</v>
      </c>
      <c r="N15" s="434">
        <f t="shared" si="4"/>
        <v>0</v>
      </c>
      <c r="O15" s="24">
        <f t="shared" si="5"/>
        <v>0</v>
      </c>
      <c r="P15" s="24">
        <f t="shared" si="6"/>
        <v>0</v>
      </c>
      <c r="Q15" s="24" t="str">
        <f t="shared" si="7"/>
        <v/>
      </c>
      <c r="R15" s="24">
        <f t="shared" si="8"/>
        <v>0</v>
      </c>
      <c r="S15" s="24">
        <f t="shared" si="0"/>
        <v>0</v>
      </c>
    </row>
    <row r="16" spans="1:19">
      <c r="A16" s="427">
        <v>11</v>
      </c>
      <c r="B16" s="428">
        <f>固定资产!B16</f>
        <v>0</v>
      </c>
      <c r="C16" s="259">
        <f>固定资产!C16</f>
        <v>0</v>
      </c>
      <c r="D16" s="259"/>
      <c r="E16" s="429">
        <f>固定资产!AA16</f>
        <v>0</v>
      </c>
      <c r="F16" s="430">
        <f>固定资产!P16</f>
        <v>0</v>
      </c>
      <c r="G16" s="259">
        <f>固定资产!D16</f>
        <v>0</v>
      </c>
      <c r="H16" s="259">
        <f>固定资产!E16</f>
        <v>0</v>
      </c>
      <c r="I16" s="431"/>
      <c r="J16" s="430"/>
      <c r="K16" s="432">
        <f t="shared" si="1"/>
        <v>0</v>
      </c>
      <c r="L16" s="433">
        <f t="shared" si="2"/>
        <v>0</v>
      </c>
      <c r="M16" s="434">
        <f t="shared" si="3"/>
        <v>0</v>
      </c>
      <c r="N16" s="434">
        <f t="shared" si="4"/>
        <v>0</v>
      </c>
      <c r="O16" s="24">
        <f t="shared" si="5"/>
        <v>0</v>
      </c>
      <c r="P16" s="24">
        <f t="shared" si="6"/>
        <v>0</v>
      </c>
      <c r="Q16" s="24" t="str">
        <f t="shared" si="7"/>
        <v/>
      </c>
      <c r="R16" s="24">
        <f t="shared" si="8"/>
        <v>0</v>
      </c>
      <c r="S16" s="24">
        <f t="shared" si="0"/>
        <v>0</v>
      </c>
    </row>
    <row r="17" spans="1:19">
      <c r="A17" s="427">
        <v>12</v>
      </c>
      <c r="B17" s="428">
        <f>固定资产!B17</f>
        <v>0</v>
      </c>
      <c r="C17" s="259">
        <f>固定资产!C17</f>
        <v>0</v>
      </c>
      <c r="D17" s="259"/>
      <c r="E17" s="429">
        <f>固定资产!AA17</f>
        <v>0</v>
      </c>
      <c r="F17" s="430">
        <f>固定资产!P17</f>
        <v>0</v>
      </c>
      <c r="G17" s="259">
        <f>固定资产!D17</f>
        <v>0</v>
      </c>
      <c r="H17" s="259">
        <f>固定资产!E17</f>
        <v>0</v>
      </c>
      <c r="I17" s="431"/>
      <c r="J17" s="430"/>
      <c r="K17" s="432">
        <f t="shared" si="1"/>
        <v>0</v>
      </c>
      <c r="L17" s="433">
        <f t="shared" si="2"/>
        <v>0</v>
      </c>
      <c r="M17" s="434">
        <f t="shared" si="3"/>
        <v>0</v>
      </c>
      <c r="N17" s="434">
        <f t="shared" si="4"/>
        <v>0</v>
      </c>
      <c r="O17" s="24">
        <f t="shared" si="5"/>
        <v>0</v>
      </c>
      <c r="P17" s="24">
        <f t="shared" si="6"/>
        <v>0</v>
      </c>
      <c r="Q17" s="24" t="str">
        <f t="shared" si="7"/>
        <v/>
      </c>
      <c r="R17" s="24">
        <f t="shared" si="8"/>
        <v>0</v>
      </c>
      <c r="S17" s="24">
        <f t="shared" si="0"/>
        <v>0</v>
      </c>
    </row>
    <row r="18" spans="1:19">
      <c r="A18" s="427">
        <v>13</v>
      </c>
      <c r="B18" s="428">
        <f>固定资产!B18</f>
        <v>0</v>
      </c>
      <c r="C18" s="259">
        <f>固定资产!C18</f>
        <v>0</v>
      </c>
      <c r="D18" s="259"/>
      <c r="E18" s="429">
        <f>固定资产!AA18</f>
        <v>0</v>
      </c>
      <c r="F18" s="430">
        <f>固定资产!P18</f>
        <v>0</v>
      </c>
      <c r="G18" s="259">
        <f>固定资产!D18</f>
        <v>0</v>
      </c>
      <c r="H18" s="259">
        <f>固定资产!E18</f>
        <v>0</v>
      </c>
      <c r="I18" s="431"/>
      <c r="J18" s="430"/>
      <c r="K18" s="432">
        <f t="shared" si="1"/>
        <v>0</v>
      </c>
      <c r="L18" s="433">
        <f t="shared" si="2"/>
        <v>0</v>
      </c>
      <c r="M18" s="434">
        <f t="shared" si="3"/>
        <v>0</v>
      </c>
      <c r="N18" s="434">
        <f t="shared" si="4"/>
        <v>0</v>
      </c>
      <c r="O18" s="24">
        <f t="shared" si="5"/>
        <v>0</v>
      </c>
      <c r="P18" s="24">
        <f t="shared" si="6"/>
        <v>0</v>
      </c>
      <c r="Q18" s="24" t="str">
        <f t="shared" si="7"/>
        <v/>
      </c>
      <c r="R18" s="24">
        <f t="shared" si="8"/>
        <v>0</v>
      </c>
      <c r="S18" s="24">
        <f t="shared" si="0"/>
        <v>0</v>
      </c>
    </row>
    <row r="19" spans="1:19">
      <c r="A19" s="427">
        <v>14</v>
      </c>
      <c r="B19" s="428">
        <f>固定资产!B19</f>
        <v>0</v>
      </c>
      <c r="C19" s="259">
        <f>固定资产!C19</f>
        <v>0</v>
      </c>
      <c r="D19" s="259"/>
      <c r="E19" s="429">
        <f>固定资产!AA19</f>
        <v>0</v>
      </c>
      <c r="F19" s="430">
        <f>固定资产!P19</f>
        <v>0</v>
      </c>
      <c r="G19" s="259">
        <f>固定资产!D19</f>
        <v>0</v>
      </c>
      <c r="H19" s="259">
        <f>固定资产!E19</f>
        <v>0</v>
      </c>
      <c r="I19" s="431"/>
      <c r="J19" s="430"/>
      <c r="K19" s="432">
        <f t="shared" si="1"/>
        <v>0</v>
      </c>
      <c r="L19" s="433">
        <f t="shared" si="2"/>
        <v>0</v>
      </c>
      <c r="M19" s="434">
        <f t="shared" si="3"/>
        <v>0</v>
      </c>
      <c r="N19" s="434">
        <f t="shared" si="4"/>
        <v>0</v>
      </c>
      <c r="O19" s="24">
        <f t="shared" si="5"/>
        <v>0</v>
      </c>
      <c r="P19" s="24">
        <f t="shared" si="6"/>
        <v>0</v>
      </c>
      <c r="Q19" s="24" t="str">
        <f t="shared" si="7"/>
        <v/>
      </c>
      <c r="R19" s="24">
        <f t="shared" si="8"/>
        <v>0</v>
      </c>
      <c r="S19" s="24">
        <f t="shared" si="0"/>
        <v>0</v>
      </c>
    </row>
    <row r="20" spans="1:19">
      <c r="A20" s="427">
        <v>15</v>
      </c>
      <c r="B20" s="428">
        <f>固定资产!B20</f>
        <v>0</v>
      </c>
      <c r="C20" s="259">
        <f>固定资产!C20</f>
        <v>0</v>
      </c>
      <c r="D20" s="259"/>
      <c r="E20" s="429">
        <f>固定资产!AA20</f>
        <v>0</v>
      </c>
      <c r="F20" s="430">
        <f>固定资产!P20</f>
        <v>0</v>
      </c>
      <c r="G20" s="259">
        <f>固定资产!D20</f>
        <v>0</v>
      </c>
      <c r="H20" s="259">
        <f>固定资产!E20</f>
        <v>0</v>
      </c>
      <c r="I20" s="431"/>
      <c r="J20" s="430"/>
      <c r="K20" s="432">
        <f t="shared" si="1"/>
        <v>0</v>
      </c>
      <c r="L20" s="433">
        <f t="shared" si="2"/>
        <v>0</v>
      </c>
      <c r="M20" s="434">
        <f t="shared" si="3"/>
        <v>0</v>
      </c>
      <c r="N20" s="434">
        <f t="shared" si="4"/>
        <v>0</v>
      </c>
      <c r="O20" s="24">
        <f t="shared" si="5"/>
        <v>0</v>
      </c>
      <c r="P20" s="24">
        <f t="shared" si="6"/>
        <v>0</v>
      </c>
      <c r="Q20" s="24" t="str">
        <f t="shared" si="7"/>
        <v/>
      </c>
      <c r="R20" s="24">
        <f t="shared" si="8"/>
        <v>0</v>
      </c>
      <c r="S20" s="24">
        <f t="shared" si="0"/>
        <v>0</v>
      </c>
    </row>
    <row r="21" spans="1:19">
      <c r="A21" s="427">
        <v>16</v>
      </c>
      <c r="B21" s="428">
        <f>固定资产!B21</f>
        <v>0</v>
      </c>
      <c r="C21" s="259">
        <f>固定资产!C21</f>
        <v>0</v>
      </c>
      <c r="D21" s="259"/>
      <c r="E21" s="429">
        <f>固定资产!AA21</f>
        <v>0</v>
      </c>
      <c r="F21" s="430">
        <f>固定资产!P21</f>
        <v>0</v>
      </c>
      <c r="G21" s="259">
        <f>固定资产!D21</f>
        <v>0</v>
      </c>
      <c r="H21" s="259">
        <f>固定资产!E21</f>
        <v>0</v>
      </c>
      <c r="I21" s="431"/>
      <c r="J21" s="430"/>
      <c r="K21" s="432">
        <f t="shared" si="1"/>
        <v>0</v>
      </c>
      <c r="L21" s="433">
        <f t="shared" si="2"/>
        <v>0</v>
      </c>
      <c r="M21" s="434">
        <f t="shared" si="3"/>
        <v>0</v>
      </c>
      <c r="N21" s="434">
        <f t="shared" si="4"/>
        <v>0</v>
      </c>
      <c r="O21" s="24">
        <f t="shared" si="5"/>
        <v>0</v>
      </c>
      <c r="P21" s="24">
        <f t="shared" si="6"/>
        <v>0</v>
      </c>
      <c r="Q21" s="24" t="str">
        <f t="shared" si="7"/>
        <v/>
      </c>
      <c r="R21" s="24">
        <f t="shared" si="8"/>
        <v>0</v>
      </c>
      <c r="S21" s="24">
        <f t="shared" si="0"/>
        <v>0</v>
      </c>
    </row>
    <row r="22" spans="1:19">
      <c r="A22" s="427">
        <v>17</v>
      </c>
      <c r="B22" s="428">
        <f>固定资产!B22</f>
        <v>0</v>
      </c>
      <c r="C22" s="259">
        <f>固定资产!C22</f>
        <v>0</v>
      </c>
      <c r="D22" s="259"/>
      <c r="E22" s="429">
        <f>固定资产!AA22</f>
        <v>0</v>
      </c>
      <c r="F22" s="430">
        <f>固定资产!P22</f>
        <v>0</v>
      </c>
      <c r="G22" s="259">
        <f>固定资产!D22</f>
        <v>0</v>
      </c>
      <c r="H22" s="259">
        <f>固定资产!E22</f>
        <v>0</v>
      </c>
      <c r="I22" s="431"/>
      <c r="J22" s="430"/>
      <c r="K22" s="432">
        <f t="shared" si="1"/>
        <v>0</v>
      </c>
      <c r="L22" s="433">
        <f t="shared" si="2"/>
        <v>0</v>
      </c>
      <c r="M22" s="434">
        <f t="shared" si="3"/>
        <v>0</v>
      </c>
      <c r="N22" s="434">
        <f t="shared" si="4"/>
        <v>0</v>
      </c>
      <c r="O22" s="24">
        <f t="shared" si="5"/>
        <v>0</v>
      </c>
      <c r="P22" s="24">
        <f t="shared" si="6"/>
        <v>0</v>
      </c>
      <c r="Q22" s="24" t="str">
        <f t="shared" si="7"/>
        <v/>
      </c>
      <c r="R22" s="24">
        <f t="shared" si="8"/>
        <v>0</v>
      </c>
      <c r="S22" s="24">
        <f t="shared" si="0"/>
        <v>0</v>
      </c>
    </row>
    <row r="23" spans="1:19">
      <c r="A23" s="427">
        <v>18</v>
      </c>
      <c r="B23" s="428">
        <f>固定资产!B23</f>
        <v>0</v>
      </c>
      <c r="C23" s="259">
        <f>固定资产!C23</f>
        <v>0</v>
      </c>
      <c r="D23" s="259"/>
      <c r="E23" s="429">
        <f>固定资产!AA23</f>
        <v>0</v>
      </c>
      <c r="F23" s="430">
        <f>固定资产!P23</f>
        <v>0</v>
      </c>
      <c r="G23" s="259">
        <f>固定资产!D23</f>
        <v>0</v>
      </c>
      <c r="H23" s="259">
        <f>固定资产!E23</f>
        <v>0</v>
      </c>
      <c r="I23" s="431"/>
      <c r="J23" s="430"/>
      <c r="K23" s="432">
        <f t="shared" si="1"/>
        <v>0</v>
      </c>
      <c r="L23" s="433">
        <f t="shared" si="2"/>
        <v>0</v>
      </c>
      <c r="M23" s="434">
        <f t="shared" si="3"/>
        <v>0</v>
      </c>
      <c r="N23" s="434">
        <f t="shared" si="4"/>
        <v>0</v>
      </c>
      <c r="O23" s="24">
        <f t="shared" si="5"/>
        <v>0</v>
      </c>
      <c r="P23" s="24">
        <f t="shared" si="6"/>
        <v>0</v>
      </c>
      <c r="Q23" s="24" t="str">
        <f t="shared" si="7"/>
        <v/>
      </c>
      <c r="R23" s="24">
        <f t="shared" si="8"/>
        <v>0</v>
      </c>
      <c r="S23" s="24">
        <f t="shared" si="0"/>
        <v>0</v>
      </c>
    </row>
    <row r="24" spans="1:19">
      <c r="A24" s="427">
        <v>19</v>
      </c>
      <c r="B24" s="428">
        <f>固定资产!B24</f>
        <v>0</v>
      </c>
      <c r="C24" s="259">
        <f>固定资产!C24</f>
        <v>0</v>
      </c>
      <c r="D24" s="259"/>
      <c r="E24" s="429">
        <f>固定资产!AA24</f>
        <v>0</v>
      </c>
      <c r="F24" s="430">
        <f>固定资产!P24</f>
        <v>0</v>
      </c>
      <c r="G24" s="259">
        <f>固定资产!D24</f>
        <v>0</v>
      </c>
      <c r="H24" s="259">
        <f>固定资产!E24</f>
        <v>0</v>
      </c>
      <c r="I24" s="431"/>
      <c r="J24" s="430"/>
      <c r="K24" s="432">
        <f t="shared" si="1"/>
        <v>0</v>
      </c>
      <c r="L24" s="433">
        <f t="shared" si="2"/>
        <v>0</v>
      </c>
      <c r="M24" s="434">
        <f t="shared" si="3"/>
        <v>0</v>
      </c>
      <c r="N24" s="434">
        <f t="shared" si="4"/>
        <v>0</v>
      </c>
      <c r="O24" s="24">
        <f t="shared" si="5"/>
        <v>0</v>
      </c>
      <c r="P24" s="24">
        <f t="shared" si="6"/>
        <v>0</v>
      </c>
      <c r="Q24" s="24" t="str">
        <f t="shared" si="7"/>
        <v/>
      </c>
      <c r="R24" s="24">
        <f t="shared" si="8"/>
        <v>0</v>
      </c>
      <c r="S24" s="24">
        <f t="shared" si="0"/>
        <v>0</v>
      </c>
    </row>
    <row r="25" spans="1:19">
      <c r="A25" s="427">
        <v>20</v>
      </c>
      <c r="B25" s="428">
        <f>固定资产!B25</f>
        <v>0</v>
      </c>
      <c r="C25" s="259">
        <f>固定资产!C25</f>
        <v>0</v>
      </c>
      <c r="D25" s="259"/>
      <c r="E25" s="429">
        <f>固定资产!AA25</f>
        <v>0</v>
      </c>
      <c r="F25" s="430">
        <f>固定资产!P25</f>
        <v>0</v>
      </c>
      <c r="G25" s="259">
        <f>固定资产!D25</f>
        <v>0</v>
      </c>
      <c r="H25" s="259">
        <f>固定资产!E25</f>
        <v>0</v>
      </c>
      <c r="I25" s="431"/>
      <c r="J25" s="430"/>
      <c r="K25" s="432">
        <f t="shared" si="1"/>
        <v>0</v>
      </c>
      <c r="L25" s="433">
        <f t="shared" si="2"/>
        <v>0</v>
      </c>
      <c r="M25" s="434">
        <f t="shared" si="3"/>
        <v>0</v>
      </c>
      <c r="N25" s="434">
        <f t="shared" si="4"/>
        <v>0</v>
      </c>
      <c r="O25" s="24">
        <f t="shared" si="5"/>
        <v>0</v>
      </c>
      <c r="P25" s="24">
        <f t="shared" si="6"/>
        <v>0</v>
      </c>
      <c r="Q25" s="24" t="str">
        <f t="shared" si="7"/>
        <v/>
      </c>
      <c r="R25" s="24">
        <f t="shared" si="8"/>
        <v>0</v>
      </c>
      <c r="S25" s="24">
        <f t="shared" si="0"/>
        <v>0</v>
      </c>
    </row>
    <row r="26" spans="1:19">
      <c r="A26" s="427">
        <v>21</v>
      </c>
      <c r="B26" s="428">
        <f>固定资产!B26</f>
        <v>0</v>
      </c>
      <c r="C26" s="259">
        <f>固定资产!C26</f>
        <v>0</v>
      </c>
      <c r="D26" s="259"/>
      <c r="E26" s="429">
        <f>固定资产!AA26</f>
        <v>0</v>
      </c>
      <c r="F26" s="430">
        <f>固定资产!P26</f>
        <v>0</v>
      </c>
      <c r="G26" s="259">
        <f>固定资产!D26</f>
        <v>0</v>
      </c>
      <c r="H26" s="259">
        <f>固定资产!E26</f>
        <v>0</v>
      </c>
      <c r="I26" s="431"/>
      <c r="J26" s="430"/>
      <c r="K26" s="432">
        <f t="shared" si="1"/>
        <v>0</v>
      </c>
      <c r="L26" s="433">
        <f t="shared" si="2"/>
        <v>0</v>
      </c>
      <c r="M26" s="434">
        <f t="shared" si="3"/>
        <v>0</v>
      </c>
      <c r="N26" s="434">
        <f t="shared" si="4"/>
        <v>0</v>
      </c>
      <c r="O26" s="24">
        <f t="shared" si="5"/>
        <v>0</v>
      </c>
      <c r="P26" s="24">
        <f t="shared" si="6"/>
        <v>0</v>
      </c>
      <c r="Q26" s="24" t="str">
        <f t="shared" si="7"/>
        <v/>
      </c>
      <c r="R26" s="24">
        <f t="shared" si="8"/>
        <v>0</v>
      </c>
      <c r="S26" s="24">
        <f t="shared" si="0"/>
        <v>0</v>
      </c>
    </row>
    <row r="27" spans="1:19">
      <c r="A27" s="427">
        <v>22</v>
      </c>
      <c r="B27" s="428">
        <f>固定资产!B27</f>
        <v>0</v>
      </c>
      <c r="C27" s="259">
        <f>固定资产!C27</f>
        <v>0</v>
      </c>
      <c r="D27" s="259"/>
      <c r="E27" s="429">
        <f>固定资产!AA27</f>
        <v>0</v>
      </c>
      <c r="F27" s="430">
        <f>固定资产!P27</f>
        <v>0</v>
      </c>
      <c r="G27" s="259">
        <f>固定资产!D27</f>
        <v>0</v>
      </c>
      <c r="H27" s="259">
        <f>固定资产!E27</f>
        <v>0</v>
      </c>
      <c r="I27" s="431"/>
      <c r="J27" s="430"/>
      <c r="K27" s="432">
        <f t="shared" si="1"/>
        <v>0</v>
      </c>
      <c r="L27" s="433">
        <f t="shared" si="2"/>
        <v>0</v>
      </c>
      <c r="M27" s="434">
        <f t="shared" si="3"/>
        <v>0</v>
      </c>
      <c r="N27" s="434">
        <f t="shared" si="4"/>
        <v>0</v>
      </c>
      <c r="O27" s="24">
        <f t="shared" si="5"/>
        <v>0</v>
      </c>
      <c r="P27" s="24">
        <f t="shared" si="6"/>
        <v>0</v>
      </c>
      <c r="Q27" s="24" t="str">
        <f t="shared" si="7"/>
        <v/>
      </c>
      <c r="R27" s="24">
        <f t="shared" si="8"/>
        <v>0</v>
      </c>
      <c r="S27" s="24">
        <f t="shared" si="0"/>
        <v>0</v>
      </c>
    </row>
    <row r="28" spans="1:19">
      <c r="A28" s="427">
        <v>23</v>
      </c>
      <c r="B28" s="428">
        <f>固定资产!B28</f>
        <v>0</v>
      </c>
      <c r="C28" s="259">
        <f>固定资产!C28</f>
        <v>0</v>
      </c>
      <c r="D28" s="259"/>
      <c r="E28" s="429">
        <f>固定资产!AA28</f>
        <v>0</v>
      </c>
      <c r="F28" s="430">
        <f>固定资产!P28</f>
        <v>0</v>
      </c>
      <c r="G28" s="259">
        <f>固定资产!D28</f>
        <v>0</v>
      </c>
      <c r="H28" s="259">
        <f>固定资产!E28</f>
        <v>0</v>
      </c>
      <c r="I28" s="431"/>
      <c r="J28" s="430"/>
      <c r="K28" s="432">
        <f t="shared" si="1"/>
        <v>0</v>
      </c>
      <c r="L28" s="433">
        <f t="shared" si="2"/>
        <v>0</v>
      </c>
      <c r="M28" s="434">
        <f t="shared" si="3"/>
        <v>0</v>
      </c>
      <c r="N28" s="434">
        <f t="shared" si="4"/>
        <v>0</v>
      </c>
      <c r="O28" s="24">
        <f t="shared" si="5"/>
        <v>0</v>
      </c>
      <c r="P28" s="24">
        <f t="shared" si="6"/>
        <v>0</v>
      </c>
      <c r="Q28" s="24" t="str">
        <f t="shared" si="7"/>
        <v/>
      </c>
      <c r="R28" s="24">
        <f t="shared" si="8"/>
        <v>0</v>
      </c>
      <c r="S28" s="24">
        <f t="shared" si="0"/>
        <v>0</v>
      </c>
    </row>
    <row r="29" spans="1:19">
      <c r="A29" s="427">
        <v>24</v>
      </c>
      <c r="B29" s="428">
        <f>固定资产!B29</f>
        <v>0</v>
      </c>
      <c r="C29" s="259">
        <f>固定资产!C29</f>
        <v>0</v>
      </c>
      <c r="D29" s="259"/>
      <c r="E29" s="429">
        <f>固定资产!AA29</f>
        <v>0</v>
      </c>
      <c r="F29" s="430">
        <f>固定资产!P29</f>
        <v>0</v>
      </c>
      <c r="G29" s="259">
        <f>固定资产!D29</f>
        <v>0</v>
      </c>
      <c r="H29" s="259">
        <f>固定资产!E29</f>
        <v>0</v>
      </c>
      <c r="I29" s="431"/>
      <c r="J29" s="430"/>
      <c r="K29" s="432">
        <f t="shared" si="1"/>
        <v>0</v>
      </c>
      <c r="L29" s="433">
        <f t="shared" si="2"/>
        <v>0</v>
      </c>
      <c r="M29" s="434">
        <f t="shared" si="3"/>
        <v>0</v>
      </c>
      <c r="N29" s="434">
        <f t="shared" si="4"/>
        <v>0</v>
      </c>
      <c r="O29" s="24">
        <f t="shared" si="5"/>
        <v>0</v>
      </c>
      <c r="P29" s="24">
        <f t="shared" si="6"/>
        <v>0</v>
      </c>
      <c r="Q29" s="24" t="str">
        <f t="shared" si="7"/>
        <v/>
      </c>
      <c r="R29" s="24">
        <f t="shared" si="8"/>
        <v>0</v>
      </c>
      <c r="S29" s="24">
        <f t="shared" si="0"/>
        <v>0</v>
      </c>
    </row>
    <row r="30" spans="1:19">
      <c r="A30" s="427">
        <v>25</v>
      </c>
      <c r="B30" s="428">
        <f>固定资产!B30</f>
        <v>0</v>
      </c>
      <c r="C30" s="259">
        <f>固定资产!C30</f>
        <v>0</v>
      </c>
      <c r="D30" s="259"/>
      <c r="E30" s="429">
        <f>固定资产!AA30</f>
        <v>0</v>
      </c>
      <c r="F30" s="430">
        <f>固定资产!P30</f>
        <v>0</v>
      </c>
      <c r="G30" s="259">
        <f>固定资产!D30</f>
        <v>0</v>
      </c>
      <c r="H30" s="259">
        <f>固定资产!E30</f>
        <v>0</v>
      </c>
      <c r="I30" s="431"/>
      <c r="J30" s="430"/>
      <c r="K30" s="432">
        <f t="shared" si="1"/>
        <v>0</v>
      </c>
      <c r="L30" s="433">
        <f t="shared" si="2"/>
        <v>0</v>
      </c>
      <c r="M30" s="434">
        <f t="shared" si="3"/>
        <v>0</v>
      </c>
      <c r="N30" s="434">
        <f t="shared" si="4"/>
        <v>0</v>
      </c>
      <c r="O30" s="24">
        <f t="shared" si="5"/>
        <v>0</v>
      </c>
      <c r="P30" s="24">
        <f t="shared" si="6"/>
        <v>0</v>
      </c>
      <c r="Q30" s="24" t="str">
        <f t="shared" si="7"/>
        <v/>
      </c>
      <c r="R30" s="24">
        <f t="shared" si="8"/>
        <v>0</v>
      </c>
      <c r="S30" s="24">
        <f t="shared" si="0"/>
        <v>0</v>
      </c>
    </row>
    <row r="31" spans="1:19">
      <c r="A31" s="427">
        <v>26</v>
      </c>
      <c r="B31" s="428">
        <f>固定资产!B31</f>
        <v>0</v>
      </c>
      <c r="C31" s="259">
        <f>固定资产!C31</f>
        <v>0</v>
      </c>
      <c r="D31" s="259"/>
      <c r="E31" s="429">
        <f>固定资产!AA31</f>
        <v>0</v>
      </c>
      <c r="F31" s="430">
        <f>固定资产!P31</f>
        <v>0</v>
      </c>
      <c r="G31" s="259">
        <f>固定资产!D31</f>
        <v>0</v>
      </c>
      <c r="H31" s="259">
        <f>固定资产!E31</f>
        <v>0</v>
      </c>
      <c r="I31" s="431"/>
      <c r="J31" s="430"/>
      <c r="K31" s="432">
        <f t="shared" si="1"/>
        <v>0</v>
      </c>
      <c r="L31" s="433">
        <f t="shared" si="2"/>
        <v>0</v>
      </c>
      <c r="M31" s="434">
        <f t="shared" si="3"/>
        <v>0</v>
      </c>
      <c r="N31" s="434">
        <f t="shared" si="4"/>
        <v>0</v>
      </c>
      <c r="O31" s="24">
        <f t="shared" si="5"/>
        <v>0</v>
      </c>
      <c r="P31" s="24">
        <f t="shared" si="6"/>
        <v>0</v>
      </c>
      <c r="Q31" s="24" t="str">
        <f t="shared" si="7"/>
        <v/>
      </c>
      <c r="R31" s="24">
        <f t="shared" si="8"/>
        <v>0</v>
      </c>
      <c r="S31" s="24">
        <f t="shared" si="0"/>
        <v>0</v>
      </c>
    </row>
    <row r="32" spans="1:19">
      <c r="A32" s="427">
        <v>27</v>
      </c>
      <c r="B32" s="428">
        <f>固定资产!B32</f>
        <v>0</v>
      </c>
      <c r="C32" s="259">
        <f>固定资产!C32</f>
        <v>0</v>
      </c>
      <c r="D32" s="259"/>
      <c r="E32" s="429">
        <f>固定资产!AA32</f>
        <v>0</v>
      </c>
      <c r="F32" s="430">
        <f>固定资产!P32</f>
        <v>0</v>
      </c>
      <c r="G32" s="259">
        <f>固定资产!D32</f>
        <v>0</v>
      </c>
      <c r="H32" s="259">
        <f>固定资产!E32</f>
        <v>0</v>
      </c>
      <c r="I32" s="431"/>
      <c r="J32" s="430"/>
      <c r="K32" s="432">
        <f t="shared" si="1"/>
        <v>0</v>
      </c>
      <c r="L32" s="433">
        <f t="shared" si="2"/>
        <v>0</v>
      </c>
      <c r="M32" s="434">
        <f t="shared" si="3"/>
        <v>0</v>
      </c>
      <c r="N32" s="434">
        <f t="shared" si="4"/>
        <v>0</v>
      </c>
      <c r="O32" s="24">
        <f t="shared" si="5"/>
        <v>0</v>
      </c>
      <c r="P32" s="24">
        <f t="shared" si="6"/>
        <v>0</v>
      </c>
      <c r="Q32" s="24" t="str">
        <f t="shared" si="7"/>
        <v/>
      </c>
      <c r="R32" s="24">
        <f t="shared" si="8"/>
        <v>0</v>
      </c>
      <c r="S32" s="24">
        <f t="shared" si="0"/>
        <v>0</v>
      </c>
    </row>
    <row r="33" spans="1:19">
      <c r="A33" s="427">
        <v>28</v>
      </c>
      <c r="B33" s="428">
        <f>固定资产!B33</f>
        <v>0</v>
      </c>
      <c r="C33" s="259">
        <f>固定资产!C33</f>
        <v>0</v>
      </c>
      <c r="D33" s="259"/>
      <c r="E33" s="429">
        <f>固定资产!AA33</f>
        <v>0</v>
      </c>
      <c r="F33" s="430">
        <f>固定资产!P33</f>
        <v>0</v>
      </c>
      <c r="G33" s="259">
        <f>固定资产!D33</f>
        <v>0</v>
      </c>
      <c r="H33" s="259">
        <f>固定资产!E33</f>
        <v>0</v>
      </c>
      <c r="I33" s="431"/>
      <c r="J33" s="430"/>
      <c r="K33" s="432">
        <f t="shared" si="1"/>
        <v>0</v>
      </c>
      <c r="L33" s="433">
        <f t="shared" si="2"/>
        <v>0</v>
      </c>
      <c r="M33" s="434">
        <f t="shared" si="3"/>
        <v>0</v>
      </c>
      <c r="N33" s="434">
        <f t="shared" si="4"/>
        <v>0</v>
      </c>
      <c r="O33" s="24">
        <f t="shared" si="5"/>
        <v>0</v>
      </c>
      <c r="P33" s="24">
        <f t="shared" si="6"/>
        <v>0</v>
      </c>
      <c r="Q33" s="24" t="str">
        <f t="shared" si="7"/>
        <v/>
      </c>
      <c r="R33" s="24">
        <f t="shared" si="8"/>
        <v>0</v>
      </c>
      <c r="S33" s="24">
        <f t="shared" si="0"/>
        <v>0</v>
      </c>
    </row>
    <row r="34" spans="1:19">
      <c r="A34" s="435">
        <v>29</v>
      </c>
      <c r="B34" s="428">
        <f>固定资产!B34</f>
        <v>0</v>
      </c>
      <c r="C34" s="259">
        <f>固定资产!C34</f>
        <v>0</v>
      </c>
      <c r="D34" s="259"/>
      <c r="E34" s="429">
        <f>固定资产!AA34</f>
        <v>0</v>
      </c>
      <c r="F34" s="430">
        <f>固定资产!P34</f>
        <v>0</v>
      </c>
      <c r="G34" s="259">
        <f>固定资产!D34</f>
        <v>0</v>
      </c>
      <c r="H34" s="259">
        <f>固定资产!E34</f>
        <v>0</v>
      </c>
      <c r="I34" s="431"/>
      <c r="J34" s="430"/>
      <c r="K34" s="432">
        <f t="shared" si="1"/>
        <v>0</v>
      </c>
      <c r="L34" s="433">
        <f t="shared" si="2"/>
        <v>0</v>
      </c>
      <c r="M34" s="434">
        <f t="shared" si="3"/>
        <v>0</v>
      </c>
      <c r="N34" s="434">
        <f t="shared" si="4"/>
        <v>0</v>
      </c>
      <c r="O34" s="24">
        <f t="shared" si="5"/>
        <v>0</v>
      </c>
      <c r="P34" s="24">
        <f t="shared" si="6"/>
        <v>0</v>
      </c>
      <c r="Q34" s="24" t="str">
        <f t="shared" si="7"/>
        <v/>
      </c>
      <c r="R34" s="24">
        <f t="shared" si="8"/>
        <v>0</v>
      </c>
      <c r="S34" s="24">
        <f t="shared" si="0"/>
        <v>0</v>
      </c>
    </row>
    <row r="35" ht="18" customHeight="1" spans="1:19">
      <c r="A35" s="436" t="s">
        <v>217</v>
      </c>
      <c r="B35" s="437"/>
      <c r="C35" s="437"/>
      <c r="D35" s="438"/>
      <c r="E35" s="315">
        <f t="shared" ref="E35:J35" si="9">SUM(E6:E34)</f>
        <v>0</v>
      </c>
      <c r="F35" s="315">
        <f t="shared" si="9"/>
        <v>0</v>
      </c>
      <c r="G35" s="439"/>
      <c r="H35" s="439"/>
      <c r="I35" s="439"/>
      <c r="J35" s="315">
        <f t="shared" si="9"/>
        <v>0</v>
      </c>
      <c r="K35" s="439"/>
      <c r="L35" s="439"/>
      <c r="M35" s="439"/>
      <c r="N35" s="439"/>
      <c r="O35" s="315">
        <f t="shared" ref="O35:S35" si="10">SUM(O6:O34)</f>
        <v>0</v>
      </c>
      <c r="P35" s="315">
        <f t="shared" si="10"/>
        <v>0</v>
      </c>
      <c r="Q35" s="315">
        <f t="shared" si="10"/>
        <v>0</v>
      </c>
      <c r="R35" s="315">
        <f t="shared" si="10"/>
        <v>0</v>
      </c>
      <c r="S35" s="315">
        <f t="shared" si="10"/>
        <v>0</v>
      </c>
    </row>
    <row r="37" spans="1:19">
      <c r="B37" s="29" t="s">
        <v>218</v>
      </c>
    </row>
  </sheetData>
  <mergeCells count="3">
    <mergeCell ref="A1:S1"/>
    <mergeCell ref="A4:B4"/>
    <mergeCell ref="A35:D35"/>
  </mergeCells>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P35"/>
  <sheetViews>
    <sheetView zoomScale="90" zoomScaleNormal="90" workbookViewId="0">
      <pane ySplit="6" topLeftCell="A7" activePane="bottomLeft" state="frozen"/>
      <selection/>
      <selection pane="bottomLeft" activeCell="J10" sqref="J10"/>
    </sheetView>
  </sheetViews>
  <sheetFormatPr defaultColWidth="8.73148148148148" defaultRowHeight="14.4"/>
  <cols>
    <col min="1" max="1" width="5.90740740740741" customWidth="1"/>
    <col min="2" max="2" width="16.8148148148148" customWidth="1"/>
    <col min="3" max="3" width="12.3611111111111" customWidth="1"/>
    <col min="4" max="4" width="12.0925925925926" customWidth="1"/>
    <col min="7" max="7" width="11.9074074074074" customWidth="1"/>
    <col min="9" max="9" width="12.4537037037037" customWidth="1"/>
    <col min="11" max="11" width="13.7314814814815"/>
    <col min="12" max="12" width="12.9351851851852" customWidth="1"/>
    <col min="13" max="13" width="11.9074074074074" customWidth="1"/>
    <col min="14" max="14" width="13.0925925925926"/>
    <col min="15" max="15" width="10.2685185185185"/>
    <col min="16" max="16" width="13.0925925925926"/>
  </cols>
  <sheetData>
    <row r="1" ht="23" customHeight="1" spans="1:16">
      <c r="A1" s="1" t="s">
        <v>29</v>
      </c>
      <c r="B1" s="1"/>
      <c r="C1" s="1"/>
      <c r="D1" s="1"/>
      <c r="E1" s="1"/>
      <c r="F1" s="1"/>
      <c r="G1" s="1"/>
      <c r="H1" s="1"/>
      <c r="I1" s="1"/>
      <c r="J1" s="1"/>
      <c r="K1" s="1"/>
      <c r="L1" s="1"/>
      <c r="M1" s="1"/>
      <c r="N1" s="1"/>
      <c r="O1" s="1"/>
      <c r="P1" s="1"/>
    </row>
    <row r="2" spans="1:16">
      <c r="A2" s="2" t="str">
        <f>备忘录!$A$1</f>
        <v>被审计单位：福禄福擎网络科技有限公司</v>
      </c>
      <c r="B2" s="4"/>
      <c r="C2" s="4"/>
      <c r="H2" s="4" t="s">
        <v>193</v>
      </c>
      <c r="I2" s="4"/>
      <c r="J2" s="4"/>
      <c r="K2" s="4" t="str">
        <f>备忘录!$C$2</f>
        <v>日期：2025/10/30</v>
      </c>
    </row>
    <row r="3" spans="1:16">
      <c r="A3" s="2" t="str">
        <f>备忘录!$A$2</f>
        <v>财务报表截止日：2025/9/30</v>
      </c>
      <c r="B3" s="4"/>
      <c r="C3" s="4"/>
      <c r="H3" s="4" t="s">
        <v>194</v>
      </c>
      <c r="I3" s="4"/>
      <c r="J3" s="4"/>
      <c r="K3" s="4" t="str">
        <f>备忘录!$C$3</f>
        <v>日期：2025/10/31</v>
      </c>
    </row>
    <row r="4" spans="1:16">
      <c r="A4" s="367"/>
      <c r="B4" s="368" t="s">
        <v>352</v>
      </c>
      <c r="C4" s="369"/>
      <c r="D4" s="369"/>
      <c r="E4" s="369"/>
      <c r="F4" s="369"/>
      <c r="G4" s="369"/>
      <c r="H4" s="369"/>
      <c r="I4" s="370"/>
      <c r="J4" s="371"/>
      <c r="K4" s="371"/>
      <c r="L4" s="214"/>
      <c r="M4" s="372"/>
      <c r="N4" s="214"/>
      <c r="O4" s="214"/>
      <c r="P4" s="214"/>
    </row>
    <row r="5" ht="16" customHeight="1" spans="1:16">
      <c r="A5" s="373" t="s">
        <v>245</v>
      </c>
      <c r="B5" s="374" t="s">
        <v>353</v>
      </c>
      <c r="C5" s="374" t="s">
        <v>354</v>
      </c>
      <c r="D5" s="375" t="s">
        <v>355</v>
      </c>
      <c r="E5" s="376"/>
      <c r="F5" s="376"/>
      <c r="G5" s="376"/>
      <c r="H5" s="376"/>
      <c r="I5" s="377"/>
      <c r="J5" s="378" t="s">
        <v>356</v>
      </c>
      <c r="K5" s="163" t="s">
        <v>357</v>
      </c>
      <c r="L5" s="164"/>
      <c r="M5" s="375" t="s">
        <v>358</v>
      </c>
      <c r="N5" s="376"/>
      <c r="O5" s="376"/>
      <c r="P5" s="377"/>
    </row>
    <row r="6" ht="17" customHeight="1" spans="1:16">
      <c r="A6" s="379"/>
      <c r="B6" s="380"/>
      <c r="C6" s="380"/>
      <c r="D6" s="238" t="s">
        <v>359</v>
      </c>
      <c r="E6" s="381" t="s">
        <v>211</v>
      </c>
      <c r="F6" s="381" t="s">
        <v>212</v>
      </c>
      <c r="G6" s="238" t="s">
        <v>360</v>
      </c>
      <c r="H6" s="382" t="s">
        <v>274</v>
      </c>
      <c r="I6" s="381" t="s">
        <v>361</v>
      </c>
      <c r="J6" s="383"/>
      <c r="K6" s="381" t="s">
        <v>362</v>
      </c>
      <c r="L6" s="381" t="s">
        <v>363</v>
      </c>
      <c r="M6" s="238" t="s">
        <v>359</v>
      </c>
      <c r="N6" s="381" t="s">
        <v>211</v>
      </c>
      <c r="O6" s="381" t="s">
        <v>212</v>
      </c>
      <c r="P6" s="238" t="s">
        <v>360</v>
      </c>
    </row>
    <row r="7" ht="17" customHeight="1" spans="1:16">
      <c r="A7" s="384">
        <v>1</v>
      </c>
      <c r="B7" s="385"/>
      <c r="C7" s="386"/>
      <c r="D7" s="387"/>
      <c r="E7" s="387"/>
      <c r="F7" s="387"/>
      <c r="G7" s="388">
        <f>ROUND(D7+E7-F7,2)</f>
        <v>0</v>
      </c>
      <c r="H7" s="387"/>
      <c r="I7" s="388">
        <f>ROUND(SUM(G7:H7),2)</f>
        <v>0</v>
      </c>
      <c r="J7" s="387"/>
      <c r="K7" s="387"/>
      <c r="L7" s="389"/>
      <c r="M7" s="390">
        <f>ROUND(D7+J7,2)</f>
        <v>0</v>
      </c>
      <c r="N7" s="390">
        <f t="shared" ref="M7:O7" si="0">ROUND(E7+K7,2)</f>
        <v>0</v>
      </c>
      <c r="O7" s="390">
        <f t="shared" si="0"/>
        <v>0</v>
      </c>
      <c r="P7" s="390">
        <f>ROUND(M7+N7-O7,2)</f>
        <v>0</v>
      </c>
    </row>
    <row r="8" ht="17" customHeight="1" spans="1:16">
      <c r="A8" s="384">
        <v>2</v>
      </c>
      <c r="B8" s="385"/>
      <c r="C8" s="386"/>
      <c r="D8" s="387"/>
      <c r="E8" s="387"/>
      <c r="F8" s="387"/>
      <c r="G8" s="388">
        <f>ROUND(D8+E8-F8,2)</f>
        <v>0</v>
      </c>
      <c r="H8" s="387"/>
      <c r="I8" s="388">
        <f>ROUND(SUM(G8:H8),2)</f>
        <v>0</v>
      </c>
      <c r="J8" s="387"/>
      <c r="K8" s="387"/>
      <c r="L8" s="389"/>
      <c r="M8" s="390">
        <f t="shared" ref="M8:O8" si="1">ROUND(D8+J8,2)</f>
        <v>0</v>
      </c>
      <c r="N8" s="390">
        <f t="shared" si="1"/>
        <v>0</v>
      </c>
      <c r="O8" s="390">
        <f t="shared" si="1"/>
        <v>0</v>
      </c>
      <c r="P8" s="390">
        <f>ROUND(M8+N8-O8,2)</f>
        <v>0</v>
      </c>
    </row>
    <row r="9" ht="17" customHeight="1" spans="1:16">
      <c r="A9" s="176"/>
      <c r="B9" s="391" t="s">
        <v>217</v>
      </c>
      <c r="C9" s="392" t="s">
        <v>364</v>
      </c>
      <c r="D9" s="393">
        <f>ROUND(SUM(D7:D8),2)</f>
        <v>0</v>
      </c>
      <c r="E9" s="393">
        <f t="shared" ref="E9:P9" si="2">ROUND(SUM(E7:E8),2)</f>
        <v>0</v>
      </c>
      <c r="F9" s="393">
        <f t="shared" si="2"/>
        <v>0</v>
      </c>
      <c r="G9" s="393">
        <f t="shared" si="2"/>
        <v>0</v>
      </c>
      <c r="H9" s="393">
        <f t="shared" si="2"/>
        <v>0</v>
      </c>
      <c r="I9" s="393">
        <f t="shared" si="2"/>
        <v>0</v>
      </c>
      <c r="J9" s="393">
        <f t="shared" si="2"/>
        <v>0</v>
      </c>
      <c r="K9" s="393">
        <f t="shared" si="2"/>
        <v>0</v>
      </c>
      <c r="L9" s="393">
        <f t="shared" si="2"/>
        <v>0</v>
      </c>
      <c r="M9" s="393">
        <f t="shared" si="2"/>
        <v>0</v>
      </c>
      <c r="N9" s="393">
        <f t="shared" si="2"/>
        <v>0</v>
      </c>
      <c r="O9" s="393">
        <f t="shared" si="2"/>
        <v>0</v>
      </c>
      <c r="P9" s="393">
        <f t="shared" si="2"/>
        <v>0</v>
      </c>
    </row>
    <row r="11" spans="1:16">
      <c r="A11" s="394"/>
      <c r="B11" s="368" t="s">
        <v>365</v>
      </c>
      <c r="C11" s="214"/>
      <c r="D11" s="214"/>
      <c r="E11" s="214"/>
      <c r="F11" s="214"/>
      <c r="G11" s="214"/>
      <c r="H11" s="214"/>
      <c r="I11" s="214"/>
      <c r="J11" s="214"/>
      <c r="K11" s="214"/>
      <c r="L11" s="214"/>
      <c r="M11" s="395"/>
      <c r="N11" s="214"/>
      <c r="O11" s="214"/>
      <c r="P11" s="214"/>
    </row>
    <row r="12" spans="1:16">
      <c r="A12" s="373" t="s">
        <v>245</v>
      </c>
      <c r="B12" s="374" t="s">
        <v>353</v>
      </c>
      <c r="C12" s="374" t="s">
        <v>354</v>
      </c>
      <c r="D12" s="375" t="s">
        <v>355</v>
      </c>
      <c r="E12" s="376"/>
      <c r="F12" s="376"/>
      <c r="G12" s="376"/>
      <c r="H12" s="376"/>
      <c r="I12" s="377"/>
      <c r="J12" s="378" t="s">
        <v>356</v>
      </c>
      <c r="K12" s="163" t="s">
        <v>357</v>
      </c>
      <c r="L12" s="164"/>
      <c r="M12" s="375" t="s">
        <v>358</v>
      </c>
      <c r="N12" s="376"/>
      <c r="O12" s="376"/>
      <c r="P12" s="377"/>
    </row>
    <row r="13" spans="1:16">
      <c r="A13" s="379"/>
      <c r="B13" s="380"/>
      <c r="C13" s="380"/>
      <c r="D13" s="238" t="s">
        <v>359</v>
      </c>
      <c r="E13" s="381" t="s">
        <v>211</v>
      </c>
      <c r="F13" s="381" t="s">
        <v>212</v>
      </c>
      <c r="G13" s="238" t="s">
        <v>360</v>
      </c>
      <c r="H13" s="382" t="s">
        <v>274</v>
      </c>
      <c r="I13" s="381" t="s">
        <v>361</v>
      </c>
      <c r="J13" s="383"/>
      <c r="K13" s="381" t="s">
        <v>362</v>
      </c>
      <c r="L13" s="381" t="s">
        <v>363</v>
      </c>
      <c r="M13" s="238" t="s">
        <v>359</v>
      </c>
      <c r="N13" s="381" t="s">
        <v>211</v>
      </c>
      <c r="O13" s="381" t="s">
        <v>212</v>
      </c>
      <c r="P13" s="238" t="s">
        <v>360</v>
      </c>
    </row>
    <row r="14" ht="16" customHeight="1" spans="1:16">
      <c r="A14" s="396">
        <v>1</v>
      </c>
      <c r="B14" s="397"/>
      <c r="C14" s="386"/>
      <c r="D14" s="398"/>
      <c r="E14" s="387"/>
      <c r="F14" s="387"/>
      <c r="G14" s="388">
        <f>ROUND(D14-E14+F14,2)</f>
        <v>0</v>
      </c>
      <c r="H14" s="387"/>
      <c r="I14" s="399">
        <f>ROUND(SUM(G14:H14),2)</f>
        <v>0</v>
      </c>
      <c r="J14" s="387"/>
      <c r="K14" s="389"/>
      <c r="L14" s="400"/>
      <c r="M14" s="390">
        <f t="shared" ref="M14:O14" si="3">ROUND(D14+J14,2)</f>
        <v>0</v>
      </c>
      <c r="N14" s="390">
        <f t="shared" si="3"/>
        <v>0</v>
      </c>
      <c r="O14" s="401">
        <f t="shared" si="3"/>
        <v>0</v>
      </c>
      <c r="P14" s="401">
        <f>ROUND(M14-N14+O14,2)</f>
        <v>0</v>
      </c>
    </row>
    <row r="15" ht="16" customHeight="1" spans="1:16">
      <c r="A15" s="396">
        <v>2</v>
      </c>
      <c r="B15" s="385"/>
      <c r="C15" s="386"/>
      <c r="D15" s="398"/>
      <c r="E15" s="387"/>
      <c r="F15" s="387"/>
      <c r="G15" s="388">
        <f>D15-E15+F15</f>
        <v>0</v>
      </c>
      <c r="H15" s="387"/>
      <c r="I15" s="399">
        <f>SUM(G15:H15)</f>
        <v>0</v>
      </c>
      <c r="J15" s="387"/>
      <c r="K15" s="389"/>
      <c r="L15" s="402"/>
      <c r="M15" s="390">
        <f t="shared" ref="M15:O15" si="4">ROUND(D15+J15,2)</f>
        <v>0</v>
      </c>
      <c r="N15" s="390">
        <f t="shared" si="4"/>
        <v>0</v>
      </c>
      <c r="O15" s="401">
        <f t="shared" si="4"/>
        <v>0</v>
      </c>
      <c r="P15" s="401">
        <f>ROUND(M15-N15+O15,2)</f>
        <v>0</v>
      </c>
    </row>
    <row r="16" ht="16" customHeight="1" spans="1:16">
      <c r="A16" s="176"/>
      <c r="B16" s="391" t="s">
        <v>217</v>
      </c>
      <c r="C16" s="403" t="s">
        <v>364</v>
      </c>
      <c r="D16" s="404">
        <f t="shared" ref="D16:P16" si="5">ROUND(SUM(D14:D15),2)</f>
        <v>0</v>
      </c>
      <c r="E16" s="388">
        <f t="shared" si="5"/>
        <v>0</v>
      </c>
      <c r="F16" s="388">
        <f t="shared" si="5"/>
        <v>0</v>
      </c>
      <c r="G16" s="388">
        <f t="shared" si="5"/>
        <v>0</v>
      </c>
      <c r="H16" s="388">
        <f t="shared" si="5"/>
        <v>0</v>
      </c>
      <c r="I16" s="399">
        <f t="shared" si="5"/>
        <v>0</v>
      </c>
      <c r="J16" s="388">
        <f t="shared" si="5"/>
        <v>0</v>
      </c>
      <c r="K16" s="388">
        <f t="shared" si="5"/>
        <v>0</v>
      </c>
      <c r="L16" s="399">
        <f t="shared" si="5"/>
        <v>0</v>
      </c>
      <c r="M16" s="388">
        <f t="shared" si="5"/>
        <v>0</v>
      </c>
      <c r="N16" s="388">
        <f t="shared" si="5"/>
        <v>0</v>
      </c>
      <c r="O16" s="399">
        <f t="shared" si="5"/>
        <v>0</v>
      </c>
      <c r="P16" s="399">
        <f t="shared" si="5"/>
        <v>0</v>
      </c>
    </row>
    <row r="18" spans="1:16">
      <c r="A18" s="394"/>
      <c r="B18" s="368" t="s">
        <v>366</v>
      </c>
      <c r="C18" s="405"/>
      <c r="D18" s="214"/>
      <c r="E18" s="214"/>
      <c r="F18" s="214"/>
      <c r="G18" s="214"/>
      <c r="H18" s="214"/>
      <c r="I18" s="214"/>
      <c r="J18" s="214"/>
      <c r="K18" s="214"/>
      <c r="L18" s="214"/>
      <c r="M18" s="395"/>
      <c r="N18" s="214"/>
      <c r="O18" s="214"/>
      <c r="P18" s="214"/>
    </row>
    <row r="19" spans="1:16">
      <c r="A19" s="373" t="s">
        <v>245</v>
      </c>
      <c r="B19" s="374" t="s">
        <v>353</v>
      </c>
      <c r="C19" s="406" t="s">
        <v>354</v>
      </c>
      <c r="D19" s="375" t="s">
        <v>355</v>
      </c>
      <c r="E19" s="376"/>
      <c r="F19" s="376"/>
      <c r="G19" s="376"/>
      <c r="H19" s="376"/>
      <c r="I19" s="377"/>
      <c r="J19" s="378" t="s">
        <v>356</v>
      </c>
      <c r="K19" s="163" t="s">
        <v>357</v>
      </c>
      <c r="L19" s="164"/>
      <c r="M19" s="375" t="s">
        <v>358</v>
      </c>
      <c r="N19" s="376"/>
      <c r="O19" s="376"/>
      <c r="P19" s="377"/>
    </row>
    <row r="20" spans="1:16">
      <c r="A20" s="379"/>
      <c r="B20" s="380"/>
      <c r="C20" s="407"/>
      <c r="D20" s="238" t="s">
        <v>359</v>
      </c>
      <c r="E20" s="381" t="s">
        <v>211</v>
      </c>
      <c r="F20" s="381" t="s">
        <v>212</v>
      </c>
      <c r="G20" s="238" t="s">
        <v>360</v>
      </c>
      <c r="H20" s="382" t="s">
        <v>274</v>
      </c>
      <c r="I20" s="381" t="s">
        <v>361</v>
      </c>
      <c r="J20" s="383"/>
      <c r="K20" s="381" t="s">
        <v>362</v>
      </c>
      <c r="L20" s="381" t="s">
        <v>363</v>
      </c>
      <c r="M20" s="238" t="s">
        <v>359</v>
      </c>
      <c r="N20" s="381" t="s">
        <v>211</v>
      </c>
      <c r="O20" s="381" t="s">
        <v>212</v>
      </c>
      <c r="P20" s="238" t="s">
        <v>360</v>
      </c>
    </row>
    <row r="21" ht="16" customHeight="1" spans="1:16">
      <c r="A21" s="396">
        <v>1</v>
      </c>
      <c r="B21" s="397"/>
      <c r="C21" s="386"/>
      <c r="D21" s="408"/>
      <c r="E21" s="408"/>
      <c r="F21" s="408"/>
      <c r="G21" s="409">
        <f>ROUND(D21-E21+F21,2)</f>
        <v>0</v>
      </c>
      <c r="H21" s="408"/>
      <c r="I21" s="409">
        <f>ROUND(SUM(G21:H21),2)</f>
        <v>0</v>
      </c>
      <c r="J21" s="408"/>
      <c r="K21" s="410"/>
      <c r="L21" s="411"/>
      <c r="M21" s="412">
        <f t="shared" ref="M21:O21" si="6">ROUND(D21+J21,2)</f>
        <v>0</v>
      </c>
      <c r="N21" s="412">
        <f t="shared" si="6"/>
        <v>0</v>
      </c>
      <c r="O21" s="412">
        <f t="shared" si="6"/>
        <v>0</v>
      </c>
      <c r="P21" s="412">
        <f>ROUND(M21-N21+O21,2)</f>
        <v>0</v>
      </c>
    </row>
    <row r="22" ht="16" customHeight="1" spans="1:16">
      <c r="A22" s="396">
        <v>2</v>
      </c>
      <c r="B22" s="385"/>
      <c r="C22" s="386"/>
      <c r="D22" s="408"/>
      <c r="E22" s="408"/>
      <c r="F22" s="408"/>
      <c r="G22" s="409">
        <f>ROUND(D22-E22+F22,2)</f>
        <v>0</v>
      </c>
      <c r="H22" s="408"/>
      <c r="I22" s="409">
        <f>ROUND(SUM(G22:H22),2)</f>
        <v>0</v>
      </c>
      <c r="J22" s="408"/>
      <c r="K22" s="410"/>
      <c r="L22" s="411"/>
      <c r="M22" s="412">
        <f t="shared" ref="M22:O22" si="7">ROUND(D22+J22,2)</f>
        <v>0</v>
      </c>
      <c r="N22" s="412">
        <f t="shared" si="7"/>
        <v>0</v>
      </c>
      <c r="O22" s="412">
        <f t="shared" si="7"/>
        <v>0</v>
      </c>
      <c r="P22" s="412">
        <f>ROUND(M22-N22+O22,2)</f>
        <v>0</v>
      </c>
    </row>
    <row r="23" ht="16" customHeight="1" spans="1:16">
      <c r="A23" s="176"/>
      <c r="B23" s="391" t="s">
        <v>217</v>
      </c>
      <c r="C23" s="403" t="s">
        <v>364</v>
      </c>
      <c r="D23" s="409">
        <f t="shared" ref="D23:P23" si="8">ROUND(SUM(D21:D22),2)</f>
        <v>0</v>
      </c>
      <c r="E23" s="409">
        <f t="shared" si="8"/>
        <v>0</v>
      </c>
      <c r="F23" s="409">
        <f t="shared" si="8"/>
        <v>0</v>
      </c>
      <c r="G23" s="409">
        <f t="shared" si="8"/>
        <v>0</v>
      </c>
      <c r="H23" s="409">
        <f t="shared" si="8"/>
        <v>0</v>
      </c>
      <c r="I23" s="409">
        <f t="shared" si="8"/>
        <v>0</v>
      </c>
      <c r="J23" s="409">
        <f t="shared" si="8"/>
        <v>0</v>
      </c>
      <c r="K23" s="409">
        <f t="shared" si="8"/>
        <v>0</v>
      </c>
      <c r="L23" s="409">
        <f t="shared" si="8"/>
        <v>0</v>
      </c>
      <c r="M23" s="409">
        <f t="shared" si="8"/>
        <v>0</v>
      </c>
      <c r="N23" s="409">
        <f t="shared" si="8"/>
        <v>0</v>
      </c>
      <c r="O23" s="409">
        <f t="shared" si="8"/>
        <v>0</v>
      </c>
      <c r="P23" s="409">
        <f t="shared" si="8"/>
        <v>0</v>
      </c>
    </row>
    <row r="25" ht="22" customHeight="1" spans="1:16">
      <c r="A25" s="413" t="s">
        <v>367</v>
      </c>
      <c r="B25" s="414" t="s">
        <v>368</v>
      </c>
      <c r="C25" s="415"/>
      <c r="D25" s="416">
        <f t="shared" ref="D25:P25" si="9">ROUND(D9-D16-D23,2)</f>
        <v>0</v>
      </c>
      <c r="E25" s="416">
        <f t="shared" si="9"/>
        <v>0</v>
      </c>
      <c r="F25" s="416">
        <f t="shared" si="9"/>
        <v>0</v>
      </c>
      <c r="G25" s="416">
        <f t="shared" si="9"/>
        <v>0</v>
      </c>
      <c r="H25" s="416">
        <f t="shared" si="9"/>
        <v>0</v>
      </c>
      <c r="I25" s="416">
        <f t="shared" si="9"/>
        <v>0</v>
      </c>
      <c r="J25" s="416">
        <f t="shared" si="9"/>
        <v>0</v>
      </c>
      <c r="K25" s="416">
        <f t="shared" si="9"/>
        <v>0</v>
      </c>
      <c r="L25" s="416">
        <f t="shared" si="9"/>
        <v>0</v>
      </c>
      <c r="M25" s="416">
        <f t="shared" si="9"/>
        <v>0</v>
      </c>
      <c r="N25" s="416">
        <f t="shared" si="9"/>
        <v>0</v>
      </c>
      <c r="O25" s="416">
        <f t="shared" si="9"/>
        <v>0</v>
      </c>
      <c r="P25" s="416">
        <f t="shared" si="9"/>
        <v>0</v>
      </c>
    </row>
    <row r="27" spans="1:16">
      <c r="D27" s="29" t="s">
        <v>218</v>
      </c>
    </row>
    <row r="29" spans="1:16">
      <c r="C29" s="417" t="s">
        <v>369</v>
      </c>
    </row>
    <row r="30" spans="1:16">
      <c r="C30" s="417" t="s">
        <v>370</v>
      </c>
    </row>
    <row r="31" spans="1:16">
      <c r="C31" s="417" t="s">
        <v>371</v>
      </c>
    </row>
    <row r="32" spans="1:16">
      <c r="C32" s="417" t="s">
        <v>372</v>
      </c>
    </row>
    <row r="33" spans="3:3">
      <c r="C33" s="418" t="s">
        <v>373</v>
      </c>
    </row>
    <row r="34" spans="3:3">
      <c r="C34" s="418" t="s">
        <v>374</v>
      </c>
    </row>
    <row r="35" spans="3:3">
      <c r="C35" s="418" t="s">
        <v>375</v>
      </c>
    </row>
  </sheetData>
  <mergeCells count="23">
    <mergeCell ref="A1:P1"/>
    <mergeCell ref="D5:I5"/>
    <mergeCell ref="K5:L5"/>
    <mergeCell ref="M5:P5"/>
    <mergeCell ref="D12:I12"/>
    <mergeCell ref="K12:L12"/>
    <mergeCell ref="M12:P12"/>
    <mergeCell ref="D19:I19"/>
    <mergeCell ref="K19:L19"/>
    <mergeCell ref="M19:P19"/>
    <mergeCell ref="A25:B25"/>
    <mergeCell ref="A5:A6"/>
    <mergeCell ref="A12:A13"/>
    <mergeCell ref="A19:A20"/>
    <mergeCell ref="B5:B6"/>
    <mergeCell ref="B12:B13"/>
    <mergeCell ref="B19:B20"/>
    <mergeCell ref="C5:C6"/>
    <mergeCell ref="C12:C13"/>
    <mergeCell ref="C19:C20"/>
    <mergeCell ref="J5:J6"/>
    <mergeCell ref="J12:J13"/>
    <mergeCell ref="J19:J20"/>
  </mergeCells>
  <pageMargins left="0.75" right="0.75" top="1" bottom="1" header="0.5" footer="0.5"/>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R10"/>
  <sheetViews>
    <sheetView zoomScale="90" zoomScaleNormal="90" workbookViewId="0">
      <selection activeCell="J10" sqref="J10"/>
    </sheetView>
  </sheetViews>
  <sheetFormatPr defaultColWidth="8.73148148148148" defaultRowHeight="14.4"/>
  <cols>
    <col min="1" max="1" width="17.7685185185185" customWidth="1"/>
    <col min="2" max="2" width="12.1111111111111" customWidth="1"/>
    <col min="3" max="3" width="12.4166666666667" customWidth="1"/>
    <col min="4" max="4" width="13.4351851851852" customWidth="1"/>
    <col min="9" max="9" width="12.6203703703704" customWidth="1"/>
    <col min="17" max="17" width="11.4074074074074" customWidth="1"/>
    <col min="18" max="18" width="13.3240740740741" customWidth="1"/>
  </cols>
  <sheetData>
    <row r="1" ht="32" customHeight="1" spans="1:18">
      <c r="A1" s="1" t="s">
        <v>376</v>
      </c>
      <c r="B1" s="1"/>
      <c r="C1" s="1"/>
      <c r="D1" s="1"/>
      <c r="E1" s="1"/>
      <c r="F1" s="1"/>
      <c r="G1" s="1"/>
      <c r="H1" s="1"/>
      <c r="I1" s="1"/>
      <c r="J1" s="1"/>
      <c r="K1" s="1"/>
      <c r="L1" s="1"/>
      <c r="M1" s="1"/>
      <c r="N1" s="1"/>
      <c r="O1" s="1"/>
      <c r="P1" s="1"/>
      <c r="Q1" s="1"/>
      <c r="R1" s="1"/>
    </row>
    <row r="2" spans="1:18">
      <c r="A2" s="2" t="str">
        <f>备忘录!$A$1</f>
        <v>被审计单位：福禄福擎网络科技有限公司</v>
      </c>
      <c r="B2" s="4"/>
      <c r="C2" s="4"/>
      <c r="H2" s="4" t="s">
        <v>193</v>
      </c>
      <c r="I2" s="4"/>
      <c r="J2" s="4"/>
      <c r="N2" s="4" t="str">
        <f>备忘录!$C$2</f>
        <v>日期：2025/10/30</v>
      </c>
    </row>
    <row r="3" spans="1:18">
      <c r="A3" s="2" t="str">
        <f>备忘录!$A$2</f>
        <v>财务报表截止日：2025/9/30</v>
      </c>
      <c r="B3" s="4"/>
      <c r="C3" s="4"/>
      <c r="H3" s="4" t="s">
        <v>194</v>
      </c>
      <c r="I3" s="4"/>
      <c r="J3" s="4"/>
      <c r="N3" s="4" t="str">
        <f>备忘录!$C$3</f>
        <v>日期：2025/10/31</v>
      </c>
    </row>
    <row r="4" ht="23" customHeight="1" spans="1:18">
      <c r="A4" s="353" t="s">
        <v>377</v>
      </c>
      <c r="B4" s="354">
        <v>45658</v>
      </c>
      <c r="C4" s="353" t="s">
        <v>378</v>
      </c>
      <c r="D4" s="355">
        <v>45930</v>
      </c>
    </row>
    <row r="5" ht="32" customHeight="1" spans="1:18">
      <c r="A5" s="356" t="s">
        <v>353</v>
      </c>
      <c r="B5" s="356" t="s">
        <v>379</v>
      </c>
      <c r="C5" s="356" t="s">
        <v>380</v>
      </c>
      <c r="D5" s="356" t="s">
        <v>381</v>
      </c>
      <c r="E5" s="356" t="s">
        <v>382</v>
      </c>
      <c r="F5" s="356" t="s">
        <v>383</v>
      </c>
      <c r="G5" s="356" t="s">
        <v>384</v>
      </c>
      <c r="H5" s="356" t="s">
        <v>385</v>
      </c>
      <c r="I5" s="356" t="s">
        <v>386</v>
      </c>
      <c r="J5" s="356" t="s">
        <v>387</v>
      </c>
      <c r="K5" s="356" t="s">
        <v>388</v>
      </c>
      <c r="L5" s="356" t="s">
        <v>389</v>
      </c>
      <c r="M5" s="356" t="s">
        <v>390</v>
      </c>
      <c r="N5" s="356" t="s">
        <v>391</v>
      </c>
      <c r="O5" s="356" t="s">
        <v>392</v>
      </c>
      <c r="P5" s="356" t="s">
        <v>380</v>
      </c>
      <c r="Q5" s="356" t="s">
        <v>393</v>
      </c>
      <c r="R5" s="356" t="s">
        <v>394</v>
      </c>
    </row>
    <row r="6" s="352" customFormat="1" ht="21" customHeight="1" spans="1:18">
      <c r="A6" s="357"/>
      <c r="B6" s="358"/>
      <c r="C6" s="358"/>
      <c r="D6" s="359"/>
      <c r="E6" s="360"/>
      <c r="F6" s="358"/>
      <c r="G6" s="358"/>
      <c r="H6" s="361">
        <f>IF(E6=0,0,IF(RIGHT(E6,1)&lt;&gt;"年",E6*12,IF(LEN(E6)=3,VALUE(LEFT(E6,2))*12,IF(LEN(E6)=2,VALUE(LEFT(E6,1))*12,"??"))))</f>
        <v>0</v>
      </c>
      <c r="I6" s="362">
        <f>IF(DAY(D6)=1,IF(D6=0,0,DATE(YEAR(D6),MONTH(D6)+H6-1,DAY(D6))),IF(D6=0,0,DATE(YEAR(D6),MONTH(D6)+H6-1,DAY(D6)-1)))</f>
        <v>0</v>
      </c>
      <c r="J6" s="361">
        <f>IF(D6="",0,MIN(IF(AND(DAY($D$4)=30,DAY(D6)=31),IF(OR(D6=0,D6=$D$4),0,IF(I6&gt;$D$4,VALUE(DATEDIF(D6,MIN($D$4,I6),"m"))+1,VALUE(DATEDIF(D6,MIN($D$4,I6),"m")+2))),IF(OR(D6=0,D6=$D$4),0,IF(I6&gt;$D$4,DATEDIF(D6,MIN($D$4,I6),"m"),VALUE(DATEDIF(D6,MIN($D$4,I6),"m")+1)))),H6))</f>
        <v>0</v>
      </c>
      <c r="K6" s="361">
        <f>IF(J6="",0,H6-J6)</f>
        <v>0</v>
      </c>
      <c r="L6" s="361">
        <f>IF(AND(YEAR(D6)=YEAR($D$4),DAY($D$4)=30,DAY(D6)=31),IF(OR(D6=0,I6&lt;$B$4),0,IF(AND(D6&lt;$B$4,I6&gt;$D$4),VALUE(DATEDIF($B$4,$D$4,"m")+2),IF(AND(D6&lt;$B$4,I6&lt;=$D$4),VALUE(DATEDIF($B$4,I6,"m")+2),IF(AND(D6&gt;=$B$4,I6&gt;$D$4),VALUE(DATEDIF(D6,$D$4,"m")+1),IF(AND(D6&gt;=$B$4,I6&lt;=$D$4),VALUE(DATEDIF(D6,I6,"m")+2),))))),IF(OR(D6=0,I6&lt;$B$4),0,IF(AND(D6&lt;$B$4,I6&gt;$D$4),VALUE(DATEDIF($B$4,$D$4,"m")+1),IF(AND(D6&lt;$B$4,I6&lt;=$D$4),VALUE(DATEDIF($B$4,I6,"m")+1),IF(AND(D6&gt;=$B$4,I6&gt;$D$4),VALUE(DATEDIF(D6,$D$4,"m")+1),IF(AND(D6&gt;=$B$4,I6&lt;=$D$4),VALUE(DATEDIF(D6,I6,"m")+1),))))))</f>
        <v>0</v>
      </c>
      <c r="M6" s="363">
        <f>IF(H6=0,0,ROUND(((1-0)/H6)*B6,4))</f>
        <v>0</v>
      </c>
      <c r="N6" s="364">
        <f>L6*M6</f>
        <v>0</v>
      </c>
      <c r="O6" s="364">
        <f>M6-F6</f>
        <v>0</v>
      </c>
      <c r="P6" s="364">
        <f>M6*J6</f>
        <v>0</v>
      </c>
      <c r="Q6" s="364">
        <f>G6-N6</f>
        <v>0</v>
      </c>
      <c r="R6" s="364">
        <f>C6-P6</f>
        <v>0</v>
      </c>
    </row>
    <row r="7" s="352" customFormat="1" ht="21" customHeight="1" spans="1:18">
      <c r="A7" s="360"/>
      <c r="B7" s="358"/>
      <c r="C7" s="358"/>
      <c r="D7" s="359"/>
      <c r="E7" s="360"/>
      <c r="F7" s="358"/>
      <c r="G7" s="358"/>
      <c r="H7" s="361">
        <f>IF(E7=0,0,IF(RIGHT(E7,1)&lt;&gt;"年",E7*12,IF(LEN(E7)=3,VALUE(LEFT(E7,2))*12,IF(LEN(E7)=2,VALUE(LEFT(E7,1))*12,"??"))))</f>
        <v>0</v>
      </c>
      <c r="I7" s="362">
        <f>IF(DAY(D7)=1,IF(D7=0,0,DATE(YEAR(D7),MONTH(D7)+H7-1,DAY(D7))),IF(D7=0,0,DATE(YEAR(D7),MONTH(D7)+H7-1,DAY(D7)-1)))</f>
        <v>0</v>
      </c>
      <c r="J7" s="361">
        <f>IF(D7="",0,MIN(IF(AND(DAY($D$4)=30,DAY(D7)=31),IF(OR(D7=0,D7=$D$4),0,IF(I7&gt;$D$4,VALUE(DATEDIF(D7,MIN($D$4,I7),"m"))+1,VALUE(DATEDIF(D7,MIN($D$4,I7),"m")+2))),IF(OR(D7=0,D7=$D$4),0,IF(I7&gt;$D$4,DATEDIF(D7,MIN($D$4,I7),"m"),VALUE(DATEDIF(D7,MIN($D$4,I7),"m")+1)))),H7))</f>
        <v>0</v>
      </c>
      <c r="K7" s="361">
        <f>IF(J7="",0,H7-J7)</f>
        <v>0</v>
      </c>
      <c r="L7" s="361">
        <f>IF(AND(YEAR(D7)=YEAR($D$4),DAY($D$4)=30,DAY(D7)=31),IF(OR(D7=0,I7&lt;$B$4),0,IF(AND(D7&lt;$B$4,I7&gt;$D$4),VALUE(DATEDIF($B$4,$D$4,"m")+2),IF(AND(D7&lt;$B$4,I7&lt;=$D$4),VALUE(DATEDIF($B$4,I7,"m")+2),IF(AND(D7&gt;=$B$4,I7&gt;$D$4),VALUE(DATEDIF(D7,$D$4,"m")+1),IF(AND(D7&gt;=$B$4,I7&lt;=$D$4),VALUE(DATEDIF(D7,I7,"m")+2),))))),IF(OR(D7=0,I7&lt;$B$4),0,IF(AND(D7&lt;$B$4,I7&gt;$D$4),VALUE(DATEDIF($B$4,$D$4,"m")+1),IF(AND(D7&lt;$B$4,I7&lt;=$D$4),VALUE(DATEDIF($B$4,I7,"m")+1),IF(AND(D7&gt;=$B$4,I7&gt;$D$4),VALUE(DATEDIF(D7,$D$4,"m")+1),IF(AND(D7&gt;=$B$4,I7&lt;=$D$4),VALUE(DATEDIF(D7,I7,"m")+1),))))))</f>
        <v>0</v>
      </c>
      <c r="M7" s="363">
        <f>IF(H7=0,0,ROUND(((1-0)/H7)*B7,4))</f>
        <v>0</v>
      </c>
      <c r="N7" s="364">
        <f>L7*M7</f>
        <v>0</v>
      </c>
      <c r="O7" s="364">
        <f>M7-F7</f>
        <v>0</v>
      </c>
      <c r="P7" s="364">
        <f>M7*J7</f>
        <v>0</v>
      </c>
      <c r="Q7" s="364">
        <f>G7-N7</f>
        <v>0</v>
      </c>
      <c r="R7" s="364">
        <f>C7-P7</f>
        <v>0</v>
      </c>
    </row>
    <row r="8" s="352" customFormat="1" ht="21" customHeight="1" spans="1:18">
      <c r="A8" s="365" t="s">
        <v>217</v>
      </c>
      <c r="B8" s="364">
        <f t="shared" ref="B8:G8" si="0">SUM(B6:B7)</f>
        <v>0</v>
      </c>
      <c r="C8" s="364">
        <f t="shared" si="0"/>
        <v>0</v>
      </c>
      <c r="D8" s="366" t="s">
        <v>364</v>
      </c>
      <c r="E8" s="366" t="s">
        <v>364</v>
      </c>
      <c r="F8" s="364">
        <f t="shared" si="0"/>
        <v>0</v>
      </c>
      <c r="G8" s="364">
        <f t="shared" si="0"/>
        <v>0</v>
      </c>
      <c r="H8" s="366" t="s">
        <v>364</v>
      </c>
      <c r="I8" s="366" t="s">
        <v>364</v>
      </c>
      <c r="J8" s="366" t="s">
        <v>364</v>
      </c>
      <c r="K8" s="366" t="s">
        <v>364</v>
      </c>
      <c r="L8" s="366" t="s">
        <v>364</v>
      </c>
      <c r="M8" s="364">
        <f t="shared" ref="M8:R8" si="1">SUM(M6:M7)</f>
        <v>0</v>
      </c>
      <c r="N8" s="364">
        <f t="shared" si="1"/>
        <v>0</v>
      </c>
      <c r="O8" s="364">
        <f t="shared" si="1"/>
        <v>0</v>
      </c>
      <c r="P8" s="364">
        <f t="shared" si="1"/>
        <v>0</v>
      </c>
      <c r="Q8" s="364">
        <f t="shared" si="1"/>
        <v>0</v>
      </c>
      <c r="R8" s="364">
        <f t="shared" si="1"/>
        <v>0</v>
      </c>
    </row>
    <row r="10" spans="1:18">
      <c r="B10" s="29" t="s">
        <v>218</v>
      </c>
    </row>
  </sheetData>
  <mergeCells count="1">
    <mergeCell ref="A1:R1"/>
  </mergeCells>
  <dataValidations count="1">
    <dataValidation allowBlank="1" showInputMessage="1" showErrorMessage="1" prompt="请勿删除，表格计算公式需要使用该数据，否则报错" sqref="A4:D4"/>
  </dataValidation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AE37"/>
  <sheetViews>
    <sheetView zoomScale="90" zoomScaleNormal="90" workbookViewId="0">
      <pane ySplit="5" topLeftCell="A6" activePane="bottomLeft" state="frozen"/>
      <selection/>
      <selection pane="bottomLeft" activeCell="G23" sqref="G23"/>
    </sheetView>
  </sheetViews>
  <sheetFormatPr defaultColWidth="8.73148148148148" defaultRowHeight="14.4"/>
  <cols>
    <col min="1" max="1" width="7.25925925925926" style="320" customWidth="1"/>
    <col min="2" max="2" width="14.5462962962963" style="320" customWidth="1"/>
    <col min="3" max="3" width="21.712962962963" style="320" customWidth="1"/>
    <col min="4" max="4" width="20.9074074074074" style="320" customWidth="1"/>
    <col min="5" max="5" width="15.5555555555556" style="320" customWidth="1"/>
    <col min="6" max="6" width="12.9166666666667" style="320" customWidth="1"/>
    <col min="7" max="7" width="13.3240740740741" style="320" customWidth="1"/>
    <col min="8" max="8" width="13.7314814814815" style="320"/>
    <col min="9" max="9" width="10.6018518518519" style="320" customWidth="1"/>
    <col min="10" max="10" width="12.5185185185185" style="320" customWidth="1"/>
    <col min="11" max="11" width="12.1203703703704" style="320" customWidth="1"/>
    <col min="12" max="12" width="13.9259259259259" style="320" customWidth="1"/>
    <col min="13" max="13" width="8.98148148148148" style="320" customWidth="1"/>
    <col min="14" max="14" width="14.037037037037" style="320" customWidth="1"/>
    <col min="15" max="15" width="12.1111111111111" style="320" customWidth="1"/>
    <col min="16" max="16" width="14.75" style="320" customWidth="1"/>
    <col min="17" max="17" width="9.78703703703704" style="320" customWidth="1"/>
    <col min="18" max="20" width="8.87962962962963" style="320" customWidth="1"/>
    <col min="21" max="21" width="11.6111111111111" style="320" customWidth="1"/>
    <col min="22" max="22" width="11.2037037037037" style="320" customWidth="1"/>
    <col min="23" max="23" width="17.462962962963" style="320" customWidth="1"/>
    <col min="24" max="24" width="20.6018518518519" style="320" customWidth="1"/>
    <col min="25" max="25" width="13.8333333333333" style="320" customWidth="1"/>
    <col min="26" max="27" width="13.7407407407407" style="320" customWidth="1"/>
    <col min="28" max="28" width="12.3148148148148" style="320" customWidth="1"/>
    <col min="29" max="29" width="9.78703703703704" style="320" customWidth="1"/>
    <col min="30" max="30" width="17.6759259259259" style="320" customWidth="1"/>
    <col min="31" max="31" width="37.1666666666667" style="320" customWidth="1"/>
    <col min="32" max="16384" width="8.73148148148148" style="320"/>
  </cols>
  <sheetData>
    <row r="1" ht="31" customHeight="1" spans="1:31">
      <c r="A1" s="321" t="s">
        <v>37</v>
      </c>
      <c r="B1" s="321"/>
      <c r="C1" s="321"/>
      <c r="D1" s="321"/>
      <c r="E1" s="321"/>
      <c r="F1" s="321"/>
      <c r="G1" s="321"/>
      <c r="H1" s="321"/>
      <c r="I1" s="321"/>
      <c r="J1" s="321"/>
      <c r="K1" s="321"/>
      <c r="L1" s="321"/>
      <c r="M1" s="321"/>
      <c r="N1" s="321"/>
      <c r="O1" s="321"/>
      <c r="P1" s="321"/>
      <c r="Q1" s="321"/>
      <c r="R1" s="321"/>
      <c r="S1" s="321"/>
      <c r="T1" s="321"/>
      <c r="U1" s="321"/>
    </row>
    <row r="2" ht="16" customHeight="1" spans="1:31">
      <c r="A2" s="322" t="str">
        <f>备忘录!$A$1</f>
        <v>被审计单位：福禄福擎网络科技有限公司</v>
      </c>
      <c r="D2" s="323"/>
      <c r="E2" s="323"/>
      <c r="F2" s="323" t="s">
        <v>193</v>
      </c>
      <c r="K2" s="323" t="str">
        <f>备忘录!$C$2</f>
        <v>日期：2025/10/30</v>
      </c>
      <c r="N2" s="324"/>
    </row>
    <row r="3" ht="16" customHeight="1" spans="1:31">
      <c r="A3" s="322" t="str">
        <f>备忘录!$A$2</f>
        <v>财务报表截止日：2025/9/30</v>
      </c>
      <c r="D3" s="323"/>
      <c r="E3" s="323"/>
      <c r="F3" s="323" t="s">
        <v>194</v>
      </c>
      <c r="K3" s="323" t="str">
        <f>备忘录!$C$3</f>
        <v>日期：2025/10/31</v>
      </c>
    </row>
    <row r="4" s="319" customFormat="1" ht="22" customHeight="1" spans="1:31">
      <c r="A4" s="159" t="s">
        <v>77</v>
      </c>
      <c r="B4" s="159" t="s">
        <v>78</v>
      </c>
      <c r="C4" s="159" t="s">
        <v>270</v>
      </c>
      <c r="D4" s="159" t="s">
        <v>271</v>
      </c>
      <c r="E4" s="325" t="s">
        <v>207</v>
      </c>
      <c r="F4" s="326"/>
      <c r="G4" s="326"/>
      <c r="H4" s="326"/>
      <c r="I4" s="326"/>
      <c r="J4" s="250" t="s">
        <v>361</v>
      </c>
      <c r="K4" s="327" t="s">
        <v>272</v>
      </c>
      <c r="L4" s="328" t="s">
        <v>395</v>
      </c>
      <c r="M4" s="329" t="s">
        <v>396</v>
      </c>
      <c r="N4" s="330" t="s">
        <v>397</v>
      </c>
      <c r="O4" s="330" t="s">
        <v>203</v>
      </c>
      <c r="P4" s="330" t="s">
        <v>398</v>
      </c>
      <c r="Q4" s="330" t="s">
        <v>399</v>
      </c>
      <c r="R4" s="330" t="s">
        <v>400</v>
      </c>
      <c r="S4" s="330" t="s">
        <v>401</v>
      </c>
      <c r="T4" s="330" t="s">
        <v>402</v>
      </c>
      <c r="U4" s="330" t="s">
        <v>403</v>
      </c>
      <c r="V4" s="331" t="s">
        <v>404</v>
      </c>
      <c r="W4" s="331"/>
      <c r="X4" s="331"/>
      <c r="Y4" s="331"/>
      <c r="Z4" s="331"/>
      <c r="AA4" s="331"/>
      <c r="AB4" s="331"/>
      <c r="AC4" s="331"/>
      <c r="AD4" s="331"/>
      <c r="AE4" s="331"/>
    </row>
    <row r="5" s="319" customFormat="1" ht="36" spans="1:31">
      <c r="A5" s="168"/>
      <c r="B5" s="168"/>
      <c r="C5" s="168"/>
      <c r="D5" s="168"/>
      <c r="E5" s="169" t="s">
        <v>405</v>
      </c>
      <c r="F5" s="332" t="s">
        <v>406</v>
      </c>
      <c r="G5" s="332" t="s">
        <v>407</v>
      </c>
      <c r="H5" s="332" t="s">
        <v>408</v>
      </c>
      <c r="I5" s="309" t="s">
        <v>409</v>
      </c>
      <c r="J5" s="255"/>
      <c r="K5" s="333"/>
      <c r="L5" s="334"/>
      <c r="M5" s="335"/>
      <c r="N5" s="336"/>
      <c r="O5" s="336"/>
      <c r="P5" s="336"/>
      <c r="Q5" s="336"/>
      <c r="R5" s="336"/>
      <c r="S5" s="336"/>
      <c r="T5" s="336"/>
      <c r="U5" s="337"/>
      <c r="V5" s="338" t="s">
        <v>410</v>
      </c>
      <c r="W5" s="338" t="s">
        <v>411</v>
      </c>
      <c r="X5" s="338" t="s">
        <v>412</v>
      </c>
      <c r="Y5" s="338" t="s">
        <v>413</v>
      </c>
      <c r="Z5" s="338" t="s">
        <v>414</v>
      </c>
      <c r="AA5" s="338" t="s">
        <v>415</v>
      </c>
      <c r="AB5" s="338" t="s">
        <v>416</v>
      </c>
      <c r="AC5" s="338" t="s">
        <v>417</v>
      </c>
      <c r="AD5" s="338" t="s">
        <v>418</v>
      </c>
      <c r="AE5" s="338" t="s">
        <v>419</v>
      </c>
    </row>
    <row r="6" ht="17" customHeight="1" spans="1:31">
      <c r="A6" s="258">
        <v>1</v>
      </c>
      <c r="B6" s="339"/>
      <c r="C6" s="339"/>
      <c r="D6" s="340"/>
      <c r="E6" s="77"/>
      <c r="F6" s="77"/>
      <c r="G6" s="77"/>
      <c r="H6" s="173">
        <f>ROUND(E6+F6-G6,2)</f>
        <v>0</v>
      </c>
      <c r="I6" s="259"/>
      <c r="J6" s="341">
        <f>H6+I6</f>
        <v>0</v>
      </c>
      <c r="K6" s="77"/>
      <c r="L6" s="173">
        <f>J6+K6</f>
        <v>0</v>
      </c>
      <c r="M6" s="269"/>
      <c r="N6" s="299"/>
      <c r="O6" s="259"/>
      <c r="P6" s="260"/>
      <c r="Q6" s="260"/>
      <c r="R6" s="260"/>
      <c r="S6" s="260"/>
      <c r="T6" s="260"/>
      <c r="U6" s="260"/>
      <c r="V6" s="342"/>
      <c r="W6" s="343"/>
      <c r="X6" s="343"/>
      <c r="Y6" s="343"/>
      <c r="Z6" s="343"/>
      <c r="AA6" s="343"/>
      <c r="AB6" s="343"/>
      <c r="AC6" s="343"/>
      <c r="AD6" s="343"/>
      <c r="AE6" s="343"/>
    </row>
    <row r="7" s="320" customFormat="1" ht="17" customHeight="1" spans="1:31">
      <c r="A7" s="258">
        <v>2</v>
      </c>
      <c r="B7" s="339"/>
      <c r="C7" s="339"/>
      <c r="D7" s="340"/>
      <c r="E7" s="77"/>
      <c r="F7" s="77"/>
      <c r="G7" s="77"/>
      <c r="H7" s="173">
        <f>ROUND(E7+F7-G7,2)</f>
        <v>0</v>
      </c>
      <c r="I7" s="259"/>
      <c r="J7" s="341">
        <f t="shared" ref="J7:J35" si="0">H7+I7</f>
        <v>0</v>
      </c>
      <c r="K7" s="77"/>
      <c r="L7" s="173">
        <f t="shared" ref="L7:L35" si="1">J7+K7</f>
        <v>0</v>
      </c>
      <c r="M7" s="269"/>
      <c r="N7" s="299"/>
      <c r="O7" s="259"/>
      <c r="P7" s="260"/>
      <c r="Q7" s="260"/>
      <c r="R7" s="260"/>
      <c r="S7" s="260"/>
      <c r="T7" s="260"/>
      <c r="U7" s="260"/>
      <c r="V7" s="342"/>
      <c r="W7" s="343"/>
      <c r="X7" s="343"/>
      <c r="Y7" s="343"/>
      <c r="Z7" s="343"/>
      <c r="AA7" s="343"/>
      <c r="AB7" s="343"/>
      <c r="AC7" s="343"/>
      <c r="AD7" s="343"/>
      <c r="AE7" s="343"/>
    </row>
    <row r="8" s="320" customFormat="1" ht="17" customHeight="1" spans="1:31">
      <c r="A8" s="258">
        <v>3</v>
      </c>
      <c r="B8" s="339"/>
      <c r="C8" s="339"/>
      <c r="D8" s="340"/>
      <c r="E8" s="77"/>
      <c r="F8" s="77"/>
      <c r="G8" s="77"/>
      <c r="H8" s="173">
        <f t="shared" ref="H8:H32" si="2">ROUND(E8+F8-G8,2)</f>
        <v>0</v>
      </c>
      <c r="I8" s="259"/>
      <c r="J8" s="341">
        <f t="shared" si="0"/>
        <v>0</v>
      </c>
      <c r="K8" s="77"/>
      <c r="L8" s="173">
        <f t="shared" si="1"/>
        <v>0</v>
      </c>
      <c r="M8" s="269"/>
      <c r="N8" s="299"/>
      <c r="O8" s="259"/>
      <c r="P8" s="260"/>
      <c r="Q8" s="260"/>
      <c r="R8" s="260"/>
      <c r="S8" s="260"/>
      <c r="T8" s="260"/>
      <c r="U8" s="260"/>
      <c r="V8" s="342"/>
      <c r="W8" s="343"/>
      <c r="X8" s="343"/>
      <c r="Y8" s="343"/>
      <c r="Z8" s="343"/>
      <c r="AA8" s="343"/>
      <c r="AB8" s="343"/>
      <c r="AC8" s="343"/>
      <c r="AD8" s="343"/>
      <c r="AE8" s="343"/>
    </row>
    <row r="9" s="320" customFormat="1" ht="17" customHeight="1" spans="1:31">
      <c r="A9" s="258">
        <v>4</v>
      </c>
      <c r="B9" s="339"/>
      <c r="C9" s="339"/>
      <c r="D9" s="340"/>
      <c r="E9" s="77"/>
      <c r="F9" s="77"/>
      <c r="G9" s="77"/>
      <c r="H9" s="173">
        <f t="shared" si="2"/>
        <v>0</v>
      </c>
      <c r="I9" s="259"/>
      <c r="J9" s="341">
        <f t="shared" si="0"/>
        <v>0</v>
      </c>
      <c r="K9" s="77"/>
      <c r="L9" s="173">
        <f t="shared" si="1"/>
        <v>0</v>
      </c>
      <c r="M9" s="269"/>
      <c r="N9" s="299"/>
      <c r="O9" s="259"/>
      <c r="P9" s="260"/>
      <c r="Q9" s="260"/>
      <c r="R9" s="260"/>
      <c r="S9" s="260"/>
      <c r="T9" s="260"/>
      <c r="U9" s="260"/>
      <c r="V9" s="342"/>
      <c r="W9" s="343"/>
      <c r="X9" s="343"/>
      <c r="Y9" s="343"/>
      <c r="Z9" s="343"/>
      <c r="AA9" s="343"/>
      <c r="AB9" s="343"/>
      <c r="AC9" s="343"/>
      <c r="AD9" s="343"/>
      <c r="AE9" s="343"/>
    </row>
    <row r="10" s="320" customFormat="1" ht="17" customHeight="1" spans="1:31">
      <c r="A10" s="258">
        <v>5</v>
      </c>
      <c r="B10" s="339"/>
      <c r="C10" s="339"/>
      <c r="D10" s="340"/>
      <c r="E10" s="77"/>
      <c r="F10" s="77"/>
      <c r="G10" s="77"/>
      <c r="H10" s="173">
        <f t="shared" si="2"/>
        <v>0</v>
      </c>
      <c r="I10" s="259"/>
      <c r="J10" s="341">
        <f t="shared" si="0"/>
        <v>0</v>
      </c>
      <c r="K10" s="77"/>
      <c r="L10" s="173">
        <f t="shared" si="1"/>
        <v>0</v>
      </c>
      <c r="M10" s="269"/>
      <c r="N10" s="299"/>
      <c r="O10" s="259"/>
      <c r="P10" s="260"/>
      <c r="Q10" s="260"/>
      <c r="R10" s="260"/>
      <c r="S10" s="260"/>
      <c r="T10" s="260"/>
      <c r="U10" s="260"/>
      <c r="V10" s="342"/>
      <c r="W10" s="343"/>
      <c r="X10" s="343"/>
      <c r="Y10" s="343"/>
      <c r="Z10" s="343"/>
      <c r="AA10" s="343"/>
      <c r="AB10" s="343"/>
      <c r="AC10" s="343"/>
      <c r="AD10" s="343"/>
      <c r="AE10" s="343"/>
    </row>
    <row r="11" s="320" customFormat="1" ht="17" customHeight="1" spans="1:31">
      <c r="A11" s="258">
        <v>6</v>
      </c>
      <c r="B11" s="339"/>
      <c r="C11" s="339"/>
      <c r="D11" s="340"/>
      <c r="E11" s="77"/>
      <c r="F11" s="77"/>
      <c r="G11" s="77"/>
      <c r="H11" s="173">
        <f t="shared" si="2"/>
        <v>0</v>
      </c>
      <c r="I11" s="259"/>
      <c r="J11" s="341">
        <f t="shared" si="0"/>
        <v>0</v>
      </c>
      <c r="K11" s="77"/>
      <c r="L11" s="173">
        <f t="shared" si="1"/>
        <v>0</v>
      </c>
      <c r="M11" s="269"/>
      <c r="N11" s="299"/>
      <c r="O11" s="259"/>
      <c r="P11" s="260"/>
      <c r="Q11" s="260"/>
      <c r="R11" s="260"/>
      <c r="S11" s="260"/>
      <c r="T11" s="260"/>
      <c r="U11" s="260"/>
      <c r="V11" s="342"/>
      <c r="W11" s="343"/>
      <c r="X11" s="343"/>
      <c r="Y11" s="343"/>
      <c r="Z11" s="343"/>
      <c r="AA11" s="343"/>
      <c r="AB11" s="343"/>
      <c r="AC11" s="343"/>
      <c r="AD11" s="343"/>
      <c r="AE11" s="343"/>
    </row>
    <row r="12" s="320" customFormat="1" ht="17" customHeight="1" spans="1:31">
      <c r="A12" s="258">
        <v>7</v>
      </c>
      <c r="B12" s="339"/>
      <c r="C12" s="339"/>
      <c r="D12" s="340"/>
      <c r="E12" s="77"/>
      <c r="F12" s="77"/>
      <c r="G12" s="77"/>
      <c r="H12" s="173">
        <f t="shared" si="2"/>
        <v>0</v>
      </c>
      <c r="I12" s="259"/>
      <c r="J12" s="341">
        <f t="shared" si="0"/>
        <v>0</v>
      </c>
      <c r="K12" s="77"/>
      <c r="L12" s="173">
        <f t="shared" si="1"/>
        <v>0</v>
      </c>
      <c r="M12" s="269"/>
      <c r="N12" s="299"/>
      <c r="O12" s="259"/>
      <c r="P12" s="260"/>
      <c r="Q12" s="260"/>
      <c r="R12" s="260"/>
      <c r="S12" s="260"/>
      <c r="T12" s="260"/>
      <c r="U12" s="260"/>
      <c r="V12" s="342"/>
      <c r="W12" s="343"/>
      <c r="X12" s="343"/>
      <c r="Y12" s="343"/>
      <c r="Z12" s="343"/>
      <c r="AA12" s="343"/>
      <c r="AB12" s="343"/>
      <c r="AC12" s="343"/>
      <c r="AD12" s="343"/>
      <c r="AE12" s="343"/>
    </row>
    <row r="13" s="320" customFormat="1" ht="17" customHeight="1" spans="1:31">
      <c r="A13" s="258">
        <v>8</v>
      </c>
      <c r="B13" s="339"/>
      <c r="C13" s="339"/>
      <c r="D13" s="340"/>
      <c r="E13" s="77"/>
      <c r="F13" s="77"/>
      <c r="G13" s="77"/>
      <c r="H13" s="173">
        <f t="shared" si="2"/>
        <v>0</v>
      </c>
      <c r="I13" s="259"/>
      <c r="J13" s="341">
        <f t="shared" si="0"/>
        <v>0</v>
      </c>
      <c r="K13" s="77"/>
      <c r="L13" s="173">
        <f t="shared" si="1"/>
        <v>0</v>
      </c>
      <c r="M13" s="269"/>
      <c r="N13" s="299"/>
      <c r="O13" s="259"/>
      <c r="P13" s="260"/>
      <c r="Q13" s="260"/>
      <c r="R13" s="260"/>
      <c r="S13" s="260"/>
      <c r="T13" s="260"/>
      <c r="U13" s="260"/>
      <c r="V13" s="342"/>
      <c r="W13" s="343"/>
      <c r="X13" s="343"/>
      <c r="Y13" s="343"/>
      <c r="Z13" s="343"/>
      <c r="AA13" s="343"/>
      <c r="AB13" s="343"/>
      <c r="AC13" s="343"/>
      <c r="AD13" s="343"/>
      <c r="AE13" s="343"/>
    </row>
    <row r="14" s="320" customFormat="1" ht="17" customHeight="1" spans="1:31">
      <c r="A14" s="258">
        <v>9</v>
      </c>
      <c r="B14" s="339"/>
      <c r="C14" s="339"/>
      <c r="D14" s="340"/>
      <c r="E14" s="77"/>
      <c r="F14" s="77"/>
      <c r="G14" s="77"/>
      <c r="H14" s="173">
        <f t="shared" si="2"/>
        <v>0</v>
      </c>
      <c r="I14" s="259"/>
      <c r="J14" s="341">
        <f t="shared" si="0"/>
        <v>0</v>
      </c>
      <c r="K14" s="77"/>
      <c r="L14" s="173">
        <f t="shared" si="1"/>
        <v>0</v>
      </c>
      <c r="M14" s="269"/>
      <c r="N14" s="299"/>
      <c r="O14" s="259"/>
      <c r="P14" s="260"/>
      <c r="Q14" s="260"/>
      <c r="R14" s="260"/>
      <c r="S14" s="260"/>
      <c r="T14" s="260"/>
      <c r="U14" s="260"/>
      <c r="V14" s="342"/>
      <c r="W14" s="343"/>
      <c r="X14" s="343"/>
      <c r="Y14" s="343"/>
      <c r="Z14" s="343"/>
      <c r="AA14" s="343"/>
      <c r="AB14" s="343"/>
      <c r="AC14" s="343"/>
      <c r="AD14" s="343"/>
      <c r="AE14" s="343"/>
    </row>
    <row r="15" s="320" customFormat="1" ht="17" customHeight="1" spans="1:31">
      <c r="A15" s="258">
        <v>10</v>
      </c>
      <c r="B15" s="339"/>
      <c r="C15" s="339"/>
      <c r="D15" s="340"/>
      <c r="E15" s="77"/>
      <c r="F15" s="77"/>
      <c r="G15" s="77"/>
      <c r="H15" s="173">
        <f t="shared" si="2"/>
        <v>0</v>
      </c>
      <c r="I15" s="259"/>
      <c r="J15" s="341">
        <f t="shared" si="0"/>
        <v>0</v>
      </c>
      <c r="K15" s="77"/>
      <c r="L15" s="173">
        <f t="shared" si="1"/>
        <v>0</v>
      </c>
      <c r="M15" s="269"/>
      <c r="N15" s="299"/>
      <c r="O15" s="259"/>
      <c r="P15" s="260"/>
      <c r="Q15" s="260"/>
      <c r="R15" s="260"/>
      <c r="S15" s="260"/>
      <c r="T15" s="260"/>
      <c r="U15" s="260"/>
      <c r="V15" s="342"/>
      <c r="W15" s="343"/>
      <c r="X15" s="343"/>
      <c r="Y15" s="343"/>
      <c r="Z15" s="343"/>
      <c r="AA15" s="343"/>
      <c r="AB15" s="343"/>
      <c r="AC15" s="343"/>
      <c r="AD15" s="343"/>
      <c r="AE15" s="343"/>
    </row>
    <row r="16" s="320" customFormat="1" ht="17" customHeight="1" spans="1:31">
      <c r="A16" s="258">
        <v>11</v>
      </c>
      <c r="B16" s="339"/>
      <c r="C16" s="339"/>
      <c r="D16" s="340"/>
      <c r="E16" s="77"/>
      <c r="F16" s="77"/>
      <c r="G16" s="77"/>
      <c r="H16" s="173">
        <f t="shared" si="2"/>
        <v>0</v>
      </c>
      <c r="I16" s="259"/>
      <c r="J16" s="341">
        <f t="shared" si="0"/>
        <v>0</v>
      </c>
      <c r="K16" s="77"/>
      <c r="L16" s="173">
        <f t="shared" si="1"/>
        <v>0</v>
      </c>
      <c r="M16" s="269"/>
      <c r="N16" s="299"/>
      <c r="O16" s="259"/>
      <c r="P16" s="260"/>
      <c r="Q16" s="260"/>
      <c r="R16" s="260"/>
      <c r="S16" s="260"/>
      <c r="T16" s="260"/>
      <c r="U16" s="260"/>
      <c r="V16" s="342"/>
      <c r="W16" s="343"/>
      <c r="X16" s="343"/>
      <c r="Y16" s="343"/>
      <c r="Z16" s="343"/>
      <c r="AA16" s="343"/>
      <c r="AB16" s="343"/>
      <c r="AC16" s="343"/>
      <c r="AD16" s="343"/>
      <c r="AE16" s="343"/>
    </row>
    <row r="17" s="320" customFormat="1" ht="17" customHeight="1" spans="1:31">
      <c r="A17" s="258">
        <v>12</v>
      </c>
      <c r="B17" s="339"/>
      <c r="C17" s="339"/>
      <c r="D17" s="340"/>
      <c r="E17" s="77"/>
      <c r="F17" s="77"/>
      <c r="G17" s="77"/>
      <c r="H17" s="173">
        <f t="shared" si="2"/>
        <v>0</v>
      </c>
      <c r="I17" s="259"/>
      <c r="J17" s="341">
        <f t="shared" si="0"/>
        <v>0</v>
      </c>
      <c r="K17" s="77"/>
      <c r="L17" s="173">
        <f t="shared" si="1"/>
        <v>0</v>
      </c>
      <c r="M17" s="269"/>
      <c r="N17" s="299"/>
      <c r="O17" s="259"/>
      <c r="P17" s="260"/>
      <c r="Q17" s="260"/>
      <c r="R17" s="260"/>
      <c r="S17" s="260"/>
      <c r="T17" s="260"/>
      <c r="U17" s="260"/>
      <c r="V17" s="342"/>
      <c r="W17" s="343"/>
      <c r="X17" s="343"/>
      <c r="Y17" s="343"/>
      <c r="Z17" s="343"/>
      <c r="AA17" s="343"/>
      <c r="AB17" s="343"/>
      <c r="AC17" s="343"/>
      <c r="AD17" s="343"/>
      <c r="AE17" s="343"/>
    </row>
    <row r="18" s="320" customFormat="1" ht="17" customHeight="1" spans="1:31">
      <c r="A18" s="258">
        <v>13</v>
      </c>
      <c r="B18" s="339"/>
      <c r="C18" s="339"/>
      <c r="D18" s="340"/>
      <c r="E18" s="77"/>
      <c r="F18" s="77"/>
      <c r="G18" s="77"/>
      <c r="H18" s="173">
        <f t="shared" si="2"/>
        <v>0</v>
      </c>
      <c r="I18" s="259"/>
      <c r="J18" s="341">
        <f t="shared" si="0"/>
        <v>0</v>
      </c>
      <c r="K18" s="77"/>
      <c r="L18" s="173">
        <f t="shared" si="1"/>
        <v>0</v>
      </c>
      <c r="M18" s="269"/>
      <c r="N18" s="299"/>
      <c r="O18" s="259"/>
      <c r="P18" s="260"/>
      <c r="Q18" s="260"/>
      <c r="R18" s="260"/>
      <c r="S18" s="260"/>
      <c r="T18" s="260"/>
      <c r="U18" s="260"/>
      <c r="V18" s="342"/>
      <c r="W18" s="343"/>
      <c r="X18" s="343"/>
      <c r="Y18" s="343"/>
      <c r="Z18" s="343"/>
      <c r="AA18" s="343"/>
      <c r="AB18" s="343"/>
      <c r="AC18" s="343"/>
      <c r="AD18" s="343"/>
      <c r="AE18" s="343"/>
    </row>
    <row r="19" s="320" customFormat="1" ht="17" customHeight="1" spans="1:31">
      <c r="A19" s="258">
        <v>14</v>
      </c>
      <c r="B19" s="339"/>
      <c r="C19" s="339"/>
      <c r="D19" s="340"/>
      <c r="E19" s="77"/>
      <c r="F19" s="77"/>
      <c r="G19" s="77"/>
      <c r="H19" s="173">
        <f t="shared" si="2"/>
        <v>0</v>
      </c>
      <c r="I19" s="259"/>
      <c r="J19" s="341">
        <f t="shared" si="0"/>
        <v>0</v>
      </c>
      <c r="K19" s="77"/>
      <c r="L19" s="173">
        <f t="shared" si="1"/>
        <v>0</v>
      </c>
      <c r="M19" s="269"/>
      <c r="N19" s="299"/>
      <c r="O19" s="259"/>
      <c r="P19" s="260"/>
      <c r="Q19" s="260"/>
      <c r="R19" s="260"/>
      <c r="S19" s="260"/>
      <c r="T19" s="260"/>
      <c r="U19" s="260"/>
      <c r="V19" s="342"/>
      <c r="W19" s="343"/>
      <c r="X19" s="343"/>
      <c r="Y19" s="343"/>
      <c r="Z19" s="343"/>
      <c r="AA19" s="343"/>
      <c r="AB19" s="343"/>
      <c r="AC19" s="343"/>
      <c r="AD19" s="343"/>
      <c r="AE19" s="343"/>
    </row>
    <row r="20" s="320" customFormat="1" ht="17" customHeight="1" spans="1:31">
      <c r="A20" s="258">
        <v>15</v>
      </c>
      <c r="B20" s="339"/>
      <c r="C20" s="339"/>
      <c r="D20" s="340"/>
      <c r="E20" s="77"/>
      <c r="F20" s="77"/>
      <c r="G20" s="77"/>
      <c r="H20" s="173">
        <f t="shared" si="2"/>
        <v>0</v>
      </c>
      <c r="I20" s="259"/>
      <c r="J20" s="341">
        <f t="shared" si="0"/>
        <v>0</v>
      </c>
      <c r="K20" s="77"/>
      <c r="L20" s="173">
        <f t="shared" si="1"/>
        <v>0</v>
      </c>
      <c r="M20" s="269"/>
      <c r="N20" s="299"/>
      <c r="O20" s="259"/>
      <c r="P20" s="260"/>
      <c r="Q20" s="260"/>
      <c r="R20" s="260"/>
      <c r="S20" s="260"/>
      <c r="T20" s="260"/>
      <c r="U20" s="260"/>
      <c r="V20" s="342"/>
      <c r="W20" s="343"/>
      <c r="X20" s="343"/>
      <c r="Y20" s="343"/>
      <c r="Z20" s="343"/>
      <c r="AA20" s="343"/>
      <c r="AB20" s="343"/>
      <c r="AC20" s="343"/>
      <c r="AD20" s="343"/>
      <c r="AE20" s="343"/>
    </row>
    <row r="21" s="320" customFormat="1" ht="17" customHeight="1" spans="1:31">
      <c r="A21" s="258">
        <v>16</v>
      </c>
      <c r="B21" s="339"/>
      <c r="C21" s="339"/>
      <c r="D21" s="340"/>
      <c r="E21" s="77"/>
      <c r="F21" s="77"/>
      <c r="G21" s="77"/>
      <c r="H21" s="173">
        <f t="shared" si="2"/>
        <v>0</v>
      </c>
      <c r="I21" s="259"/>
      <c r="J21" s="341">
        <f t="shared" si="0"/>
        <v>0</v>
      </c>
      <c r="K21" s="77"/>
      <c r="L21" s="173">
        <f t="shared" si="1"/>
        <v>0</v>
      </c>
      <c r="M21" s="269"/>
      <c r="N21" s="299"/>
      <c r="O21" s="259"/>
      <c r="P21" s="260"/>
      <c r="Q21" s="260"/>
      <c r="R21" s="260"/>
      <c r="S21" s="260"/>
      <c r="T21" s="260"/>
      <c r="U21" s="260"/>
      <c r="V21" s="342"/>
      <c r="W21" s="343"/>
      <c r="X21" s="343"/>
      <c r="Y21" s="343"/>
      <c r="Z21" s="343"/>
      <c r="AA21" s="343"/>
      <c r="AB21" s="343"/>
      <c r="AC21" s="343"/>
      <c r="AD21" s="343"/>
      <c r="AE21" s="343"/>
    </row>
    <row r="22" s="320" customFormat="1" ht="17" customHeight="1" spans="1:31">
      <c r="A22" s="258">
        <v>17</v>
      </c>
      <c r="B22" s="339"/>
      <c r="C22" s="339"/>
      <c r="D22" s="340"/>
      <c r="E22" s="77"/>
      <c r="F22" s="77"/>
      <c r="G22" s="77"/>
      <c r="H22" s="173">
        <f t="shared" si="2"/>
        <v>0</v>
      </c>
      <c r="I22" s="259"/>
      <c r="J22" s="341">
        <f t="shared" si="0"/>
        <v>0</v>
      </c>
      <c r="K22" s="77"/>
      <c r="L22" s="173">
        <f t="shared" si="1"/>
        <v>0</v>
      </c>
      <c r="M22" s="269"/>
      <c r="N22" s="299"/>
      <c r="O22" s="259"/>
      <c r="P22" s="260"/>
      <c r="Q22" s="260"/>
      <c r="R22" s="260"/>
      <c r="S22" s="260"/>
      <c r="T22" s="260"/>
      <c r="U22" s="260"/>
      <c r="V22" s="342"/>
      <c r="W22" s="343"/>
      <c r="X22" s="343"/>
      <c r="Y22" s="343"/>
      <c r="Z22" s="343"/>
      <c r="AA22" s="343"/>
      <c r="AB22" s="343"/>
      <c r="AC22" s="343"/>
      <c r="AD22" s="343"/>
      <c r="AE22" s="343"/>
    </row>
    <row r="23" s="320" customFormat="1" ht="17" customHeight="1" spans="1:31">
      <c r="A23" s="258">
        <v>18</v>
      </c>
      <c r="B23" s="339"/>
      <c r="C23" s="339"/>
      <c r="D23" s="340"/>
      <c r="E23" s="77"/>
      <c r="F23" s="77"/>
      <c r="G23" s="77"/>
      <c r="H23" s="173">
        <f t="shared" si="2"/>
        <v>0</v>
      </c>
      <c r="I23" s="259"/>
      <c r="J23" s="341">
        <f t="shared" si="0"/>
        <v>0</v>
      </c>
      <c r="K23" s="77"/>
      <c r="L23" s="173">
        <f t="shared" si="1"/>
        <v>0</v>
      </c>
      <c r="M23" s="269"/>
      <c r="N23" s="299"/>
      <c r="O23" s="259"/>
      <c r="P23" s="260"/>
      <c r="Q23" s="260"/>
      <c r="R23" s="260"/>
      <c r="S23" s="260"/>
      <c r="T23" s="260"/>
      <c r="U23" s="260"/>
      <c r="V23" s="342"/>
      <c r="W23" s="343"/>
      <c r="X23" s="343"/>
      <c r="Y23" s="343"/>
      <c r="Z23" s="343"/>
      <c r="AA23" s="343"/>
      <c r="AB23" s="343"/>
      <c r="AC23" s="343"/>
      <c r="AD23" s="343"/>
      <c r="AE23" s="343"/>
    </row>
    <row r="24" s="320" customFormat="1" ht="17" customHeight="1" spans="1:31">
      <c r="A24" s="258">
        <v>19</v>
      </c>
      <c r="B24" s="339"/>
      <c r="C24" s="339"/>
      <c r="D24" s="340"/>
      <c r="E24" s="77"/>
      <c r="F24" s="77"/>
      <c r="G24" s="77"/>
      <c r="H24" s="173">
        <f t="shared" si="2"/>
        <v>0</v>
      </c>
      <c r="I24" s="259"/>
      <c r="J24" s="341">
        <f t="shared" si="0"/>
        <v>0</v>
      </c>
      <c r="K24" s="77"/>
      <c r="L24" s="173">
        <f t="shared" si="1"/>
        <v>0</v>
      </c>
      <c r="M24" s="269"/>
      <c r="N24" s="299"/>
      <c r="O24" s="259"/>
      <c r="P24" s="260"/>
      <c r="Q24" s="260"/>
      <c r="R24" s="260"/>
      <c r="S24" s="260"/>
      <c r="T24" s="260"/>
      <c r="U24" s="260"/>
      <c r="V24" s="342"/>
      <c r="W24" s="343"/>
      <c r="X24" s="343"/>
      <c r="Y24" s="343"/>
      <c r="Z24" s="343"/>
      <c r="AA24" s="343"/>
      <c r="AB24" s="343"/>
      <c r="AC24" s="343"/>
      <c r="AD24" s="343"/>
      <c r="AE24" s="343"/>
    </row>
    <row r="25" s="320" customFormat="1" ht="17" customHeight="1" spans="1:31">
      <c r="A25" s="258">
        <v>20</v>
      </c>
      <c r="B25" s="339"/>
      <c r="C25" s="339"/>
      <c r="D25" s="340"/>
      <c r="E25" s="77"/>
      <c r="F25" s="77"/>
      <c r="G25" s="77"/>
      <c r="H25" s="173">
        <f t="shared" si="2"/>
        <v>0</v>
      </c>
      <c r="I25" s="259"/>
      <c r="J25" s="341">
        <f t="shared" si="0"/>
        <v>0</v>
      </c>
      <c r="K25" s="77"/>
      <c r="L25" s="173">
        <f t="shared" si="1"/>
        <v>0</v>
      </c>
      <c r="M25" s="269"/>
      <c r="N25" s="299"/>
      <c r="O25" s="259"/>
      <c r="P25" s="260"/>
      <c r="Q25" s="260"/>
      <c r="R25" s="260"/>
      <c r="S25" s="260"/>
      <c r="T25" s="260"/>
      <c r="U25" s="260"/>
      <c r="V25" s="342"/>
      <c r="W25" s="343"/>
      <c r="X25" s="343"/>
      <c r="Y25" s="343"/>
      <c r="Z25" s="343"/>
      <c r="AA25" s="343"/>
      <c r="AB25" s="343"/>
      <c r="AC25" s="343"/>
      <c r="AD25" s="343"/>
      <c r="AE25" s="343"/>
    </row>
    <row r="26" s="320" customFormat="1" ht="17" customHeight="1" spans="1:31">
      <c r="A26" s="258">
        <v>21</v>
      </c>
      <c r="B26" s="339"/>
      <c r="C26" s="339"/>
      <c r="D26" s="340"/>
      <c r="E26" s="77"/>
      <c r="F26" s="77"/>
      <c r="G26" s="77"/>
      <c r="H26" s="173">
        <f t="shared" si="2"/>
        <v>0</v>
      </c>
      <c r="I26" s="259"/>
      <c r="J26" s="341">
        <f t="shared" si="0"/>
        <v>0</v>
      </c>
      <c r="K26" s="77"/>
      <c r="L26" s="173">
        <f t="shared" si="1"/>
        <v>0</v>
      </c>
      <c r="M26" s="269"/>
      <c r="N26" s="299"/>
      <c r="O26" s="259"/>
      <c r="P26" s="260"/>
      <c r="Q26" s="260"/>
      <c r="R26" s="260"/>
      <c r="S26" s="260"/>
      <c r="T26" s="260"/>
      <c r="U26" s="260"/>
      <c r="V26" s="342"/>
      <c r="W26" s="343"/>
      <c r="X26" s="343"/>
      <c r="Y26" s="343"/>
      <c r="Z26" s="343"/>
      <c r="AA26" s="343"/>
      <c r="AB26" s="343"/>
      <c r="AC26" s="343"/>
      <c r="AD26" s="343"/>
      <c r="AE26" s="343"/>
    </row>
    <row r="27" s="320" customFormat="1" ht="17" customHeight="1" spans="1:31">
      <c r="A27" s="258">
        <v>22</v>
      </c>
      <c r="B27" s="339"/>
      <c r="C27" s="339"/>
      <c r="D27" s="340"/>
      <c r="E27" s="77"/>
      <c r="F27" s="77"/>
      <c r="G27" s="77"/>
      <c r="H27" s="173">
        <f t="shared" si="2"/>
        <v>0</v>
      </c>
      <c r="I27" s="259"/>
      <c r="J27" s="341">
        <f t="shared" si="0"/>
        <v>0</v>
      </c>
      <c r="K27" s="77"/>
      <c r="L27" s="173">
        <f t="shared" si="1"/>
        <v>0</v>
      </c>
      <c r="M27" s="269"/>
      <c r="N27" s="299"/>
      <c r="O27" s="259"/>
      <c r="P27" s="260"/>
      <c r="Q27" s="260"/>
      <c r="R27" s="260"/>
      <c r="S27" s="260"/>
      <c r="T27" s="260"/>
      <c r="U27" s="260"/>
      <c r="V27" s="342"/>
      <c r="W27" s="343"/>
      <c r="X27" s="343"/>
      <c r="Y27" s="343"/>
      <c r="Z27" s="343"/>
      <c r="AA27" s="343"/>
      <c r="AB27" s="343"/>
      <c r="AC27" s="343"/>
      <c r="AD27" s="343"/>
      <c r="AE27" s="343"/>
    </row>
    <row r="28" s="320" customFormat="1" ht="17" customHeight="1" spans="1:31">
      <c r="A28" s="258">
        <v>23</v>
      </c>
      <c r="B28" s="339"/>
      <c r="C28" s="339"/>
      <c r="D28" s="340"/>
      <c r="E28" s="77"/>
      <c r="F28" s="77"/>
      <c r="G28" s="77"/>
      <c r="H28" s="173">
        <f t="shared" si="2"/>
        <v>0</v>
      </c>
      <c r="I28" s="259"/>
      <c r="J28" s="341">
        <f t="shared" si="0"/>
        <v>0</v>
      </c>
      <c r="K28" s="77"/>
      <c r="L28" s="173">
        <f t="shared" si="1"/>
        <v>0</v>
      </c>
      <c r="M28" s="269"/>
      <c r="N28" s="299"/>
      <c r="O28" s="259"/>
      <c r="P28" s="260"/>
      <c r="Q28" s="260"/>
      <c r="R28" s="260"/>
      <c r="S28" s="260"/>
      <c r="T28" s="260"/>
      <c r="U28" s="260"/>
      <c r="V28" s="342"/>
      <c r="W28" s="343"/>
      <c r="X28" s="343"/>
      <c r="Y28" s="343"/>
      <c r="Z28" s="343"/>
      <c r="AA28" s="343"/>
      <c r="AB28" s="343"/>
      <c r="AC28" s="343"/>
      <c r="AD28" s="343"/>
      <c r="AE28" s="343"/>
    </row>
    <row r="29" s="320" customFormat="1" ht="17" customHeight="1" spans="1:31">
      <c r="A29" s="258">
        <v>24</v>
      </c>
      <c r="B29" s="339"/>
      <c r="C29" s="339"/>
      <c r="D29" s="340"/>
      <c r="E29" s="77"/>
      <c r="F29" s="77"/>
      <c r="G29" s="77"/>
      <c r="H29" s="173">
        <f t="shared" si="2"/>
        <v>0</v>
      </c>
      <c r="I29" s="259"/>
      <c r="J29" s="341">
        <f t="shared" si="0"/>
        <v>0</v>
      </c>
      <c r="K29" s="77"/>
      <c r="L29" s="173">
        <f t="shared" si="1"/>
        <v>0</v>
      </c>
      <c r="M29" s="269"/>
      <c r="N29" s="299"/>
      <c r="O29" s="259"/>
      <c r="P29" s="260"/>
      <c r="Q29" s="260"/>
      <c r="R29" s="260"/>
      <c r="S29" s="260"/>
      <c r="T29" s="260"/>
      <c r="U29" s="260"/>
      <c r="V29" s="342"/>
      <c r="W29" s="343"/>
      <c r="X29" s="343"/>
      <c r="Y29" s="343"/>
      <c r="Z29" s="343"/>
      <c r="AA29" s="343"/>
      <c r="AB29" s="343"/>
      <c r="AC29" s="343"/>
      <c r="AD29" s="343"/>
      <c r="AE29" s="343"/>
    </row>
    <row r="30" s="320" customFormat="1" ht="17" customHeight="1" spans="1:31">
      <c r="A30" s="258">
        <v>25</v>
      </c>
      <c r="B30" s="339"/>
      <c r="C30" s="339"/>
      <c r="D30" s="340"/>
      <c r="E30" s="77"/>
      <c r="F30" s="77"/>
      <c r="G30" s="77"/>
      <c r="H30" s="173">
        <f t="shared" si="2"/>
        <v>0</v>
      </c>
      <c r="I30" s="259"/>
      <c r="J30" s="341">
        <f t="shared" si="0"/>
        <v>0</v>
      </c>
      <c r="K30" s="77"/>
      <c r="L30" s="173">
        <f t="shared" si="1"/>
        <v>0</v>
      </c>
      <c r="M30" s="269"/>
      <c r="N30" s="299"/>
      <c r="O30" s="259"/>
      <c r="P30" s="260"/>
      <c r="Q30" s="260"/>
      <c r="R30" s="260"/>
      <c r="S30" s="260"/>
      <c r="T30" s="260"/>
      <c r="U30" s="260"/>
      <c r="V30" s="342"/>
      <c r="W30" s="343"/>
      <c r="X30" s="343"/>
      <c r="Y30" s="343"/>
      <c r="Z30" s="343"/>
      <c r="AA30" s="343"/>
      <c r="AB30" s="343"/>
      <c r="AC30" s="343"/>
      <c r="AD30" s="343"/>
      <c r="AE30" s="343"/>
    </row>
    <row r="31" s="320" customFormat="1" ht="17" customHeight="1" spans="1:31">
      <c r="A31" s="258">
        <v>26</v>
      </c>
      <c r="B31" s="339"/>
      <c r="C31" s="339"/>
      <c r="D31" s="340"/>
      <c r="E31" s="77"/>
      <c r="F31" s="77"/>
      <c r="G31" s="77"/>
      <c r="H31" s="173">
        <f t="shared" si="2"/>
        <v>0</v>
      </c>
      <c r="I31" s="259"/>
      <c r="J31" s="341">
        <f t="shared" si="0"/>
        <v>0</v>
      </c>
      <c r="K31" s="77"/>
      <c r="L31" s="173">
        <f t="shared" si="1"/>
        <v>0</v>
      </c>
      <c r="M31" s="269"/>
      <c r="N31" s="299"/>
      <c r="O31" s="259"/>
      <c r="P31" s="260"/>
      <c r="Q31" s="260"/>
      <c r="R31" s="260"/>
      <c r="S31" s="260"/>
      <c r="T31" s="260"/>
      <c r="U31" s="260"/>
      <c r="V31" s="342"/>
      <c r="W31" s="343"/>
      <c r="X31" s="343"/>
      <c r="Y31" s="343"/>
      <c r="Z31" s="343"/>
      <c r="AA31" s="343"/>
      <c r="AB31" s="343"/>
      <c r="AC31" s="343"/>
      <c r="AD31" s="343"/>
      <c r="AE31" s="343"/>
    </row>
    <row r="32" s="320" customFormat="1" ht="17" customHeight="1" spans="1:31">
      <c r="A32" s="258">
        <v>27</v>
      </c>
      <c r="B32" s="339"/>
      <c r="C32" s="339"/>
      <c r="D32" s="340"/>
      <c r="E32" s="77"/>
      <c r="F32" s="77"/>
      <c r="G32" s="77"/>
      <c r="H32" s="173">
        <f t="shared" si="2"/>
        <v>0</v>
      </c>
      <c r="I32" s="259"/>
      <c r="J32" s="341">
        <f t="shared" si="0"/>
        <v>0</v>
      </c>
      <c r="K32" s="77"/>
      <c r="L32" s="173">
        <f t="shared" si="1"/>
        <v>0</v>
      </c>
      <c r="M32" s="269"/>
      <c r="N32" s="299"/>
      <c r="O32" s="259"/>
      <c r="P32" s="260"/>
      <c r="Q32" s="260"/>
      <c r="R32" s="260"/>
      <c r="S32" s="260"/>
      <c r="T32" s="260"/>
      <c r="U32" s="260"/>
      <c r="V32" s="342"/>
      <c r="W32" s="343"/>
      <c r="X32" s="343"/>
      <c r="Y32" s="343"/>
      <c r="Z32" s="343"/>
      <c r="AA32" s="343"/>
      <c r="AB32" s="343"/>
      <c r="AC32" s="343"/>
      <c r="AD32" s="343"/>
      <c r="AE32" s="343"/>
    </row>
    <row r="33" s="29" customFormat="1" ht="23" customHeight="1" spans="1:31">
      <c r="A33" s="344" t="s">
        <v>420</v>
      </c>
      <c r="B33" s="345"/>
      <c r="C33" s="345"/>
      <c r="D33" s="346"/>
      <c r="E33" s="173">
        <f t="shared" ref="E33:I33" si="3">ROUND(SUM(E6:E32),2)</f>
        <v>0</v>
      </c>
      <c r="F33" s="173">
        <f t="shared" si="3"/>
        <v>0</v>
      </c>
      <c r="G33" s="173">
        <f t="shared" si="3"/>
        <v>0</v>
      </c>
      <c r="H33" s="173">
        <f t="shared" si="3"/>
        <v>0</v>
      </c>
      <c r="I33" s="173">
        <f t="shared" si="3"/>
        <v>0</v>
      </c>
      <c r="J33" s="341">
        <f t="shared" si="0"/>
        <v>0</v>
      </c>
      <c r="K33" s="173">
        <f>ROUND(SUM(K6:K32),2)</f>
        <v>0</v>
      </c>
      <c r="L33" s="173">
        <f t="shared" si="1"/>
        <v>0</v>
      </c>
      <c r="M33" s="269"/>
      <c r="N33" s="173">
        <f>ROUND(SUM(N6:N32),2)</f>
        <v>0</v>
      </c>
      <c r="O33" s="259"/>
      <c r="P33" s="347"/>
      <c r="Q33" s="347"/>
      <c r="R33" s="347"/>
      <c r="S33" s="347"/>
      <c r="T33" s="347"/>
      <c r="U33" s="347"/>
      <c r="V33" s="348"/>
      <c r="W33" s="348"/>
      <c r="X33" s="348"/>
      <c r="Y33" s="348"/>
      <c r="Z33" s="348"/>
      <c r="AA33" s="348"/>
      <c r="AB33" s="348"/>
      <c r="AC33" s="348"/>
      <c r="AD33" s="348"/>
      <c r="AE33" s="348"/>
    </row>
    <row r="34" ht="20" customHeight="1" spans="1:31">
      <c r="A34" s="344" t="s">
        <v>421</v>
      </c>
      <c r="B34" s="345"/>
      <c r="C34" s="345"/>
      <c r="D34" s="346"/>
      <c r="E34" s="134"/>
      <c r="F34" s="134"/>
      <c r="G34" s="134"/>
      <c r="H34" s="349">
        <f>E34+G34-F34</f>
        <v>0</v>
      </c>
      <c r="I34" s="350"/>
      <c r="J34" s="341">
        <f t="shared" si="0"/>
        <v>0</v>
      </c>
      <c r="K34" s="134"/>
      <c r="L34" s="173">
        <f t="shared" si="1"/>
        <v>0</v>
      </c>
      <c r="M34" s="351"/>
      <c r="N34" s="351"/>
      <c r="O34" s="351"/>
      <c r="P34" s="343"/>
      <c r="Q34" s="343"/>
      <c r="R34" s="343"/>
      <c r="S34" s="343"/>
      <c r="T34" s="343"/>
      <c r="U34" s="343"/>
    </row>
    <row r="35" ht="17" customHeight="1" spans="1:31">
      <c r="A35" s="344" t="s">
        <v>422</v>
      </c>
      <c r="B35" s="345"/>
      <c r="C35" s="345"/>
      <c r="D35" s="346"/>
      <c r="E35" s="173">
        <f>ROUND(E33-E34,2)</f>
        <v>0</v>
      </c>
      <c r="F35" s="173"/>
      <c r="G35" s="173"/>
      <c r="H35" s="173">
        <f>ROUND(H33-H34,2)</f>
        <v>0</v>
      </c>
      <c r="I35" s="173"/>
      <c r="J35" s="341">
        <f t="shared" si="0"/>
        <v>0</v>
      </c>
      <c r="K35" s="173">
        <f>ROUND(K33-K34,2)</f>
        <v>0</v>
      </c>
      <c r="L35" s="173">
        <f t="shared" si="1"/>
        <v>0</v>
      </c>
      <c r="M35" s="173"/>
      <c r="N35" s="173"/>
      <c r="O35" s="173"/>
      <c r="P35" s="264"/>
      <c r="Q35" s="264"/>
      <c r="R35" s="264"/>
      <c r="S35" s="264"/>
      <c r="T35" s="264"/>
      <c r="U35" s="264"/>
    </row>
    <row r="37" ht="21" customHeight="1" spans="1:31">
      <c r="B37" s="29" t="s">
        <v>218</v>
      </c>
    </row>
  </sheetData>
  <autoFilter xmlns:etc="http://www.wps.cn/officeDocument/2017/etCustomData" ref="B5:AE35" etc:filterBottomFollowUsedRange="0">
    <extLst/>
  </autoFilter>
  <mergeCells count="22">
    <mergeCell ref="A1:N1"/>
    <mergeCell ref="E4:I4"/>
    <mergeCell ref="V4:AE4"/>
    <mergeCell ref="A33:B33"/>
    <mergeCell ref="A34:B34"/>
    <mergeCell ref="A35:B35"/>
    <mergeCell ref="A4:A5"/>
    <mergeCell ref="B4:B5"/>
    <mergeCell ref="C4:C5"/>
    <mergeCell ref="D4:D5"/>
    <mergeCell ref="J4:J5"/>
    <mergeCell ref="K4:K5"/>
    <mergeCell ref="L4:L5"/>
    <mergeCell ref="M4:M5"/>
    <mergeCell ref="N4:N5"/>
    <mergeCell ref="O4:O5"/>
    <mergeCell ref="P4:P5"/>
    <mergeCell ref="Q4:Q5"/>
    <mergeCell ref="R4:R5"/>
    <mergeCell ref="S4:S5"/>
    <mergeCell ref="T4:T5"/>
    <mergeCell ref="U4:U5"/>
  </mergeCells>
  <dataValidations count="1">
    <dataValidation type="list" allowBlank="1" showInputMessage="1" showErrorMessage="1" sqref="M6:M32 P6:P32 U6:U32">
      <formula1>"√"</formula1>
    </dataValidation>
  </dataValidation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AF35"/>
  <sheetViews>
    <sheetView zoomScale="90" zoomScaleNormal="90" workbookViewId="0">
      <pane ySplit="5" topLeftCell="A6" activePane="bottomLeft" state="frozen"/>
      <selection/>
      <selection pane="bottomLeft" activeCell="D16" sqref="D16"/>
    </sheetView>
  </sheetViews>
  <sheetFormatPr defaultColWidth="8.73148148148148" defaultRowHeight="14.4"/>
  <cols>
    <col min="2" max="2" width="12.4166666666667" customWidth="1"/>
    <col min="3" max="3" width="21.5185185185185" customWidth="1"/>
    <col min="4" max="4" width="18.1851851851852" customWidth="1"/>
    <col min="5" max="5" width="18.1388888888889" customWidth="1"/>
    <col min="6" max="6" width="13.7407407407407" customWidth="1"/>
    <col min="7" max="7" width="12.5185185185185" customWidth="1"/>
    <col min="8" max="9" width="11.2685185185185"/>
    <col min="10" max="10" width="12.8240740740741" customWidth="1"/>
    <col min="11" max="11" width="11.2685185185185"/>
    <col min="12" max="12" width="12"/>
    <col min="13" max="21" width="11.2685185185185"/>
    <col min="22" max="22" width="10.3611111111111" customWidth="1"/>
    <col min="23" max="23" width="13.0185185185185" customWidth="1"/>
    <col min="24" max="24" width="21.0092592592593" customWidth="1"/>
    <col min="25" max="25" width="18.3796296296296" customWidth="1"/>
    <col min="31" max="31" width="34.537037037037" customWidth="1"/>
  </cols>
  <sheetData>
    <row r="1" ht="26" customHeight="1" spans="1:31">
      <c r="B1" s="247" t="s">
        <v>39</v>
      </c>
      <c r="C1" s="247"/>
      <c r="D1" s="247"/>
      <c r="E1" s="247"/>
      <c r="F1" s="247"/>
      <c r="G1" s="247"/>
      <c r="H1" s="247"/>
      <c r="I1" s="247"/>
      <c r="J1" s="247"/>
      <c r="K1" s="247"/>
      <c r="L1" s="247"/>
      <c r="M1" s="247"/>
      <c r="N1" s="247"/>
      <c r="O1" s="247"/>
      <c r="P1" s="247"/>
      <c r="Q1" s="247"/>
      <c r="R1" s="247"/>
      <c r="S1" s="247"/>
      <c r="T1" s="247"/>
      <c r="U1" s="247"/>
    </row>
    <row r="2" spans="1:31">
      <c r="A2" s="2" t="str">
        <f>备忘录!$A$1</f>
        <v>被审计单位：福禄福擎网络科技有限公司</v>
      </c>
      <c r="D2" s="4"/>
      <c r="E2" s="4"/>
      <c r="F2" s="4" t="s">
        <v>193</v>
      </c>
      <c r="L2" s="4" t="str">
        <f>备忘录!$C$2</f>
        <v>日期：2025/10/30</v>
      </c>
      <c r="P2" s="146"/>
    </row>
    <row r="3" spans="1:31">
      <c r="A3" s="2" t="str">
        <f>备忘录!$A$2</f>
        <v>财务报表截止日：2025/9/30</v>
      </c>
      <c r="D3" s="4"/>
      <c r="E3" s="4"/>
      <c r="F3" s="4" t="s">
        <v>194</v>
      </c>
      <c r="L3" s="4" t="str">
        <f>备忘录!$C$3</f>
        <v>日期：2025/10/31</v>
      </c>
    </row>
    <row r="4" s="30" customFormat="1" ht="22" customHeight="1" spans="1:31">
      <c r="A4" s="89" t="s">
        <v>77</v>
      </c>
      <c r="B4" s="159" t="s">
        <v>78</v>
      </c>
      <c r="C4" s="159" t="s">
        <v>270</v>
      </c>
      <c r="D4" s="159" t="s">
        <v>271</v>
      </c>
      <c r="E4" s="160" t="s">
        <v>207</v>
      </c>
      <c r="F4" s="161"/>
      <c r="G4" s="161"/>
      <c r="H4" s="161"/>
      <c r="I4" s="161"/>
      <c r="J4" s="250" t="s">
        <v>361</v>
      </c>
      <c r="K4" s="308" t="s">
        <v>272</v>
      </c>
      <c r="L4" s="248" t="s">
        <v>395</v>
      </c>
      <c r="M4" s="249" t="s">
        <v>396</v>
      </c>
      <c r="N4" s="250" t="s">
        <v>397</v>
      </c>
      <c r="O4" s="250" t="s">
        <v>203</v>
      </c>
      <c r="P4" s="250" t="s">
        <v>398</v>
      </c>
      <c r="Q4" s="250" t="s">
        <v>399</v>
      </c>
      <c r="R4" s="250" t="s">
        <v>400</v>
      </c>
      <c r="S4" s="250" t="s">
        <v>401</v>
      </c>
      <c r="T4" s="250" t="s">
        <v>402</v>
      </c>
      <c r="U4" s="250" t="s">
        <v>403</v>
      </c>
      <c r="V4" s="251" t="s">
        <v>404</v>
      </c>
      <c r="W4" s="251"/>
      <c r="X4" s="251"/>
      <c r="Y4" s="251"/>
      <c r="Z4" s="251"/>
      <c r="AA4" s="251"/>
      <c r="AB4" s="251"/>
      <c r="AC4" s="251"/>
      <c r="AD4" s="251"/>
      <c r="AE4" s="251"/>
    </row>
    <row r="5" s="30" customFormat="1" ht="36" spans="1:31">
      <c r="A5" s="252"/>
      <c r="B5" s="168"/>
      <c r="C5" s="168"/>
      <c r="D5" s="168"/>
      <c r="E5" s="169" t="s">
        <v>405</v>
      </c>
      <c r="F5" s="169" t="s">
        <v>211</v>
      </c>
      <c r="G5" s="169" t="s">
        <v>212</v>
      </c>
      <c r="H5" s="169" t="s">
        <v>213</v>
      </c>
      <c r="I5" s="309" t="s">
        <v>409</v>
      </c>
      <c r="J5" s="255"/>
      <c r="K5" s="310"/>
      <c r="L5" s="253"/>
      <c r="M5" s="254"/>
      <c r="N5" s="255"/>
      <c r="O5" s="255"/>
      <c r="P5" s="255"/>
      <c r="Q5" s="255"/>
      <c r="R5" s="255"/>
      <c r="S5" s="255"/>
      <c r="T5" s="255"/>
      <c r="U5" s="256"/>
      <c r="V5" s="257" t="s">
        <v>410</v>
      </c>
      <c r="W5" s="257" t="s">
        <v>411</v>
      </c>
      <c r="X5" s="257" t="s">
        <v>412</v>
      </c>
      <c r="Y5" s="257" t="s">
        <v>413</v>
      </c>
      <c r="Z5" s="257" t="s">
        <v>414</v>
      </c>
      <c r="AA5" s="257" t="s">
        <v>415</v>
      </c>
      <c r="AB5" s="257" t="s">
        <v>416</v>
      </c>
      <c r="AC5" s="257" t="s">
        <v>417</v>
      </c>
      <c r="AD5" s="257" t="s">
        <v>418</v>
      </c>
      <c r="AE5" s="257" t="s">
        <v>419</v>
      </c>
    </row>
    <row r="6" s="31" customFormat="1" ht="16" customHeight="1" spans="1:31">
      <c r="A6" s="258">
        <v>1</v>
      </c>
      <c r="B6" s="101"/>
      <c r="C6" s="101"/>
      <c r="D6" s="267"/>
      <c r="E6" s="77"/>
      <c r="F6" s="77"/>
      <c r="G6" s="77"/>
      <c r="H6" s="311">
        <f>ROUND(E6+F6-G6,2)</f>
        <v>0</v>
      </c>
      <c r="I6" s="312"/>
      <c r="J6" s="311">
        <f>H6+I6</f>
        <v>0</v>
      </c>
      <c r="K6" s="17"/>
      <c r="L6" s="173">
        <f>J6+K6</f>
        <v>0</v>
      </c>
      <c r="M6" s="269"/>
      <c r="N6" s="19"/>
      <c r="O6" s="102"/>
      <c r="P6" s="260"/>
      <c r="Q6" s="102"/>
      <c r="R6" s="102"/>
      <c r="S6" s="102"/>
      <c r="T6" s="102"/>
      <c r="U6" s="260"/>
      <c r="V6" s="261"/>
      <c r="W6" s="261"/>
      <c r="X6" s="261"/>
      <c r="Y6" s="261"/>
      <c r="Z6" s="261"/>
      <c r="AA6" s="261"/>
      <c r="AB6" s="261"/>
      <c r="AC6" s="261"/>
      <c r="AD6" s="261"/>
      <c r="AE6" s="261"/>
    </row>
    <row r="7" s="31" customFormat="1" ht="16" customHeight="1" spans="1:31">
      <c r="A7" s="258">
        <v>2</v>
      </c>
      <c r="B7" s="101"/>
      <c r="C7" s="101"/>
      <c r="D7" s="267"/>
      <c r="E7" s="77"/>
      <c r="F7" s="77"/>
      <c r="G7" s="77"/>
      <c r="H7" s="311">
        <f t="shared" ref="H7:H31" si="0">ROUND(E7+F7-G7,2)</f>
        <v>0</v>
      </c>
      <c r="I7" s="312"/>
      <c r="J7" s="311">
        <f t="shared" ref="J7:J33" si="1">H7+I7</f>
        <v>0</v>
      </c>
      <c r="K7" s="17"/>
      <c r="L7" s="173">
        <f t="shared" ref="L7:L32" si="2">J7+K7</f>
        <v>0</v>
      </c>
      <c r="M7" s="269"/>
      <c r="N7" s="19"/>
      <c r="O7" s="102"/>
      <c r="P7" s="260"/>
      <c r="Q7" s="102"/>
      <c r="R7" s="102"/>
      <c r="S7" s="102"/>
      <c r="T7" s="102"/>
      <c r="U7" s="260"/>
      <c r="V7" s="261"/>
      <c r="W7" s="261"/>
      <c r="X7" s="261"/>
      <c r="Y7" s="261"/>
      <c r="Z7" s="261"/>
      <c r="AA7" s="261"/>
      <c r="AB7" s="261"/>
      <c r="AC7" s="261"/>
      <c r="AD7" s="261"/>
      <c r="AE7" s="261"/>
    </row>
    <row r="8" s="31" customFormat="1" ht="16" customHeight="1" spans="1:31">
      <c r="A8" s="258">
        <v>3</v>
      </c>
      <c r="B8" s="101"/>
      <c r="C8" s="101"/>
      <c r="D8" s="267"/>
      <c r="E8" s="77"/>
      <c r="F8" s="77"/>
      <c r="G8" s="77"/>
      <c r="H8" s="311">
        <f t="shared" si="0"/>
        <v>0</v>
      </c>
      <c r="I8" s="312"/>
      <c r="J8" s="311">
        <f t="shared" si="1"/>
        <v>0</v>
      </c>
      <c r="K8" s="17"/>
      <c r="L8" s="173">
        <f t="shared" si="2"/>
        <v>0</v>
      </c>
      <c r="M8" s="269"/>
      <c r="N8" s="19"/>
      <c r="O8" s="102"/>
      <c r="P8" s="260"/>
      <c r="Q8" s="102"/>
      <c r="R8" s="102"/>
      <c r="S8" s="102"/>
      <c r="T8" s="102"/>
      <c r="U8" s="260"/>
      <c r="V8" s="261"/>
      <c r="W8" s="261"/>
      <c r="X8" s="261"/>
      <c r="Y8" s="261"/>
      <c r="Z8" s="261"/>
      <c r="AA8" s="261"/>
      <c r="AB8" s="261"/>
      <c r="AC8" s="261"/>
      <c r="AD8" s="261"/>
      <c r="AE8" s="261"/>
    </row>
    <row r="9" s="31" customFormat="1" ht="16" customHeight="1" spans="1:31">
      <c r="A9" s="258">
        <v>4</v>
      </c>
      <c r="B9" s="101"/>
      <c r="C9" s="101"/>
      <c r="D9" s="267"/>
      <c r="E9" s="77"/>
      <c r="F9" s="77"/>
      <c r="G9" s="77"/>
      <c r="H9" s="311">
        <f t="shared" si="0"/>
        <v>0</v>
      </c>
      <c r="I9" s="312"/>
      <c r="J9" s="311">
        <f t="shared" si="1"/>
        <v>0</v>
      </c>
      <c r="K9" s="17"/>
      <c r="L9" s="173">
        <f t="shared" si="2"/>
        <v>0</v>
      </c>
      <c r="M9" s="269"/>
      <c r="N9" s="19"/>
      <c r="O9" s="102"/>
      <c r="P9" s="260"/>
      <c r="Q9" s="102"/>
      <c r="R9" s="102"/>
      <c r="S9" s="102"/>
      <c r="T9" s="102"/>
      <c r="U9" s="260"/>
      <c r="V9" s="261"/>
      <c r="W9" s="261"/>
      <c r="X9" s="261"/>
      <c r="Y9" s="261"/>
      <c r="Z9" s="261"/>
      <c r="AA9" s="261"/>
      <c r="AB9" s="261"/>
      <c r="AC9" s="261"/>
      <c r="AD9" s="261"/>
      <c r="AE9" s="261"/>
    </row>
    <row r="10" s="31" customFormat="1" ht="16" customHeight="1" spans="1:31">
      <c r="A10" s="258">
        <v>5</v>
      </c>
      <c r="B10" s="101"/>
      <c r="C10" s="101"/>
      <c r="D10" s="267"/>
      <c r="E10" s="77"/>
      <c r="F10" s="77"/>
      <c r="G10" s="77"/>
      <c r="H10" s="311">
        <f t="shared" si="0"/>
        <v>0</v>
      </c>
      <c r="I10" s="312"/>
      <c r="J10" s="311">
        <f t="shared" si="1"/>
        <v>0</v>
      </c>
      <c r="K10" s="17"/>
      <c r="L10" s="173">
        <f t="shared" si="2"/>
        <v>0</v>
      </c>
      <c r="M10" s="269"/>
      <c r="N10" s="19"/>
      <c r="O10" s="102"/>
      <c r="P10" s="260"/>
      <c r="Q10" s="102"/>
      <c r="R10" s="102"/>
      <c r="S10" s="102"/>
      <c r="T10" s="102"/>
      <c r="U10" s="260"/>
      <c r="V10" s="261"/>
      <c r="W10" s="261"/>
      <c r="X10" s="261"/>
      <c r="Y10" s="261"/>
      <c r="Z10" s="261"/>
      <c r="AA10" s="261"/>
      <c r="AB10" s="261"/>
      <c r="AC10" s="261"/>
      <c r="AD10" s="261"/>
      <c r="AE10" s="261"/>
    </row>
    <row r="11" s="31" customFormat="1" ht="16" customHeight="1" spans="1:31">
      <c r="A11" s="258">
        <v>6</v>
      </c>
      <c r="B11" s="101"/>
      <c r="C11" s="101"/>
      <c r="D11" s="267"/>
      <c r="E11" s="77"/>
      <c r="F11" s="77"/>
      <c r="G11" s="77"/>
      <c r="H11" s="311">
        <f t="shared" si="0"/>
        <v>0</v>
      </c>
      <c r="I11" s="312"/>
      <c r="J11" s="311">
        <f t="shared" si="1"/>
        <v>0</v>
      </c>
      <c r="K11" s="17"/>
      <c r="L11" s="173">
        <f t="shared" si="2"/>
        <v>0</v>
      </c>
      <c r="M11" s="269"/>
      <c r="N11" s="19"/>
      <c r="O11" s="102"/>
      <c r="P11" s="260"/>
      <c r="Q11" s="102"/>
      <c r="R11" s="102"/>
      <c r="S11" s="102"/>
      <c r="T11" s="102"/>
      <c r="U11" s="260"/>
      <c r="V11" s="261"/>
      <c r="W11" s="261"/>
      <c r="X11" s="261"/>
      <c r="Y11" s="261"/>
      <c r="Z11" s="261"/>
      <c r="AA11" s="261"/>
      <c r="AB11" s="261"/>
      <c r="AC11" s="261"/>
      <c r="AD11" s="261"/>
      <c r="AE11" s="261"/>
    </row>
    <row r="12" s="31" customFormat="1" ht="16" customHeight="1" spans="1:31">
      <c r="A12" s="258">
        <v>7</v>
      </c>
      <c r="B12" s="101"/>
      <c r="C12" s="101"/>
      <c r="D12" s="313"/>
      <c r="E12" s="77"/>
      <c r="F12" s="77"/>
      <c r="G12" s="77"/>
      <c r="H12" s="311">
        <f t="shared" si="0"/>
        <v>0</v>
      </c>
      <c r="I12" s="312"/>
      <c r="J12" s="311">
        <f t="shared" si="1"/>
        <v>0</v>
      </c>
      <c r="K12" s="17"/>
      <c r="L12" s="173">
        <f t="shared" si="2"/>
        <v>0</v>
      </c>
      <c r="M12" s="269"/>
      <c r="N12" s="19"/>
      <c r="O12" s="102"/>
      <c r="P12" s="260"/>
      <c r="Q12" s="102"/>
      <c r="R12" s="102"/>
      <c r="S12" s="102"/>
      <c r="T12" s="102"/>
      <c r="U12" s="260"/>
      <c r="V12" s="261"/>
      <c r="W12" s="261"/>
      <c r="X12" s="261"/>
      <c r="Y12" s="261"/>
      <c r="Z12" s="261"/>
      <c r="AA12" s="261"/>
      <c r="AB12" s="261"/>
      <c r="AC12" s="261"/>
      <c r="AD12" s="261"/>
      <c r="AE12" s="261"/>
    </row>
    <row r="13" s="31" customFormat="1" ht="16" customHeight="1" spans="1:31">
      <c r="A13" s="258">
        <v>8</v>
      </c>
      <c r="B13" s="101"/>
      <c r="C13" s="101"/>
      <c r="D13" s="267"/>
      <c r="E13" s="77"/>
      <c r="F13" s="77"/>
      <c r="G13" s="77"/>
      <c r="H13" s="311">
        <f t="shared" si="0"/>
        <v>0</v>
      </c>
      <c r="I13" s="312"/>
      <c r="J13" s="311">
        <f t="shared" si="1"/>
        <v>0</v>
      </c>
      <c r="K13" s="17"/>
      <c r="L13" s="173">
        <f t="shared" si="2"/>
        <v>0</v>
      </c>
      <c r="M13" s="269"/>
      <c r="N13" s="19"/>
      <c r="O13" s="102"/>
      <c r="P13" s="260"/>
      <c r="Q13" s="102"/>
      <c r="R13" s="102"/>
      <c r="S13" s="102"/>
      <c r="T13" s="102"/>
      <c r="U13" s="260"/>
      <c r="V13" s="261"/>
      <c r="W13" s="261"/>
      <c r="X13" s="261"/>
      <c r="Y13" s="261"/>
      <c r="Z13" s="261"/>
      <c r="AA13" s="261"/>
      <c r="AB13" s="261"/>
      <c r="AC13" s="261"/>
      <c r="AD13" s="261"/>
      <c r="AE13" s="261"/>
    </row>
    <row r="14" s="31" customFormat="1" ht="16" customHeight="1" spans="1:31">
      <c r="A14" s="258">
        <v>9</v>
      </c>
      <c r="B14" s="101"/>
      <c r="C14" s="101"/>
      <c r="D14" s="267"/>
      <c r="E14" s="77"/>
      <c r="F14" s="77"/>
      <c r="G14" s="77"/>
      <c r="H14" s="311">
        <f t="shared" si="0"/>
        <v>0</v>
      </c>
      <c r="I14" s="312"/>
      <c r="J14" s="311">
        <f t="shared" si="1"/>
        <v>0</v>
      </c>
      <c r="K14" s="17"/>
      <c r="L14" s="173">
        <f t="shared" si="2"/>
        <v>0</v>
      </c>
      <c r="M14" s="269"/>
      <c r="N14" s="19"/>
      <c r="O14" s="102"/>
      <c r="P14" s="260"/>
      <c r="Q14" s="102"/>
      <c r="R14" s="102"/>
      <c r="S14" s="102"/>
      <c r="T14" s="102"/>
      <c r="U14" s="260"/>
      <c r="V14" s="261"/>
      <c r="W14" s="261"/>
      <c r="X14" s="261"/>
      <c r="Y14" s="261"/>
      <c r="Z14" s="261"/>
      <c r="AA14" s="261"/>
      <c r="AB14" s="261"/>
      <c r="AC14" s="261"/>
      <c r="AD14" s="261"/>
      <c r="AE14" s="261"/>
    </row>
    <row r="15" s="31" customFormat="1" ht="16" customHeight="1" spans="1:31">
      <c r="A15" s="258">
        <v>10</v>
      </c>
      <c r="B15" s="101"/>
      <c r="C15" s="101"/>
      <c r="D15" s="267"/>
      <c r="E15" s="77"/>
      <c r="F15" s="77"/>
      <c r="G15" s="77"/>
      <c r="H15" s="311">
        <f t="shared" si="0"/>
        <v>0</v>
      </c>
      <c r="I15" s="312"/>
      <c r="J15" s="311">
        <f t="shared" si="1"/>
        <v>0</v>
      </c>
      <c r="K15" s="17"/>
      <c r="L15" s="173">
        <f t="shared" si="2"/>
        <v>0</v>
      </c>
      <c r="M15" s="269"/>
      <c r="N15" s="19"/>
      <c r="O15" s="102"/>
      <c r="P15" s="260"/>
      <c r="Q15" s="102"/>
      <c r="R15" s="102"/>
      <c r="S15" s="102"/>
      <c r="T15" s="102"/>
      <c r="U15" s="260"/>
      <c r="V15" s="261"/>
      <c r="W15" s="261"/>
      <c r="X15" s="261"/>
      <c r="Y15" s="261"/>
      <c r="Z15" s="261"/>
      <c r="AA15" s="261"/>
      <c r="AB15" s="261"/>
      <c r="AC15" s="261"/>
      <c r="AD15" s="261"/>
      <c r="AE15" s="261"/>
    </row>
    <row r="16" s="31" customFormat="1" ht="16" customHeight="1" spans="1:31">
      <c r="A16" s="258">
        <v>11</v>
      </c>
      <c r="B16" s="101"/>
      <c r="C16" s="101"/>
      <c r="D16" s="267"/>
      <c r="E16" s="77"/>
      <c r="F16" s="77"/>
      <c r="G16" s="77"/>
      <c r="H16" s="311">
        <f t="shared" si="0"/>
        <v>0</v>
      </c>
      <c r="I16" s="312"/>
      <c r="J16" s="311">
        <f t="shared" si="1"/>
        <v>0</v>
      </c>
      <c r="K16" s="17"/>
      <c r="L16" s="173">
        <f t="shared" si="2"/>
        <v>0</v>
      </c>
      <c r="M16" s="269"/>
      <c r="N16" s="19"/>
      <c r="O16" s="102"/>
      <c r="P16" s="260"/>
      <c r="Q16" s="102"/>
      <c r="R16" s="102"/>
      <c r="S16" s="102"/>
      <c r="T16" s="102"/>
      <c r="U16" s="260"/>
      <c r="V16" s="261"/>
      <c r="W16" s="261"/>
      <c r="X16" s="261"/>
      <c r="Y16" s="261"/>
      <c r="Z16" s="261"/>
      <c r="AA16" s="261"/>
      <c r="AB16" s="261"/>
      <c r="AC16" s="261"/>
      <c r="AD16" s="261"/>
      <c r="AE16" s="261"/>
    </row>
    <row r="17" s="31" customFormat="1" ht="16" customHeight="1" spans="1:32">
      <c r="A17" s="258">
        <v>12</v>
      </c>
      <c r="B17" s="101"/>
      <c r="C17" s="101"/>
      <c r="D17" s="267"/>
      <c r="E17" s="77"/>
      <c r="F17" s="77"/>
      <c r="G17" s="77"/>
      <c r="H17" s="311">
        <f t="shared" si="0"/>
        <v>0</v>
      </c>
      <c r="I17" s="312"/>
      <c r="J17" s="311">
        <f t="shared" si="1"/>
        <v>0</v>
      </c>
      <c r="K17" s="17"/>
      <c r="L17" s="173">
        <f t="shared" si="2"/>
        <v>0</v>
      </c>
      <c r="M17" s="269"/>
      <c r="N17" s="19"/>
      <c r="O17" s="102"/>
      <c r="P17" s="260"/>
      <c r="Q17" s="102"/>
      <c r="R17" s="102"/>
      <c r="S17" s="102"/>
      <c r="T17" s="102"/>
      <c r="U17" s="260"/>
      <c r="V17" s="261"/>
      <c r="W17" s="261"/>
      <c r="X17" s="261"/>
      <c r="Y17" s="261"/>
      <c r="Z17" s="261"/>
      <c r="AA17" s="261"/>
      <c r="AB17" s="261"/>
      <c r="AC17" s="261"/>
      <c r="AD17" s="261"/>
      <c r="AE17" s="261"/>
    </row>
    <row r="18" s="31" customFormat="1" ht="16" customHeight="1" spans="1:32">
      <c r="A18" s="258">
        <v>13</v>
      </c>
      <c r="B18" s="101"/>
      <c r="C18" s="101"/>
      <c r="D18" s="313"/>
      <c r="E18" s="77"/>
      <c r="F18" s="77"/>
      <c r="G18" s="77"/>
      <c r="H18" s="311">
        <f t="shared" si="0"/>
        <v>0</v>
      </c>
      <c r="I18" s="312"/>
      <c r="J18" s="311">
        <f t="shared" si="1"/>
        <v>0</v>
      </c>
      <c r="K18" s="17"/>
      <c r="L18" s="173">
        <f t="shared" si="2"/>
        <v>0</v>
      </c>
      <c r="M18" s="269"/>
      <c r="N18" s="19"/>
      <c r="O18" s="102"/>
      <c r="P18" s="260"/>
      <c r="Q18" s="102"/>
      <c r="R18" s="102"/>
      <c r="S18" s="102"/>
      <c r="T18" s="102"/>
      <c r="U18" s="260"/>
      <c r="V18" s="271"/>
      <c r="W18" s="272"/>
      <c r="X18" s="273"/>
      <c r="Y18" s="273"/>
      <c r="Z18" s="274"/>
      <c r="AA18" s="275"/>
      <c r="AB18" s="274"/>
      <c r="AC18" s="274"/>
      <c r="AD18" s="274"/>
      <c r="AE18" s="274"/>
    </row>
    <row r="19" s="31" customFormat="1" ht="16" customHeight="1" spans="1:32">
      <c r="A19" s="258">
        <v>14</v>
      </c>
      <c r="B19" s="101"/>
      <c r="C19" s="101"/>
      <c r="D19" s="313"/>
      <c r="E19" s="77"/>
      <c r="F19" s="77"/>
      <c r="G19" s="77"/>
      <c r="H19" s="311">
        <f t="shared" si="0"/>
        <v>0</v>
      </c>
      <c r="I19" s="312"/>
      <c r="J19" s="311">
        <f t="shared" si="1"/>
        <v>0</v>
      </c>
      <c r="K19" s="17"/>
      <c r="L19" s="173">
        <f t="shared" si="2"/>
        <v>0</v>
      </c>
      <c r="M19" s="269"/>
      <c r="N19" s="19"/>
      <c r="O19" s="102"/>
      <c r="P19" s="260"/>
      <c r="Q19" s="102"/>
      <c r="R19" s="102"/>
      <c r="S19" s="102"/>
      <c r="T19" s="102"/>
      <c r="U19" s="260"/>
      <c r="V19" s="261"/>
      <c r="W19" s="261"/>
      <c r="X19" s="273"/>
      <c r="Y19" s="261"/>
      <c r="Z19" s="261"/>
      <c r="AA19" s="261"/>
      <c r="AB19" s="261"/>
      <c r="AC19" s="261"/>
      <c r="AD19" s="261"/>
      <c r="AE19" s="261"/>
    </row>
    <row r="20" s="31" customFormat="1" ht="16" customHeight="1" spans="1:32">
      <c r="A20" s="258">
        <v>15</v>
      </c>
      <c r="B20" s="101"/>
      <c r="C20" s="101"/>
      <c r="D20" s="267"/>
      <c r="E20" s="77"/>
      <c r="F20" s="77"/>
      <c r="G20" s="77"/>
      <c r="H20" s="311">
        <f t="shared" si="0"/>
        <v>0</v>
      </c>
      <c r="I20" s="312"/>
      <c r="J20" s="311">
        <f t="shared" si="1"/>
        <v>0</v>
      </c>
      <c r="K20" s="17"/>
      <c r="L20" s="173">
        <f t="shared" si="2"/>
        <v>0</v>
      </c>
      <c r="M20" s="269"/>
      <c r="N20" s="19"/>
      <c r="O20" s="102"/>
      <c r="P20" s="260"/>
      <c r="Q20" s="102"/>
      <c r="R20" s="102"/>
      <c r="S20" s="102"/>
      <c r="T20" s="102"/>
      <c r="U20" s="260"/>
      <c r="V20" s="261"/>
      <c r="W20" s="261"/>
      <c r="X20" s="261"/>
      <c r="Y20" s="261"/>
      <c r="Z20" s="261"/>
      <c r="AA20" s="261"/>
      <c r="AB20" s="261"/>
      <c r="AC20" s="261"/>
      <c r="AD20" s="261"/>
      <c r="AE20" s="261"/>
    </row>
    <row r="21" s="31" customFormat="1" ht="16" customHeight="1" spans="1:32">
      <c r="A21" s="258">
        <v>16</v>
      </c>
      <c r="B21" s="101"/>
      <c r="C21" s="101"/>
      <c r="D21" s="267"/>
      <c r="E21" s="77"/>
      <c r="F21" s="77"/>
      <c r="G21" s="77"/>
      <c r="H21" s="311">
        <f t="shared" si="0"/>
        <v>0</v>
      </c>
      <c r="I21" s="312"/>
      <c r="J21" s="311">
        <f t="shared" si="1"/>
        <v>0</v>
      </c>
      <c r="K21" s="17"/>
      <c r="L21" s="173">
        <f t="shared" si="2"/>
        <v>0</v>
      </c>
      <c r="M21" s="269"/>
      <c r="N21" s="19"/>
      <c r="O21" s="102"/>
      <c r="P21" s="260"/>
      <c r="Q21" s="102"/>
      <c r="R21" s="102"/>
      <c r="S21" s="102"/>
      <c r="T21" s="102"/>
      <c r="U21" s="260"/>
      <c r="V21" s="261"/>
      <c r="W21" s="261"/>
      <c r="X21" s="261"/>
      <c r="Y21" s="261"/>
      <c r="Z21" s="261"/>
      <c r="AA21" s="261"/>
      <c r="AB21" s="261"/>
      <c r="AC21" s="261"/>
      <c r="AD21" s="261"/>
      <c r="AE21" s="261"/>
    </row>
    <row r="22" s="31" customFormat="1" ht="16" customHeight="1" spans="1:32">
      <c r="A22" s="258">
        <v>17</v>
      </c>
      <c r="B22" s="101"/>
      <c r="C22" s="101"/>
      <c r="D22" s="267"/>
      <c r="E22" s="77"/>
      <c r="F22" s="77"/>
      <c r="G22" s="77"/>
      <c r="H22" s="311">
        <f t="shared" si="0"/>
        <v>0</v>
      </c>
      <c r="I22" s="312"/>
      <c r="J22" s="311">
        <f t="shared" si="1"/>
        <v>0</v>
      </c>
      <c r="K22" s="17"/>
      <c r="L22" s="173">
        <f t="shared" si="2"/>
        <v>0</v>
      </c>
      <c r="M22" s="269"/>
      <c r="N22" s="19"/>
      <c r="O22" s="102"/>
      <c r="P22" s="260"/>
      <c r="Q22" s="102"/>
      <c r="R22" s="102"/>
      <c r="S22" s="102"/>
      <c r="T22" s="102"/>
      <c r="U22" s="260"/>
      <c r="V22" s="261"/>
      <c r="W22" s="261"/>
      <c r="X22" s="261"/>
      <c r="Y22" s="261"/>
      <c r="Z22" s="261"/>
      <c r="AA22" s="261"/>
      <c r="AB22" s="261"/>
      <c r="AC22" s="261"/>
      <c r="AD22" s="261"/>
      <c r="AE22" s="261"/>
    </row>
    <row r="23" s="31" customFormat="1" ht="16" customHeight="1" spans="1:32">
      <c r="A23" s="258">
        <v>18</v>
      </c>
      <c r="B23" s="101"/>
      <c r="C23" s="101"/>
      <c r="D23" s="267"/>
      <c r="E23" s="77"/>
      <c r="F23" s="77"/>
      <c r="G23" s="77"/>
      <c r="H23" s="311">
        <f t="shared" si="0"/>
        <v>0</v>
      </c>
      <c r="I23" s="312"/>
      <c r="J23" s="311">
        <f t="shared" si="1"/>
        <v>0</v>
      </c>
      <c r="K23" s="17"/>
      <c r="L23" s="173">
        <f t="shared" si="2"/>
        <v>0</v>
      </c>
      <c r="M23" s="269"/>
      <c r="N23" s="19"/>
      <c r="O23" s="102"/>
      <c r="P23" s="260"/>
      <c r="Q23" s="102"/>
      <c r="R23" s="102"/>
      <c r="S23" s="102"/>
      <c r="T23" s="102"/>
      <c r="U23" s="260"/>
      <c r="V23" s="261"/>
      <c r="W23" s="261"/>
      <c r="X23" s="261"/>
      <c r="Y23" s="261"/>
      <c r="Z23" s="261"/>
      <c r="AA23" s="261"/>
      <c r="AB23" s="261"/>
      <c r="AC23" s="261"/>
      <c r="AD23" s="261"/>
      <c r="AE23" s="261"/>
    </row>
    <row r="24" s="31" customFormat="1" ht="16" customHeight="1" spans="1:32">
      <c r="A24" s="258">
        <v>19</v>
      </c>
      <c r="B24" s="101"/>
      <c r="C24" s="101"/>
      <c r="D24" s="267"/>
      <c r="E24" s="77"/>
      <c r="F24" s="77"/>
      <c r="G24" s="77"/>
      <c r="H24" s="311">
        <f t="shared" si="0"/>
        <v>0</v>
      </c>
      <c r="I24" s="312"/>
      <c r="J24" s="311">
        <f t="shared" si="1"/>
        <v>0</v>
      </c>
      <c r="K24" s="17"/>
      <c r="L24" s="173">
        <f t="shared" si="2"/>
        <v>0</v>
      </c>
      <c r="M24" s="269"/>
      <c r="N24" s="19"/>
      <c r="O24" s="102"/>
      <c r="P24" s="260"/>
      <c r="Q24" s="102"/>
      <c r="R24" s="102"/>
      <c r="S24" s="102"/>
      <c r="T24" s="102"/>
      <c r="U24" s="260"/>
      <c r="V24" s="261"/>
      <c r="W24" s="261"/>
      <c r="X24" s="261"/>
      <c r="Y24" s="261"/>
      <c r="Z24" s="261"/>
      <c r="AA24" s="261"/>
      <c r="AB24" s="261"/>
      <c r="AC24" s="261"/>
      <c r="AD24" s="261"/>
      <c r="AE24" s="261"/>
    </row>
    <row r="25" s="31" customFormat="1" ht="14" hidden="1" customHeight="1" spans="1:32">
      <c r="A25" s="258">
        <v>20</v>
      </c>
      <c r="B25" s="101"/>
      <c r="C25" s="101"/>
      <c r="D25" s="101"/>
      <c r="E25" s="17"/>
      <c r="F25" s="17"/>
      <c r="G25" s="17"/>
      <c r="H25" s="311">
        <f t="shared" si="0"/>
        <v>0</v>
      </c>
      <c r="I25" s="311"/>
      <c r="J25" s="311">
        <f t="shared" si="1"/>
        <v>0</v>
      </c>
      <c r="K25" s="17"/>
      <c r="L25" s="173">
        <f t="shared" si="2"/>
        <v>0</v>
      </c>
      <c r="M25" s="269"/>
      <c r="N25" s="19"/>
      <c r="O25" s="102"/>
      <c r="P25" s="260"/>
      <c r="Q25" s="102"/>
      <c r="R25" s="102"/>
      <c r="S25" s="102"/>
      <c r="T25" s="102"/>
      <c r="U25" s="260"/>
      <c r="V25" s="261"/>
      <c r="W25" s="261"/>
      <c r="X25" s="261"/>
      <c r="Y25" s="261"/>
      <c r="Z25" s="261"/>
      <c r="AA25" s="261"/>
      <c r="AB25" s="261"/>
      <c r="AC25" s="261"/>
      <c r="AD25" s="261"/>
      <c r="AE25" s="261"/>
    </row>
    <row r="26" s="31" customFormat="1" ht="14" hidden="1" customHeight="1" spans="1:32">
      <c r="A26" s="258">
        <v>21</v>
      </c>
      <c r="B26" s="101"/>
      <c r="C26" s="101"/>
      <c r="D26" s="101"/>
      <c r="E26" s="17"/>
      <c r="F26" s="17"/>
      <c r="G26" s="17"/>
      <c r="H26" s="311">
        <f t="shared" si="0"/>
        <v>0</v>
      </c>
      <c r="I26" s="311"/>
      <c r="J26" s="311">
        <f t="shared" si="1"/>
        <v>0</v>
      </c>
      <c r="K26" s="17"/>
      <c r="L26" s="173">
        <f t="shared" si="2"/>
        <v>0</v>
      </c>
      <c r="M26" s="269"/>
      <c r="N26" s="19"/>
      <c r="O26" s="102"/>
      <c r="P26" s="260"/>
      <c r="Q26" s="102"/>
      <c r="R26" s="102"/>
      <c r="S26" s="102"/>
      <c r="T26" s="102"/>
      <c r="U26" s="260"/>
      <c r="V26" s="261"/>
      <c r="W26" s="261"/>
      <c r="X26" s="261"/>
      <c r="Y26" s="261"/>
      <c r="Z26" s="261"/>
      <c r="AA26" s="261"/>
      <c r="AB26" s="261"/>
      <c r="AC26" s="261"/>
      <c r="AD26" s="261"/>
      <c r="AE26" s="261"/>
    </row>
    <row r="27" s="31" customFormat="1" ht="14" hidden="1" customHeight="1" spans="1:32">
      <c r="A27" s="258">
        <v>22</v>
      </c>
      <c r="B27" s="101"/>
      <c r="C27" s="101"/>
      <c r="D27" s="101"/>
      <c r="E27" s="17"/>
      <c r="F27" s="17"/>
      <c r="G27" s="17"/>
      <c r="H27" s="311">
        <f t="shared" si="0"/>
        <v>0</v>
      </c>
      <c r="I27" s="311"/>
      <c r="J27" s="311">
        <f t="shared" si="1"/>
        <v>0</v>
      </c>
      <c r="K27" s="17"/>
      <c r="L27" s="173">
        <f t="shared" si="2"/>
        <v>0</v>
      </c>
      <c r="M27" s="269"/>
      <c r="N27" s="19"/>
      <c r="O27" s="102"/>
      <c r="P27" s="260"/>
      <c r="Q27" s="102"/>
      <c r="R27" s="102"/>
      <c r="S27" s="102"/>
      <c r="T27" s="102"/>
      <c r="U27" s="260"/>
      <c r="V27" s="261"/>
      <c r="W27" s="261"/>
      <c r="X27" s="261"/>
      <c r="Y27" s="261"/>
      <c r="Z27" s="261"/>
      <c r="AA27" s="261"/>
      <c r="AB27" s="261"/>
      <c r="AC27" s="261"/>
      <c r="AD27" s="261"/>
      <c r="AE27" s="261"/>
    </row>
    <row r="28" s="31" customFormat="1" ht="14" hidden="1" customHeight="1" spans="1:32">
      <c r="A28" s="258">
        <v>23</v>
      </c>
      <c r="B28" s="101"/>
      <c r="C28" s="101"/>
      <c r="D28" s="101"/>
      <c r="E28" s="17"/>
      <c r="F28" s="17"/>
      <c r="G28" s="17"/>
      <c r="H28" s="311">
        <f t="shared" si="0"/>
        <v>0</v>
      </c>
      <c r="I28" s="311"/>
      <c r="J28" s="311">
        <f t="shared" si="1"/>
        <v>0</v>
      </c>
      <c r="K28" s="17"/>
      <c r="L28" s="173">
        <f t="shared" si="2"/>
        <v>0</v>
      </c>
      <c r="M28" s="269"/>
      <c r="N28" s="19"/>
      <c r="O28" s="102"/>
      <c r="P28" s="260"/>
      <c r="Q28" s="102"/>
      <c r="R28" s="102"/>
      <c r="S28" s="102"/>
      <c r="T28" s="102"/>
      <c r="U28" s="260"/>
      <c r="V28" s="261"/>
      <c r="W28" s="261"/>
      <c r="X28" s="261"/>
      <c r="Y28" s="261"/>
      <c r="Z28" s="261"/>
      <c r="AA28" s="261"/>
      <c r="AB28" s="261"/>
      <c r="AC28" s="261"/>
      <c r="AD28" s="261"/>
      <c r="AE28" s="261"/>
    </row>
    <row r="29" s="31" customFormat="1" ht="14" hidden="1" customHeight="1" spans="1:32">
      <c r="A29" s="258">
        <v>24</v>
      </c>
      <c r="B29" s="101"/>
      <c r="C29" s="101"/>
      <c r="D29" s="101"/>
      <c r="E29" s="17"/>
      <c r="F29" s="17"/>
      <c r="G29" s="17"/>
      <c r="H29" s="311">
        <f t="shared" si="0"/>
        <v>0</v>
      </c>
      <c r="I29" s="311"/>
      <c r="J29" s="311">
        <f t="shared" si="1"/>
        <v>0</v>
      </c>
      <c r="K29" s="17"/>
      <c r="L29" s="173">
        <f t="shared" si="2"/>
        <v>0</v>
      </c>
      <c r="M29" s="269"/>
      <c r="N29" s="19"/>
      <c r="O29" s="102"/>
      <c r="P29" s="260"/>
      <c r="Q29" s="102"/>
      <c r="R29" s="102"/>
      <c r="S29" s="102"/>
      <c r="T29" s="102"/>
      <c r="U29" s="260"/>
      <c r="V29" s="261"/>
      <c r="W29" s="261"/>
      <c r="X29" s="261"/>
      <c r="Y29" s="261"/>
      <c r="Z29" s="261"/>
      <c r="AA29" s="261"/>
      <c r="AB29" s="261"/>
      <c r="AC29" s="261"/>
      <c r="AD29" s="261"/>
      <c r="AE29" s="261"/>
    </row>
    <row r="30" s="31" customFormat="1" ht="14" hidden="1" customHeight="1" spans="1:32">
      <c r="A30" s="258">
        <v>25</v>
      </c>
      <c r="B30" s="101"/>
      <c r="C30" s="101"/>
      <c r="D30" s="101"/>
      <c r="E30" s="17"/>
      <c r="F30" s="17"/>
      <c r="G30" s="17"/>
      <c r="H30" s="311">
        <f t="shared" si="0"/>
        <v>0</v>
      </c>
      <c r="I30" s="311"/>
      <c r="J30" s="311">
        <f t="shared" si="1"/>
        <v>0</v>
      </c>
      <c r="K30" s="17"/>
      <c r="L30" s="173">
        <f t="shared" si="2"/>
        <v>0</v>
      </c>
      <c r="M30" s="269"/>
      <c r="N30" s="19"/>
      <c r="O30" s="102"/>
      <c r="P30" s="260"/>
      <c r="Q30" s="102"/>
      <c r="R30" s="102"/>
      <c r="S30" s="102"/>
      <c r="T30" s="102"/>
      <c r="U30" s="260"/>
      <c r="V30" s="261"/>
      <c r="W30" s="261"/>
      <c r="X30" s="261"/>
      <c r="Y30" s="261"/>
      <c r="Z30" s="261"/>
      <c r="AA30" s="261"/>
      <c r="AB30" s="261"/>
      <c r="AC30" s="261"/>
      <c r="AD30" s="261"/>
      <c r="AE30" s="261"/>
    </row>
    <row r="31" s="32" customFormat="1" ht="24" customHeight="1" spans="1:32">
      <c r="A31" s="303" t="s">
        <v>420</v>
      </c>
      <c r="B31" s="304"/>
      <c r="C31" s="304"/>
      <c r="D31" s="262"/>
      <c r="E31" s="173">
        <f>ROUND(SUM(E6:E30),2)</f>
        <v>0</v>
      </c>
      <c r="F31" s="173">
        <f>ROUND(SUM(F6:F30),2)</f>
        <v>0</v>
      </c>
      <c r="G31" s="173">
        <f>ROUND(SUM(G6:G30),2)</f>
        <v>0</v>
      </c>
      <c r="H31" s="311">
        <f t="shared" si="0"/>
        <v>0</v>
      </c>
      <c r="I31" s="173">
        <f>ROUND(SUM(I4:I30),2)</f>
        <v>0</v>
      </c>
      <c r="J31" s="311">
        <f t="shared" si="1"/>
        <v>0</v>
      </c>
      <c r="K31" s="173">
        <f>ROUND(SUM(K6:K30),2)</f>
        <v>0</v>
      </c>
      <c r="L31" s="173">
        <f t="shared" si="2"/>
        <v>0</v>
      </c>
      <c r="M31" s="269"/>
      <c r="N31" s="173">
        <f>ROUND(SUM(N6:N30),2)</f>
        <v>0</v>
      </c>
      <c r="O31" s="314"/>
      <c r="P31" s="314"/>
      <c r="Q31" s="314"/>
      <c r="R31" s="314"/>
      <c r="S31" s="314"/>
      <c r="T31" s="314"/>
      <c r="U31" s="314"/>
      <c r="V31" s="266"/>
      <c r="W31" s="266"/>
      <c r="X31" s="266"/>
      <c r="Y31" s="266"/>
      <c r="Z31" s="266"/>
      <c r="AA31" s="266"/>
      <c r="AB31" s="266"/>
      <c r="AC31" s="266"/>
      <c r="AD31" s="266"/>
      <c r="AE31" s="266"/>
      <c r="AF31" s="266"/>
    </row>
    <row r="32" ht="19" customHeight="1" spans="1:32">
      <c r="A32" s="303" t="s">
        <v>421</v>
      </c>
      <c r="B32" s="304"/>
      <c r="C32" s="304"/>
      <c r="D32" s="262"/>
      <c r="E32" s="134"/>
      <c r="F32" s="134"/>
      <c r="G32" s="134"/>
      <c r="H32" s="315">
        <f>E32+F32-G32</f>
        <v>0</v>
      </c>
      <c r="I32" s="134"/>
      <c r="J32" s="311">
        <f t="shared" si="1"/>
        <v>0</v>
      </c>
      <c r="K32" s="134"/>
      <c r="L32" s="316">
        <f t="shared" si="2"/>
        <v>0</v>
      </c>
      <c r="M32" s="56"/>
      <c r="N32" s="80"/>
      <c r="O32" s="317"/>
      <c r="P32" s="317"/>
      <c r="Q32" s="317"/>
      <c r="R32" s="317"/>
      <c r="S32" s="317"/>
      <c r="T32" s="317"/>
      <c r="U32" s="317"/>
      <c r="V32" s="318"/>
      <c r="W32" s="318"/>
      <c r="X32" s="318"/>
      <c r="Y32" s="318"/>
      <c r="Z32" s="318"/>
      <c r="AA32" s="318"/>
      <c r="AB32" s="318"/>
      <c r="AC32" s="318"/>
      <c r="AD32" s="318"/>
      <c r="AE32" s="318"/>
      <c r="AF32" s="318"/>
    </row>
    <row r="33" ht="19" customHeight="1" spans="1:32">
      <c r="A33" s="303" t="s">
        <v>422</v>
      </c>
      <c r="B33" s="304"/>
      <c r="C33" s="304"/>
      <c r="D33" s="262"/>
      <c r="E33" s="173">
        <f>ROUND(E31-E32,2)</f>
        <v>0</v>
      </c>
      <c r="F33" s="173"/>
      <c r="G33" s="173"/>
      <c r="H33" s="173">
        <f>ROUND(H31-H32,2)</f>
        <v>0</v>
      </c>
      <c r="I33" s="173"/>
      <c r="J33" s="173">
        <f>ROUND(J31-J32,2)</f>
        <v>0</v>
      </c>
      <c r="K33" s="173">
        <f>ROUND(K31-K32,2)</f>
        <v>0</v>
      </c>
      <c r="L33" s="173">
        <f>ROUND(L31-L32,2)</f>
        <v>0</v>
      </c>
      <c r="M33" s="259"/>
      <c r="N33" s="173"/>
      <c r="O33" s="314"/>
      <c r="P33" s="314"/>
      <c r="Q33" s="314"/>
      <c r="R33" s="314"/>
      <c r="S33" s="314"/>
      <c r="T33" s="314"/>
      <c r="U33" s="314"/>
      <c r="V33" s="318"/>
      <c r="W33" s="318"/>
      <c r="X33" s="318"/>
      <c r="Y33" s="318"/>
      <c r="Z33" s="318"/>
      <c r="AA33" s="318"/>
      <c r="AB33" s="318"/>
      <c r="AC33" s="318"/>
      <c r="AD33" s="318"/>
      <c r="AE33" s="318"/>
      <c r="AF33" s="318"/>
    </row>
    <row r="34" spans="1:32">
      <c r="O34" s="318"/>
      <c r="P34" s="318"/>
      <c r="Q34" s="318"/>
      <c r="R34" s="318"/>
      <c r="S34" s="318"/>
      <c r="T34" s="318"/>
      <c r="U34" s="318"/>
      <c r="V34" s="318"/>
      <c r="W34" s="318"/>
      <c r="X34" s="318"/>
      <c r="Y34" s="318"/>
      <c r="Z34" s="318"/>
      <c r="AA34" s="318"/>
      <c r="AB34" s="318"/>
      <c r="AC34" s="318"/>
      <c r="AD34" s="318"/>
      <c r="AE34" s="318"/>
      <c r="AF34" s="318"/>
    </row>
    <row r="35" ht="22" customHeight="1" spans="1:32">
      <c r="B35" s="29" t="s">
        <v>218</v>
      </c>
    </row>
  </sheetData>
  <autoFilter xmlns:etc="http://www.wps.cn/officeDocument/2017/etCustomData" ref="B5:AE33" etc:filterBottomFollowUsedRange="0">
    <extLst/>
  </autoFilter>
  <mergeCells count="22">
    <mergeCell ref="B1:O1"/>
    <mergeCell ref="E4:I4"/>
    <mergeCell ref="V4:AE4"/>
    <mergeCell ref="A31:B31"/>
    <mergeCell ref="A32:B32"/>
    <mergeCell ref="A33:B33"/>
    <mergeCell ref="A4:A5"/>
    <mergeCell ref="B4:B5"/>
    <mergeCell ref="C4:C5"/>
    <mergeCell ref="D4:D5"/>
    <mergeCell ref="J4:J5"/>
    <mergeCell ref="K4:K5"/>
    <mergeCell ref="L4:L5"/>
    <mergeCell ref="M4:M5"/>
    <mergeCell ref="N4:N5"/>
    <mergeCell ref="O4:O5"/>
    <mergeCell ref="P4:P5"/>
    <mergeCell ref="Q4:Q5"/>
    <mergeCell ref="R4:R5"/>
    <mergeCell ref="S4:S5"/>
    <mergeCell ref="T4:T5"/>
    <mergeCell ref="U4:U5"/>
  </mergeCells>
  <dataValidations count="1">
    <dataValidation type="list" allowBlank="1" showInputMessage="1" showErrorMessage="1" sqref="M6:M30 P6:P30 U6:U30">
      <formula1>"√"</formula1>
    </dataValidation>
  </dataValidation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AE150"/>
  <sheetViews>
    <sheetView zoomScale="90" zoomScaleNormal="90" workbookViewId="0">
      <pane ySplit="5" topLeftCell="A68" activePane="bottomLeft" state="frozen"/>
      <selection/>
      <selection pane="bottomLeft" activeCell="C75" sqref="C75"/>
    </sheetView>
  </sheetViews>
  <sheetFormatPr defaultColWidth="8.73148148148148" defaultRowHeight="14.4"/>
  <cols>
    <col min="1" max="1" width="8.73148148148148" style="30"/>
    <col min="2" max="2" width="14.037037037037" style="30" customWidth="1"/>
    <col min="3" max="3" width="20.7962962962963" style="30" customWidth="1"/>
    <col min="4" max="4" width="19.1944444444444" style="30" customWidth="1"/>
    <col min="5" max="5" width="15.2777777777778" style="30" customWidth="1"/>
    <col min="6" max="6" width="14.8148148148148" style="30" customWidth="1"/>
    <col min="7" max="7" width="15.5" style="30" customWidth="1"/>
    <col min="8" max="8" width="13.2685185185185" style="288" customWidth="1"/>
    <col min="9" max="9" width="13.2685185185185" style="30" customWidth="1"/>
    <col min="10" max="12" width="13.2685185185185" style="289" customWidth="1"/>
    <col min="13" max="13" width="11.962962962963" style="30" customWidth="1"/>
    <col min="14" max="14" width="14.4351851851852" style="30" customWidth="1"/>
    <col min="15" max="15" width="14.75" style="290" customWidth="1"/>
    <col min="16" max="16" width="13.3611111111111" style="290" customWidth="1"/>
    <col min="17" max="20" width="11.2314814814815" style="290" customWidth="1"/>
    <col min="21" max="21" width="13.25" style="290" customWidth="1"/>
    <col min="22" max="22" width="16.3611111111111" style="30" customWidth="1"/>
    <col min="23" max="23" width="16.8981481481481" style="30" customWidth="1"/>
    <col min="24" max="24" width="31.6481481481481" style="30" customWidth="1"/>
    <col min="25" max="25" width="14.2222222222222" style="30" customWidth="1"/>
    <col min="26" max="26" width="8.73148148148148" style="30"/>
    <col min="27" max="27" width="12.9259259259259" style="30" customWidth="1"/>
    <col min="28" max="28" width="8.73148148148148" style="30"/>
    <col min="29" max="29" width="13.6851851851852" style="30" customWidth="1"/>
    <col min="30" max="30" width="16.7777777777778" style="30" customWidth="1"/>
    <col min="31" max="31" width="30.8981481481481" style="30" customWidth="1"/>
    <col min="32" max="16384" width="8.73148148148148" style="30"/>
  </cols>
  <sheetData>
    <row r="1" ht="27" customHeight="1" spans="1:31">
      <c r="A1" s="209" t="s">
        <v>41</v>
      </c>
      <c r="B1" s="209"/>
      <c r="C1" s="209"/>
      <c r="D1" s="209"/>
      <c r="E1" s="209"/>
      <c r="F1" s="209"/>
      <c r="G1" s="209"/>
      <c r="H1" s="291"/>
      <c r="I1" s="209"/>
      <c r="J1" s="209"/>
      <c r="K1" s="209"/>
      <c r="L1" s="209"/>
      <c r="M1" s="209"/>
      <c r="N1" s="209"/>
      <c r="O1" s="209"/>
      <c r="P1" s="209"/>
      <c r="Q1" s="209"/>
      <c r="R1" s="209"/>
      <c r="S1" s="209"/>
      <c r="T1" s="209"/>
      <c r="U1" s="209"/>
    </row>
    <row r="2" spans="1:31">
      <c r="A2" s="2" t="str">
        <f>备忘录!$A$1</f>
        <v>被审计单位：福禄福擎网络科技有限公司</v>
      </c>
      <c r="D2" s="210"/>
      <c r="E2" s="210"/>
      <c r="F2" s="210" t="s">
        <v>193</v>
      </c>
      <c r="J2" s="211" t="str">
        <f>备忘录!$C$2</f>
        <v>日期：2025/10/30</v>
      </c>
      <c r="K2" s="211"/>
      <c r="L2" s="211"/>
      <c r="O2" s="292"/>
    </row>
    <row r="3" spans="1:31">
      <c r="A3" s="2" t="str">
        <f>备忘录!$A$2</f>
        <v>财务报表截止日：2025/9/30</v>
      </c>
      <c r="D3" s="210"/>
      <c r="E3" s="210"/>
      <c r="F3" s="210" t="s">
        <v>194</v>
      </c>
      <c r="J3" s="211" t="str">
        <f>备忘录!$C$3</f>
        <v>日期：2025/10/31</v>
      </c>
      <c r="K3" s="211"/>
      <c r="L3" s="211"/>
    </row>
    <row r="4" s="30" customFormat="1" ht="18" customHeight="1" spans="1:31">
      <c r="A4" s="89" t="s">
        <v>77</v>
      </c>
      <c r="B4" s="159" t="s">
        <v>78</v>
      </c>
      <c r="C4" s="159" t="s">
        <v>270</v>
      </c>
      <c r="D4" s="159" t="s">
        <v>271</v>
      </c>
      <c r="E4" s="293" t="s">
        <v>207</v>
      </c>
      <c r="F4" s="161"/>
      <c r="G4" s="161"/>
      <c r="H4" s="161"/>
      <c r="I4" s="162"/>
      <c r="J4" s="248" t="s">
        <v>361</v>
      </c>
      <c r="K4" s="248" t="s">
        <v>272</v>
      </c>
      <c r="L4" s="248" t="s">
        <v>395</v>
      </c>
      <c r="M4" s="249" t="s">
        <v>396</v>
      </c>
      <c r="N4" s="250" t="s">
        <v>397</v>
      </c>
      <c r="O4" s="250" t="s">
        <v>203</v>
      </c>
      <c r="P4" s="250" t="s">
        <v>398</v>
      </c>
      <c r="Q4" s="250" t="s">
        <v>399</v>
      </c>
      <c r="R4" s="250" t="s">
        <v>400</v>
      </c>
      <c r="S4" s="250" t="s">
        <v>401</v>
      </c>
      <c r="T4" s="250" t="s">
        <v>402</v>
      </c>
      <c r="U4" s="250" t="s">
        <v>403</v>
      </c>
      <c r="V4" s="251" t="s">
        <v>404</v>
      </c>
      <c r="W4" s="251"/>
      <c r="X4" s="251"/>
      <c r="Y4" s="251"/>
      <c r="Z4" s="251"/>
      <c r="AA4" s="251"/>
      <c r="AB4" s="251"/>
      <c r="AC4" s="251"/>
      <c r="AD4" s="251"/>
      <c r="AE4" s="251"/>
    </row>
    <row r="5" s="30" customFormat="1" ht="36" spans="1:31">
      <c r="A5" s="252"/>
      <c r="B5" s="168"/>
      <c r="C5" s="168"/>
      <c r="D5" s="168"/>
      <c r="E5" s="169" t="s">
        <v>405</v>
      </c>
      <c r="F5" s="169" t="s">
        <v>211</v>
      </c>
      <c r="G5" s="169" t="s">
        <v>212</v>
      </c>
      <c r="H5" s="169" t="s">
        <v>213</v>
      </c>
      <c r="I5" s="89" t="s">
        <v>409</v>
      </c>
      <c r="J5" s="253"/>
      <c r="K5" s="253"/>
      <c r="L5" s="253"/>
      <c r="M5" s="254"/>
      <c r="N5" s="255"/>
      <c r="O5" s="255"/>
      <c r="P5" s="255"/>
      <c r="Q5" s="255"/>
      <c r="R5" s="255"/>
      <c r="S5" s="255"/>
      <c r="T5" s="255"/>
      <c r="U5" s="256"/>
      <c r="V5" s="257" t="s">
        <v>410</v>
      </c>
      <c r="W5" s="257" t="s">
        <v>411</v>
      </c>
      <c r="X5" s="257" t="s">
        <v>412</v>
      </c>
      <c r="Y5" s="257" t="s">
        <v>413</v>
      </c>
      <c r="Z5" s="257" t="s">
        <v>414</v>
      </c>
      <c r="AA5" s="257" t="s">
        <v>415</v>
      </c>
      <c r="AB5" s="257" t="s">
        <v>416</v>
      </c>
      <c r="AC5" s="257" t="s">
        <v>417</v>
      </c>
      <c r="AD5" s="257" t="s">
        <v>418</v>
      </c>
      <c r="AE5" s="257" t="s">
        <v>419</v>
      </c>
    </row>
    <row r="6" s="31" customFormat="1" ht="16" customHeight="1" spans="1:31">
      <c r="A6" s="258">
        <v>1</v>
      </c>
      <c r="B6" s="101"/>
      <c r="C6" s="101"/>
      <c r="D6" s="294"/>
      <c r="E6" s="295"/>
      <c r="F6" s="296"/>
      <c r="G6" s="297"/>
      <c r="H6" s="298">
        <f>ROUND(E6+F6-G6,2)</f>
        <v>0</v>
      </c>
      <c r="I6" s="77"/>
      <c r="J6" s="173">
        <f t="shared" ref="J6:J69" si="0">ROUND(H6+I6,2)</f>
        <v>0</v>
      </c>
      <c r="K6" s="269"/>
      <c r="L6" s="299">
        <f>J6+K6</f>
        <v>0</v>
      </c>
      <c r="M6" s="260"/>
      <c r="N6" s="102"/>
      <c r="O6" s="300"/>
      <c r="P6" s="260"/>
      <c r="Q6" s="300"/>
      <c r="R6" s="300"/>
      <c r="S6" s="300"/>
      <c r="T6" s="300"/>
      <c r="U6" s="260"/>
      <c r="V6" s="261"/>
      <c r="W6" s="261"/>
      <c r="X6" s="261"/>
      <c r="Y6" s="261"/>
      <c r="Z6" s="261"/>
      <c r="AA6" s="261"/>
      <c r="AB6" s="261"/>
      <c r="AC6" s="261"/>
      <c r="AD6" s="261"/>
      <c r="AE6" s="261"/>
    </row>
    <row r="7" s="31" customFormat="1" ht="16" customHeight="1" spans="1:31">
      <c r="A7" s="258">
        <v>2</v>
      </c>
      <c r="B7" s="101"/>
      <c r="C7" s="101"/>
      <c r="D7" s="294"/>
      <c r="E7" s="295"/>
      <c r="F7" s="296"/>
      <c r="G7" s="297"/>
      <c r="H7" s="298">
        <f>ROUND(E7+F7-G7,2)</f>
        <v>0</v>
      </c>
      <c r="I7" s="77"/>
      <c r="J7" s="173">
        <f t="shared" si="0"/>
        <v>0</v>
      </c>
      <c r="K7" s="269"/>
      <c r="L7" s="299">
        <f t="shared" ref="L7:L38" si="1">J7+K7</f>
        <v>0</v>
      </c>
      <c r="M7" s="260"/>
      <c r="N7" s="102"/>
      <c r="O7" s="300"/>
      <c r="P7" s="260"/>
      <c r="Q7" s="300"/>
      <c r="R7" s="300"/>
      <c r="S7" s="300"/>
      <c r="T7" s="300"/>
      <c r="U7" s="260"/>
      <c r="V7" s="261"/>
      <c r="W7" s="261"/>
      <c r="X7" s="261"/>
      <c r="Y7" s="261"/>
      <c r="Z7" s="261"/>
      <c r="AA7" s="261"/>
      <c r="AB7" s="261"/>
      <c r="AC7" s="261"/>
      <c r="AD7" s="261"/>
      <c r="AE7" s="261"/>
    </row>
    <row r="8" s="31" customFormat="1" ht="16" customHeight="1" spans="1:31">
      <c r="A8" s="258">
        <v>3</v>
      </c>
      <c r="B8" s="101"/>
      <c r="C8" s="101"/>
      <c r="D8" s="294"/>
      <c r="E8" s="295"/>
      <c r="F8" s="296"/>
      <c r="G8" s="297"/>
      <c r="H8" s="298">
        <f t="shared" ref="H6:H72" si="2">ROUND(E8+F8-G8,2)</f>
        <v>0</v>
      </c>
      <c r="I8" s="77"/>
      <c r="J8" s="173">
        <f t="shared" si="0"/>
        <v>0</v>
      </c>
      <c r="K8" s="269"/>
      <c r="L8" s="299">
        <f t="shared" si="1"/>
        <v>0</v>
      </c>
      <c r="M8" s="260"/>
      <c r="N8" s="102"/>
      <c r="O8" s="300"/>
      <c r="P8" s="260"/>
      <c r="Q8" s="300"/>
      <c r="R8" s="300"/>
      <c r="S8" s="300"/>
      <c r="T8" s="300"/>
      <c r="U8" s="260"/>
      <c r="V8" s="261"/>
      <c r="W8" s="261"/>
      <c r="X8" s="261"/>
      <c r="Y8" s="261"/>
      <c r="Z8" s="261"/>
      <c r="AA8" s="261"/>
      <c r="AB8" s="261"/>
      <c r="AC8" s="261"/>
      <c r="AD8" s="261"/>
      <c r="AE8" s="261"/>
    </row>
    <row r="9" s="31" customFormat="1" ht="16" customHeight="1" spans="1:31">
      <c r="A9" s="258">
        <v>4</v>
      </c>
      <c r="B9" s="101"/>
      <c r="C9" s="101"/>
      <c r="D9" s="294"/>
      <c r="E9" s="295"/>
      <c r="F9" s="296"/>
      <c r="G9" s="297"/>
      <c r="H9" s="298">
        <f t="shared" si="2"/>
        <v>0</v>
      </c>
      <c r="I9" s="77"/>
      <c r="J9" s="173">
        <f t="shared" si="0"/>
        <v>0</v>
      </c>
      <c r="K9" s="269"/>
      <c r="L9" s="299">
        <f t="shared" si="1"/>
        <v>0</v>
      </c>
      <c r="M9" s="260"/>
      <c r="N9" s="102"/>
      <c r="O9" s="300"/>
      <c r="P9" s="260"/>
      <c r="Q9" s="300"/>
      <c r="R9" s="300"/>
      <c r="S9" s="300"/>
      <c r="T9" s="300"/>
      <c r="U9" s="260"/>
      <c r="V9" s="261"/>
      <c r="W9" s="261"/>
      <c r="X9" s="261"/>
      <c r="Y9" s="261"/>
      <c r="Z9" s="261"/>
      <c r="AA9" s="261"/>
      <c r="AB9" s="261"/>
      <c r="AC9" s="261"/>
      <c r="AD9" s="261"/>
      <c r="AE9" s="261"/>
    </row>
    <row r="10" s="31" customFormat="1" ht="16" customHeight="1" spans="1:31">
      <c r="A10" s="258">
        <v>5</v>
      </c>
      <c r="B10" s="101"/>
      <c r="C10" s="101"/>
      <c r="D10" s="294"/>
      <c r="E10" s="295"/>
      <c r="F10" s="296"/>
      <c r="G10" s="297"/>
      <c r="H10" s="298">
        <f t="shared" si="2"/>
        <v>0</v>
      </c>
      <c r="I10" s="77"/>
      <c r="J10" s="173">
        <f t="shared" si="0"/>
        <v>0</v>
      </c>
      <c r="K10" s="269"/>
      <c r="L10" s="299">
        <f t="shared" si="1"/>
        <v>0</v>
      </c>
      <c r="M10" s="260"/>
      <c r="N10" s="102"/>
      <c r="O10" s="300"/>
      <c r="P10" s="260"/>
      <c r="Q10" s="300"/>
      <c r="R10" s="300"/>
      <c r="S10" s="300"/>
      <c r="T10" s="300"/>
      <c r="U10" s="260"/>
      <c r="V10" s="261"/>
      <c r="W10" s="261"/>
      <c r="X10" s="261"/>
      <c r="Y10" s="261"/>
      <c r="Z10" s="261"/>
      <c r="AA10" s="261"/>
      <c r="AB10" s="261"/>
      <c r="AC10" s="261"/>
      <c r="AD10" s="261"/>
      <c r="AE10" s="261"/>
    </row>
    <row r="11" s="31" customFormat="1" ht="16" customHeight="1" spans="1:31">
      <c r="A11" s="258">
        <v>6</v>
      </c>
      <c r="B11" s="101"/>
      <c r="C11" s="101"/>
      <c r="D11" s="301"/>
      <c r="E11" s="295"/>
      <c r="F11" s="296"/>
      <c r="G11" s="297"/>
      <c r="H11" s="298">
        <f t="shared" si="2"/>
        <v>0</v>
      </c>
      <c r="I11" s="77"/>
      <c r="J11" s="173">
        <f t="shared" si="0"/>
        <v>0</v>
      </c>
      <c r="K11" s="269"/>
      <c r="L11" s="299">
        <f t="shared" si="1"/>
        <v>0</v>
      </c>
      <c r="M11" s="260"/>
      <c r="N11" s="102"/>
      <c r="O11" s="300"/>
      <c r="P11" s="260"/>
      <c r="Q11" s="300"/>
      <c r="R11" s="300"/>
      <c r="S11" s="300"/>
      <c r="T11" s="300"/>
      <c r="U11" s="260"/>
      <c r="V11" s="261"/>
      <c r="W11" s="261"/>
      <c r="X11" s="261"/>
      <c r="Y11" s="261"/>
      <c r="Z11" s="261"/>
      <c r="AA11" s="261"/>
      <c r="AB11" s="261"/>
      <c r="AC11" s="261"/>
      <c r="AD11" s="261"/>
      <c r="AE11" s="261"/>
    </row>
    <row r="12" s="31" customFormat="1" ht="16" customHeight="1" spans="1:31">
      <c r="A12" s="258">
        <v>7</v>
      </c>
      <c r="B12" s="101"/>
      <c r="C12" s="101"/>
      <c r="D12" s="301"/>
      <c r="E12" s="295"/>
      <c r="F12" s="296"/>
      <c r="G12" s="297"/>
      <c r="H12" s="298">
        <f t="shared" si="2"/>
        <v>0</v>
      </c>
      <c r="I12" s="77"/>
      <c r="J12" s="173">
        <f t="shared" si="0"/>
        <v>0</v>
      </c>
      <c r="K12" s="269"/>
      <c r="L12" s="299">
        <f t="shared" si="1"/>
        <v>0</v>
      </c>
      <c r="M12" s="260"/>
      <c r="N12" s="102"/>
      <c r="O12" s="300"/>
      <c r="P12" s="260"/>
      <c r="Q12" s="300"/>
      <c r="R12" s="300"/>
      <c r="S12" s="300"/>
      <c r="T12" s="300"/>
      <c r="U12" s="260"/>
      <c r="V12" s="261"/>
      <c r="W12" s="261"/>
      <c r="X12" s="261"/>
      <c r="Y12" s="261"/>
      <c r="Z12" s="261"/>
      <c r="AA12" s="261"/>
      <c r="AB12" s="261"/>
      <c r="AC12" s="261"/>
      <c r="AD12" s="261"/>
      <c r="AE12" s="261"/>
    </row>
    <row r="13" s="31" customFormat="1" ht="16" customHeight="1" spans="1:31">
      <c r="A13" s="258">
        <v>8</v>
      </c>
      <c r="B13" s="101"/>
      <c r="C13" s="101"/>
      <c r="D13" s="301"/>
      <c r="E13" s="295"/>
      <c r="F13" s="296"/>
      <c r="G13" s="297"/>
      <c r="H13" s="298">
        <f t="shared" si="2"/>
        <v>0</v>
      </c>
      <c r="I13" s="77"/>
      <c r="J13" s="173">
        <f t="shared" si="0"/>
        <v>0</v>
      </c>
      <c r="K13" s="269"/>
      <c r="L13" s="299">
        <f t="shared" si="1"/>
        <v>0</v>
      </c>
      <c r="M13" s="260"/>
      <c r="N13" s="102"/>
      <c r="O13" s="300"/>
      <c r="P13" s="260"/>
      <c r="Q13" s="300"/>
      <c r="R13" s="300"/>
      <c r="S13" s="300"/>
      <c r="T13" s="300"/>
      <c r="U13" s="260"/>
      <c r="V13" s="261"/>
      <c r="W13" s="261"/>
      <c r="X13" s="261"/>
      <c r="Y13" s="261"/>
      <c r="Z13" s="261"/>
      <c r="AA13" s="261"/>
      <c r="AB13" s="261"/>
      <c r="AC13" s="261"/>
      <c r="AD13" s="261"/>
      <c r="AE13" s="261"/>
    </row>
    <row r="14" s="31" customFormat="1" ht="16" customHeight="1" spans="1:31">
      <c r="A14" s="258">
        <v>9</v>
      </c>
      <c r="B14" s="101"/>
      <c r="C14" s="101"/>
      <c r="D14" s="294"/>
      <c r="E14" s="295"/>
      <c r="F14" s="296"/>
      <c r="G14" s="297"/>
      <c r="H14" s="298">
        <f t="shared" si="2"/>
        <v>0</v>
      </c>
      <c r="I14" s="77"/>
      <c r="J14" s="173">
        <f t="shared" si="0"/>
        <v>0</v>
      </c>
      <c r="K14" s="269"/>
      <c r="L14" s="299">
        <f t="shared" si="1"/>
        <v>0</v>
      </c>
      <c r="M14" s="260"/>
      <c r="N14" s="102"/>
      <c r="O14" s="300"/>
      <c r="P14" s="260"/>
      <c r="Q14" s="300"/>
      <c r="R14" s="300"/>
      <c r="S14" s="300"/>
      <c r="T14" s="300"/>
      <c r="U14" s="260"/>
      <c r="V14" s="261"/>
      <c r="W14" s="261"/>
      <c r="X14" s="261"/>
      <c r="Y14" s="261"/>
      <c r="Z14" s="261"/>
      <c r="AA14" s="261"/>
      <c r="AB14" s="261"/>
      <c r="AC14" s="261"/>
      <c r="AD14" s="261"/>
      <c r="AE14" s="261"/>
    </row>
    <row r="15" s="31" customFormat="1" ht="16" customHeight="1" spans="1:31">
      <c r="A15" s="258">
        <v>10</v>
      </c>
      <c r="B15" s="101"/>
      <c r="C15" s="101"/>
      <c r="D15" s="294"/>
      <c r="E15" s="295"/>
      <c r="F15" s="296"/>
      <c r="G15" s="297"/>
      <c r="H15" s="298">
        <f t="shared" si="2"/>
        <v>0</v>
      </c>
      <c r="I15" s="77"/>
      <c r="J15" s="173">
        <f t="shared" si="0"/>
        <v>0</v>
      </c>
      <c r="K15" s="269"/>
      <c r="L15" s="299">
        <f t="shared" si="1"/>
        <v>0</v>
      </c>
      <c r="M15" s="260"/>
      <c r="N15" s="102"/>
      <c r="O15" s="300"/>
      <c r="P15" s="260"/>
      <c r="Q15" s="300"/>
      <c r="R15" s="300"/>
      <c r="S15" s="300"/>
      <c r="T15" s="300"/>
      <c r="U15" s="260"/>
      <c r="V15" s="261"/>
      <c r="W15" s="261"/>
      <c r="X15" s="261"/>
      <c r="Y15" s="261"/>
      <c r="Z15" s="261"/>
      <c r="AA15" s="261"/>
      <c r="AB15" s="261"/>
      <c r="AC15" s="261"/>
      <c r="AD15" s="261"/>
      <c r="AE15" s="261"/>
    </row>
    <row r="16" s="31" customFormat="1" ht="16" customHeight="1" spans="1:31">
      <c r="A16" s="258">
        <v>11</v>
      </c>
      <c r="B16" s="101"/>
      <c r="C16" s="101"/>
      <c r="D16" s="294"/>
      <c r="E16" s="295"/>
      <c r="F16" s="296"/>
      <c r="G16" s="297"/>
      <c r="H16" s="298">
        <f t="shared" si="2"/>
        <v>0</v>
      </c>
      <c r="I16" s="77"/>
      <c r="J16" s="173">
        <f t="shared" si="0"/>
        <v>0</v>
      </c>
      <c r="K16" s="269"/>
      <c r="L16" s="299">
        <f t="shared" si="1"/>
        <v>0</v>
      </c>
      <c r="M16" s="260"/>
      <c r="N16" s="102"/>
      <c r="O16" s="300"/>
      <c r="P16" s="260"/>
      <c r="Q16" s="300"/>
      <c r="R16" s="300"/>
      <c r="S16" s="300"/>
      <c r="T16" s="300"/>
      <c r="U16" s="260"/>
      <c r="V16" s="261"/>
      <c r="W16" s="261"/>
      <c r="X16" s="261"/>
      <c r="Y16" s="261"/>
      <c r="Z16" s="261"/>
      <c r="AA16" s="261"/>
      <c r="AB16" s="261"/>
      <c r="AC16" s="261"/>
      <c r="AD16" s="261"/>
      <c r="AE16" s="261"/>
    </row>
    <row r="17" s="31" customFormat="1" ht="16" customHeight="1" spans="1:31">
      <c r="A17" s="258">
        <v>12</v>
      </c>
      <c r="B17" s="101"/>
      <c r="C17" s="101"/>
      <c r="D17" s="301"/>
      <c r="E17" s="295"/>
      <c r="F17" s="296"/>
      <c r="G17" s="297"/>
      <c r="H17" s="298">
        <f t="shared" si="2"/>
        <v>0</v>
      </c>
      <c r="I17" s="77"/>
      <c r="J17" s="173">
        <f t="shared" si="0"/>
        <v>0</v>
      </c>
      <c r="K17" s="269"/>
      <c r="L17" s="299">
        <f t="shared" si="1"/>
        <v>0</v>
      </c>
      <c r="M17" s="260"/>
      <c r="N17" s="102"/>
      <c r="O17" s="300"/>
      <c r="P17" s="260"/>
      <c r="Q17" s="300"/>
      <c r="R17" s="300"/>
      <c r="S17" s="300"/>
      <c r="T17" s="300"/>
      <c r="U17" s="260"/>
      <c r="V17" s="261"/>
      <c r="W17" s="261"/>
      <c r="X17" s="261"/>
      <c r="Y17" s="261"/>
      <c r="Z17" s="261"/>
      <c r="AA17" s="261"/>
      <c r="AB17" s="261"/>
      <c r="AC17" s="261"/>
      <c r="AD17" s="261"/>
      <c r="AE17" s="261"/>
    </row>
    <row r="18" s="31" customFormat="1" ht="16" customHeight="1" spans="1:31">
      <c r="A18" s="258">
        <v>13</v>
      </c>
      <c r="B18" s="101"/>
      <c r="C18" s="101"/>
      <c r="D18" s="301"/>
      <c r="E18" s="295"/>
      <c r="F18" s="296"/>
      <c r="G18" s="297"/>
      <c r="H18" s="298">
        <f t="shared" si="2"/>
        <v>0</v>
      </c>
      <c r="I18" s="77"/>
      <c r="J18" s="173">
        <f t="shared" si="0"/>
        <v>0</v>
      </c>
      <c r="K18" s="269"/>
      <c r="L18" s="299">
        <f t="shared" si="1"/>
        <v>0</v>
      </c>
      <c r="M18" s="260"/>
      <c r="N18" s="102"/>
      <c r="O18" s="300"/>
      <c r="P18" s="260"/>
      <c r="Q18" s="300"/>
      <c r="R18" s="300"/>
      <c r="S18" s="300"/>
      <c r="T18" s="300"/>
      <c r="U18" s="260"/>
      <c r="V18" s="261"/>
      <c r="W18" s="261"/>
      <c r="X18" s="261"/>
      <c r="Y18" s="261"/>
      <c r="Z18" s="261"/>
      <c r="AA18" s="261"/>
      <c r="AB18" s="261"/>
      <c r="AC18" s="261"/>
      <c r="AD18" s="261"/>
      <c r="AE18" s="261"/>
    </row>
    <row r="19" s="31" customFormat="1" ht="16" customHeight="1" spans="1:31">
      <c r="A19" s="258">
        <v>14</v>
      </c>
      <c r="B19" s="101"/>
      <c r="C19" s="101"/>
      <c r="D19" s="301"/>
      <c r="E19" s="295"/>
      <c r="F19" s="296"/>
      <c r="G19" s="297"/>
      <c r="H19" s="298">
        <f t="shared" si="2"/>
        <v>0</v>
      </c>
      <c r="I19" s="77"/>
      <c r="J19" s="173">
        <f t="shared" si="0"/>
        <v>0</v>
      </c>
      <c r="K19" s="269"/>
      <c r="L19" s="299">
        <f t="shared" si="1"/>
        <v>0</v>
      </c>
      <c r="M19" s="260"/>
      <c r="N19" s="102"/>
      <c r="O19" s="300"/>
      <c r="P19" s="260"/>
      <c r="Q19" s="300"/>
      <c r="R19" s="300"/>
      <c r="S19" s="300"/>
      <c r="T19" s="300"/>
      <c r="U19" s="260"/>
      <c r="V19" s="261"/>
      <c r="W19" s="261"/>
      <c r="X19" s="261"/>
      <c r="Y19" s="261"/>
      <c r="Z19" s="261"/>
      <c r="AA19" s="261"/>
      <c r="AB19" s="261"/>
      <c r="AC19" s="261"/>
      <c r="AD19" s="261"/>
      <c r="AE19" s="261"/>
    </row>
    <row r="20" s="31" customFormat="1" ht="16" customHeight="1" spans="1:31">
      <c r="A20" s="258">
        <v>15</v>
      </c>
      <c r="B20" s="101"/>
      <c r="C20" s="101"/>
      <c r="D20" s="294"/>
      <c r="E20" s="295"/>
      <c r="F20" s="296"/>
      <c r="G20" s="297"/>
      <c r="H20" s="298">
        <f t="shared" si="2"/>
        <v>0</v>
      </c>
      <c r="I20" s="77"/>
      <c r="J20" s="173">
        <f t="shared" si="0"/>
        <v>0</v>
      </c>
      <c r="K20" s="269"/>
      <c r="L20" s="299">
        <f t="shared" si="1"/>
        <v>0</v>
      </c>
      <c r="M20" s="260"/>
      <c r="N20" s="102"/>
      <c r="O20" s="300"/>
      <c r="P20" s="260"/>
      <c r="Q20" s="300"/>
      <c r="R20" s="300"/>
      <c r="S20" s="300"/>
      <c r="T20" s="300"/>
      <c r="U20" s="260"/>
      <c r="V20" s="261"/>
      <c r="W20" s="261"/>
      <c r="X20" s="261"/>
      <c r="Y20" s="261"/>
      <c r="Z20" s="261"/>
      <c r="AA20" s="261"/>
      <c r="AB20" s="261"/>
      <c r="AC20" s="261"/>
      <c r="AD20" s="261"/>
      <c r="AE20" s="261"/>
    </row>
    <row r="21" s="31" customFormat="1" ht="16" customHeight="1" spans="1:31">
      <c r="A21" s="258">
        <v>16</v>
      </c>
      <c r="B21" s="101"/>
      <c r="C21" s="101"/>
      <c r="D21" s="294"/>
      <c r="E21" s="295"/>
      <c r="F21" s="296"/>
      <c r="G21" s="297"/>
      <c r="H21" s="298">
        <f t="shared" si="2"/>
        <v>0</v>
      </c>
      <c r="I21" s="77"/>
      <c r="J21" s="173">
        <f t="shared" si="0"/>
        <v>0</v>
      </c>
      <c r="K21" s="269"/>
      <c r="L21" s="299">
        <f t="shared" si="1"/>
        <v>0</v>
      </c>
      <c r="M21" s="260"/>
      <c r="N21" s="102"/>
      <c r="O21" s="300"/>
      <c r="P21" s="260"/>
      <c r="Q21" s="300"/>
      <c r="R21" s="300"/>
      <c r="S21" s="300"/>
      <c r="T21" s="300"/>
      <c r="U21" s="260"/>
      <c r="V21" s="261"/>
      <c r="W21" s="261"/>
      <c r="X21" s="261"/>
      <c r="Y21" s="261"/>
      <c r="Z21" s="261"/>
      <c r="AA21" s="261"/>
      <c r="AB21" s="261"/>
      <c r="AC21" s="261"/>
      <c r="AD21" s="261"/>
      <c r="AE21" s="261"/>
    </row>
    <row r="22" s="31" customFormat="1" ht="16" customHeight="1" spans="1:31">
      <c r="A22" s="258">
        <v>17</v>
      </c>
      <c r="B22" s="101"/>
      <c r="C22" s="101"/>
      <c r="D22" s="294"/>
      <c r="E22" s="295"/>
      <c r="F22" s="296"/>
      <c r="G22" s="297"/>
      <c r="H22" s="298">
        <f t="shared" si="2"/>
        <v>0</v>
      </c>
      <c r="I22" s="77"/>
      <c r="J22" s="173">
        <f t="shared" si="0"/>
        <v>0</v>
      </c>
      <c r="K22" s="269"/>
      <c r="L22" s="299">
        <f t="shared" si="1"/>
        <v>0</v>
      </c>
      <c r="M22" s="260"/>
      <c r="N22" s="102"/>
      <c r="O22" s="300"/>
      <c r="P22" s="260"/>
      <c r="Q22" s="300"/>
      <c r="R22" s="300"/>
      <c r="S22" s="300"/>
      <c r="T22" s="300"/>
      <c r="U22" s="260"/>
      <c r="V22" s="261"/>
      <c r="W22" s="261"/>
      <c r="X22" s="261"/>
      <c r="Y22" s="261"/>
      <c r="Z22" s="261"/>
      <c r="AA22" s="261"/>
      <c r="AB22" s="261"/>
      <c r="AC22" s="261"/>
      <c r="AD22" s="261"/>
      <c r="AE22" s="261"/>
    </row>
    <row r="23" s="31" customFormat="1" ht="16" customHeight="1" spans="1:31">
      <c r="A23" s="258">
        <v>18</v>
      </c>
      <c r="B23" s="101"/>
      <c r="C23" s="101"/>
      <c r="D23" s="294"/>
      <c r="E23" s="295"/>
      <c r="F23" s="296"/>
      <c r="G23" s="297"/>
      <c r="H23" s="298">
        <f t="shared" si="2"/>
        <v>0</v>
      </c>
      <c r="I23" s="77"/>
      <c r="J23" s="173">
        <f t="shared" si="0"/>
        <v>0</v>
      </c>
      <c r="K23" s="269"/>
      <c r="L23" s="299">
        <f t="shared" si="1"/>
        <v>0</v>
      </c>
      <c r="M23" s="260"/>
      <c r="N23" s="102"/>
      <c r="O23" s="300"/>
      <c r="P23" s="260"/>
      <c r="Q23" s="300"/>
      <c r="R23" s="300"/>
      <c r="S23" s="300"/>
      <c r="T23" s="300"/>
      <c r="U23" s="260"/>
      <c r="V23" s="261"/>
      <c r="W23" s="261"/>
      <c r="X23" s="261"/>
      <c r="Y23" s="261"/>
      <c r="Z23" s="261"/>
      <c r="AA23" s="261"/>
      <c r="AB23" s="261"/>
      <c r="AC23" s="261"/>
      <c r="AD23" s="261"/>
      <c r="AE23" s="261"/>
    </row>
    <row r="24" s="31" customFormat="1" ht="16" customHeight="1" spans="1:31">
      <c r="A24" s="258">
        <v>19</v>
      </c>
      <c r="B24" s="101"/>
      <c r="C24" s="101"/>
      <c r="D24" s="294"/>
      <c r="E24" s="295"/>
      <c r="F24" s="296"/>
      <c r="G24" s="297"/>
      <c r="H24" s="298">
        <f t="shared" si="2"/>
        <v>0</v>
      </c>
      <c r="I24" s="77"/>
      <c r="J24" s="173">
        <f t="shared" si="0"/>
        <v>0</v>
      </c>
      <c r="K24" s="269"/>
      <c r="L24" s="299">
        <f t="shared" si="1"/>
        <v>0</v>
      </c>
      <c r="M24" s="260"/>
      <c r="N24" s="102"/>
      <c r="O24" s="300"/>
      <c r="P24" s="260"/>
      <c r="Q24" s="300"/>
      <c r="R24" s="300"/>
      <c r="S24" s="300"/>
      <c r="T24" s="300"/>
      <c r="U24" s="260"/>
      <c r="V24" s="261"/>
      <c r="W24" s="261"/>
      <c r="X24" s="261"/>
      <c r="Y24" s="261"/>
      <c r="Z24" s="261"/>
      <c r="AA24" s="261"/>
      <c r="AB24" s="261"/>
      <c r="AC24" s="261"/>
      <c r="AD24" s="261"/>
      <c r="AE24" s="261"/>
    </row>
    <row r="25" s="31" customFormat="1" ht="16" customHeight="1" spans="1:31">
      <c r="A25" s="258">
        <v>20</v>
      </c>
      <c r="B25" s="101"/>
      <c r="C25" s="101"/>
      <c r="D25" s="301"/>
      <c r="E25" s="295"/>
      <c r="F25" s="296"/>
      <c r="G25" s="297"/>
      <c r="H25" s="298">
        <f t="shared" si="2"/>
        <v>0</v>
      </c>
      <c r="I25" s="77"/>
      <c r="J25" s="173">
        <f t="shared" si="0"/>
        <v>0</v>
      </c>
      <c r="K25" s="269"/>
      <c r="L25" s="299">
        <f t="shared" si="1"/>
        <v>0</v>
      </c>
      <c r="M25" s="260"/>
      <c r="N25" s="102"/>
      <c r="O25" s="300"/>
      <c r="P25" s="260"/>
      <c r="Q25" s="300"/>
      <c r="R25" s="300"/>
      <c r="S25" s="300"/>
      <c r="T25" s="300"/>
      <c r="U25" s="260"/>
      <c r="V25" s="261"/>
      <c r="W25" s="261"/>
      <c r="X25" s="261"/>
      <c r="Y25" s="261"/>
      <c r="Z25" s="261"/>
      <c r="AA25" s="261"/>
      <c r="AB25" s="261"/>
      <c r="AC25" s="261"/>
      <c r="AD25" s="261"/>
      <c r="AE25" s="261"/>
    </row>
    <row r="26" s="31" customFormat="1" ht="16" customHeight="1" spans="1:31">
      <c r="A26" s="258">
        <v>21</v>
      </c>
      <c r="B26" s="101"/>
      <c r="C26" s="101"/>
      <c r="D26" s="294"/>
      <c r="E26" s="295"/>
      <c r="F26" s="296"/>
      <c r="G26" s="297"/>
      <c r="H26" s="298">
        <f t="shared" si="2"/>
        <v>0</v>
      </c>
      <c r="I26" s="77"/>
      <c r="J26" s="173">
        <f t="shared" si="0"/>
        <v>0</v>
      </c>
      <c r="K26" s="269"/>
      <c r="L26" s="299">
        <f t="shared" si="1"/>
        <v>0</v>
      </c>
      <c r="M26" s="260"/>
      <c r="N26" s="102"/>
      <c r="O26" s="300"/>
      <c r="P26" s="260"/>
      <c r="Q26" s="300"/>
      <c r="R26" s="300"/>
      <c r="S26" s="300"/>
      <c r="T26" s="300"/>
      <c r="U26" s="260"/>
      <c r="V26" s="261"/>
      <c r="W26" s="261"/>
      <c r="X26" s="261"/>
      <c r="Y26" s="261"/>
      <c r="Z26" s="261"/>
      <c r="AA26" s="261"/>
      <c r="AB26" s="261"/>
      <c r="AC26" s="261"/>
      <c r="AD26" s="261"/>
      <c r="AE26" s="261"/>
    </row>
    <row r="27" s="31" customFormat="1" ht="16" customHeight="1" spans="1:31">
      <c r="A27" s="258">
        <v>22</v>
      </c>
      <c r="B27" s="101"/>
      <c r="C27" s="101"/>
      <c r="D27" s="294"/>
      <c r="E27" s="295"/>
      <c r="F27" s="296"/>
      <c r="G27" s="297"/>
      <c r="H27" s="298">
        <f t="shared" si="2"/>
        <v>0</v>
      </c>
      <c r="I27" s="77"/>
      <c r="J27" s="173">
        <f t="shared" si="0"/>
        <v>0</v>
      </c>
      <c r="K27" s="269"/>
      <c r="L27" s="299">
        <f t="shared" si="1"/>
        <v>0</v>
      </c>
      <c r="M27" s="260"/>
      <c r="N27" s="102"/>
      <c r="O27" s="300"/>
      <c r="P27" s="260"/>
      <c r="Q27" s="300"/>
      <c r="R27" s="300"/>
      <c r="S27" s="300"/>
      <c r="T27" s="300"/>
      <c r="U27" s="260"/>
      <c r="V27" s="261"/>
      <c r="W27" s="261"/>
      <c r="X27" s="261"/>
      <c r="Y27" s="261"/>
      <c r="Z27" s="261"/>
      <c r="AA27" s="261"/>
      <c r="AB27" s="261"/>
      <c r="AC27" s="261"/>
      <c r="AD27" s="261"/>
      <c r="AE27" s="261"/>
    </row>
    <row r="28" s="31" customFormat="1" ht="16" customHeight="1" spans="1:31">
      <c r="A28" s="258">
        <v>23</v>
      </c>
      <c r="B28" s="101"/>
      <c r="C28" s="101"/>
      <c r="D28" s="301"/>
      <c r="E28" s="295"/>
      <c r="F28" s="296"/>
      <c r="G28" s="297"/>
      <c r="H28" s="298">
        <f t="shared" si="2"/>
        <v>0</v>
      </c>
      <c r="I28" s="77"/>
      <c r="J28" s="173">
        <f t="shared" si="0"/>
        <v>0</v>
      </c>
      <c r="K28" s="269"/>
      <c r="L28" s="299">
        <f t="shared" si="1"/>
        <v>0</v>
      </c>
      <c r="M28" s="260"/>
      <c r="N28" s="102"/>
      <c r="O28" s="300"/>
      <c r="P28" s="260"/>
      <c r="Q28" s="300"/>
      <c r="R28" s="300"/>
      <c r="S28" s="300"/>
      <c r="T28" s="300"/>
      <c r="U28" s="260"/>
      <c r="V28" s="261"/>
      <c r="W28" s="261"/>
      <c r="X28" s="261"/>
      <c r="Y28" s="261"/>
      <c r="Z28" s="261"/>
      <c r="AA28" s="261"/>
      <c r="AB28" s="261"/>
      <c r="AC28" s="261"/>
      <c r="AD28" s="261"/>
      <c r="AE28" s="261"/>
    </row>
    <row r="29" s="31" customFormat="1" ht="16" customHeight="1" spans="1:31">
      <c r="A29" s="258">
        <v>24</v>
      </c>
      <c r="B29" s="101"/>
      <c r="C29" s="101"/>
      <c r="D29" s="301"/>
      <c r="E29" s="295"/>
      <c r="F29" s="296"/>
      <c r="G29" s="297"/>
      <c r="H29" s="298">
        <f t="shared" si="2"/>
        <v>0</v>
      </c>
      <c r="I29" s="77"/>
      <c r="J29" s="173">
        <f t="shared" si="0"/>
        <v>0</v>
      </c>
      <c r="K29" s="269"/>
      <c r="L29" s="299">
        <f t="shared" si="1"/>
        <v>0</v>
      </c>
      <c r="M29" s="260"/>
      <c r="N29" s="102"/>
      <c r="O29" s="300"/>
      <c r="P29" s="260"/>
      <c r="Q29" s="300"/>
      <c r="R29" s="300"/>
      <c r="S29" s="300"/>
      <c r="T29" s="300"/>
      <c r="U29" s="260"/>
      <c r="V29" s="261"/>
      <c r="W29" s="261"/>
      <c r="X29" s="261"/>
      <c r="Y29" s="261"/>
      <c r="Z29" s="261"/>
      <c r="AA29" s="261"/>
      <c r="AB29" s="261"/>
      <c r="AC29" s="261"/>
      <c r="AD29" s="261"/>
      <c r="AE29" s="261"/>
    </row>
    <row r="30" s="31" customFormat="1" ht="16" customHeight="1" spans="1:31">
      <c r="A30" s="258">
        <v>25</v>
      </c>
      <c r="B30" s="101"/>
      <c r="C30" s="101"/>
      <c r="D30" s="301"/>
      <c r="E30" s="295"/>
      <c r="F30" s="296"/>
      <c r="G30" s="297"/>
      <c r="H30" s="298">
        <f t="shared" si="2"/>
        <v>0</v>
      </c>
      <c r="I30" s="77"/>
      <c r="J30" s="173">
        <f t="shared" si="0"/>
        <v>0</v>
      </c>
      <c r="K30" s="269"/>
      <c r="L30" s="299">
        <f t="shared" si="1"/>
        <v>0</v>
      </c>
      <c r="M30" s="260"/>
      <c r="N30" s="102"/>
      <c r="O30" s="300"/>
      <c r="P30" s="260"/>
      <c r="Q30" s="300"/>
      <c r="R30" s="300"/>
      <c r="S30" s="300"/>
      <c r="T30" s="300"/>
      <c r="U30" s="260"/>
      <c r="V30" s="261"/>
      <c r="W30" s="261"/>
      <c r="X30" s="261"/>
      <c r="Y30" s="261"/>
      <c r="Z30" s="261"/>
      <c r="AA30" s="261"/>
      <c r="AB30" s="261"/>
      <c r="AC30" s="261"/>
      <c r="AD30" s="261"/>
      <c r="AE30" s="261"/>
    </row>
    <row r="31" s="31" customFormat="1" ht="16" customHeight="1" spans="1:31">
      <c r="A31" s="258">
        <v>26</v>
      </c>
      <c r="B31" s="101"/>
      <c r="C31" s="101"/>
      <c r="D31" s="301"/>
      <c r="E31" s="295"/>
      <c r="F31" s="296"/>
      <c r="G31" s="297"/>
      <c r="H31" s="298">
        <f t="shared" si="2"/>
        <v>0</v>
      </c>
      <c r="I31" s="77"/>
      <c r="J31" s="173">
        <f t="shared" si="0"/>
        <v>0</v>
      </c>
      <c r="K31" s="269"/>
      <c r="L31" s="299">
        <f t="shared" si="1"/>
        <v>0</v>
      </c>
      <c r="M31" s="260"/>
      <c r="N31" s="102"/>
      <c r="O31" s="300"/>
      <c r="P31" s="260"/>
      <c r="Q31" s="300"/>
      <c r="R31" s="300"/>
      <c r="S31" s="300"/>
      <c r="T31" s="300"/>
      <c r="U31" s="260"/>
      <c r="V31" s="261"/>
      <c r="W31" s="261"/>
      <c r="X31" s="261"/>
      <c r="Y31" s="261"/>
      <c r="Z31" s="261"/>
      <c r="AA31" s="261"/>
      <c r="AB31" s="261"/>
      <c r="AC31" s="261"/>
      <c r="AD31" s="261"/>
      <c r="AE31" s="261"/>
    </row>
    <row r="32" s="31" customFormat="1" ht="16" customHeight="1" spans="1:31">
      <c r="A32" s="258">
        <v>27</v>
      </c>
      <c r="B32" s="101"/>
      <c r="C32" s="101"/>
      <c r="D32" s="301"/>
      <c r="E32" s="295"/>
      <c r="F32" s="296"/>
      <c r="G32" s="297"/>
      <c r="H32" s="298">
        <f t="shared" si="2"/>
        <v>0</v>
      </c>
      <c r="I32" s="77"/>
      <c r="J32" s="173">
        <f t="shared" si="0"/>
        <v>0</v>
      </c>
      <c r="K32" s="269"/>
      <c r="L32" s="299">
        <f t="shared" si="1"/>
        <v>0</v>
      </c>
      <c r="M32" s="260"/>
      <c r="N32" s="102"/>
      <c r="O32" s="300"/>
      <c r="P32" s="260"/>
      <c r="Q32" s="300"/>
      <c r="R32" s="300"/>
      <c r="S32" s="300"/>
      <c r="T32" s="300"/>
      <c r="U32" s="260"/>
      <c r="V32" s="261"/>
      <c r="W32" s="261"/>
      <c r="X32" s="261"/>
      <c r="Y32" s="261"/>
      <c r="Z32" s="261"/>
      <c r="AA32" s="261"/>
      <c r="AB32" s="261"/>
      <c r="AC32" s="261"/>
      <c r="AD32" s="261"/>
      <c r="AE32" s="261"/>
    </row>
    <row r="33" s="31" customFormat="1" ht="16" customHeight="1" spans="1:31">
      <c r="A33" s="258">
        <v>28</v>
      </c>
      <c r="B33" s="101"/>
      <c r="C33" s="101"/>
      <c r="D33" s="301"/>
      <c r="E33" s="295"/>
      <c r="F33" s="296"/>
      <c r="G33" s="297"/>
      <c r="H33" s="298">
        <f t="shared" si="2"/>
        <v>0</v>
      </c>
      <c r="I33" s="77"/>
      <c r="J33" s="173">
        <f t="shared" si="0"/>
        <v>0</v>
      </c>
      <c r="K33" s="269"/>
      <c r="L33" s="299">
        <f t="shared" si="1"/>
        <v>0</v>
      </c>
      <c r="M33" s="260"/>
      <c r="N33" s="102"/>
      <c r="O33" s="302"/>
      <c r="P33" s="260"/>
      <c r="Q33" s="302"/>
      <c r="R33" s="302"/>
      <c r="S33" s="302"/>
      <c r="T33" s="302"/>
      <c r="U33" s="260"/>
      <c r="V33" s="261"/>
      <c r="W33" s="261"/>
      <c r="X33" s="261"/>
      <c r="Y33" s="261"/>
      <c r="Z33" s="261"/>
      <c r="AA33" s="261"/>
      <c r="AB33" s="261"/>
      <c r="AC33" s="261"/>
      <c r="AD33" s="261"/>
      <c r="AE33" s="261"/>
    </row>
    <row r="34" s="31" customFormat="1" ht="16" customHeight="1" spans="1:31">
      <c r="A34" s="258">
        <v>29</v>
      </c>
      <c r="B34" s="101"/>
      <c r="C34" s="101"/>
      <c r="D34" s="301"/>
      <c r="E34" s="295"/>
      <c r="F34" s="296"/>
      <c r="G34" s="297"/>
      <c r="H34" s="298">
        <f t="shared" si="2"/>
        <v>0</v>
      </c>
      <c r="I34" s="77"/>
      <c r="J34" s="173">
        <f t="shared" si="0"/>
        <v>0</v>
      </c>
      <c r="K34" s="269"/>
      <c r="L34" s="299">
        <f t="shared" si="1"/>
        <v>0</v>
      </c>
      <c r="M34" s="260"/>
      <c r="N34" s="102"/>
      <c r="O34" s="300"/>
      <c r="P34" s="260"/>
      <c r="Q34" s="300"/>
      <c r="R34" s="300"/>
      <c r="S34" s="300"/>
      <c r="T34" s="300"/>
      <c r="U34" s="260"/>
      <c r="V34" s="261"/>
      <c r="W34" s="261"/>
      <c r="X34" s="261"/>
      <c r="Y34" s="261"/>
      <c r="Z34" s="261"/>
      <c r="AA34" s="261"/>
      <c r="AB34" s="261"/>
      <c r="AC34" s="261"/>
      <c r="AD34" s="261"/>
      <c r="AE34" s="261"/>
    </row>
    <row r="35" s="31" customFormat="1" ht="16" customHeight="1" spans="1:31">
      <c r="A35" s="258">
        <v>30</v>
      </c>
      <c r="B35" s="101"/>
      <c r="C35" s="101"/>
      <c r="D35" s="301"/>
      <c r="E35" s="295"/>
      <c r="F35" s="296"/>
      <c r="G35" s="297"/>
      <c r="H35" s="298">
        <f t="shared" si="2"/>
        <v>0</v>
      </c>
      <c r="I35" s="77"/>
      <c r="J35" s="173">
        <f t="shared" si="0"/>
        <v>0</v>
      </c>
      <c r="K35" s="269"/>
      <c r="L35" s="299">
        <f t="shared" si="1"/>
        <v>0</v>
      </c>
      <c r="M35" s="260"/>
      <c r="N35" s="102"/>
      <c r="O35" s="300"/>
      <c r="P35" s="260"/>
      <c r="Q35" s="300"/>
      <c r="R35" s="300"/>
      <c r="S35" s="300"/>
      <c r="T35" s="300"/>
      <c r="U35" s="260"/>
      <c r="V35" s="261"/>
      <c r="W35" s="261"/>
      <c r="X35" s="261"/>
      <c r="Y35" s="261"/>
      <c r="Z35" s="261"/>
      <c r="AA35" s="261"/>
      <c r="AB35" s="261"/>
      <c r="AC35" s="261"/>
      <c r="AD35" s="261"/>
      <c r="AE35" s="261"/>
    </row>
    <row r="36" s="31" customFormat="1" ht="16" customHeight="1" spans="1:31">
      <c r="A36" s="258">
        <v>31</v>
      </c>
      <c r="B36" s="101"/>
      <c r="C36" s="101"/>
      <c r="D36" s="301"/>
      <c r="E36" s="295"/>
      <c r="F36" s="296"/>
      <c r="G36" s="297"/>
      <c r="H36" s="298">
        <f t="shared" si="2"/>
        <v>0</v>
      </c>
      <c r="I36" s="77"/>
      <c r="J36" s="173">
        <f t="shared" si="0"/>
        <v>0</v>
      </c>
      <c r="K36" s="269"/>
      <c r="L36" s="299">
        <f t="shared" si="1"/>
        <v>0</v>
      </c>
      <c r="M36" s="260"/>
      <c r="N36" s="102"/>
      <c r="O36" s="300"/>
      <c r="P36" s="260"/>
      <c r="Q36" s="300"/>
      <c r="R36" s="300"/>
      <c r="S36" s="300"/>
      <c r="T36" s="300"/>
      <c r="U36" s="260"/>
      <c r="V36" s="261"/>
      <c r="W36" s="261"/>
      <c r="X36" s="261"/>
      <c r="Y36" s="261"/>
      <c r="Z36" s="261"/>
      <c r="AA36" s="261"/>
      <c r="AB36" s="261"/>
      <c r="AC36" s="261"/>
      <c r="AD36" s="261"/>
      <c r="AE36" s="261"/>
    </row>
    <row r="37" s="31" customFormat="1" ht="16" customHeight="1" spans="1:31">
      <c r="A37" s="258">
        <v>32</v>
      </c>
      <c r="B37" s="101"/>
      <c r="C37" s="101"/>
      <c r="D37" s="301"/>
      <c r="E37" s="295"/>
      <c r="F37" s="296"/>
      <c r="G37" s="297"/>
      <c r="H37" s="298">
        <f t="shared" si="2"/>
        <v>0</v>
      </c>
      <c r="I37" s="77"/>
      <c r="J37" s="173">
        <f t="shared" si="0"/>
        <v>0</v>
      </c>
      <c r="K37" s="269"/>
      <c r="L37" s="299">
        <f t="shared" si="1"/>
        <v>0</v>
      </c>
      <c r="M37" s="260"/>
      <c r="N37" s="102"/>
      <c r="O37" s="300"/>
      <c r="P37" s="260"/>
      <c r="Q37" s="300"/>
      <c r="R37" s="300"/>
      <c r="S37" s="300"/>
      <c r="T37" s="300"/>
      <c r="U37" s="260"/>
      <c r="V37" s="261"/>
      <c r="W37" s="261"/>
      <c r="X37" s="261"/>
      <c r="Y37" s="261"/>
      <c r="Z37" s="261"/>
      <c r="AA37" s="261"/>
      <c r="AB37" s="261"/>
      <c r="AC37" s="261"/>
      <c r="AD37" s="261"/>
      <c r="AE37" s="261"/>
    </row>
    <row r="38" s="31" customFormat="1" ht="16" customHeight="1" spans="1:31">
      <c r="A38" s="258">
        <v>33</v>
      </c>
      <c r="B38" s="101"/>
      <c r="C38" s="101"/>
      <c r="D38" s="301"/>
      <c r="E38" s="295"/>
      <c r="F38" s="296"/>
      <c r="G38" s="297"/>
      <c r="H38" s="298">
        <f t="shared" si="2"/>
        <v>0</v>
      </c>
      <c r="I38" s="77"/>
      <c r="J38" s="173">
        <f t="shared" si="0"/>
        <v>0</v>
      </c>
      <c r="K38" s="269"/>
      <c r="L38" s="299">
        <f t="shared" si="1"/>
        <v>0</v>
      </c>
      <c r="M38" s="260"/>
      <c r="N38" s="102"/>
      <c r="O38" s="300"/>
      <c r="P38" s="260"/>
      <c r="Q38" s="300"/>
      <c r="R38" s="300"/>
      <c r="S38" s="300"/>
      <c r="T38" s="300"/>
      <c r="U38" s="260"/>
      <c r="V38" s="261"/>
      <c r="W38" s="261"/>
      <c r="X38" s="261"/>
      <c r="Y38" s="261"/>
      <c r="Z38" s="261"/>
      <c r="AA38" s="261"/>
      <c r="AB38" s="261"/>
      <c r="AC38" s="261"/>
      <c r="AD38" s="261"/>
      <c r="AE38" s="261"/>
    </row>
    <row r="39" s="31" customFormat="1" ht="16" customHeight="1" spans="1:31">
      <c r="A39" s="258">
        <v>34</v>
      </c>
      <c r="B39" s="101"/>
      <c r="C39" s="101"/>
      <c r="D39" s="301"/>
      <c r="E39" s="295"/>
      <c r="F39" s="296"/>
      <c r="G39" s="297"/>
      <c r="H39" s="298">
        <f t="shared" si="2"/>
        <v>0</v>
      </c>
      <c r="I39" s="77"/>
      <c r="J39" s="173">
        <f t="shared" si="0"/>
        <v>0</v>
      </c>
      <c r="K39" s="269"/>
      <c r="L39" s="299">
        <f t="shared" ref="L39:L70" si="3">J39+K39</f>
        <v>0</v>
      </c>
      <c r="M39" s="260"/>
      <c r="N39" s="102"/>
      <c r="O39" s="300"/>
      <c r="P39" s="260"/>
      <c r="Q39" s="300"/>
      <c r="R39" s="300"/>
      <c r="S39" s="300"/>
      <c r="T39" s="300"/>
      <c r="U39" s="260"/>
      <c r="V39" s="261"/>
      <c r="W39" s="261"/>
      <c r="X39" s="261"/>
      <c r="Y39" s="261"/>
      <c r="Z39" s="261"/>
      <c r="AA39" s="261"/>
      <c r="AB39" s="261"/>
      <c r="AC39" s="261"/>
      <c r="AD39" s="261"/>
      <c r="AE39" s="261"/>
    </row>
    <row r="40" s="31" customFormat="1" ht="16" customHeight="1" spans="1:31">
      <c r="A40" s="258">
        <v>35</v>
      </c>
      <c r="B40" s="101"/>
      <c r="C40" s="101"/>
      <c r="D40" s="301"/>
      <c r="E40" s="295"/>
      <c r="F40" s="296"/>
      <c r="G40" s="297"/>
      <c r="H40" s="298">
        <f t="shared" si="2"/>
        <v>0</v>
      </c>
      <c r="I40" s="77"/>
      <c r="J40" s="173">
        <f t="shared" si="0"/>
        <v>0</v>
      </c>
      <c r="K40" s="269"/>
      <c r="L40" s="299">
        <f t="shared" si="3"/>
        <v>0</v>
      </c>
      <c r="M40" s="260"/>
      <c r="N40" s="102"/>
      <c r="O40" s="300"/>
      <c r="P40" s="260"/>
      <c r="Q40" s="300"/>
      <c r="R40" s="300"/>
      <c r="S40" s="300"/>
      <c r="T40" s="300"/>
      <c r="U40" s="260"/>
      <c r="V40" s="261"/>
      <c r="W40" s="261"/>
      <c r="X40" s="261"/>
      <c r="Y40" s="261"/>
      <c r="Z40" s="261"/>
      <c r="AA40" s="261"/>
      <c r="AB40" s="261"/>
      <c r="AC40" s="261"/>
      <c r="AD40" s="261"/>
      <c r="AE40" s="261"/>
    </row>
    <row r="41" s="31" customFormat="1" ht="16" customHeight="1" spans="1:31">
      <c r="A41" s="258">
        <v>36</v>
      </c>
      <c r="B41" s="101"/>
      <c r="C41" s="101"/>
      <c r="D41" s="301"/>
      <c r="E41" s="295"/>
      <c r="F41" s="296"/>
      <c r="G41" s="297"/>
      <c r="H41" s="298">
        <f t="shared" si="2"/>
        <v>0</v>
      </c>
      <c r="I41" s="77"/>
      <c r="J41" s="173">
        <f t="shared" si="0"/>
        <v>0</v>
      </c>
      <c r="K41" s="269"/>
      <c r="L41" s="299">
        <f t="shared" si="3"/>
        <v>0</v>
      </c>
      <c r="M41" s="260"/>
      <c r="N41" s="102"/>
      <c r="O41" s="300"/>
      <c r="P41" s="260"/>
      <c r="Q41" s="300"/>
      <c r="R41" s="300"/>
      <c r="S41" s="300"/>
      <c r="T41" s="300"/>
      <c r="U41" s="260"/>
      <c r="V41" s="261"/>
      <c r="W41" s="261"/>
      <c r="X41" s="261"/>
      <c r="Y41" s="261"/>
      <c r="Z41" s="261"/>
      <c r="AA41" s="261"/>
      <c r="AB41" s="261"/>
      <c r="AC41" s="261"/>
      <c r="AD41" s="261"/>
      <c r="AE41" s="261"/>
    </row>
    <row r="42" s="31" customFormat="1" ht="16" customHeight="1" spans="1:31">
      <c r="A42" s="258">
        <v>37</v>
      </c>
      <c r="B42" s="101"/>
      <c r="C42" s="101"/>
      <c r="D42" s="301"/>
      <c r="E42" s="295"/>
      <c r="F42" s="296"/>
      <c r="G42" s="297"/>
      <c r="H42" s="298">
        <f t="shared" si="2"/>
        <v>0</v>
      </c>
      <c r="I42" s="77"/>
      <c r="J42" s="173">
        <f t="shared" si="0"/>
        <v>0</v>
      </c>
      <c r="K42" s="269"/>
      <c r="L42" s="299">
        <f t="shared" si="3"/>
        <v>0</v>
      </c>
      <c r="M42" s="260"/>
      <c r="N42" s="102"/>
      <c r="O42" s="300"/>
      <c r="P42" s="260"/>
      <c r="Q42" s="300"/>
      <c r="R42" s="300"/>
      <c r="S42" s="300"/>
      <c r="T42" s="300"/>
      <c r="U42" s="260"/>
      <c r="V42" s="261"/>
      <c r="W42" s="261"/>
      <c r="X42" s="261"/>
      <c r="Y42" s="261"/>
      <c r="Z42" s="261"/>
      <c r="AA42" s="261"/>
      <c r="AB42" s="261"/>
      <c r="AC42" s="261"/>
      <c r="AD42" s="261"/>
      <c r="AE42" s="261"/>
    </row>
    <row r="43" s="31" customFormat="1" ht="16" customHeight="1" spans="1:31">
      <c r="A43" s="258">
        <v>38</v>
      </c>
      <c r="B43" s="101"/>
      <c r="C43" s="101"/>
      <c r="D43" s="301"/>
      <c r="E43" s="295"/>
      <c r="F43" s="296"/>
      <c r="G43" s="297"/>
      <c r="H43" s="298">
        <f t="shared" si="2"/>
        <v>0</v>
      </c>
      <c r="I43" s="77"/>
      <c r="J43" s="173">
        <f t="shared" si="0"/>
        <v>0</v>
      </c>
      <c r="K43" s="269"/>
      <c r="L43" s="299">
        <f t="shared" si="3"/>
        <v>0</v>
      </c>
      <c r="M43" s="260"/>
      <c r="N43" s="102"/>
      <c r="O43" s="300"/>
      <c r="P43" s="260"/>
      <c r="Q43" s="300"/>
      <c r="R43" s="300"/>
      <c r="S43" s="300"/>
      <c r="T43" s="300"/>
      <c r="U43" s="260"/>
      <c r="V43" s="261"/>
      <c r="W43" s="261"/>
      <c r="X43" s="261"/>
      <c r="Y43" s="261"/>
      <c r="Z43" s="261"/>
      <c r="AA43" s="261"/>
      <c r="AB43" s="261"/>
      <c r="AC43" s="261"/>
      <c r="AD43" s="261"/>
      <c r="AE43" s="261"/>
    </row>
    <row r="44" s="31" customFormat="1" ht="16" customHeight="1" spans="1:31">
      <c r="A44" s="258">
        <v>39</v>
      </c>
      <c r="B44" s="101"/>
      <c r="C44" s="101"/>
      <c r="D44" s="301"/>
      <c r="E44" s="295"/>
      <c r="F44" s="296"/>
      <c r="G44" s="297"/>
      <c r="H44" s="298">
        <f t="shared" si="2"/>
        <v>0</v>
      </c>
      <c r="I44" s="77"/>
      <c r="J44" s="173">
        <f t="shared" si="0"/>
        <v>0</v>
      </c>
      <c r="K44" s="269"/>
      <c r="L44" s="299">
        <f t="shared" si="3"/>
        <v>0</v>
      </c>
      <c r="M44" s="260"/>
      <c r="N44" s="102"/>
      <c r="O44" s="300"/>
      <c r="P44" s="260"/>
      <c r="Q44" s="300"/>
      <c r="R44" s="300"/>
      <c r="S44" s="300"/>
      <c r="T44" s="300"/>
      <c r="U44" s="260"/>
      <c r="V44" s="261"/>
      <c r="W44" s="261"/>
      <c r="X44" s="261"/>
      <c r="Y44" s="261"/>
      <c r="Z44" s="261"/>
      <c r="AA44" s="261"/>
      <c r="AB44" s="261"/>
      <c r="AC44" s="261"/>
      <c r="AD44" s="261"/>
      <c r="AE44" s="261"/>
    </row>
    <row r="45" s="31" customFormat="1" ht="16" customHeight="1" spans="1:31">
      <c r="A45" s="258">
        <v>40</v>
      </c>
      <c r="B45" s="101"/>
      <c r="C45" s="101"/>
      <c r="D45" s="301"/>
      <c r="E45" s="295"/>
      <c r="F45" s="296"/>
      <c r="G45" s="297"/>
      <c r="H45" s="298">
        <f t="shared" si="2"/>
        <v>0</v>
      </c>
      <c r="I45" s="77"/>
      <c r="J45" s="173">
        <f t="shared" si="0"/>
        <v>0</v>
      </c>
      <c r="K45" s="269"/>
      <c r="L45" s="299">
        <f t="shared" si="3"/>
        <v>0</v>
      </c>
      <c r="M45" s="260"/>
      <c r="N45" s="102"/>
      <c r="O45" s="300"/>
      <c r="P45" s="260"/>
      <c r="Q45" s="300"/>
      <c r="R45" s="300"/>
      <c r="S45" s="300"/>
      <c r="T45" s="300"/>
      <c r="U45" s="260"/>
      <c r="V45" s="261"/>
      <c r="W45" s="261"/>
      <c r="X45" s="261"/>
      <c r="Y45" s="261"/>
      <c r="Z45" s="261"/>
      <c r="AA45" s="261"/>
      <c r="AB45" s="261"/>
      <c r="AC45" s="261"/>
      <c r="AD45" s="261"/>
      <c r="AE45" s="261"/>
    </row>
    <row r="46" s="31" customFormat="1" ht="16" customHeight="1" spans="1:31">
      <c r="A46" s="258">
        <v>41</v>
      </c>
      <c r="B46" s="101"/>
      <c r="C46" s="101"/>
      <c r="D46" s="301"/>
      <c r="E46" s="295"/>
      <c r="F46" s="296"/>
      <c r="G46" s="297"/>
      <c r="H46" s="298">
        <f t="shared" si="2"/>
        <v>0</v>
      </c>
      <c r="I46" s="77"/>
      <c r="J46" s="173">
        <f t="shared" si="0"/>
        <v>0</v>
      </c>
      <c r="K46" s="269"/>
      <c r="L46" s="299">
        <f t="shared" si="3"/>
        <v>0</v>
      </c>
      <c r="M46" s="260"/>
      <c r="N46" s="102"/>
      <c r="O46" s="300"/>
      <c r="P46" s="260"/>
      <c r="Q46" s="300"/>
      <c r="R46" s="300"/>
      <c r="S46" s="300"/>
      <c r="T46" s="300"/>
      <c r="U46" s="260"/>
      <c r="V46" s="261"/>
      <c r="W46" s="261"/>
      <c r="X46" s="261"/>
      <c r="Y46" s="261"/>
      <c r="Z46" s="261"/>
      <c r="AA46" s="261"/>
      <c r="AB46" s="261"/>
      <c r="AC46" s="261"/>
      <c r="AD46" s="261"/>
      <c r="AE46" s="261"/>
    </row>
    <row r="47" s="31" customFormat="1" ht="16" customHeight="1" spans="1:31">
      <c r="A47" s="258">
        <v>42</v>
      </c>
      <c r="B47" s="101"/>
      <c r="C47" s="101"/>
      <c r="D47" s="301"/>
      <c r="E47" s="295"/>
      <c r="F47" s="296"/>
      <c r="G47" s="297"/>
      <c r="H47" s="298">
        <f t="shared" si="2"/>
        <v>0</v>
      </c>
      <c r="I47" s="77"/>
      <c r="J47" s="173">
        <f t="shared" si="0"/>
        <v>0</v>
      </c>
      <c r="K47" s="269"/>
      <c r="L47" s="299">
        <f t="shared" si="3"/>
        <v>0</v>
      </c>
      <c r="M47" s="260"/>
      <c r="N47" s="102"/>
      <c r="O47" s="300"/>
      <c r="P47" s="260"/>
      <c r="Q47" s="300"/>
      <c r="R47" s="300"/>
      <c r="S47" s="300"/>
      <c r="T47" s="300"/>
      <c r="U47" s="260"/>
      <c r="V47" s="261"/>
      <c r="W47" s="261"/>
      <c r="X47" s="261"/>
      <c r="Y47" s="261"/>
      <c r="Z47" s="261"/>
      <c r="AA47" s="261"/>
      <c r="AB47" s="261"/>
      <c r="AC47" s="261"/>
      <c r="AD47" s="261"/>
      <c r="AE47" s="261"/>
    </row>
    <row r="48" s="31" customFormat="1" ht="16" customHeight="1" spans="1:31">
      <c r="A48" s="258">
        <v>43</v>
      </c>
      <c r="B48" s="101"/>
      <c r="C48" s="101"/>
      <c r="D48" s="301"/>
      <c r="E48" s="295"/>
      <c r="F48" s="296"/>
      <c r="G48" s="297"/>
      <c r="H48" s="298">
        <f t="shared" si="2"/>
        <v>0</v>
      </c>
      <c r="I48" s="77"/>
      <c r="J48" s="173">
        <f t="shared" si="0"/>
        <v>0</v>
      </c>
      <c r="K48" s="269"/>
      <c r="L48" s="299">
        <f t="shared" si="3"/>
        <v>0</v>
      </c>
      <c r="M48" s="260"/>
      <c r="N48" s="102"/>
      <c r="O48" s="300"/>
      <c r="P48" s="260"/>
      <c r="Q48" s="300"/>
      <c r="R48" s="300"/>
      <c r="S48" s="300"/>
      <c r="T48" s="300"/>
      <c r="U48" s="260"/>
      <c r="V48" s="261"/>
      <c r="W48" s="261"/>
      <c r="X48" s="261"/>
      <c r="Y48" s="261"/>
      <c r="Z48" s="261"/>
      <c r="AA48" s="261"/>
      <c r="AB48" s="261"/>
      <c r="AC48" s="261"/>
      <c r="AD48" s="261"/>
      <c r="AE48" s="261"/>
    </row>
    <row r="49" s="31" customFormat="1" ht="16" customHeight="1" spans="1:31">
      <c r="A49" s="258">
        <v>44</v>
      </c>
      <c r="B49" s="101"/>
      <c r="C49" s="101"/>
      <c r="D49" s="301"/>
      <c r="E49" s="295"/>
      <c r="F49" s="296"/>
      <c r="G49" s="297"/>
      <c r="H49" s="298">
        <f t="shared" si="2"/>
        <v>0</v>
      </c>
      <c r="I49" s="77"/>
      <c r="J49" s="173">
        <f t="shared" si="0"/>
        <v>0</v>
      </c>
      <c r="K49" s="269"/>
      <c r="L49" s="299">
        <f t="shared" si="3"/>
        <v>0</v>
      </c>
      <c r="M49" s="260"/>
      <c r="N49" s="102"/>
      <c r="O49" s="300"/>
      <c r="P49" s="260"/>
      <c r="Q49" s="300"/>
      <c r="R49" s="300"/>
      <c r="S49" s="300"/>
      <c r="T49" s="300"/>
      <c r="U49" s="260"/>
      <c r="V49" s="261"/>
      <c r="W49" s="261"/>
      <c r="X49" s="261"/>
      <c r="Y49" s="261"/>
      <c r="Z49" s="261"/>
      <c r="AA49" s="261"/>
      <c r="AB49" s="261"/>
      <c r="AC49" s="261"/>
      <c r="AD49" s="261"/>
      <c r="AE49" s="261"/>
    </row>
    <row r="50" s="31" customFormat="1" ht="16" customHeight="1" spans="1:31">
      <c r="A50" s="258">
        <v>45</v>
      </c>
      <c r="B50" s="101"/>
      <c r="C50" s="101"/>
      <c r="D50" s="301"/>
      <c r="E50" s="295"/>
      <c r="F50" s="296"/>
      <c r="G50" s="297"/>
      <c r="H50" s="298">
        <f t="shared" si="2"/>
        <v>0</v>
      </c>
      <c r="I50" s="77"/>
      <c r="J50" s="173">
        <f t="shared" si="0"/>
        <v>0</v>
      </c>
      <c r="K50" s="269"/>
      <c r="L50" s="299">
        <f t="shared" si="3"/>
        <v>0</v>
      </c>
      <c r="M50" s="260"/>
      <c r="N50" s="102"/>
      <c r="O50" s="300"/>
      <c r="P50" s="260"/>
      <c r="Q50" s="300"/>
      <c r="R50" s="300"/>
      <c r="S50" s="300"/>
      <c r="T50" s="300"/>
      <c r="U50" s="260"/>
      <c r="V50" s="261"/>
      <c r="W50" s="261"/>
      <c r="X50" s="261"/>
      <c r="Y50" s="261"/>
      <c r="Z50" s="261"/>
      <c r="AA50" s="261"/>
      <c r="AB50" s="261"/>
      <c r="AC50" s="261"/>
      <c r="AD50" s="261"/>
      <c r="AE50" s="261"/>
    </row>
    <row r="51" s="31" customFormat="1" ht="16" customHeight="1" spans="1:31">
      <c r="A51" s="258">
        <v>46</v>
      </c>
      <c r="B51" s="101"/>
      <c r="C51" s="101"/>
      <c r="D51" s="301"/>
      <c r="E51" s="295"/>
      <c r="F51" s="296"/>
      <c r="G51" s="297"/>
      <c r="H51" s="298">
        <f t="shared" si="2"/>
        <v>0</v>
      </c>
      <c r="I51" s="77"/>
      <c r="J51" s="173">
        <f t="shared" si="0"/>
        <v>0</v>
      </c>
      <c r="K51" s="269"/>
      <c r="L51" s="299">
        <f t="shared" si="3"/>
        <v>0</v>
      </c>
      <c r="M51" s="260"/>
      <c r="N51" s="102"/>
      <c r="O51" s="300"/>
      <c r="P51" s="260"/>
      <c r="Q51" s="300"/>
      <c r="R51" s="300"/>
      <c r="S51" s="300"/>
      <c r="T51" s="300"/>
      <c r="U51" s="260"/>
      <c r="V51" s="261"/>
      <c r="W51" s="261"/>
      <c r="X51" s="261"/>
      <c r="Y51" s="261"/>
      <c r="Z51" s="261"/>
      <c r="AA51" s="261"/>
      <c r="AB51" s="261"/>
      <c r="AC51" s="261"/>
      <c r="AD51" s="261"/>
      <c r="AE51" s="261"/>
    </row>
    <row r="52" s="31" customFormat="1" ht="16" customHeight="1" spans="1:31">
      <c r="A52" s="258">
        <v>47</v>
      </c>
      <c r="B52" s="101"/>
      <c r="C52" s="101"/>
      <c r="D52" s="301"/>
      <c r="E52" s="295"/>
      <c r="F52" s="296"/>
      <c r="G52" s="297"/>
      <c r="H52" s="298">
        <f t="shared" si="2"/>
        <v>0</v>
      </c>
      <c r="I52" s="77"/>
      <c r="J52" s="173">
        <f t="shared" si="0"/>
        <v>0</v>
      </c>
      <c r="K52" s="269"/>
      <c r="L52" s="299">
        <f t="shared" si="3"/>
        <v>0</v>
      </c>
      <c r="M52" s="260"/>
      <c r="N52" s="102"/>
      <c r="O52" s="300"/>
      <c r="P52" s="260"/>
      <c r="Q52" s="300"/>
      <c r="R52" s="300"/>
      <c r="S52" s="300"/>
      <c r="T52" s="300"/>
      <c r="U52" s="260"/>
      <c r="V52" s="261"/>
      <c r="W52" s="261"/>
      <c r="X52" s="261"/>
      <c r="Y52" s="261"/>
      <c r="Z52" s="261"/>
      <c r="AA52" s="261"/>
      <c r="AB52" s="261"/>
      <c r="AC52" s="261"/>
      <c r="AD52" s="261"/>
      <c r="AE52" s="261"/>
    </row>
    <row r="53" s="31" customFormat="1" ht="16" customHeight="1" spans="1:31">
      <c r="A53" s="258">
        <v>48</v>
      </c>
      <c r="B53" s="101"/>
      <c r="C53" s="101"/>
      <c r="D53" s="301"/>
      <c r="E53" s="295"/>
      <c r="F53" s="296"/>
      <c r="G53" s="297"/>
      <c r="H53" s="298">
        <f t="shared" si="2"/>
        <v>0</v>
      </c>
      <c r="I53" s="77"/>
      <c r="J53" s="173">
        <f t="shared" si="0"/>
        <v>0</v>
      </c>
      <c r="K53" s="269"/>
      <c r="L53" s="299">
        <f t="shared" si="3"/>
        <v>0</v>
      </c>
      <c r="M53" s="260"/>
      <c r="N53" s="102"/>
      <c r="O53" s="300"/>
      <c r="P53" s="260"/>
      <c r="Q53" s="300"/>
      <c r="R53" s="300"/>
      <c r="S53" s="300"/>
      <c r="T53" s="300"/>
      <c r="U53" s="260"/>
      <c r="V53" s="261"/>
      <c r="W53" s="261"/>
      <c r="X53" s="261"/>
      <c r="Y53" s="261"/>
      <c r="Z53" s="261"/>
      <c r="AA53" s="261"/>
      <c r="AB53" s="261"/>
      <c r="AC53" s="261"/>
      <c r="AD53" s="261"/>
      <c r="AE53" s="261"/>
    </row>
    <row r="54" s="31" customFormat="1" ht="16" customHeight="1" spans="1:31">
      <c r="A54" s="258">
        <v>49</v>
      </c>
      <c r="B54" s="101"/>
      <c r="C54" s="101"/>
      <c r="D54" s="301"/>
      <c r="E54" s="295"/>
      <c r="F54" s="296"/>
      <c r="G54" s="297"/>
      <c r="H54" s="298">
        <f t="shared" si="2"/>
        <v>0</v>
      </c>
      <c r="I54" s="77"/>
      <c r="J54" s="173">
        <f t="shared" si="0"/>
        <v>0</v>
      </c>
      <c r="K54" s="269"/>
      <c r="L54" s="299">
        <f t="shared" si="3"/>
        <v>0</v>
      </c>
      <c r="M54" s="260"/>
      <c r="N54" s="102"/>
      <c r="O54" s="300"/>
      <c r="P54" s="260"/>
      <c r="Q54" s="300"/>
      <c r="R54" s="300"/>
      <c r="S54" s="300"/>
      <c r="T54" s="300"/>
      <c r="U54" s="260"/>
      <c r="V54" s="261"/>
      <c r="W54" s="261"/>
      <c r="X54" s="261"/>
      <c r="Y54" s="261"/>
      <c r="Z54" s="261"/>
      <c r="AA54" s="261"/>
      <c r="AB54" s="261"/>
      <c r="AC54" s="261"/>
      <c r="AD54" s="261"/>
      <c r="AE54" s="261"/>
    </row>
    <row r="55" s="31" customFormat="1" ht="16" customHeight="1" spans="1:31">
      <c r="A55" s="258">
        <v>50</v>
      </c>
      <c r="B55" s="101"/>
      <c r="C55" s="101"/>
      <c r="D55" s="301"/>
      <c r="E55" s="295"/>
      <c r="F55" s="296"/>
      <c r="G55" s="297"/>
      <c r="H55" s="298">
        <f t="shared" si="2"/>
        <v>0</v>
      </c>
      <c r="I55" s="77"/>
      <c r="J55" s="173">
        <f t="shared" si="0"/>
        <v>0</v>
      </c>
      <c r="K55" s="269"/>
      <c r="L55" s="299">
        <f t="shared" si="3"/>
        <v>0</v>
      </c>
      <c r="M55" s="260"/>
      <c r="N55" s="102"/>
      <c r="O55" s="300"/>
      <c r="P55" s="260"/>
      <c r="Q55" s="300"/>
      <c r="R55" s="300"/>
      <c r="S55" s="300"/>
      <c r="T55" s="300"/>
      <c r="U55" s="260"/>
      <c r="V55" s="261"/>
      <c r="W55" s="261"/>
      <c r="X55" s="261"/>
      <c r="Y55" s="261"/>
      <c r="Z55" s="261"/>
      <c r="AA55" s="261"/>
      <c r="AB55" s="261"/>
      <c r="AC55" s="261"/>
      <c r="AD55" s="261"/>
      <c r="AE55" s="261"/>
    </row>
    <row r="56" s="31" customFormat="1" ht="16" customHeight="1" spans="1:31">
      <c r="A56" s="258">
        <v>51</v>
      </c>
      <c r="B56" s="101"/>
      <c r="C56" s="101"/>
      <c r="D56" s="301"/>
      <c r="E56" s="295"/>
      <c r="F56" s="296"/>
      <c r="G56" s="297"/>
      <c r="H56" s="298">
        <f t="shared" si="2"/>
        <v>0</v>
      </c>
      <c r="I56" s="77"/>
      <c r="J56" s="173">
        <f t="shared" si="0"/>
        <v>0</v>
      </c>
      <c r="K56" s="269"/>
      <c r="L56" s="299">
        <f t="shared" si="3"/>
        <v>0</v>
      </c>
      <c r="M56" s="260"/>
      <c r="N56" s="102"/>
      <c r="O56" s="300"/>
      <c r="P56" s="260"/>
      <c r="Q56" s="300"/>
      <c r="R56" s="300"/>
      <c r="S56" s="300"/>
      <c r="T56" s="300"/>
      <c r="U56" s="260"/>
      <c r="V56" s="261"/>
      <c r="W56" s="261"/>
      <c r="X56" s="261"/>
      <c r="Y56" s="261"/>
      <c r="Z56" s="261"/>
      <c r="AA56" s="261"/>
      <c r="AB56" s="261"/>
      <c r="AC56" s="261"/>
      <c r="AD56" s="261"/>
      <c r="AE56" s="261"/>
    </row>
    <row r="57" s="31" customFormat="1" ht="16" customHeight="1" spans="1:31">
      <c r="A57" s="258">
        <v>52</v>
      </c>
      <c r="B57" s="101"/>
      <c r="C57" s="101"/>
      <c r="D57" s="301"/>
      <c r="E57" s="295"/>
      <c r="F57" s="296"/>
      <c r="G57" s="297"/>
      <c r="H57" s="298">
        <f t="shared" si="2"/>
        <v>0</v>
      </c>
      <c r="I57" s="77"/>
      <c r="J57" s="173">
        <f t="shared" si="0"/>
        <v>0</v>
      </c>
      <c r="K57" s="269"/>
      <c r="L57" s="299">
        <f t="shared" si="3"/>
        <v>0</v>
      </c>
      <c r="M57" s="260"/>
      <c r="N57" s="102"/>
      <c r="O57" s="300"/>
      <c r="P57" s="260"/>
      <c r="Q57" s="300"/>
      <c r="R57" s="300"/>
      <c r="S57" s="300"/>
      <c r="T57" s="300"/>
      <c r="U57" s="260"/>
      <c r="V57" s="261"/>
      <c r="W57" s="261"/>
      <c r="X57" s="261"/>
      <c r="Y57" s="261"/>
      <c r="Z57" s="261"/>
      <c r="AA57" s="261"/>
      <c r="AB57" s="261"/>
      <c r="AC57" s="261"/>
      <c r="AD57" s="261"/>
      <c r="AE57" s="261"/>
    </row>
    <row r="58" s="31" customFormat="1" ht="16" customHeight="1" spans="1:31">
      <c r="A58" s="258">
        <v>53</v>
      </c>
      <c r="B58" s="101"/>
      <c r="C58" s="101"/>
      <c r="D58" s="301"/>
      <c r="E58" s="295"/>
      <c r="F58" s="296"/>
      <c r="G58" s="297"/>
      <c r="H58" s="298">
        <f t="shared" si="2"/>
        <v>0</v>
      </c>
      <c r="I58" s="77"/>
      <c r="J58" s="173">
        <f t="shared" si="0"/>
        <v>0</v>
      </c>
      <c r="K58" s="269"/>
      <c r="L58" s="299">
        <f t="shared" si="3"/>
        <v>0</v>
      </c>
      <c r="M58" s="260"/>
      <c r="N58" s="102"/>
      <c r="O58" s="300"/>
      <c r="P58" s="260"/>
      <c r="Q58" s="300"/>
      <c r="R58" s="300"/>
      <c r="S58" s="300"/>
      <c r="T58" s="300"/>
      <c r="U58" s="260"/>
      <c r="V58" s="261"/>
      <c r="W58" s="261"/>
      <c r="X58" s="261"/>
      <c r="Y58" s="261"/>
      <c r="Z58" s="261"/>
      <c r="AA58" s="261"/>
      <c r="AB58" s="261"/>
      <c r="AC58" s="261"/>
      <c r="AD58" s="261"/>
      <c r="AE58" s="261"/>
    </row>
    <row r="59" s="31" customFormat="1" ht="16" customHeight="1" spans="1:31">
      <c r="A59" s="258">
        <v>54</v>
      </c>
      <c r="B59" s="101"/>
      <c r="C59" s="101"/>
      <c r="D59" s="301"/>
      <c r="E59" s="295"/>
      <c r="F59" s="296"/>
      <c r="G59" s="297"/>
      <c r="H59" s="298">
        <f t="shared" si="2"/>
        <v>0</v>
      </c>
      <c r="I59" s="77"/>
      <c r="J59" s="173">
        <f t="shared" si="0"/>
        <v>0</v>
      </c>
      <c r="K59" s="269"/>
      <c r="L59" s="299">
        <f t="shared" si="3"/>
        <v>0</v>
      </c>
      <c r="M59" s="260"/>
      <c r="N59" s="102"/>
      <c r="O59" s="300"/>
      <c r="P59" s="260"/>
      <c r="Q59" s="300"/>
      <c r="R59" s="300"/>
      <c r="S59" s="300"/>
      <c r="T59" s="300"/>
      <c r="U59" s="260"/>
      <c r="V59" s="261"/>
      <c r="W59" s="261"/>
      <c r="X59" s="261"/>
      <c r="Y59" s="261"/>
      <c r="Z59" s="261"/>
      <c r="AA59" s="261"/>
      <c r="AB59" s="261"/>
      <c r="AC59" s="261"/>
      <c r="AD59" s="261"/>
      <c r="AE59" s="261"/>
    </row>
    <row r="60" s="31" customFormat="1" ht="16" customHeight="1" spans="1:31">
      <c r="A60" s="258">
        <v>55</v>
      </c>
      <c r="B60" s="101"/>
      <c r="C60" s="101"/>
      <c r="D60" s="301"/>
      <c r="E60" s="295"/>
      <c r="F60" s="296"/>
      <c r="G60" s="297"/>
      <c r="H60" s="298">
        <f t="shared" si="2"/>
        <v>0</v>
      </c>
      <c r="I60" s="77"/>
      <c r="J60" s="173">
        <f t="shared" si="0"/>
        <v>0</v>
      </c>
      <c r="K60" s="269"/>
      <c r="L60" s="299">
        <f t="shared" si="3"/>
        <v>0</v>
      </c>
      <c r="M60" s="260"/>
      <c r="N60" s="102"/>
      <c r="O60" s="300"/>
      <c r="P60" s="260"/>
      <c r="Q60" s="300"/>
      <c r="R60" s="300"/>
      <c r="S60" s="300"/>
      <c r="T60" s="300"/>
      <c r="U60" s="260"/>
      <c r="V60" s="261"/>
      <c r="W60" s="261"/>
      <c r="X60" s="261"/>
      <c r="Y60" s="261"/>
      <c r="Z60" s="261"/>
      <c r="AA60" s="261"/>
      <c r="AB60" s="261"/>
      <c r="AC60" s="261"/>
      <c r="AD60" s="261"/>
      <c r="AE60" s="261"/>
    </row>
    <row r="61" s="31" customFormat="1" ht="16" customHeight="1" spans="1:31">
      <c r="A61" s="258">
        <v>56</v>
      </c>
      <c r="B61" s="101"/>
      <c r="C61" s="101"/>
      <c r="D61" s="301"/>
      <c r="E61" s="295"/>
      <c r="F61" s="296"/>
      <c r="G61" s="297"/>
      <c r="H61" s="298">
        <f t="shared" si="2"/>
        <v>0</v>
      </c>
      <c r="I61" s="77"/>
      <c r="J61" s="173">
        <f t="shared" si="0"/>
        <v>0</v>
      </c>
      <c r="K61" s="269"/>
      <c r="L61" s="299">
        <f t="shared" si="3"/>
        <v>0</v>
      </c>
      <c r="M61" s="260"/>
      <c r="N61" s="102"/>
      <c r="O61" s="300"/>
      <c r="P61" s="260"/>
      <c r="Q61" s="300"/>
      <c r="R61" s="300"/>
      <c r="S61" s="300"/>
      <c r="T61" s="300"/>
      <c r="U61" s="260"/>
      <c r="V61" s="261"/>
      <c r="W61" s="261"/>
      <c r="X61" s="261"/>
      <c r="Y61" s="261"/>
      <c r="Z61" s="261"/>
      <c r="AA61" s="261"/>
      <c r="AB61" s="261"/>
      <c r="AC61" s="261"/>
      <c r="AD61" s="261"/>
      <c r="AE61" s="261"/>
    </row>
    <row r="62" s="31" customFormat="1" ht="16" customHeight="1" spans="1:31">
      <c r="A62" s="258">
        <v>57</v>
      </c>
      <c r="B62" s="101"/>
      <c r="C62" s="101"/>
      <c r="D62" s="301"/>
      <c r="E62" s="295"/>
      <c r="F62" s="296"/>
      <c r="G62" s="297"/>
      <c r="H62" s="298">
        <f t="shared" si="2"/>
        <v>0</v>
      </c>
      <c r="I62" s="77"/>
      <c r="J62" s="173">
        <f t="shared" si="0"/>
        <v>0</v>
      </c>
      <c r="K62" s="269"/>
      <c r="L62" s="299">
        <f t="shared" si="3"/>
        <v>0</v>
      </c>
      <c r="M62" s="260"/>
      <c r="N62" s="102"/>
      <c r="O62" s="300"/>
      <c r="P62" s="260"/>
      <c r="Q62" s="300"/>
      <c r="R62" s="300"/>
      <c r="S62" s="300"/>
      <c r="T62" s="300"/>
      <c r="U62" s="260"/>
      <c r="V62" s="261"/>
      <c r="W62" s="261"/>
      <c r="X62" s="261"/>
      <c r="Y62" s="261"/>
      <c r="Z62" s="261"/>
      <c r="AA62" s="261"/>
      <c r="AB62" s="261"/>
      <c r="AC62" s="261"/>
      <c r="AD62" s="261"/>
      <c r="AE62" s="261"/>
    </row>
    <row r="63" s="31" customFormat="1" ht="16" customHeight="1" spans="1:31">
      <c r="A63" s="258">
        <v>58</v>
      </c>
      <c r="B63" s="101"/>
      <c r="C63" s="101"/>
      <c r="D63" s="301"/>
      <c r="E63" s="295"/>
      <c r="F63" s="296"/>
      <c r="G63" s="297"/>
      <c r="H63" s="298">
        <f t="shared" si="2"/>
        <v>0</v>
      </c>
      <c r="I63" s="77"/>
      <c r="J63" s="173">
        <f t="shared" si="0"/>
        <v>0</v>
      </c>
      <c r="K63" s="269"/>
      <c r="L63" s="299">
        <f t="shared" si="3"/>
        <v>0</v>
      </c>
      <c r="M63" s="260"/>
      <c r="N63" s="102"/>
      <c r="O63" s="300"/>
      <c r="P63" s="260"/>
      <c r="Q63" s="300"/>
      <c r="R63" s="300"/>
      <c r="S63" s="300"/>
      <c r="T63" s="300"/>
      <c r="U63" s="260"/>
      <c r="V63" s="261"/>
      <c r="W63" s="261"/>
      <c r="X63" s="261"/>
      <c r="Y63" s="261"/>
      <c r="Z63" s="261"/>
      <c r="AA63" s="261"/>
      <c r="AB63" s="261"/>
      <c r="AC63" s="261"/>
      <c r="AD63" s="261"/>
      <c r="AE63" s="261"/>
    </row>
    <row r="64" s="31" customFormat="1" ht="16" customHeight="1" spans="1:31">
      <c r="A64" s="258">
        <v>59</v>
      </c>
      <c r="B64" s="101"/>
      <c r="C64" s="101"/>
      <c r="D64" s="301"/>
      <c r="E64" s="295"/>
      <c r="F64" s="296"/>
      <c r="G64" s="297"/>
      <c r="H64" s="298">
        <f t="shared" si="2"/>
        <v>0</v>
      </c>
      <c r="I64" s="77"/>
      <c r="J64" s="173">
        <f t="shared" si="0"/>
        <v>0</v>
      </c>
      <c r="K64" s="269"/>
      <c r="L64" s="299">
        <f t="shared" si="3"/>
        <v>0</v>
      </c>
      <c r="M64" s="260"/>
      <c r="N64" s="102"/>
      <c r="O64" s="300"/>
      <c r="P64" s="260"/>
      <c r="Q64" s="300"/>
      <c r="R64" s="300"/>
      <c r="S64" s="300"/>
      <c r="T64" s="300"/>
      <c r="U64" s="260"/>
      <c r="V64" s="261"/>
      <c r="W64" s="261"/>
      <c r="X64" s="261"/>
      <c r="Y64" s="261"/>
      <c r="Z64" s="261"/>
      <c r="AA64" s="261"/>
      <c r="AB64" s="261"/>
      <c r="AC64" s="261"/>
      <c r="AD64" s="261"/>
      <c r="AE64" s="261"/>
    </row>
    <row r="65" s="31" customFormat="1" ht="16" customHeight="1" spans="1:31">
      <c r="A65" s="258">
        <v>60</v>
      </c>
      <c r="B65" s="101"/>
      <c r="C65" s="101"/>
      <c r="D65" s="301"/>
      <c r="E65" s="295"/>
      <c r="F65" s="296"/>
      <c r="G65" s="297"/>
      <c r="H65" s="298">
        <f t="shared" si="2"/>
        <v>0</v>
      </c>
      <c r="I65" s="77"/>
      <c r="J65" s="173">
        <f t="shared" si="0"/>
        <v>0</v>
      </c>
      <c r="K65" s="269"/>
      <c r="L65" s="299">
        <f t="shared" si="3"/>
        <v>0</v>
      </c>
      <c r="M65" s="260"/>
      <c r="N65" s="102"/>
      <c r="O65" s="300"/>
      <c r="P65" s="260"/>
      <c r="Q65" s="300"/>
      <c r="R65" s="300"/>
      <c r="S65" s="300"/>
      <c r="T65" s="300"/>
      <c r="U65" s="260"/>
      <c r="V65" s="261"/>
      <c r="W65" s="261"/>
      <c r="X65" s="261"/>
      <c r="Y65" s="261"/>
      <c r="Z65" s="261"/>
      <c r="AA65" s="261"/>
      <c r="AB65" s="261"/>
      <c r="AC65" s="261"/>
      <c r="AD65" s="261"/>
      <c r="AE65" s="261"/>
    </row>
    <row r="66" s="31" customFormat="1" ht="16" customHeight="1" spans="1:31">
      <c r="A66" s="258">
        <v>61</v>
      </c>
      <c r="B66" s="101"/>
      <c r="C66" s="101"/>
      <c r="D66" s="301"/>
      <c r="E66" s="295"/>
      <c r="F66" s="296"/>
      <c r="G66" s="297"/>
      <c r="H66" s="298">
        <f t="shared" si="2"/>
        <v>0</v>
      </c>
      <c r="I66" s="77"/>
      <c r="J66" s="173">
        <f t="shared" si="0"/>
        <v>0</v>
      </c>
      <c r="K66" s="269"/>
      <c r="L66" s="299">
        <f t="shared" si="3"/>
        <v>0</v>
      </c>
      <c r="M66" s="260"/>
      <c r="N66" s="102"/>
      <c r="O66" s="300"/>
      <c r="P66" s="260"/>
      <c r="Q66" s="300"/>
      <c r="R66" s="300"/>
      <c r="S66" s="300"/>
      <c r="T66" s="300"/>
      <c r="U66" s="260"/>
      <c r="V66" s="261"/>
      <c r="W66" s="261"/>
      <c r="X66" s="261"/>
      <c r="Y66" s="261"/>
      <c r="Z66" s="261"/>
      <c r="AA66" s="261"/>
      <c r="AB66" s="261"/>
      <c r="AC66" s="261"/>
      <c r="AD66" s="261"/>
      <c r="AE66" s="261"/>
    </row>
    <row r="67" s="31" customFormat="1" ht="16" customHeight="1" spans="1:31">
      <c r="A67" s="258">
        <v>62</v>
      </c>
      <c r="B67" s="101"/>
      <c r="C67" s="101"/>
      <c r="D67" s="301"/>
      <c r="E67" s="295"/>
      <c r="F67" s="296"/>
      <c r="G67" s="297"/>
      <c r="H67" s="298">
        <f t="shared" si="2"/>
        <v>0</v>
      </c>
      <c r="I67" s="77"/>
      <c r="J67" s="173">
        <f t="shared" si="0"/>
        <v>0</v>
      </c>
      <c r="K67" s="269"/>
      <c r="L67" s="299">
        <f t="shared" si="3"/>
        <v>0</v>
      </c>
      <c r="M67" s="260"/>
      <c r="N67" s="102"/>
      <c r="O67" s="300"/>
      <c r="P67" s="260"/>
      <c r="Q67" s="300"/>
      <c r="R67" s="300"/>
      <c r="S67" s="300"/>
      <c r="T67" s="300"/>
      <c r="U67" s="260"/>
      <c r="V67" s="261"/>
      <c r="W67" s="261"/>
      <c r="X67" s="261"/>
      <c r="Y67" s="261"/>
      <c r="Z67" s="261"/>
      <c r="AA67" s="261"/>
      <c r="AB67" s="261"/>
      <c r="AC67" s="261"/>
      <c r="AD67" s="261"/>
      <c r="AE67" s="261"/>
    </row>
    <row r="68" s="31" customFormat="1" ht="16" customHeight="1" spans="1:31">
      <c r="A68" s="258">
        <v>63</v>
      </c>
      <c r="B68" s="101"/>
      <c r="C68" s="101"/>
      <c r="D68" s="301"/>
      <c r="E68" s="295"/>
      <c r="F68" s="296"/>
      <c r="G68" s="297"/>
      <c r="H68" s="298">
        <f t="shared" si="2"/>
        <v>0</v>
      </c>
      <c r="I68" s="77"/>
      <c r="J68" s="173">
        <f t="shared" si="0"/>
        <v>0</v>
      </c>
      <c r="K68" s="269"/>
      <c r="L68" s="299">
        <f t="shared" si="3"/>
        <v>0</v>
      </c>
      <c r="M68" s="260"/>
      <c r="N68" s="102"/>
      <c r="O68" s="300"/>
      <c r="P68" s="260"/>
      <c r="Q68" s="300"/>
      <c r="R68" s="300"/>
      <c r="S68" s="300"/>
      <c r="T68" s="300"/>
      <c r="U68" s="260"/>
      <c r="V68" s="261"/>
      <c r="W68" s="261"/>
      <c r="X68" s="261"/>
      <c r="Y68" s="261"/>
      <c r="Z68" s="261"/>
      <c r="AA68" s="261"/>
      <c r="AB68" s="261"/>
      <c r="AC68" s="261"/>
      <c r="AD68" s="261"/>
      <c r="AE68" s="261"/>
    </row>
    <row r="69" s="31" customFormat="1" ht="16" customHeight="1" spans="1:31">
      <c r="A69" s="258">
        <v>64</v>
      </c>
      <c r="B69" s="101"/>
      <c r="C69" s="101"/>
      <c r="D69" s="301"/>
      <c r="E69" s="295"/>
      <c r="F69" s="296"/>
      <c r="G69" s="297"/>
      <c r="H69" s="298">
        <f t="shared" si="2"/>
        <v>0</v>
      </c>
      <c r="I69" s="77"/>
      <c r="J69" s="173">
        <f t="shared" si="0"/>
        <v>0</v>
      </c>
      <c r="K69" s="269"/>
      <c r="L69" s="299">
        <f t="shared" si="3"/>
        <v>0</v>
      </c>
      <c r="M69" s="260"/>
      <c r="N69" s="102"/>
      <c r="O69" s="300"/>
      <c r="P69" s="260"/>
      <c r="Q69" s="300"/>
      <c r="R69" s="300"/>
      <c r="S69" s="300"/>
      <c r="T69" s="300"/>
      <c r="U69" s="260"/>
      <c r="V69" s="261"/>
      <c r="W69" s="261"/>
      <c r="X69" s="261"/>
      <c r="Y69" s="261"/>
      <c r="Z69" s="261"/>
      <c r="AA69" s="261"/>
      <c r="AB69" s="261"/>
      <c r="AC69" s="261"/>
      <c r="AD69" s="261"/>
      <c r="AE69" s="261"/>
    </row>
    <row r="70" s="31" customFormat="1" ht="16" customHeight="1" spans="1:31">
      <c r="A70" s="258">
        <v>65</v>
      </c>
      <c r="B70" s="101"/>
      <c r="C70" s="101"/>
      <c r="D70" s="301"/>
      <c r="E70" s="295"/>
      <c r="F70" s="296"/>
      <c r="G70" s="297"/>
      <c r="H70" s="298">
        <f t="shared" si="2"/>
        <v>0</v>
      </c>
      <c r="I70" s="77"/>
      <c r="J70" s="173">
        <f t="shared" ref="J70:J133" si="4">ROUND(H70+I70,2)</f>
        <v>0</v>
      </c>
      <c r="K70" s="269"/>
      <c r="L70" s="299">
        <f t="shared" si="3"/>
        <v>0</v>
      </c>
      <c r="M70" s="260"/>
      <c r="N70" s="102"/>
      <c r="O70" s="300"/>
      <c r="P70" s="260"/>
      <c r="Q70" s="300"/>
      <c r="R70" s="300"/>
      <c r="S70" s="300"/>
      <c r="T70" s="300"/>
      <c r="U70" s="260"/>
      <c r="V70" s="261"/>
      <c r="W70" s="261"/>
      <c r="X70" s="261"/>
      <c r="Y70" s="261"/>
      <c r="Z70" s="261"/>
      <c r="AA70" s="261"/>
      <c r="AB70" s="261"/>
      <c r="AC70" s="261"/>
      <c r="AD70" s="261"/>
      <c r="AE70" s="261"/>
    </row>
    <row r="71" s="31" customFormat="1" ht="16" customHeight="1" spans="1:31">
      <c r="A71" s="258">
        <v>66</v>
      </c>
      <c r="B71" s="101"/>
      <c r="C71" s="101"/>
      <c r="D71" s="301"/>
      <c r="E71" s="295"/>
      <c r="F71" s="296"/>
      <c r="G71" s="297"/>
      <c r="H71" s="298">
        <f t="shared" si="2"/>
        <v>0</v>
      </c>
      <c r="I71" s="77"/>
      <c r="J71" s="173">
        <f t="shared" si="4"/>
        <v>0</v>
      </c>
      <c r="K71" s="269"/>
      <c r="L71" s="299">
        <f t="shared" ref="L71:L102" si="5">J71+K71</f>
        <v>0</v>
      </c>
      <c r="M71" s="260"/>
      <c r="N71" s="102"/>
      <c r="O71" s="300"/>
      <c r="P71" s="260"/>
      <c r="Q71" s="300"/>
      <c r="R71" s="300"/>
      <c r="S71" s="300"/>
      <c r="T71" s="300"/>
      <c r="U71" s="260"/>
      <c r="V71" s="261"/>
      <c r="W71" s="261"/>
      <c r="X71" s="261"/>
      <c r="Y71" s="261"/>
      <c r="Z71" s="261"/>
      <c r="AA71" s="261"/>
      <c r="AB71" s="261"/>
      <c r="AC71" s="261"/>
      <c r="AD71" s="261"/>
      <c r="AE71" s="261"/>
    </row>
    <row r="72" s="31" customFormat="1" ht="16" customHeight="1" spans="1:31">
      <c r="A72" s="258">
        <v>67</v>
      </c>
      <c r="B72" s="101"/>
      <c r="C72" s="101"/>
      <c r="D72" s="301"/>
      <c r="E72" s="295"/>
      <c r="F72" s="296"/>
      <c r="G72" s="297"/>
      <c r="H72" s="298">
        <f t="shared" si="2"/>
        <v>0</v>
      </c>
      <c r="I72" s="77"/>
      <c r="J72" s="173">
        <f t="shared" si="4"/>
        <v>0</v>
      </c>
      <c r="K72" s="269"/>
      <c r="L72" s="299">
        <f t="shared" si="5"/>
        <v>0</v>
      </c>
      <c r="M72" s="260"/>
      <c r="N72" s="102"/>
      <c r="O72" s="300"/>
      <c r="P72" s="260"/>
      <c r="Q72" s="300"/>
      <c r="R72" s="300"/>
      <c r="S72" s="300"/>
      <c r="T72" s="300"/>
      <c r="U72" s="260"/>
      <c r="V72" s="261"/>
      <c r="W72" s="261"/>
      <c r="X72" s="261"/>
      <c r="Y72" s="261"/>
      <c r="Z72" s="261"/>
      <c r="AA72" s="261"/>
      <c r="AB72" s="261"/>
      <c r="AC72" s="261"/>
      <c r="AD72" s="261"/>
      <c r="AE72" s="261"/>
    </row>
    <row r="73" s="31" customFormat="1" ht="16" customHeight="1" spans="1:31">
      <c r="A73" s="258">
        <v>68</v>
      </c>
      <c r="B73" s="101"/>
      <c r="C73" s="101"/>
      <c r="D73" s="301"/>
      <c r="E73" s="295"/>
      <c r="F73" s="296"/>
      <c r="G73" s="297"/>
      <c r="H73" s="298">
        <f t="shared" ref="H73:H136" si="6">ROUND(E73+F73-G73,2)</f>
        <v>0</v>
      </c>
      <c r="I73" s="77"/>
      <c r="J73" s="173">
        <f t="shared" si="4"/>
        <v>0</v>
      </c>
      <c r="K73" s="269"/>
      <c r="L73" s="299">
        <f t="shared" si="5"/>
        <v>0</v>
      </c>
      <c r="M73" s="260"/>
      <c r="N73" s="102"/>
      <c r="O73" s="300"/>
      <c r="P73" s="260"/>
      <c r="Q73" s="300"/>
      <c r="R73" s="300"/>
      <c r="S73" s="300"/>
      <c r="T73" s="300"/>
      <c r="U73" s="260"/>
      <c r="V73" s="261"/>
      <c r="W73" s="261"/>
      <c r="X73" s="261"/>
      <c r="Y73" s="261"/>
      <c r="Z73" s="261"/>
      <c r="AA73" s="261"/>
      <c r="AB73" s="261"/>
      <c r="AC73" s="261"/>
      <c r="AD73" s="261"/>
      <c r="AE73" s="261"/>
    </row>
    <row r="74" s="31" customFormat="1" ht="16" customHeight="1" spans="1:31">
      <c r="A74" s="258">
        <v>69</v>
      </c>
      <c r="B74" s="101"/>
      <c r="C74" s="101"/>
      <c r="D74" s="301"/>
      <c r="E74" s="295"/>
      <c r="F74" s="296"/>
      <c r="G74" s="297"/>
      <c r="H74" s="298">
        <f t="shared" si="6"/>
        <v>0</v>
      </c>
      <c r="I74" s="77"/>
      <c r="J74" s="173">
        <f t="shared" si="4"/>
        <v>0</v>
      </c>
      <c r="K74" s="269"/>
      <c r="L74" s="299">
        <f t="shared" si="5"/>
        <v>0</v>
      </c>
      <c r="M74" s="260"/>
      <c r="N74" s="102"/>
      <c r="O74" s="300"/>
      <c r="P74" s="260"/>
      <c r="Q74" s="300"/>
      <c r="R74" s="300"/>
      <c r="S74" s="300"/>
      <c r="T74" s="300"/>
      <c r="U74" s="260"/>
      <c r="V74" s="261"/>
      <c r="W74" s="261"/>
      <c r="X74" s="261"/>
      <c r="Y74" s="261"/>
      <c r="Z74" s="261"/>
      <c r="AA74" s="261"/>
      <c r="AB74" s="261"/>
      <c r="AC74" s="261"/>
      <c r="AD74" s="261"/>
      <c r="AE74" s="261"/>
    </row>
    <row r="75" s="31" customFormat="1" ht="16" customHeight="1" spans="1:31">
      <c r="A75" s="258">
        <v>70</v>
      </c>
      <c r="B75" s="101"/>
      <c r="C75" s="101"/>
      <c r="D75" s="301"/>
      <c r="E75" s="295"/>
      <c r="F75" s="296"/>
      <c r="G75" s="297"/>
      <c r="H75" s="298">
        <f t="shared" si="6"/>
        <v>0</v>
      </c>
      <c r="I75" s="77"/>
      <c r="J75" s="173">
        <f t="shared" si="4"/>
        <v>0</v>
      </c>
      <c r="K75" s="269"/>
      <c r="L75" s="299">
        <f t="shared" si="5"/>
        <v>0</v>
      </c>
      <c r="M75" s="260"/>
      <c r="N75" s="102"/>
      <c r="O75" s="300"/>
      <c r="P75" s="260"/>
      <c r="Q75" s="300"/>
      <c r="R75" s="300"/>
      <c r="S75" s="300"/>
      <c r="T75" s="300"/>
      <c r="U75" s="260"/>
      <c r="V75" s="261"/>
      <c r="W75" s="261"/>
      <c r="X75" s="261"/>
      <c r="Y75" s="261"/>
      <c r="Z75" s="261"/>
      <c r="AA75" s="261"/>
      <c r="AB75" s="261"/>
      <c r="AC75" s="261"/>
      <c r="AD75" s="261"/>
      <c r="AE75" s="261"/>
    </row>
    <row r="76" s="31" customFormat="1" ht="16" customHeight="1" spans="1:31">
      <c r="A76" s="258">
        <v>71</v>
      </c>
      <c r="B76" s="101"/>
      <c r="C76" s="101"/>
      <c r="D76" s="301"/>
      <c r="E76" s="295"/>
      <c r="F76" s="296"/>
      <c r="G76" s="297"/>
      <c r="H76" s="298">
        <f t="shared" si="6"/>
        <v>0</v>
      </c>
      <c r="I76" s="77"/>
      <c r="J76" s="173">
        <f t="shared" si="4"/>
        <v>0</v>
      </c>
      <c r="K76" s="269"/>
      <c r="L76" s="299">
        <f t="shared" si="5"/>
        <v>0</v>
      </c>
      <c r="M76" s="260"/>
      <c r="N76" s="102"/>
      <c r="O76" s="300"/>
      <c r="P76" s="260"/>
      <c r="Q76" s="300"/>
      <c r="R76" s="300"/>
      <c r="S76" s="300"/>
      <c r="T76" s="300"/>
      <c r="U76" s="260"/>
      <c r="V76" s="261"/>
      <c r="W76" s="261"/>
      <c r="X76" s="261"/>
      <c r="Y76" s="261"/>
      <c r="Z76" s="261"/>
      <c r="AA76" s="261"/>
      <c r="AB76" s="261"/>
      <c r="AC76" s="261"/>
      <c r="AD76" s="261"/>
      <c r="AE76" s="261"/>
    </row>
    <row r="77" s="31" customFormat="1" ht="16" customHeight="1" spans="1:31">
      <c r="A77" s="258">
        <v>72</v>
      </c>
      <c r="B77" s="101"/>
      <c r="C77" s="101"/>
      <c r="D77" s="301"/>
      <c r="E77" s="295"/>
      <c r="F77" s="296"/>
      <c r="G77" s="297"/>
      <c r="H77" s="298">
        <f t="shared" si="6"/>
        <v>0</v>
      </c>
      <c r="I77" s="77"/>
      <c r="J77" s="173">
        <f t="shared" si="4"/>
        <v>0</v>
      </c>
      <c r="K77" s="269"/>
      <c r="L77" s="299">
        <f t="shared" si="5"/>
        <v>0</v>
      </c>
      <c r="M77" s="260"/>
      <c r="N77" s="102"/>
      <c r="O77" s="300"/>
      <c r="P77" s="260"/>
      <c r="Q77" s="300"/>
      <c r="R77" s="300"/>
      <c r="S77" s="300"/>
      <c r="T77" s="300"/>
      <c r="U77" s="260"/>
      <c r="V77" s="261"/>
      <c r="W77" s="261"/>
      <c r="X77" s="261"/>
      <c r="Y77" s="261"/>
      <c r="Z77" s="261"/>
      <c r="AA77" s="261"/>
      <c r="AB77" s="261"/>
      <c r="AC77" s="261"/>
      <c r="AD77" s="261"/>
      <c r="AE77" s="261"/>
    </row>
    <row r="78" s="31" customFormat="1" ht="16" customHeight="1" spans="1:31">
      <c r="A78" s="258">
        <v>73</v>
      </c>
      <c r="B78" s="101"/>
      <c r="C78" s="101"/>
      <c r="D78" s="301"/>
      <c r="E78" s="295"/>
      <c r="F78" s="296"/>
      <c r="G78" s="297"/>
      <c r="H78" s="298">
        <f t="shared" si="6"/>
        <v>0</v>
      </c>
      <c r="I78" s="77"/>
      <c r="J78" s="173">
        <f t="shared" si="4"/>
        <v>0</v>
      </c>
      <c r="K78" s="269"/>
      <c r="L78" s="299">
        <f t="shared" si="5"/>
        <v>0</v>
      </c>
      <c r="M78" s="260"/>
      <c r="N78" s="102"/>
      <c r="O78" s="300"/>
      <c r="P78" s="260"/>
      <c r="Q78" s="300"/>
      <c r="R78" s="300"/>
      <c r="S78" s="300"/>
      <c r="T78" s="300"/>
      <c r="U78" s="260"/>
      <c r="V78" s="261"/>
      <c r="W78" s="261"/>
      <c r="X78" s="261"/>
      <c r="Y78" s="261"/>
      <c r="Z78" s="261"/>
      <c r="AA78" s="261"/>
      <c r="AB78" s="261"/>
      <c r="AC78" s="261"/>
      <c r="AD78" s="261"/>
      <c r="AE78" s="261"/>
    </row>
    <row r="79" s="31" customFormat="1" ht="16" customHeight="1" spans="1:31">
      <c r="A79" s="258">
        <v>74</v>
      </c>
      <c r="B79" s="101"/>
      <c r="C79" s="101"/>
      <c r="D79" s="301"/>
      <c r="E79" s="295"/>
      <c r="F79" s="296"/>
      <c r="G79" s="297"/>
      <c r="H79" s="298">
        <f t="shared" si="6"/>
        <v>0</v>
      </c>
      <c r="I79" s="77"/>
      <c r="J79" s="173">
        <f t="shared" si="4"/>
        <v>0</v>
      </c>
      <c r="K79" s="269"/>
      <c r="L79" s="299">
        <f t="shared" si="5"/>
        <v>0</v>
      </c>
      <c r="M79" s="260"/>
      <c r="N79" s="102"/>
      <c r="O79" s="300"/>
      <c r="P79" s="260"/>
      <c r="Q79" s="300"/>
      <c r="R79" s="300"/>
      <c r="S79" s="300"/>
      <c r="T79" s="300"/>
      <c r="U79" s="260"/>
      <c r="V79" s="261"/>
      <c r="W79" s="261"/>
      <c r="X79" s="261"/>
      <c r="Y79" s="261"/>
      <c r="Z79" s="261"/>
      <c r="AA79" s="261"/>
      <c r="AB79" s="261"/>
      <c r="AC79" s="261"/>
      <c r="AD79" s="261"/>
      <c r="AE79" s="261"/>
    </row>
    <row r="80" s="31" customFormat="1" ht="16" customHeight="1" spans="1:31">
      <c r="A80" s="258">
        <v>75</v>
      </c>
      <c r="B80" s="101"/>
      <c r="C80" s="101"/>
      <c r="D80" s="301"/>
      <c r="E80" s="295"/>
      <c r="F80" s="296"/>
      <c r="G80" s="297"/>
      <c r="H80" s="298">
        <f t="shared" si="6"/>
        <v>0</v>
      </c>
      <c r="I80" s="77"/>
      <c r="J80" s="173">
        <f t="shared" si="4"/>
        <v>0</v>
      </c>
      <c r="K80" s="269"/>
      <c r="L80" s="299">
        <f t="shared" si="5"/>
        <v>0</v>
      </c>
      <c r="M80" s="260"/>
      <c r="N80" s="102"/>
      <c r="O80" s="300"/>
      <c r="P80" s="260"/>
      <c r="Q80" s="300"/>
      <c r="R80" s="300"/>
      <c r="S80" s="300"/>
      <c r="T80" s="300"/>
      <c r="U80" s="260"/>
      <c r="V80" s="261"/>
      <c r="W80" s="261"/>
      <c r="X80" s="261"/>
      <c r="Y80" s="261"/>
      <c r="Z80" s="261"/>
      <c r="AA80" s="261"/>
      <c r="AB80" s="261"/>
      <c r="AC80" s="261"/>
      <c r="AD80" s="261"/>
      <c r="AE80" s="261"/>
    </row>
    <row r="81" s="31" customFormat="1" ht="16" customHeight="1" spans="1:31">
      <c r="A81" s="258">
        <v>76</v>
      </c>
      <c r="B81" s="101"/>
      <c r="C81" s="101"/>
      <c r="D81" s="301"/>
      <c r="E81" s="295"/>
      <c r="F81" s="296"/>
      <c r="G81" s="297"/>
      <c r="H81" s="298">
        <f t="shared" si="6"/>
        <v>0</v>
      </c>
      <c r="I81" s="77"/>
      <c r="J81" s="173">
        <f t="shared" si="4"/>
        <v>0</v>
      </c>
      <c r="K81" s="269"/>
      <c r="L81" s="299">
        <f t="shared" si="5"/>
        <v>0</v>
      </c>
      <c r="M81" s="260"/>
      <c r="N81" s="102"/>
      <c r="O81" s="300"/>
      <c r="P81" s="260"/>
      <c r="Q81" s="300"/>
      <c r="R81" s="300"/>
      <c r="S81" s="300"/>
      <c r="T81" s="300"/>
      <c r="U81" s="260"/>
      <c r="V81" s="261"/>
      <c r="W81" s="261"/>
      <c r="X81" s="261"/>
      <c r="Y81" s="261"/>
      <c r="Z81" s="261"/>
      <c r="AA81" s="261"/>
      <c r="AB81" s="261"/>
      <c r="AC81" s="261"/>
      <c r="AD81" s="261"/>
      <c r="AE81" s="261"/>
    </row>
    <row r="82" s="31" customFormat="1" ht="16" customHeight="1" spans="1:31">
      <c r="A82" s="258">
        <v>77</v>
      </c>
      <c r="B82" s="101"/>
      <c r="C82" s="101"/>
      <c r="D82" s="301"/>
      <c r="E82" s="295"/>
      <c r="F82" s="296"/>
      <c r="G82" s="297"/>
      <c r="H82" s="298">
        <f t="shared" si="6"/>
        <v>0</v>
      </c>
      <c r="I82" s="77"/>
      <c r="J82" s="173">
        <f t="shared" si="4"/>
        <v>0</v>
      </c>
      <c r="K82" s="269"/>
      <c r="L82" s="299">
        <f t="shared" si="5"/>
        <v>0</v>
      </c>
      <c r="M82" s="260"/>
      <c r="N82" s="102"/>
      <c r="O82" s="300"/>
      <c r="P82" s="260"/>
      <c r="Q82" s="300"/>
      <c r="R82" s="300"/>
      <c r="S82" s="300"/>
      <c r="T82" s="300"/>
      <c r="U82" s="260"/>
      <c r="V82" s="261"/>
      <c r="W82" s="261"/>
      <c r="X82" s="261"/>
      <c r="Y82" s="261"/>
      <c r="Z82" s="261"/>
      <c r="AA82" s="261"/>
      <c r="AB82" s="261"/>
      <c r="AC82" s="261"/>
      <c r="AD82" s="261"/>
      <c r="AE82" s="261"/>
    </row>
    <row r="83" s="31" customFormat="1" ht="16" customHeight="1" spans="1:31">
      <c r="A83" s="258">
        <v>78</v>
      </c>
      <c r="B83" s="101"/>
      <c r="C83" s="101"/>
      <c r="D83" s="301"/>
      <c r="E83" s="295"/>
      <c r="F83" s="296"/>
      <c r="G83" s="297"/>
      <c r="H83" s="298">
        <f t="shared" si="6"/>
        <v>0</v>
      </c>
      <c r="I83" s="77"/>
      <c r="J83" s="173">
        <f t="shared" si="4"/>
        <v>0</v>
      </c>
      <c r="K83" s="269"/>
      <c r="L83" s="299">
        <f t="shared" si="5"/>
        <v>0</v>
      </c>
      <c r="M83" s="260"/>
      <c r="N83" s="102"/>
      <c r="O83" s="300"/>
      <c r="P83" s="260"/>
      <c r="Q83" s="300"/>
      <c r="R83" s="300"/>
      <c r="S83" s="300"/>
      <c r="T83" s="300"/>
      <c r="U83" s="260"/>
      <c r="V83" s="261"/>
      <c r="W83" s="261"/>
      <c r="X83" s="261"/>
      <c r="Y83" s="261"/>
      <c r="Z83" s="261"/>
      <c r="AA83" s="261"/>
      <c r="AB83" s="261"/>
      <c r="AC83" s="261"/>
      <c r="AD83" s="261"/>
      <c r="AE83" s="261"/>
    </row>
    <row r="84" s="31" customFormat="1" ht="16" customHeight="1" spans="1:31">
      <c r="A84" s="258">
        <v>79</v>
      </c>
      <c r="B84" s="101"/>
      <c r="C84" s="101"/>
      <c r="D84" s="301"/>
      <c r="E84" s="295"/>
      <c r="F84" s="296"/>
      <c r="G84" s="297"/>
      <c r="H84" s="298">
        <f t="shared" si="6"/>
        <v>0</v>
      </c>
      <c r="I84" s="77"/>
      <c r="J84" s="173">
        <f t="shared" si="4"/>
        <v>0</v>
      </c>
      <c r="K84" s="269"/>
      <c r="L84" s="299">
        <f t="shared" si="5"/>
        <v>0</v>
      </c>
      <c r="M84" s="260"/>
      <c r="N84" s="102"/>
      <c r="O84" s="300"/>
      <c r="P84" s="260"/>
      <c r="Q84" s="300"/>
      <c r="R84" s="300"/>
      <c r="S84" s="300"/>
      <c r="T84" s="300"/>
      <c r="U84" s="260"/>
      <c r="V84" s="261"/>
      <c r="W84" s="261"/>
      <c r="X84" s="261"/>
      <c r="Y84" s="261"/>
      <c r="Z84" s="261"/>
      <c r="AA84" s="261"/>
      <c r="AB84" s="261"/>
      <c r="AC84" s="261"/>
      <c r="AD84" s="261"/>
      <c r="AE84" s="261"/>
    </row>
    <row r="85" s="31" customFormat="1" ht="16" customHeight="1" spans="1:31">
      <c r="A85" s="258">
        <v>80</v>
      </c>
      <c r="B85" s="101"/>
      <c r="C85" s="101"/>
      <c r="D85" s="301"/>
      <c r="E85" s="295"/>
      <c r="F85" s="296"/>
      <c r="G85" s="297"/>
      <c r="H85" s="298">
        <f t="shared" si="6"/>
        <v>0</v>
      </c>
      <c r="I85" s="77"/>
      <c r="J85" s="173">
        <f t="shared" si="4"/>
        <v>0</v>
      </c>
      <c r="K85" s="269"/>
      <c r="L85" s="299">
        <f t="shared" si="5"/>
        <v>0</v>
      </c>
      <c r="M85" s="260"/>
      <c r="N85" s="102"/>
      <c r="O85" s="300"/>
      <c r="P85" s="260"/>
      <c r="Q85" s="300"/>
      <c r="R85" s="300"/>
      <c r="S85" s="300"/>
      <c r="T85" s="300"/>
      <c r="U85" s="260"/>
      <c r="V85" s="261"/>
      <c r="W85" s="261"/>
      <c r="X85" s="261"/>
      <c r="Y85" s="261"/>
      <c r="Z85" s="261"/>
      <c r="AA85" s="261"/>
      <c r="AB85" s="261"/>
      <c r="AC85" s="261"/>
      <c r="AD85" s="261"/>
      <c r="AE85" s="261"/>
    </row>
    <row r="86" s="31" customFormat="1" ht="16" customHeight="1" spans="1:31">
      <c r="A86" s="258">
        <v>81</v>
      </c>
      <c r="B86" s="101"/>
      <c r="C86" s="101"/>
      <c r="D86" s="301"/>
      <c r="E86" s="295"/>
      <c r="F86" s="296"/>
      <c r="G86" s="297"/>
      <c r="H86" s="298">
        <f t="shared" si="6"/>
        <v>0</v>
      </c>
      <c r="I86" s="77"/>
      <c r="J86" s="173">
        <f t="shared" si="4"/>
        <v>0</v>
      </c>
      <c r="K86" s="269"/>
      <c r="L86" s="299">
        <f t="shared" si="5"/>
        <v>0</v>
      </c>
      <c r="M86" s="260"/>
      <c r="N86" s="102"/>
      <c r="O86" s="300"/>
      <c r="P86" s="260"/>
      <c r="Q86" s="300"/>
      <c r="R86" s="300"/>
      <c r="S86" s="300"/>
      <c r="T86" s="300"/>
      <c r="U86" s="260"/>
      <c r="V86" s="261"/>
      <c r="W86" s="261"/>
      <c r="X86" s="261"/>
      <c r="Y86" s="261"/>
      <c r="Z86" s="261"/>
      <c r="AA86" s="261"/>
      <c r="AB86" s="261"/>
      <c r="AC86" s="261"/>
      <c r="AD86" s="261"/>
      <c r="AE86" s="261"/>
    </row>
    <row r="87" s="31" customFormat="1" ht="16" customHeight="1" spans="1:31">
      <c r="A87" s="258">
        <v>82</v>
      </c>
      <c r="B87" s="101"/>
      <c r="C87" s="101"/>
      <c r="D87" s="301"/>
      <c r="E87" s="295"/>
      <c r="F87" s="296"/>
      <c r="G87" s="297"/>
      <c r="H87" s="298">
        <f t="shared" si="6"/>
        <v>0</v>
      </c>
      <c r="I87" s="77"/>
      <c r="J87" s="173">
        <f t="shared" si="4"/>
        <v>0</v>
      </c>
      <c r="K87" s="269"/>
      <c r="L87" s="299">
        <f t="shared" si="5"/>
        <v>0</v>
      </c>
      <c r="M87" s="260"/>
      <c r="N87" s="102"/>
      <c r="O87" s="300"/>
      <c r="P87" s="260"/>
      <c r="Q87" s="300"/>
      <c r="R87" s="300"/>
      <c r="S87" s="300"/>
      <c r="T87" s="300"/>
      <c r="U87" s="260"/>
      <c r="V87" s="261"/>
      <c r="W87" s="261"/>
      <c r="X87" s="261"/>
      <c r="Y87" s="261"/>
      <c r="Z87" s="261"/>
      <c r="AA87" s="261"/>
      <c r="AB87" s="261"/>
      <c r="AC87" s="261"/>
      <c r="AD87" s="261"/>
      <c r="AE87" s="261"/>
    </row>
    <row r="88" s="31" customFormat="1" ht="16" customHeight="1" spans="1:31">
      <c r="A88" s="258">
        <v>83</v>
      </c>
      <c r="B88" s="101"/>
      <c r="C88" s="101"/>
      <c r="D88" s="301"/>
      <c r="E88" s="295"/>
      <c r="F88" s="296"/>
      <c r="G88" s="297"/>
      <c r="H88" s="298">
        <f t="shared" si="6"/>
        <v>0</v>
      </c>
      <c r="I88" s="77"/>
      <c r="J88" s="173">
        <f t="shared" si="4"/>
        <v>0</v>
      </c>
      <c r="K88" s="269"/>
      <c r="L88" s="299">
        <f t="shared" si="5"/>
        <v>0</v>
      </c>
      <c r="M88" s="260"/>
      <c r="N88" s="102"/>
      <c r="O88" s="300"/>
      <c r="P88" s="260"/>
      <c r="Q88" s="300"/>
      <c r="R88" s="300"/>
      <c r="S88" s="300"/>
      <c r="T88" s="300"/>
      <c r="U88" s="260"/>
      <c r="V88" s="261"/>
      <c r="W88" s="261"/>
      <c r="X88" s="261"/>
      <c r="Y88" s="261"/>
      <c r="Z88" s="261"/>
      <c r="AA88" s="261"/>
      <c r="AB88" s="261"/>
      <c r="AC88" s="261"/>
      <c r="AD88" s="261"/>
      <c r="AE88" s="261"/>
    </row>
    <row r="89" s="31" customFormat="1" ht="16" customHeight="1" spans="1:31">
      <c r="A89" s="258">
        <v>84</v>
      </c>
      <c r="B89" s="101"/>
      <c r="C89" s="101"/>
      <c r="D89" s="301"/>
      <c r="E89" s="295"/>
      <c r="F89" s="296"/>
      <c r="G89" s="297"/>
      <c r="H89" s="298">
        <f t="shared" si="6"/>
        <v>0</v>
      </c>
      <c r="I89" s="77"/>
      <c r="J89" s="173">
        <f t="shared" si="4"/>
        <v>0</v>
      </c>
      <c r="K89" s="269"/>
      <c r="L89" s="299">
        <f t="shared" si="5"/>
        <v>0</v>
      </c>
      <c r="M89" s="260"/>
      <c r="N89" s="102"/>
      <c r="O89" s="300"/>
      <c r="P89" s="260"/>
      <c r="Q89" s="300"/>
      <c r="R89" s="300"/>
      <c r="S89" s="300"/>
      <c r="T89" s="300"/>
      <c r="U89" s="260"/>
      <c r="V89" s="261"/>
      <c r="W89" s="261"/>
      <c r="X89" s="261"/>
      <c r="Y89" s="261"/>
      <c r="Z89" s="261"/>
      <c r="AA89" s="261"/>
      <c r="AB89" s="261"/>
      <c r="AC89" s="261"/>
      <c r="AD89" s="261"/>
      <c r="AE89" s="261"/>
    </row>
    <row r="90" s="31" customFormat="1" ht="16" customHeight="1" spans="1:31">
      <c r="A90" s="258">
        <v>85</v>
      </c>
      <c r="B90" s="101"/>
      <c r="C90" s="101"/>
      <c r="D90" s="301"/>
      <c r="E90" s="295"/>
      <c r="F90" s="296"/>
      <c r="G90" s="297"/>
      <c r="H90" s="298">
        <f t="shared" si="6"/>
        <v>0</v>
      </c>
      <c r="I90" s="77"/>
      <c r="J90" s="173">
        <f t="shared" si="4"/>
        <v>0</v>
      </c>
      <c r="K90" s="269"/>
      <c r="L90" s="299">
        <f t="shared" si="5"/>
        <v>0</v>
      </c>
      <c r="M90" s="260"/>
      <c r="N90" s="102"/>
      <c r="O90" s="300"/>
      <c r="P90" s="260"/>
      <c r="Q90" s="300"/>
      <c r="R90" s="300"/>
      <c r="S90" s="300"/>
      <c r="T90" s="300"/>
      <c r="U90" s="260"/>
      <c r="V90" s="261"/>
      <c r="W90" s="261"/>
      <c r="X90" s="261"/>
      <c r="Y90" s="261"/>
      <c r="Z90" s="261"/>
      <c r="AA90" s="261"/>
      <c r="AB90" s="261"/>
      <c r="AC90" s="261"/>
      <c r="AD90" s="261"/>
      <c r="AE90" s="261"/>
    </row>
    <row r="91" s="31" customFormat="1" ht="16" customHeight="1" spans="1:31">
      <c r="A91" s="258">
        <v>86</v>
      </c>
      <c r="B91" s="101"/>
      <c r="C91" s="101"/>
      <c r="D91" s="301"/>
      <c r="E91" s="295"/>
      <c r="F91" s="296"/>
      <c r="G91" s="297"/>
      <c r="H91" s="298">
        <f t="shared" si="6"/>
        <v>0</v>
      </c>
      <c r="I91" s="77"/>
      <c r="J91" s="173">
        <f t="shared" si="4"/>
        <v>0</v>
      </c>
      <c r="K91" s="269"/>
      <c r="L91" s="299">
        <f t="shared" si="5"/>
        <v>0</v>
      </c>
      <c r="M91" s="260"/>
      <c r="N91" s="102"/>
      <c r="O91" s="300"/>
      <c r="P91" s="260"/>
      <c r="Q91" s="300"/>
      <c r="R91" s="300"/>
      <c r="S91" s="300"/>
      <c r="T91" s="300"/>
      <c r="U91" s="260"/>
      <c r="V91" s="261"/>
      <c r="W91" s="261"/>
      <c r="X91" s="261"/>
      <c r="Y91" s="261"/>
      <c r="Z91" s="261"/>
      <c r="AA91" s="261"/>
      <c r="AB91" s="261"/>
      <c r="AC91" s="261"/>
      <c r="AD91" s="261"/>
      <c r="AE91" s="261"/>
    </row>
    <row r="92" s="31" customFormat="1" ht="16" customHeight="1" spans="1:31">
      <c r="A92" s="258">
        <v>87</v>
      </c>
      <c r="B92" s="101"/>
      <c r="C92" s="101"/>
      <c r="D92" s="301"/>
      <c r="E92" s="295"/>
      <c r="F92" s="296"/>
      <c r="G92" s="297"/>
      <c r="H92" s="298">
        <f t="shared" si="6"/>
        <v>0</v>
      </c>
      <c r="I92" s="77"/>
      <c r="J92" s="173">
        <f t="shared" si="4"/>
        <v>0</v>
      </c>
      <c r="K92" s="269"/>
      <c r="L92" s="299">
        <f t="shared" si="5"/>
        <v>0</v>
      </c>
      <c r="M92" s="260"/>
      <c r="N92" s="102"/>
      <c r="O92" s="300"/>
      <c r="P92" s="260"/>
      <c r="Q92" s="300"/>
      <c r="R92" s="300"/>
      <c r="S92" s="300"/>
      <c r="T92" s="300"/>
      <c r="U92" s="260"/>
      <c r="V92" s="261"/>
      <c r="W92" s="261"/>
      <c r="X92" s="261"/>
      <c r="Y92" s="261"/>
      <c r="Z92" s="261"/>
      <c r="AA92" s="261"/>
      <c r="AB92" s="261"/>
      <c r="AC92" s="261"/>
      <c r="AD92" s="261"/>
      <c r="AE92" s="261"/>
    </row>
    <row r="93" s="31" customFormat="1" ht="16" customHeight="1" spans="1:31">
      <c r="A93" s="258">
        <v>88</v>
      </c>
      <c r="B93" s="101"/>
      <c r="C93" s="101"/>
      <c r="D93" s="301"/>
      <c r="E93" s="295"/>
      <c r="F93" s="296"/>
      <c r="G93" s="297"/>
      <c r="H93" s="298">
        <f t="shared" si="6"/>
        <v>0</v>
      </c>
      <c r="I93" s="77"/>
      <c r="J93" s="173">
        <f t="shared" si="4"/>
        <v>0</v>
      </c>
      <c r="K93" s="269"/>
      <c r="L93" s="299">
        <f t="shared" si="5"/>
        <v>0</v>
      </c>
      <c r="M93" s="260"/>
      <c r="N93" s="102"/>
      <c r="O93" s="300"/>
      <c r="P93" s="260"/>
      <c r="Q93" s="300"/>
      <c r="R93" s="300"/>
      <c r="S93" s="300"/>
      <c r="T93" s="300"/>
      <c r="U93" s="260"/>
      <c r="V93" s="261"/>
      <c r="W93" s="261"/>
      <c r="X93" s="261"/>
      <c r="Y93" s="261"/>
      <c r="Z93" s="261"/>
      <c r="AA93" s="261"/>
      <c r="AB93" s="261"/>
      <c r="AC93" s="261"/>
      <c r="AD93" s="261"/>
      <c r="AE93" s="261"/>
    </row>
    <row r="94" s="31" customFormat="1" ht="16" customHeight="1" spans="1:31">
      <c r="A94" s="258">
        <v>89</v>
      </c>
      <c r="B94" s="101"/>
      <c r="C94" s="101"/>
      <c r="D94" s="301"/>
      <c r="E94" s="295"/>
      <c r="F94" s="296"/>
      <c r="G94" s="297"/>
      <c r="H94" s="298">
        <f t="shared" si="6"/>
        <v>0</v>
      </c>
      <c r="I94" s="77"/>
      <c r="J94" s="173">
        <f t="shared" si="4"/>
        <v>0</v>
      </c>
      <c r="K94" s="269"/>
      <c r="L94" s="299">
        <f t="shared" si="5"/>
        <v>0</v>
      </c>
      <c r="M94" s="260"/>
      <c r="N94" s="102"/>
      <c r="O94" s="300"/>
      <c r="P94" s="260"/>
      <c r="Q94" s="300"/>
      <c r="R94" s="300"/>
      <c r="S94" s="300"/>
      <c r="T94" s="300"/>
      <c r="U94" s="260"/>
      <c r="V94" s="261"/>
      <c r="W94" s="261"/>
      <c r="X94" s="261"/>
      <c r="Y94" s="261"/>
      <c r="Z94" s="261"/>
      <c r="AA94" s="261"/>
      <c r="AB94" s="261"/>
      <c r="AC94" s="261"/>
      <c r="AD94" s="261"/>
      <c r="AE94" s="261"/>
    </row>
    <row r="95" s="31" customFormat="1" ht="16" customHeight="1" spans="1:31">
      <c r="A95" s="258">
        <v>90</v>
      </c>
      <c r="B95" s="101"/>
      <c r="C95" s="101"/>
      <c r="D95" s="301"/>
      <c r="E95" s="295"/>
      <c r="F95" s="296"/>
      <c r="G95" s="297"/>
      <c r="H95" s="298">
        <f t="shared" si="6"/>
        <v>0</v>
      </c>
      <c r="I95" s="77"/>
      <c r="J95" s="173">
        <f t="shared" si="4"/>
        <v>0</v>
      </c>
      <c r="K95" s="269"/>
      <c r="L95" s="299">
        <f t="shared" si="5"/>
        <v>0</v>
      </c>
      <c r="M95" s="260"/>
      <c r="N95" s="102"/>
      <c r="O95" s="300"/>
      <c r="P95" s="260"/>
      <c r="Q95" s="300"/>
      <c r="R95" s="300"/>
      <c r="S95" s="300"/>
      <c r="T95" s="300"/>
      <c r="U95" s="260"/>
      <c r="V95" s="261"/>
      <c r="W95" s="261"/>
      <c r="X95" s="261"/>
      <c r="Y95" s="261"/>
      <c r="Z95" s="261"/>
      <c r="AA95" s="261"/>
      <c r="AB95" s="261"/>
      <c r="AC95" s="261"/>
      <c r="AD95" s="261"/>
      <c r="AE95" s="261"/>
    </row>
    <row r="96" s="31" customFormat="1" ht="16" customHeight="1" spans="1:31">
      <c r="A96" s="258">
        <v>91</v>
      </c>
      <c r="B96" s="101"/>
      <c r="C96" s="101"/>
      <c r="D96" s="301"/>
      <c r="E96" s="295"/>
      <c r="F96" s="296"/>
      <c r="G96" s="297"/>
      <c r="H96" s="298">
        <f t="shared" si="6"/>
        <v>0</v>
      </c>
      <c r="I96" s="77"/>
      <c r="J96" s="173">
        <f t="shared" si="4"/>
        <v>0</v>
      </c>
      <c r="K96" s="269"/>
      <c r="L96" s="299">
        <f t="shared" si="5"/>
        <v>0</v>
      </c>
      <c r="M96" s="260"/>
      <c r="N96" s="102"/>
      <c r="O96" s="300"/>
      <c r="P96" s="260"/>
      <c r="Q96" s="300"/>
      <c r="R96" s="300"/>
      <c r="S96" s="300"/>
      <c r="T96" s="300"/>
      <c r="U96" s="260"/>
      <c r="V96" s="261"/>
      <c r="W96" s="261"/>
      <c r="X96" s="261"/>
      <c r="Y96" s="261"/>
      <c r="Z96" s="261"/>
      <c r="AA96" s="261"/>
      <c r="AB96" s="261"/>
      <c r="AC96" s="261"/>
      <c r="AD96" s="261"/>
      <c r="AE96" s="261"/>
    </row>
    <row r="97" s="31" customFormat="1" ht="16" customHeight="1" spans="1:31">
      <c r="A97" s="258">
        <v>92</v>
      </c>
      <c r="B97" s="101"/>
      <c r="C97" s="101"/>
      <c r="D97" s="301"/>
      <c r="E97" s="295"/>
      <c r="F97" s="296"/>
      <c r="G97" s="297"/>
      <c r="H97" s="298">
        <f t="shared" si="6"/>
        <v>0</v>
      </c>
      <c r="I97" s="77"/>
      <c r="J97" s="173">
        <f t="shared" si="4"/>
        <v>0</v>
      </c>
      <c r="K97" s="269"/>
      <c r="L97" s="299">
        <f t="shared" si="5"/>
        <v>0</v>
      </c>
      <c r="M97" s="260"/>
      <c r="N97" s="102"/>
      <c r="O97" s="300"/>
      <c r="P97" s="260"/>
      <c r="Q97" s="300"/>
      <c r="R97" s="300"/>
      <c r="S97" s="300"/>
      <c r="T97" s="300"/>
      <c r="U97" s="260"/>
      <c r="V97" s="261"/>
      <c r="W97" s="261"/>
      <c r="X97" s="261"/>
      <c r="Y97" s="261"/>
      <c r="Z97" s="261"/>
      <c r="AA97" s="261"/>
      <c r="AB97" s="261"/>
      <c r="AC97" s="261"/>
      <c r="AD97" s="261"/>
      <c r="AE97" s="261"/>
    </row>
    <row r="98" s="31" customFormat="1" ht="16" customHeight="1" spans="1:31">
      <c r="A98" s="258">
        <v>93</v>
      </c>
      <c r="B98" s="101"/>
      <c r="C98" s="101"/>
      <c r="D98" s="301"/>
      <c r="E98" s="295"/>
      <c r="F98" s="296"/>
      <c r="G98" s="297"/>
      <c r="H98" s="298">
        <f t="shared" si="6"/>
        <v>0</v>
      </c>
      <c r="I98" s="77"/>
      <c r="J98" s="173">
        <f t="shared" si="4"/>
        <v>0</v>
      </c>
      <c r="K98" s="269"/>
      <c r="L98" s="299">
        <f t="shared" si="5"/>
        <v>0</v>
      </c>
      <c r="M98" s="260"/>
      <c r="N98" s="102"/>
      <c r="O98" s="300"/>
      <c r="P98" s="260"/>
      <c r="Q98" s="300"/>
      <c r="R98" s="300"/>
      <c r="S98" s="300"/>
      <c r="T98" s="300"/>
      <c r="U98" s="260"/>
      <c r="V98" s="261"/>
      <c r="W98" s="261"/>
      <c r="X98" s="261"/>
      <c r="Y98" s="261"/>
      <c r="Z98" s="261"/>
      <c r="AA98" s="261"/>
      <c r="AB98" s="261"/>
      <c r="AC98" s="261"/>
      <c r="AD98" s="261"/>
      <c r="AE98" s="261"/>
    </row>
    <row r="99" s="31" customFormat="1" ht="16" customHeight="1" spans="1:31">
      <c r="A99" s="258">
        <v>94</v>
      </c>
      <c r="B99" s="101"/>
      <c r="C99" s="101"/>
      <c r="D99" s="301"/>
      <c r="E99" s="295"/>
      <c r="F99" s="296"/>
      <c r="G99" s="297"/>
      <c r="H99" s="298">
        <f t="shared" si="6"/>
        <v>0</v>
      </c>
      <c r="I99" s="77"/>
      <c r="J99" s="173">
        <f t="shared" si="4"/>
        <v>0</v>
      </c>
      <c r="K99" s="269"/>
      <c r="L99" s="299">
        <f t="shared" si="5"/>
        <v>0</v>
      </c>
      <c r="M99" s="260"/>
      <c r="N99" s="102"/>
      <c r="O99" s="300"/>
      <c r="P99" s="260"/>
      <c r="Q99" s="300"/>
      <c r="R99" s="300"/>
      <c r="S99" s="300"/>
      <c r="T99" s="300"/>
      <c r="U99" s="260"/>
      <c r="V99" s="261"/>
      <c r="W99" s="261"/>
      <c r="X99" s="261"/>
      <c r="Y99" s="261"/>
      <c r="Z99" s="261"/>
      <c r="AA99" s="261"/>
      <c r="AB99" s="261"/>
      <c r="AC99" s="261"/>
      <c r="AD99" s="261"/>
      <c r="AE99" s="261"/>
    </row>
    <row r="100" s="31" customFormat="1" ht="16" customHeight="1" spans="1:31">
      <c r="A100" s="258">
        <v>95</v>
      </c>
      <c r="B100" s="101"/>
      <c r="C100" s="101"/>
      <c r="D100" s="301"/>
      <c r="E100" s="295"/>
      <c r="F100" s="296"/>
      <c r="G100" s="297"/>
      <c r="H100" s="298">
        <f t="shared" si="6"/>
        <v>0</v>
      </c>
      <c r="I100" s="77"/>
      <c r="J100" s="173">
        <f t="shared" si="4"/>
        <v>0</v>
      </c>
      <c r="K100" s="269"/>
      <c r="L100" s="299">
        <f t="shared" si="5"/>
        <v>0</v>
      </c>
      <c r="M100" s="260"/>
      <c r="N100" s="102"/>
      <c r="O100" s="300"/>
      <c r="P100" s="260"/>
      <c r="Q100" s="300"/>
      <c r="R100" s="300"/>
      <c r="S100" s="300"/>
      <c r="T100" s="300"/>
      <c r="U100" s="260"/>
      <c r="V100" s="261"/>
      <c r="W100" s="261"/>
      <c r="X100" s="261"/>
      <c r="Y100" s="261"/>
      <c r="Z100" s="261"/>
      <c r="AA100" s="261"/>
      <c r="AB100" s="261"/>
      <c r="AC100" s="261"/>
      <c r="AD100" s="261"/>
      <c r="AE100" s="261"/>
    </row>
    <row r="101" s="31" customFormat="1" ht="16" customHeight="1" spans="1:31">
      <c r="A101" s="258">
        <v>96</v>
      </c>
      <c r="B101" s="101"/>
      <c r="C101" s="101"/>
      <c r="D101" s="301"/>
      <c r="E101" s="295"/>
      <c r="F101" s="296"/>
      <c r="G101" s="297"/>
      <c r="H101" s="298">
        <f t="shared" si="6"/>
        <v>0</v>
      </c>
      <c r="I101" s="77"/>
      <c r="J101" s="173">
        <f t="shared" si="4"/>
        <v>0</v>
      </c>
      <c r="K101" s="269"/>
      <c r="L101" s="299">
        <f t="shared" si="5"/>
        <v>0</v>
      </c>
      <c r="M101" s="260"/>
      <c r="N101" s="102"/>
      <c r="O101" s="300"/>
      <c r="P101" s="260"/>
      <c r="Q101" s="300"/>
      <c r="R101" s="300"/>
      <c r="S101" s="300"/>
      <c r="T101" s="300"/>
      <c r="U101" s="260"/>
      <c r="V101" s="261"/>
      <c r="W101" s="261"/>
      <c r="X101" s="261"/>
      <c r="Y101" s="261"/>
      <c r="Z101" s="261"/>
      <c r="AA101" s="261"/>
      <c r="AB101" s="261"/>
      <c r="AC101" s="261"/>
      <c r="AD101" s="261"/>
      <c r="AE101" s="261"/>
    </row>
    <row r="102" s="31" customFormat="1" ht="16" customHeight="1" spans="1:31">
      <c r="A102" s="258">
        <v>97</v>
      </c>
      <c r="B102" s="101"/>
      <c r="C102" s="101"/>
      <c r="D102" s="301"/>
      <c r="E102" s="295"/>
      <c r="F102" s="296"/>
      <c r="G102" s="297"/>
      <c r="H102" s="298">
        <f t="shared" si="6"/>
        <v>0</v>
      </c>
      <c r="I102" s="77"/>
      <c r="J102" s="173">
        <f t="shared" si="4"/>
        <v>0</v>
      </c>
      <c r="K102" s="269"/>
      <c r="L102" s="299">
        <f t="shared" si="5"/>
        <v>0</v>
      </c>
      <c r="M102" s="260"/>
      <c r="N102" s="102"/>
      <c r="O102" s="300"/>
      <c r="P102" s="260"/>
      <c r="Q102" s="300"/>
      <c r="R102" s="300"/>
      <c r="S102" s="300"/>
      <c r="T102" s="300"/>
      <c r="U102" s="260"/>
      <c r="V102" s="261"/>
      <c r="W102" s="261"/>
      <c r="X102" s="261"/>
      <c r="Y102" s="261"/>
      <c r="Z102" s="261"/>
      <c r="AA102" s="261"/>
      <c r="AB102" s="261"/>
      <c r="AC102" s="261"/>
      <c r="AD102" s="261"/>
      <c r="AE102" s="261"/>
    </row>
    <row r="103" s="31" customFormat="1" ht="16" customHeight="1" spans="1:31">
      <c r="A103" s="258">
        <v>98</v>
      </c>
      <c r="B103" s="101"/>
      <c r="C103" s="101"/>
      <c r="D103" s="301"/>
      <c r="E103" s="295"/>
      <c r="F103" s="296"/>
      <c r="G103" s="297"/>
      <c r="H103" s="298">
        <f t="shared" si="6"/>
        <v>0</v>
      </c>
      <c r="I103" s="77"/>
      <c r="J103" s="173">
        <f t="shared" si="4"/>
        <v>0</v>
      </c>
      <c r="K103" s="269"/>
      <c r="L103" s="299">
        <f t="shared" ref="L103:L148" si="7">J103+K103</f>
        <v>0</v>
      </c>
      <c r="M103" s="260"/>
      <c r="N103" s="102"/>
      <c r="O103" s="300"/>
      <c r="P103" s="260"/>
      <c r="Q103" s="300"/>
      <c r="R103" s="300"/>
      <c r="S103" s="300"/>
      <c r="T103" s="300"/>
      <c r="U103" s="260"/>
      <c r="V103" s="261"/>
      <c r="W103" s="261"/>
      <c r="X103" s="261"/>
      <c r="Y103" s="261"/>
      <c r="Z103" s="261"/>
      <c r="AA103" s="261"/>
      <c r="AB103" s="261"/>
      <c r="AC103" s="261"/>
      <c r="AD103" s="261"/>
      <c r="AE103" s="261"/>
    </row>
    <row r="104" s="31" customFormat="1" ht="16" customHeight="1" spans="1:31">
      <c r="A104" s="258">
        <v>99</v>
      </c>
      <c r="B104" s="101"/>
      <c r="C104" s="101"/>
      <c r="D104" s="301"/>
      <c r="E104" s="295"/>
      <c r="F104" s="296"/>
      <c r="G104" s="297"/>
      <c r="H104" s="298">
        <f t="shared" si="6"/>
        <v>0</v>
      </c>
      <c r="I104" s="77"/>
      <c r="J104" s="173">
        <f t="shared" si="4"/>
        <v>0</v>
      </c>
      <c r="K104" s="269"/>
      <c r="L104" s="299">
        <f t="shared" si="7"/>
        <v>0</v>
      </c>
      <c r="M104" s="260"/>
      <c r="N104" s="102"/>
      <c r="O104" s="300"/>
      <c r="P104" s="260"/>
      <c r="Q104" s="300"/>
      <c r="R104" s="300"/>
      <c r="S104" s="300"/>
      <c r="T104" s="300"/>
      <c r="U104" s="260"/>
      <c r="V104" s="261"/>
      <c r="W104" s="261"/>
      <c r="X104" s="261"/>
      <c r="Y104" s="261"/>
      <c r="Z104" s="261"/>
      <c r="AA104" s="261"/>
      <c r="AB104" s="261"/>
      <c r="AC104" s="261"/>
      <c r="AD104" s="261"/>
      <c r="AE104" s="261"/>
    </row>
    <row r="105" s="31" customFormat="1" ht="16" customHeight="1" spans="1:31">
      <c r="A105" s="258">
        <v>100</v>
      </c>
      <c r="B105" s="101"/>
      <c r="C105" s="101"/>
      <c r="D105" s="301"/>
      <c r="E105" s="295"/>
      <c r="F105" s="296"/>
      <c r="G105" s="297"/>
      <c r="H105" s="298">
        <f t="shared" si="6"/>
        <v>0</v>
      </c>
      <c r="I105" s="77"/>
      <c r="J105" s="173">
        <f t="shared" si="4"/>
        <v>0</v>
      </c>
      <c r="K105" s="269"/>
      <c r="L105" s="299">
        <f t="shared" si="7"/>
        <v>0</v>
      </c>
      <c r="M105" s="260"/>
      <c r="N105" s="102"/>
      <c r="O105" s="300"/>
      <c r="P105" s="260"/>
      <c r="Q105" s="300"/>
      <c r="R105" s="300"/>
      <c r="S105" s="300"/>
      <c r="T105" s="300"/>
      <c r="U105" s="260"/>
      <c r="V105" s="261"/>
      <c r="W105" s="261"/>
      <c r="X105" s="261"/>
      <c r="Y105" s="261"/>
      <c r="Z105" s="261"/>
      <c r="AA105" s="261"/>
      <c r="AB105" s="261"/>
      <c r="AC105" s="261"/>
      <c r="AD105" s="261"/>
      <c r="AE105" s="261"/>
    </row>
    <row r="106" s="31" customFormat="1" ht="16" customHeight="1" spans="1:31">
      <c r="A106" s="258">
        <v>101</v>
      </c>
      <c r="B106" s="101"/>
      <c r="C106" s="101"/>
      <c r="D106" s="301"/>
      <c r="E106" s="295"/>
      <c r="F106" s="296"/>
      <c r="G106" s="297"/>
      <c r="H106" s="298">
        <f t="shared" si="6"/>
        <v>0</v>
      </c>
      <c r="I106" s="77"/>
      <c r="J106" s="173">
        <f t="shared" si="4"/>
        <v>0</v>
      </c>
      <c r="K106" s="269"/>
      <c r="L106" s="299">
        <f t="shared" si="7"/>
        <v>0</v>
      </c>
      <c r="M106" s="260"/>
      <c r="N106" s="102"/>
      <c r="O106" s="300"/>
      <c r="P106" s="260"/>
      <c r="Q106" s="300"/>
      <c r="R106" s="300"/>
      <c r="S106" s="300"/>
      <c r="T106" s="300"/>
      <c r="U106" s="260"/>
      <c r="V106" s="261"/>
      <c r="W106" s="261"/>
      <c r="X106" s="261"/>
      <c r="Y106" s="261"/>
      <c r="Z106" s="261"/>
      <c r="AA106" s="261"/>
      <c r="AB106" s="261"/>
      <c r="AC106" s="261"/>
      <c r="AD106" s="261"/>
      <c r="AE106" s="261"/>
    </row>
    <row r="107" s="31" customFormat="1" ht="16" customHeight="1" spans="1:31">
      <c r="A107" s="258">
        <v>102</v>
      </c>
      <c r="B107" s="101"/>
      <c r="C107" s="101"/>
      <c r="D107" s="301"/>
      <c r="E107" s="295"/>
      <c r="F107" s="296"/>
      <c r="G107" s="297"/>
      <c r="H107" s="298">
        <f t="shared" si="6"/>
        <v>0</v>
      </c>
      <c r="I107" s="77"/>
      <c r="J107" s="173">
        <f t="shared" si="4"/>
        <v>0</v>
      </c>
      <c r="K107" s="269"/>
      <c r="L107" s="299">
        <f t="shared" si="7"/>
        <v>0</v>
      </c>
      <c r="M107" s="260"/>
      <c r="N107" s="102"/>
      <c r="O107" s="300"/>
      <c r="P107" s="260"/>
      <c r="Q107" s="300"/>
      <c r="R107" s="300"/>
      <c r="S107" s="300"/>
      <c r="T107" s="300"/>
      <c r="U107" s="260"/>
      <c r="V107" s="261"/>
      <c r="W107" s="261"/>
      <c r="X107" s="261"/>
      <c r="Y107" s="261"/>
      <c r="Z107" s="261"/>
      <c r="AA107" s="261"/>
      <c r="AB107" s="261"/>
      <c r="AC107" s="261"/>
      <c r="AD107" s="261"/>
      <c r="AE107" s="261"/>
    </row>
    <row r="108" s="31" customFormat="1" ht="16" customHeight="1" spans="1:31">
      <c r="A108" s="258">
        <v>103</v>
      </c>
      <c r="B108" s="101"/>
      <c r="C108" s="101"/>
      <c r="D108" s="301"/>
      <c r="E108" s="295"/>
      <c r="F108" s="296"/>
      <c r="G108" s="297"/>
      <c r="H108" s="298">
        <f t="shared" si="6"/>
        <v>0</v>
      </c>
      <c r="I108" s="77"/>
      <c r="J108" s="173">
        <f t="shared" si="4"/>
        <v>0</v>
      </c>
      <c r="K108" s="269"/>
      <c r="L108" s="299">
        <f t="shared" si="7"/>
        <v>0</v>
      </c>
      <c r="M108" s="260"/>
      <c r="N108" s="102"/>
      <c r="O108" s="300"/>
      <c r="P108" s="260"/>
      <c r="Q108" s="300"/>
      <c r="R108" s="300"/>
      <c r="S108" s="300"/>
      <c r="T108" s="300"/>
      <c r="U108" s="260"/>
      <c r="V108" s="261"/>
      <c r="W108" s="261"/>
      <c r="X108" s="261"/>
      <c r="Y108" s="261"/>
      <c r="Z108" s="261"/>
      <c r="AA108" s="261"/>
      <c r="AB108" s="261"/>
      <c r="AC108" s="261"/>
      <c r="AD108" s="261"/>
      <c r="AE108" s="261"/>
    </row>
    <row r="109" s="31" customFormat="1" ht="16" customHeight="1" spans="1:31">
      <c r="A109" s="258">
        <v>104</v>
      </c>
      <c r="B109" s="101"/>
      <c r="C109" s="101"/>
      <c r="D109" s="301"/>
      <c r="E109" s="295"/>
      <c r="F109" s="296"/>
      <c r="G109" s="297"/>
      <c r="H109" s="298">
        <f t="shared" si="6"/>
        <v>0</v>
      </c>
      <c r="I109" s="77"/>
      <c r="J109" s="173">
        <f t="shared" si="4"/>
        <v>0</v>
      </c>
      <c r="K109" s="269"/>
      <c r="L109" s="299">
        <f t="shared" si="7"/>
        <v>0</v>
      </c>
      <c r="M109" s="260"/>
      <c r="N109" s="102"/>
      <c r="O109" s="300"/>
      <c r="P109" s="260"/>
      <c r="Q109" s="300"/>
      <c r="R109" s="300"/>
      <c r="S109" s="300"/>
      <c r="T109" s="300"/>
      <c r="U109" s="260"/>
      <c r="V109" s="261"/>
      <c r="W109" s="261"/>
      <c r="X109" s="261"/>
      <c r="Y109" s="261"/>
      <c r="Z109" s="261"/>
      <c r="AA109" s="261"/>
      <c r="AB109" s="261"/>
      <c r="AC109" s="261"/>
      <c r="AD109" s="261"/>
      <c r="AE109" s="261"/>
    </row>
    <row r="110" s="31" customFormat="1" ht="16" customHeight="1" spans="1:31">
      <c r="A110" s="258">
        <v>105</v>
      </c>
      <c r="B110" s="101"/>
      <c r="C110" s="101"/>
      <c r="D110" s="301"/>
      <c r="E110" s="295"/>
      <c r="F110" s="296"/>
      <c r="G110" s="297"/>
      <c r="H110" s="298">
        <f t="shared" si="6"/>
        <v>0</v>
      </c>
      <c r="I110" s="77"/>
      <c r="J110" s="173">
        <f t="shared" si="4"/>
        <v>0</v>
      </c>
      <c r="K110" s="269"/>
      <c r="L110" s="299">
        <f t="shared" si="7"/>
        <v>0</v>
      </c>
      <c r="M110" s="260"/>
      <c r="N110" s="102"/>
      <c r="O110" s="300"/>
      <c r="P110" s="260"/>
      <c r="Q110" s="300"/>
      <c r="R110" s="300"/>
      <c r="S110" s="300"/>
      <c r="T110" s="300"/>
      <c r="U110" s="260"/>
      <c r="V110" s="261"/>
      <c r="W110" s="261"/>
      <c r="X110" s="261"/>
      <c r="Y110" s="261"/>
      <c r="Z110" s="261"/>
      <c r="AA110" s="261"/>
      <c r="AB110" s="261"/>
      <c r="AC110" s="261"/>
      <c r="AD110" s="261"/>
      <c r="AE110" s="261"/>
    </row>
    <row r="111" s="31" customFormat="1" ht="16" customHeight="1" spans="1:31">
      <c r="A111" s="258">
        <v>106</v>
      </c>
      <c r="B111" s="101"/>
      <c r="C111" s="101"/>
      <c r="D111" s="301"/>
      <c r="E111" s="295"/>
      <c r="F111" s="296"/>
      <c r="G111" s="297"/>
      <c r="H111" s="298">
        <f t="shared" si="6"/>
        <v>0</v>
      </c>
      <c r="I111" s="77"/>
      <c r="J111" s="173">
        <f t="shared" si="4"/>
        <v>0</v>
      </c>
      <c r="K111" s="269"/>
      <c r="L111" s="299">
        <f t="shared" si="7"/>
        <v>0</v>
      </c>
      <c r="M111" s="260"/>
      <c r="N111" s="102"/>
      <c r="O111" s="300"/>
      <c r="P111" s="260"/>
      <c r="Q111" s="300"/>
      <c r="R111" s="300"/>
      <c r="S111" s="300"/>
      <c r="T111" s="300"/>
      <c r="U111" s="260"/>
      <c r="V111" s="261"/>
      <c r="W111" s="261"/>
      <c r="X111" s="261"/>
      <c r="Y111" s="261"/>
      <c r="Z111" s="261"/>
      <c r="AA111" s="261"/>
      <c r="AB111" s="261"/>
      <c r="AC111" s="261"/>
      <c r="AD111" s="261"/>
      <c r="AE111" s="261"/>
    </row>
    <row r="112" s="31" customFormat="1" ht="16" customHeight="1" spans="1:31">
      <c r="A112" s="258">
        <v>107</v>
      </c>
      <c r="B112" s="101"/>
      <c r="C112" s="101"/>
      <c r="D112" s="301"/>
      <c r="E112" s="295"/>
      <c r="F112" s="296"/>
      <c r="G112" s="297"/>
      <c r="H112" s="298">
        <f t="shared" si="6"/>
        <v>0</v>
      </c>
      <c r="I112" s="77"/>
      <c r="J112" s="173">
        <f t="shared" si="4"/>
        <v>0</v>
      </c>
      <c r="K112" s="269"/>
      <c r="L112" s="299">
        <f t="shared" si="7"/>
        <v>0</v>
      </c>
      <c r="M112" s="260"/>
      <c r="N112" s="102"/>
      <c r="O112" s="300"/>
      <c r="P112" s="260"/>
      <c r="Q112" s="300"/>
      <c r="R112" s="300"/>
      <c r="S112" s="300"/>
      <c r="T112" s="300"/>
      <c r="U112" s="260"/>
      <c r="V112" s="261"/>
      <c r="W112" s="261"/>
      <c r="X112" s="261"/>
      <c r="Y112" s="261"/>
      <c r="Z112" s="261"/>
      <c r="AA112" s="261"/>
      <c r="AB112" s="261"/>
      <c r="AC112" s="261"/>
      <c r="AD112" s="261"/>
      <c r="AE112" s="261"/>
    </row>
    <row r="113" s="31" customFormat="1" ht="16" customHeight="1" spans="1:31">
      <c r="A113" s="258">
        <v>108</v>
      </c>
      <c r="B113" s="101"/>
      <c r="C113" s="101"/>
      <c r="D113" s="301"/>
      <c r="E113" s="295"/>
      <c r="F113" s="296"/>
      <c r="G113" s="297"/>
      <c r="H113" s="298">
        <f t="shared" si="6"/>
        <v>0</v>
      </c>
      <c r="I113" s="77"/>
      <c r="J113" s="173">
        <f t="shared" si="4"/>
        <v>0</v>
      </c>
      <c r="K113" s="269"/>
      <c r="L113" s="299">
        <f t="shared" si="7"/>
        <v>0</v>
      </c>
      <c r="M113" s="260"/>
      <c r="N113" s="102"/>
      <c r="O113" s="300"/>
      <c r="P113" s="260"/>
      <c r="Q113" s="300"/>
      <c r="R113" s="300"/>
      <c r="S113" s="300"/>
      <c r="T113" s="300"/>
      <c r="U113" s="260"/>
      <c r="V113" s="261"/>
      <c r="W113" s="261"/>
      <c r="X113" s="261"/>
      <c r="Y113" s="261"/>
      <c r="Z113" s="261"/>
      <c r="AA113" s="261"/>
      <c r="AB113" s="261"/>
      <c r="AC113" s="261"/>
      <c r="AD113" s="261"/>
      <c r="AE113" s="261"/>
    </row>
    <row r="114" s="31" customFormat="1" ht="16" customHeight="1" spans="1:31">
      <c r="A114" s="258">
        <v>109</v>
      </c>
      <c r="B114" s="101"/>
      <c r="C114" s="101"/>
      <c r="D114" s="301"/>
      <c r="E114" s="295"/>
      <c r="F114" s="296"/>
      <c r="G114" s="297"/>
      <c r="H114" s="298">
        <f t="shared" si="6"/>
        <v>0</v>
      </c>
      <c r="I114" s="77"/>
      <c r="J114" s="173">
        <f t="shared" si="4"/>
        <v>0</v>
      </c>
      <c r="K114" s="269"/>
      <c r="L114" s="299">
        <f t="shared" si="7"/>
        <v>0</v>
      </c>
      <c r="M114" s="260"/>
      <c r="N114" s="102"/>
      <c r="O114" s="300"/>
      <c r="P114" s="260"/>
      <c r="Q114" s="300"/>
      <c r="R114" s="300"/>
      <c r="S114" s="300"/>
      <c r="T114" s="300"/>
      <c r="U114" s="260"/>
      <c r="V114" s="261"/>
      <c r="W114" s="261"/>
      <c r="X114" s="261"/>
      <c r="Y114" s="261"/>
      <c r="Z114" s="261"/>
      <c r="AA114" s="261"/>
      <c r="AB114" s="261"/>
      <c r="AC114" s="261"/>
      <c r="AD114" s="261"/>
      <c r="AE114" s="261"/>
    </row>
    <row r="115" s="31" customFormat="1" ht="16" customHeight="1" spans="1:31">
      <c r="A115" s="258">
        <v>110</v>
      </c>
      <c r="B115" s="101"/>
      <c r="C115" s="101"/>
      <c r="D115" s="301"/>
      <c r="E115" s="295"/>
      <c r="F115" s="296"/>
      <c r="G115" s="297"/>
      <c r="H115" s="298">
        <f t="shared" si="6"/>
        <v>0</v>
      </c>
      <c r="I115" s="77"/>
      <c r="J115" s="173">
        <f t="shared" si="4"/>
        <v>0</v>
      </c>
      <c r="K115" s="269"/>
      <c r="L115" s="299">
        <f t="shared" si="7"/>
        <v>0</v>
      </c>
      <c r="M115" s="260"/>
      <c r="N115" s="102"/>
      <c r="O115" s="300"/>
      <c r="P115" s="260"/>
      <c r="Q115" s="300"/>
      <c r="R115" s="300"/>
      <c r="S115" s="300"/>
      <c r="T115" s="300"/>
      <c r="U115" s="260"/>
      <c r="V115" s="261"/>
      <c r="W115" s="261"/>
      <c r="X115" s="261"/>
      <c r="Y115" s="261"/>
      <c r="Z115" s="261"/>
      <c r="AA115" s="261"/>
      <c r="AB115" s="261"/>
      <c r="AC115" s="261"/>
      <c r="AD115" s="261"/>
      <c r="AE115" s="261"/>
    </row>
    <row r="116" s="31" customFormat="1" ht="16" customHeight="1" spans="1:31">
      <c r="A116" s="258">
        <v>111</v>
      </c>
      <c r="B116" s="101"/>
      <c r="C116" s="101"/>
      <c r="D116" s="301"/>
      <c r="E116" s="295"/>
      <c r="F116" s="296"/>
      <c r="G116" s="297"/>
      <c r="H116" s="298">
        <f t="shared" si="6"/>
        <v>0</v>
      </c>
      <c r="I116" s="77"/>
      <c r="J116" s="173">
        <f t="shared" si="4"/>
        <v>0</v>
      </c>
      <c r="K116" s="269"/>
      <c r="L116" s="299">
        <f t="shared" si="7"/>
        <v>0</v>
      </c>
      <c r="M116" s="260"/>
      <c r="N116" s="102"/>
      <c r="O116" s="300"/>
      <c r="P116" s="260"/>
      <c r="Q116" s="300"/>
      <c r="R116" s="300"/>
      <c r="S116" s="300"/>
      <c r="T116" s="300"/>
      <c r="U116" s="260"/>
      <c r="V116" s="261"/>
      <c r="W116" s="261"/>
      <c r="X116" s="261"/>
      <c r="Y116" s="261"/>
      <c r="Z116" s="261"/>
      <c r="AA116" s="261"/>
      <c r="AB116" s="261"/>
      <c r="AC116" s="261"/>
      <c r="AD116" s="261"/>
      <c r="AE116" s="261"/>
    </row>
    <row r="117" s="31" customFormat="1" ht="16" customHeight="1" spans="1:31">
      <c r="A117" s="258">
        <v>112</v>
      </c>
      <c r="B117" s="101"/>
      <c r="C117" s="101"/>
      <c r="D117" s="301"/>
      <c r="E117" s="295"/>
      <c r="F117" s="296"/>
      <c r="G117" s="297"/>
      <c r="H117" s="298">
        <f t="shared" si="6"/>
        <v>0</v>
      </c>
      <c r="I117" s="77"/>
      <c r="J117" s="173">
        <f t="shared" si="4"/>
        <v>0</v>
      </c>
      <c r="K117" s="269"/>
      <c r="L117" s="299">
        <f t="shared" si="7"/>
        <v>0</v>
      </c>
      <c r="M117" s="260"/>
      <c r="N117" s="102"/>
      <c r="O117" s="300"/>
      <c r="P117" s="260"/>
      <c r="Q117" s="300"/>
      <c r="R117" s="300"/>
      <c r="S117" s="300"/>
      <c r="T117" s="300"/>
      <c r="U117" s="260"/>
      <c r="V117" s="261"/>
      <c r="W117" s="261"/>
      <c r="X117" s="261"/>
      <c r="Y117" s="261"/>
      <c r="Z117" s="261"/>
      <c r="AA117" s="261"/>
      <c r="AB117" s="261"/>
      <c r="AC117" s="261"/>
      <c r="AD117" s="261"/>
      <c r="AE117" s="261"/>
    </row>
    <row r="118" s="31" customFormat="1" ht="16" customHeight="1" spans="1:31">
      <c r="A118" s="258">
        <v>113</v>
      </c>
      <c r="B118" s="101"/>
      <c r="C118" s="101"/>
      <c r="D118" s="301"/>
      <c r="E118" s="295"/>
      <c r="F118" s="296"/>
      <c r="G118" s="297"/>
      <c r="H118" s="298">
        <f t="shared" si="6"/>
        <v>0</v>
      </c>
      <c r="I118" s="77"/>
      <c r="J118" s="173">
        <f t="shared" si="4"/>
        <v>0</v>
      </c>
      <c r="K118" s="269"/>
      <c r="L118" s="299">
        <f t="shared" si="7"/>
        <v>0</v>
      </c>
      <c r="M118" s="260"/>
      <c r="N118" s="102"/>
      <c r="O118" s="300"/>
      <c r="P118" s="260"/>
      <c r="Q118" s="300"/>
      <c r="R118" s="300"/>
      <c r="S118" s="300"/>
      <c r="T118" s="300"/>
      <c r="U118" s="260"/>
      <c r="V118" s="261"/>
      <c r="W118" s="261"/>
      <c r="X118" s="261"/>
      <c r="Y118" s="261"/>
      <c r="Z118" s="261"/>
      <c r="AA118" s="261"/>
      <c r="AB118" s="261"/>
      <c r="AC118" s="261"/>
      <c r="AD118" s="261"/>
      <c r="AE118" s="261"/>
    </row>
    <row r="119" s="31" customFormat="1" ht="16" customHeight="1" spans="1:31">
      <c r="A119" s="258">
        <v>114</v>
      </c>
      <c r="B119" s="101"/>
      <c r="C119" s="101"/>
      <c r="D119" s="301"/>
      <c r="E119" s="295"/>
      <c r="F119" s="296"/>
      <c r="G119" s="297"/>
      <c r="H119" s="298">
        <f t="shared" si="6"/>
        <v>0</v>
      </c>
      <c r="I119" s="77"/>
      <c r="J119" s="173">
        <f t="shared" si="4"/>
        <v>0</v>
      </c>
      <c r="K119" s="269"/>
      <c r="L119" s="299">
        <f t="shared" si="7"/>
        <v>0</v>
      </c>
      <c r="M119" s="260"/>
      <c r="N119" s="102"/>
      <c r="O119" s="300"/>
      <c r="P119" s="260"/>
      <c r="Q119" s="300"/>
      <c r="R119" s="300"/>
      <c r="S119" s="300"/>
      <c r="T119" s="300"/>
      <c r="U119" s="260"/>
      <c r="V119" s="261"/>
      <c r="W119" s="261"/>
      <c r="X119" s="261"/>
      <c r="Y119" s="261"/>
      <c r="Z119" s="261"/>
      <c r="AA119" s="261"/>
      <c r="AB119" s="261"/>
      <c r="AC119" s="261"/>
      <c r="AD119" s="261"/>
      <c r="AE119" s="261"/>
    </row>
    <row r="120" s="31" customFormat="1" ht="16" customHeight="1" spans="1:31">
      <c r="A120" s="258">
        <v>115</v>
      </c>
      <c r="B120" s="101"/>
      <c r="C120" s="101"/>
      <c r="D120" s="301"/>
      <c r="E120" s="295"/>
      <c r="F120" s="296"/>
      <c r="G120" s="297"/>
      <c r="H120" s="298">
        <f t="shared" si="6"/>
        <v>0</v>
      </c>
      <c r="I120" s="77"/>
      <c r="J120" s="173">
        <f t="shared" si="4"/>
        <v>0</v>
      </c>
      <c r="K120" s="269"/>
      <c r="L120" s="299">
        <f t="shared" si="7"/>
        <v>0</v>
      </c>
      <c r="M120" s="260"/>
      <c r="N120" s="102"/>
      <c r="O120" s="300"/>
      <c r="P120" s="260"/>
      <c r="Q120" s="300"/>
      <c r="R120" s="300"/>
      <c r="S120" s="300"/>
      <c r="T120" s="300"/>
      <c r="U120" s="260"/>
      <c r="V120" s="261"/>
      <c r="W120" s="261"/>
      <c r="X120" s="261"/>
      <c r="Y120" s="261"/>
      <c r="Z120" s="261"/>
      <c r="AA120" s="261"/>
      <c r="AB120" s="261"/>
      <c r="AC120" s="261"/>
      <c r="AD120" s="261"/>
      <c r="AE120" s="261"/>
    </row>
    <row r="121" s="31" customFormat="1" ht="16" customHeight="1" spans="1:31">
      <c r="A121" s="258">
        <v>116</v>
      </c>
      <c r="B121" s="101"/>
      <c r="C121" s="101"/>
      <c r="D121" s="301"/>
      <c r="E121" s="295"/>
      <c r="F121" s="296"/>
      <c r="G121" s="297"/>
      <c r="H121" s="298">
        <f t="shared" si="6"/>
        <v>0</v>
      </c>
      <c r="I121" s="77"/>
      <c r="J121" s="173">
        <f t="shared" si="4"/>
        <v>0</v>
      </c>
      <c r="K121" s="269"/>
      <c r="L121" s="299">
        <f t="shared" si="7"/>
        <v>0</v>
      </c>
      <c r="M121" s="260"/>
      <c r="N121" s="102"/>
      <c r="O121" s="300"/>
      <c r="P121" s="260"/>
      <c r="Q121" s="300"/>
      <c r="R121" s="300"/>
      <c r="S121" s="300"/>
      <c r="T121" s="300"/>
      <c r="U121" s="260"/>
      <c r="V121" s="261"/>
      <c r="W121" s="261"/>
      <c r="X121" s="261"/>
      <c r="Y121" s="261"/>
      <c r="Z121" s="261"/>
      <c r="AA121" s="261"/>
      <c r="AB121" s="261"/>
      <c r="AC121" s="261"/>
      <c r="AD121" s="261"/>
      <c r="AE121" s="261"/>
    </row>
    <row r="122" s="31" customFormat="1" ht="16" customHeight="1" spans="1:31">
      <c r="A122" s="258">
        <v>117</v>
      </c>
      <c r="B122" s="101"/>
      <c r="C122" s="101"/>
      <c r="D122" s="301"/>
      <c r="E122" s="295"/>
      <c r="F122" s="296"/>
      <c r="G122" s="297"/>
      <c r="H122" s="298">
        <f t="shared" si="6"/>
        <v>0</v>
      </c>
      <c r="I122" s="77"/>
      <c r="J122" s="173">
        <f t="shared" si="4"/>
        <v>0</v>
      </c>
      <c r="K122" s="269"/>
      <c r="L122" s="299">
        <f t="shared" si="7"/>
        <v>0</v>
      </c>
      <c r="M122" s="260"/>
      <c r="N122" s="102"/>
      <c r="O122" s="300"/>
      <c r="P122" s="260"/>
      <c r="Q122" s="300"/>
      <c r="R122" s="300"/>
      <c r="S122" s="300"/>
      <c r="T122" s="300"/>
      <c r="U122" s="260"/>
      <c r="V122" s="261"/>
      <c r="W122" s="261"/>
      <c r="X122" s="261"/>
      <c r="Y122" s="261"/>
      <c r="Z122" s="261"/>
      <c r="AA122" s="261"/>
      <c r="AB122" s="261"/>
      <c r="AC122" s="261"/>
      <c r="AD122" s="261"/>
      <c r="AE122" s="261"/>
    </row>
    <row r="123" s="31" customFormat="1" ht="16" customHeight="1" spans="1:31">
      <c r="A123" s="258">
        <v>118</v>
      </c>
      <c r="B123" s="101"/>
      <c r="C123" s="101"/>
      <c r="D123" s="301"/>
      <c r="E123" s="295"/>
      <c r="F123" s="296"/>
      <c r="G123" s="297"/>
      <c r="H123" s="298">
        <f t="shared" si="6"/>
        <v>0</v>
      </c>
      <c r="I123" s="77"/>
      <c r="J123" s="173">
        <f t="shared" si="4"/>
        <v>0</v>
      </c>
      <c r="K123" s="269"/>
      <c r="L123" s="299">
        <f t="shared" si="7"/>
        <v>0</v>
      </c>
      <c r="M123" s="260"/>
      <c r="N123" s="102"/>
      <c r="O123" s="300"/>
      <c r="P123" s="260"/>
      <c r="Q123" s="300"/>
      <c r="R123" s="300"/>
      <c r="S123" s="300"/>
      <c r="T123" s="300"/>
      <c r="U123" s="260"/>
      <c r="V123" s="261"/>
      <c r="W123" s="261"/>
      <c r="X123" s="261"/>
      <c r="Y123" s="261"/>
      <c r="Z123" s="261"/>
      <c r="AA123" s="261"/>
      <c r="AB123" s="261"/>
      <c r="AC123" s="261"/>
      <c r="AD123" s="261"/>
      <c r="AE123" s="261"/>
    </row>
    <row r="124" s="31" customFormat="1" ht="16" customHeight="1" spans="1:31">
      <c r="A124" s="258">
        <v>119</v>
      </c>
      <c r="B124" s="101"/>
      <c r="C124" s="101"/>
      <c r="D124" s="301"/>
      <c r="E124" s="295"/>
      <c r="F124" s="296"/>
      <c r="G124" s="297"/>
      <c r="H124" s="298">
        <f t="shared" si="6"/>
        <v>0</v>
      </c>
      <c r="I124" s="77"/>
      <c r="J124" s="173">
        <f t="shared" si="4"/>
        <v>0</v>
      </c>
      <c r="K124" s="269"/>
      <c r="L124" s="299">
        <f t="shared" si="7"/>
        <v>0</v>
      </c>
      <c r="M124" s="260"/>
      <c r="N124" s="102"/>
      <c r="O124" s="300"/>
      <c r="P124" s="260"/>
      <c r="Q124" s="300"/>
      <c r="R124" s="300"/>
      <c r="S124" s="300"/>
      <c r="T124" s="300"/>
      <c r="U124" s="260"/>
      <c r="V124" s="261"/>
      <c r="W124" s="261"/>
      <c r="X124" s="261"/>
      <c r="Y124" s="261"/>
      <c r="Z124" s="261"/>
      <c r="AA124" s="261"/>
      <c r="AB124" s="261"/>
      <c r="AC124" s="261"/>
      <c r="AD124" s="261"/>
      <c r="AE124" s="261"/>
    </row>
    <row r="125" s="31" customFormat="1" ht="16" customHeight="1" spans="1:31">
      <c r="A125" s="258">
        <v>120</v>
      </c>
      <c r="B125" s="101"/>
      <c r="C125" s="101"/>
      <c r="D125" s="301"/>
      <c r="E125" s="295"/>
      <c r="F125" s="296"/>
      <c r="G125" s="297"/>
      <c r="H125" s="298">
        <f t="shared" si="6"/>
        <v>0</v>
      </c>
      <c r="I125" s="77"/>
      <c r="J125" s="173">
        <f t="shared" si="4"/>
        <v>0</v>
      </c>
      <c r="K125" s="269"/>
      <c r="L125" s="299">
        <f t="shared" si="7"/>
        <v>0</v>
      </c>
      <c r="M125" s="260"/>
      <c r="N125" s="102"/>
      <c r="O125" s="300"/>
      <c r="P125" s="260"/>
      <c r="Q125" s="300"/>
      <c r="R125" s="300"/>
      <c r="S125" s="300"/>
      <c r="T125" s="300"/>
      <c r="U125" s="260"/>
      <c r="V125" s="261"/>
      <c r="W125" s="261"/>
      <c r="X125" s="261"/>
      <c r="Y125" s="261"/>
      <c r="Z125" s="261"/>
      <c r="AA125" s="261"/>
      <c r="AB125" s="261"/>
      <c r="AC125" s="261"/>
      <c r="AD125" s="261"/>
      <c r="AE125" s="261"/>
    </row>
    <row r="126" s="31" customFormat="1" ht="16" customHeight="1" spans="1:31">
      <c r="A126" s="258">
        <v>121</v>
      </c>
      <c r="B126" s="101"/>
      <c r="C126" s="101"/>
      <c r="D126" s="301"/>
      <c r="E126" s="295"/>
      <c r="F126" s="296"/>
      <c r="G126" s="297"/>
      <c r="H126" s="298">
        <f t="shared" si="6"/>
        <v>0</v>
      </c>
      <c r="I126" s="77"/>
      <c r="J126" s="173">
        <f t="shared" si="4"/>
        <v>0</v>
      </c>
      <c r="K126" s="269"/>
      <c r="L126" s="299">
        <f t="shared" si="7"/>
        <v>0</v>
      </c>
      <c r="M126" s="260"/>
      <c r="N126" s="102"/>
      <c r="O126" s="300"/>
      <c r="P126" s="260"/>
      <c r="Q126" s="300"/>
      <c r="R126" s="300"/>
      <c r="S126" s="300"/>
      <c r="T126" s="300"/>
      <c r="U126" s="260"/>
      <c r="V126" s="261"/>
      <c r="W126" s="261"/>
      <c r="X126" s="261"/>
      <c r="Y126" s="261"/>
      <c r="Z126" s="261"/>
      <c r="AA126" s="261"/>
      <c r="AB126" s="261"/>
      <c r="AC126" s="261"/>
      <c r="AD126" s="261"/>
      <c r="AE126" s="261"/>
    </row>
    <row r="127" s="31" customFormat="1" ht="16" customHeight="1" spans="1:31">
      <c r="A127" s="258">
        <v>122</v>
      </c>
      <c r="B127" s="101"/>
      <c r="C127" s="101"/>
      <c r="D127" s="301"/>
      <c r="E127" s="295"/>
      <c r="F127" s="296"/>
      <c r="G127" s="297"/>
      <c r="H127" s="298">
        <f t="shared" si="6"/>
        <v>0</v>
      </c>
      <c r="I127" s="77"/>
      <c r="J127" s="173">
        <f t="shared" si="4"/>
        <v>0</v>
      </c>
      <c r="K127" s="269"/>
      <c r="L127" s="299">
        <f t="shared" si="7"/>
        <v>0</v>
      </c>
      <c r="M127" s="260"/>
      <c r="N127" s="102"/>
      <c r="O127" s="300"/>
      <c r="P127" s="260"/>
      <c r="Q127" s="300"/>
      <c r="R127" s="300"/>
      <c r="S127" s="300"/>
      <c r="T127" s="300"/>
      <c r="U127" s="260"/>
      <c r="V127" s="261"/>
      <c r="W127" s="261"/>
      <c r="X127" s="261"/>
      <c r="Y127" s="261"/>
      <c r="Z127" s="261"/>
      <c r="AA127" s="261"/>
      <c r="AB127" s="261"/>
      <c r="AC127" s="261"/>
      <c r="AD127" s="261"/>
      <c r="AE127" s="261"/>
    </row>
    <row r="128" s="31" customFormat="1" ht="16" customHeight="1" spans="1:31">
      <c r="A128" s="258">
        <v>123</v>
      </c>
      <c r="B128" s="101"/>
      <c r="C128" s="101"/>
      <c r="D128" s="301"/>
      <c r="E128" s="295"/>
      <c r="F128" s="296"/>
      <c r="G128" s="297"/>
      <c r="H128" s="298">
        <f t="shared" si="6"/>
        <v>0</v>
      </c>
      <c r="I128" s="77"/>
      <c r="J128" s="173">
        <f t="shared" si="4"/>
        <v>0</v>
      </c>
      <c r="K128" s="269"/>
      <c r="L128" s="299">
        <f t="shared" si="7"/>
        <v>0</v>
      </c>
      <c r="M128" s="260"/>
      <c r="N128" s="102"/>
      <c r="O128" s="300"/>
      <c r="P128" s="260"/>
      <c r="Q128" s="300"/>
      <c r="R128" s="300"/>
      <c r="S128" s="300"/>
      <c r="T128" s="300"/>
      <c r="U128" s="260"/>
      <c r="V128" s="261"/>
      <c r="W128" s="261"/>
      <c r="X128" s="261"/>
      <c r="Y128" s="261"/>
      <c r="Z128" s="261"/>
      <c r="AA128" s="261"/>
      <c r="AB128" s="261"/>
      <c r="AC128" s="261"/>
      <c r="AD128" s="261"/>
      <c r="AE128" s="261"/>
    </row>
    <row r="129" s="31" customFormat="1" ht="16" customHeight="1" spans="1:31">
      <c r="A129" s="258">
        <v>124</v>
      </c>
      <c r="B129" s="101"/>
      <c r="C129" s="101"/>
      <c r="D129" s="301"/>
      <c r="E129" s="295"/>
      <c r="F129" s="296"/>
      <c r="G129" s="297"/>
      <c r="H129" s="298">
        <f t="shared" si="6"/>
        <v>0</v>
      </c>
      <c r="I129" s="77"/>
      <c r="J129" s="173">
        <f t="shared" si="4"/>
        <v>0</v>
      </c>
      <c r="K129" s="269"/>
      <c r="L129" s="299">
        <f t="shared" si="7"/>
        <v>0</v>
      </c>
      <c r="M129" s="260"/>
      <c r="N129" s="102"/>
      <c r="O129" s="300"/>
      <c r="P129" s="260"/>
      <c r="Q129" s="300"/>
      <c r="R129" s="300"/>
      <c r="S129" s="300"/>
      <c r="T129" s="300"/>
      <c r="U129" s="260"/>
      <c r="V129" s="261"/>
      <c r="W129" s="261"/>
      <c r="X129" s="261"/>
      <c r="Y129" s="261"/>
      <c r="Z129" s="261"/>
      <c r="AA129" s="261"/>
      <c r="AB129" s="261"/>
      <c r="AC129" s="261"/>
      <c r="AD129" s="261"/>
      <c r="AE129" s="261"/>
    </row>
    <row r="130" s="31" customFormat="1" ht="16" customHeight="1" spans="1:31">
      <c r="A130" s="258">
        <v>125</v>
      </c>
      <c r="B130" s="101"/>
      <c r="C130" s="101"/>
      <c r="D130" s="301"/>
      <c r="E130" s="295"/>
      <c r="F130" s="296"/>
      <c r="G130" s="297"/>
      <c r="H130" s="298">
        <f t="shared" si="6"/>
        <v>0</v>
      </c>
      <c r="I130" s="77"/>
      <c r="J130" s="173">
        <f t="shared" si="4"/>
        <v>0</v>
      </c>
      <c r="K130" s="269"/>
      <c r="L130" s="299">
        <f t="shared" si="7"/>
        <v>0</v>
      </c>
      <c r="M130" s="260"/>
      <c r="N130" s="102"/>
      <c r="O130" s="300"/>
      <c r="P130" s="260"/>
      <c r="Q130" s="300"/>
      <c r="R130" s="300"/>
      <c r="S130" s="300"/>
      <c r="T130" s="300"/>
      <c r="U130" s="260"/>
      <c r="V130" s="261"/>
      <c r="W130" s="261"/>
      <c r="X130" s="261"/>
      <c r="Y130" s="261"/>
      <c r="Z130" s="261"/>
      <c r="AA130" s="261"/>
      <c r="AB130" s="261"/>
      <c r="AC130" s="261"/>
      <c r="AD130" s="261"/>
      <c r="AE130" s="261"/>
    </row>
    <row r="131" s="31" customFormat="1" ht="16" customHeight="1" spans="1:31">
      <c r="A131" s="258">
        <v>126</v>
      </c>
      <c r="B131" s="101"/>
      <c r="C131" s="101"/>
      <c r="D131" s="301"/>
      <c r="E131" s="295"/>
      <c r="F131" s="296"/>
      <c r="G131" s="297"/>
      <c r="H131" s="298">
        <f t="shared" si="6"/>
        <v>0</v>
      </c>
      <c r="I131" s="77"/>
      <c r="J131" s="173">
        <f t="shared" si="4"/>
        <v>0</v>
      </c>
      <c r="K131" s="269"/>
      <c r="L131" s="299">
        <f t="shared" si="7"/>
        <v>0</v>
      </c>
      <c r="M131" s="260"/>
      <c r="N131" s="102"/>
      <c r="O131" s="300"/>
      <c r="P131" s="260"/>
      <c r="Q131" s="300"/>
      <c r="R131" s="300"/>
      <c r="S131" s="300"/>
      <c r="T131" s="300"/>
      <c r="U131" s="260"/>
      <c r="V131" s="261"/>
      <c r="W131" s="261"/>
      <c r="X131" s="261"/>
      <c r="Y131" s="261"/>
      <c r="Z131" s="261"/>
      <c r="AA131" s="261"/>
      <c r="AB131" s="261"/>
      <c r="AC131" s="261"/>
      <c r="AD131" s="261"/>
      <c r="AE131" s="261"/>
    </row>
    <row r="132" s="31" customFormat="1" ht="16" customHeight="1" spans="1:31">
      <c r="A132" s="258">
        <v>127</v>
      </c>
      <c r="B132" s="101"/>
      <c r="C132" s="101"/>
      <c r="D132" s="301"/>
      <c r="E132" s="295"/>
      <c r="F132" s="296"/>
      <c r="G132" s="297"/>
      <c r="H132" s="298">
        <f t="shared" si="6"/>
        <v>0</v>
      </c>
      <c r="I132" s="77"/>
      <c r="J132" s="173">
        <f t="shared" si="4"/>
        <v>0</v>
      </c>
      <c r="K132" s="269"/>
      <c r="L132" s="299">
        <f t="shared" si="7"/>
        <v>0</v>
      </c>
      <c r="M132" s="260"/>
      <c r="N132" s="102"/>
      <c r="O132" s="300"/>
      <c r="P132" s="260"/>
      <c r="Q132" s="300"/>
      <c r="R132" s="300"/>
      <c r="S132" s="300"/>
      <c r="T132" s="300"/>
      <c r="U132" s="260"/>
      <c r="V132" s="261"/>
      <c r="W132" s="261"/>
      <c r="X132" s="261"/>
      <c r="Y132" s="261"/>
      <c r="Z132" s="261"/>
      <c r="AA132" s="261"/>
      <c r="AB132" s="261"/>
      <c r="AC132" s="261"/>
      <c r="AD132" s="261"/>
      <c r="AE132" s="261"/>
    </row>
    <row r="133" s="31" customFormat="1" ht="16" customHeight="1" spans="1:31">
      <c r="A133" s="258">
        <v>128</v>
      </c>
      <c r="B133" s="101"/>
      <c r="C133" s="101"/>
      <c r="D133" s="301"/>
      <c r="E133" s="295"/>
      <c r="F133" s="296"/>
      <c r="G133" s="297"/>
      <c r="H133" s="298">
        <f t="shared" si="6"/>
        <v>0</v>
      </c>
      <c r="I133" s="77"/>
      <c r="J133" s="173">
        <f t="shared" si="4"/>
        <v>0</v>
      </c>
      <c r="K133" s="269"/>
      <c r="L133" s="299">
        <f t="shared" si="7"/>
        <v>0</v>
      </c>
      <c r="M133" s="260"/>
      <c r="N133" s="102"/>
      <c r="O133" s="300"/>
      <c r="P133" s="260"/>
      <c r="Q133" s="300"/>
      <c r="R133" s="300"/>
      <c r="S133" s="300"/>
      <c r="T133" s="300"/>
      <c r="U133" s="260"/>
      <c r="V133" s="261"/>
      <c r="W133" s="261"/>
      <c r="X133" s="261"/>
      <c r="Y133" s="261"/>
      <c r="Z133" s="261"/>
      <c r="AA133" s="261"/>
      <c r="AB133" s="261"/>
      <c r="AC133" s="261"/>
      <c r="AD133" s="261"/>
      <c r="AE133" s="261"/>
    </row>
    <row r="134" s="31" customFormat="1" ht="16" customHeight="1" spans="1:31">
      <c r="A134" s="258">
        <v>129</v>
      </c>
      <c r="B134" s="101"/>
      <c r="C134" s="101"/>
      <c r="D134" s="301"/>
      <c r="E134" s="295"/>
      <c r="F134" s="296"/>
      <c r="G134" s="297"/>
      <c r="H134" s="298">
        <f t="shared" si="6"/>
        <v>0</v>
      </c>
      <c r="I134" s="77"/>
      <c r="J134" s="173">
        <f t="shared" ref="J134:J145" si="8">ROUND(H134+I134,2)</f>
        <v>0</v>
      </c>
      <c r="K134" s="269"/>
      <c r="L134" s="299">
        <f t="shared" si="7"/>
        <v>0</v>
      </c>
      <c r="M134" s="260"/>
      <c r="N134" s="102"/>
      <c r="O134" s="300"/>
      <c r="P134" s="260"/>
      <c r="Q134" s="300"/>
      <c r="R134" s="300"/>
      <c r="S134" s="300"/>
      <c r="T134" s="300"/>
      <c r="U134" s="260"/>
      <c r="V134" s="261"/>
      <c r="W134" s="261"/>
      <c r="X134" s="261"/>
      <c r="Y134" s="261"/>
      <c r="Z134" s="261"/>
      <c r="AA134" s="261"/>
      <c r="AB134" s="261"/>
      <c r="AC134" s="261"/>
      <c r="AD134" s="261"/>
      <c r="AE134" s="261"/>
    </row>
    <row r="135" s="31" customFormat="1" ht="16" customHeight="1" spans="1:31">
      <c r="A135" s="258">
        <v>130</v>
      </c>
      <c r="B135" s="101"/>
      <c r="C135" s="101"/>
      <c r="D135" s="301"/>
      <c r="E135" s="295"/>
      <c r="F135" s="296"/>
      <c r="G135" s="297"/>
      <c r="H135" s="298">
        <f t="shared" si="6"/>
        <v>0</v>
      </c>
      <c r="I135" s="77"/>
      <c r="J135" s="173">
        <f t="shared" si="8"/>
        <v>0</v>
      </c>
      <c r="K135" s="269"/>
      <c r="L135" s="299">
        <f t="shared" si="7"/>
        <v>0</v>
      </c>
      <c r="M135" s="260"/>
      <c r="N135" s="102"/>
      <c r="O135" s="300"/>
      <c r="P135" s="260"/>
      <c r="Q135" s="300"/>
      <c r="R135" s="300"/>
      <c r="S135" s="300"/>
      <c r="T135" s="300"/>
      <c r="U135" s="260"/>
      <c r="V135" s="261"/>
      <c r="W135" s="261"/>
      <c r="X135" s="261"/>
      <c r="Y135" s="261"/>
      <c r="Z135" s="261"/>
      <c r="AA135" s="261"/>
      <c r="AB135" s="261"/>
      <c r="AC135" s="261"/>
      <c r="AD135" s="261"/>
      <c r="AE135" s="261"/>
    </row>
    <row r="136" s="31" customFormat="1" ht="16" customHeight="1" spans="1:31">
      <c r="A136" s="258">
        <v>131</v>
      </c>
      <c r="B136" s="101"/>
      <c r="C136" s="101"/>
      <c r="D136" s="301"/>
      <c r="E136" s="295"/>
      <c r="F136" s="296"/>
      <c r="G136" s="297"/>
      <c r="H136" s="298">
        <f t="shared" si="6"/>
        <v>0</v>
      </c>
      <c r="I136" s="77"/>
      <c r="J136" s="173">
        <f t="shared" si="8"/>
        <v>0</v>
      </c>
      <c r="K136" s="269"/>
      <c r="L136" s="299">
        <f t="shared" si="7"/>
        <v>0</v>
      </c>
      <c r="M136" s="260"/>
      <c r="N136" s="102"/>
      <c r="O136" s="300"/>
      <c r="P136" s="260"/>
      <c r="Q136" s="300"/>
      <c r="R136" s="300"/>
      <c r="S136" s="300"/>
      <c r="T136" s="300"/>
      <c r="U136" s="260"/>
      <c r="V136" s="261"/>
      <c r="W136" s="261"/>
      <c r="X136" s="261"/>
      <c r="Y136" s="261"/>
      <c r="Z136" s="261"/>
      <c r="AA136" s="261"/>
      <c r="AB136" s="261"/>
      <c r="AC136" s="261"/>
      <c r="AD136" s="261"/>
      <c r="AE136" s="261"/>
    </row>
    <row r="137" s="31" customFormat="1" ht="16" customHeight="1" spans="1:31">
      <c r="A137" s="258">
        <v>132</v>
      </c>
      <c r="B137" s="101"/>
      <c r="C137" s="101"/>
      <c r="D137" s="301"/>
      <c r="E137" s="295"/>
      <c r="F137" s="296"/>
      <c r="G137" s="297"/>
      <c r="H137" s="298">
        <f t="shared" ref="H137:H145" si="9">ROUND(E137+F137-G137,2)</f>
        <v>0</v>
      </c>
      <c r="I137" s="77"/>
      <c r="J137" s="173">
        <f t="shared" si="8"/>
        <v>0</v>
      </c>
      <c r="K137" s="269"/>
      <c r="L137" s="299">
        <f t="shared" si="7"/>
        <v>0</v>
      </c>
      <c r="M137" s="260"/>
      <c r="N137" s="102"/>
      <c r="O137" s="300"/>
      <c r="P137" s="260"/>
      <c r="Q137" s="300"/>
      <c r="R137" s="300"/>
      <c r="S137" s="300"/>
      <c r="T137" s="300"/>
      <c r="U137" s="260"/>
      <c r="V137" s="261"/>
      <c r="W137" s="261"/>
      <c r="X137" s="261"/>
      <c r="Y137" s="261"/>
      <c r="Z137" s="261"/>
      <c r="AA137" s="261"/>
      <c r="AB137" s="261"/>
      <c r="AC137" s="261"/>
      <c r="AD137" s="261"/>
      <c r="AE137" s="261"/>
    </row>
    <row r="138" s="31" customFormat="1" ht="16" customHeight="1" spans="1:31">
      <c r="A138" s="258">
        <v>133</v>
      </c>
      <c r="B138" s="101"/>
      <c r="C138" s="101"/>
      <c r="D138" s="301"/>
      <c r="E138" s="295"/>
      <c r="F138" s="296"/>
      <c r="G138" s="297"/>
      <c r="H138" s="298">
        <f t="shared" si="9"/>
        <v>0</v>
      </c>
      <c r="I138" s="77"/>
      <c r="J138" s="173">
        <f t="shared" si="8"/>
        <v>0</v>
      </c>
      <c r="K138" s="269"/>
      <c r="L138" s="299">
        <f t="shared" si="7"/>
        <v>0</v>
      </c>
      <c r="M138" s="260"/>
      <c r="N138" s="102"/>
      <c r="O138" s="300"/>
      <c r="P138" s="260"/>
      <c r="Q138" s="300"/>
      <c r="R138" s="300"/>
      <c r="S138" s="300"/>
      <c r="T138" s="300"/>
      <c r="U138" s="260"/>
      <c r="V138" s="261"/>
      <c r="W138" s="261"/>
      <c r="X138" s="261"/>
      <c r="Y138" s="261"/>
      <c r="Z138" s="261"/>
      <c r="AA138" s="261"/>
      <c r="AB138" s="261"/>
      <c r="AC138" s="261"/>
      <c r="AD138" s="261"/>
      <c r="AE138" s="261"/>
    </row>
    <row r="139" s="31" customFormat="1" ht="16" customHeight="1" spans="1:31">
      <c r="A139" s="258">
        <v>134</v>
      </c>
      <c r="B139" s="101"/>
      <c r="C139" s="101"/>
      <c r="D139" s="301"/>
      <c r="E139" s="295"/>
      <c r="F139" s="296"/>
      <c r="G139" s="297"/>
      <c r="H139" s="298">
        <f t="shared" si="9"/>
        <v>0</v>
      </c>
      <c r="I139" s="77"/>
      <c r="J139" s="173">
        <f t="shared" si="8"/>
        <v>0</v>
      </c>
      <c r="K139" s="269"/>
      <c r="L139" s="299">
        <f t="shared" si="7"/>
        <v>0</v>
      </c>
      <c r="M139" s="260"/>
      <c r="N139" s="102"/>
      <c r="O139" s="300"/>
      <c r="P139" s="260"/>
      <c r="Q139" s="300"/>
      <c r="R139" s="300"/>
      <c r="S139" s="300"/>
      <c r="T139" s="300"/>
      <c r="U139" s="260"/>
      <c r="V139" s="261"/>
      <c r="W139" s="261"/>
      <c r="X139" s="261"/>
      <c r="Y139" s="261"/>
      <c r="Z139" s="261"/>
      <c r="AA139" s="261"/>
      <c r="AB139" s="261"/>
      <c r="AC139" s="261"/>
      <c r="AD139" s="261"/>
      <c r="AE139" s="261"/>
    </row>
    <row r="140" s="31" customFormat="1" ht="16" customHeight="1" spans="1:31">
      <c r="A140" s="258">
        <v>135</v>
      </c>
      <c r="B140" s="101"/>
      <c r="C140" s="101"/>
      <c r="D140" s="301"/>
      <c r="E140" s="295"/>
      <c r="F140" s="296"/>
      <c r="G140" s="297"/>
      <c r="H140" s="298">
        <f t="shared" si="9"/>
        <v>0</v>
      </c>
      <c r="I140" s="77"/>
      <c r="J140" s="173">
        <f t="shared" si="8"/>
        <v>0</v>
      </c>
      <c r="K140" s="269"/>
      <c r="L140" s="299">
        <f t="shared" si="7"/>
        <v>0</v>
      </c>
      <c r="M140" s="260"/>
      <c r="N140" s="102"/>
      <c r="O140" s="300"/>
      <c r="P140" s="260"/>
      <c r="Q140" s="300"/>
      <c r="R140" s="300"/>
      <c r="S140" s="300"/>
      <c r="T140" s="300"/>
      <c r="U140" s="260"/>
      <c r="V140" s="261"/>
      <c r="W140" s="261"/>
      <c r="X140" s="261"/>
      <c r="Y140" s="261"/>
      <c r="Z140" s="261"/>
      <c r="AA140" s="261"/>
      <c r="AB140" s="261"/>
      <c r="AC140" s="261"/>
      <c r="AD140" s="261"/>
      <c r="AE140" s="261"/>
    </row>
    <row r="141" s="31" customFormat="1" ht="16" customHeight="1" spans="1:31">
      <c r="A141" s="258">
        <v>136</v>
      </c>
      <c r="B141" s="101"/>
      <c r="C141" s="101"/>
      <c r="D141" s="301"/>
      <c r="E141" s="295"/>
      <c r="F141" s="296"/>
      <c r="G141" s="297"/>
      <c r="H141" s="298">
        <f t="shared" si="9"/>
        <v>0</v>
      </c>
      <c r="I141" s="77"/>
      <c r="J141" s="173">
        <f t="shared" si="8"/>
        <v>0</v>
      </c>
      <c r="K141" s="269"/>
      <c r="L141" s="299">
        <f t="shared" si="7"/>
        <v>0</v>
      </c>
      <c r="M141" s="260"/>
      <c r="N141" s="102"/>
      <c r="O141" s="300"/>
      <c r="P141" s="260"/>
      <c r="Q141" s="300"/>
      <c r="R141" s="300"/>
      <c r="S141" s="300"/>
      <c r="T141" s="300"/>
      <c r="U141" s="260"/>
      <c r="V141" s="261"/>
      <c r="W141" s="261"/>
      <c r="X141" s="261"/>
      <c r="Y141" s="261"/>
      <c r="Z141" s="261"/>
      <c r="AA141" s="261"/>
      <c r="AB141" s="261"/>
      <c r="AC141" s="261"/>
      <c r="AD141" s="261"/>
      <c r="AE141" s="261"/>
    </row>
    <row r="142" s="31" customFormat="1" ht="16" customHeight="1" spans="1:31">
      <c r="A142" s="258">
        <v>137</v>
      </c>
      <c r="B142" s="101"/>
      <c r="C142" s="101"/>
      <c r="D142" s="301"/>
      <c r="E142" s="295"/>
      <c r="F142" s="296"/>
      <c r="G142" s="297"/>
      <c r="H142" s="298">
        <f t="shared" si="9"/>
        <v>0</v>
      </c>
      <c r="I142" s="77"/>
      <c r="J142" s="173">
        <f t="shared" si="8"/>
        <v>0</v>
      </c>
      <c r="K142" s="269"/>
      <c r="L142" s="299">
        <f t="shared" si="7"/>
        <v>0</v>
      </c>
      <c r="M142" s="260"/>
      <c r="N142" s="102"/>
      <c r="O142" s="300"/>
      <c r="P142" s="260"/>
      <c r="Q142" s="300"/>
      <c r="R142" s="300"/>
      <c r="S142" s="300"/>
      <c r="T142" s="300"/>
      <c r="U142" s="260"/>
      <c r="V142" s="261"/>
      <c r="W142" s="261"/>
      <c r="X142" s="261"/>
      <c r="Y142" s="261"/>
      <c r="Z142" s="261"/>
      <c r="AA142" s="261"/>
      <c r="AB142" s="261"/>
      <c r="AC142" s="261"/>
      <c r="AD142" s="261"/>
      <c r="AE142" s="261"/>
    </row>
    <row r="143" s="31" customFormat="1" ht="16" customHeight="1" spans="1:31">
      <c r="A143" s="258">
        <v>138</v>
      </c>
      <c r="B143" s="101"/>
      <c r="C143" s="101"/>
      <c r="D143" s="301"/>
      <c r="E143" s="295"/>
      <c r="F143" s="296"/>
      <c r="G143" s="297"/>
      <c r="H143" s="298">
        <f t="shared" si="9"/>
        <v>0</v>
      </c>
      <c r="I143" s="77"/>
      <c r="J143" s="173">
        <f t="shared" si="8"/>
        <v>0</v>
      </c>
      <c r="K143" s="269"/>
      <c r="L143" s="299">
        <f t="shared" si="7"/>
        <v>0</v>
      </c>
      <c r="M143" s="260"/>
      <c r="N143" s="102"/>
      <c r="O143" s="300"/>
      <c r="P143" s="260"/>
      <c r="Q143" s="300"/>
      <c r="R143" s="300"/>
      <c r="S143" s="300"/>
      <c r="T143" s="300"/>
      <c r="U143" s="260"/>
      <c r="V143" s="261"/>
      <c r="W143" s="261"/>
      <c r="X143" s="261"/>
      <c r="Y143" s="261"/>
      <c r="Z143" s="261"/>
      <c r="AA143" s="261"/>
      <c r="AB143" s="261"/>
      <c r="AC143" s="261"/>
      <c r="AD143" s="261"/>
      <c r="AE143" s="261"/>
    </row>
    <row r="144" s="31" customFormat="1" ht="16" customHeight="1" spans="1:31">
      <c r="A144" s="258">
        <v>139</v>
      </c>
      <c r="B144" s="101"/>
      <c r="C144" s="101"/>
      <c r="D144" s="301"/>
      <c r="E144" s="295"/>
      <c r="F144" s="296"/>
      <c r="G144" s="297"/>
      <c r="H144" s="298">
        <f t="shared" si="9"/>
        <v>0</v>
      </c>
      <c r="I144" s="77"/>
      <c r="J144" s="173">
        <f t="shared" si="8"/>
        <v>0</v>
      </c>
      <c r="K144" s="269"/>
      <c r="L144" s="299">
        <f t="shared" si="7"/>
        <v>0</v>
      </c>
      <c r="M144" s="260"/>
      <c r="N144" s="102"/>
      <c r="O144" s="300"/>
      <c r="P144" s="260"/>
      <c r="Q144" s="300"/>
      <c r="R144" s="300"/>
      <c r="S144" s="300"/>
      <c r="T144" s="300"/>
      <c r="U144" s="260"/>
      <c r="V144" s="261"/>
      <c r="W144" s="261"/>
      <c r="X144" s="261"/>
      <c r="Y144" s="261"/>
      <c r="Z144" s="261"/>
      <c r="AA144" s="261"/>
      <c r="AB144" s="261"/>
      <c r="AC144" s="261"/>
      <c r="AD144" s="261"/>
      <c r="AE144" s="261"/>
    </row>
    <row r="145" s="31" customFormat="1" ht="16" customHeight="1" spans="1:31">
      <c r="A145" s="258">
        <v>140</v>
      </c>
      <c r="B145" s="101"/>
      <c r="C145" s="101"/>
      <c r="D145" s="301"/>
      <c r="E145" s="295"/>
      <c r="F145" s="296"/>
      <c r="G145" s="297"/>
      <c r="H145" s="298">
        <f t="shared" si="9"/>
        <v>0</v>
      </c>
      <c r="I145" s="77"/>
      <c r="J145" s="173">
        <f t="shared" si="8"/>
        <v>0</v>
      </c>
      <c r="K145" s="269"/>
      <c r="L145" s="299">
        <f t="shared" si="7"/>
        <v>0</v>
      </c>
      <c r="M145" s="260"/>
      <c r="N145" s="102"/>
      <c r="O145" s="300"/>
      <c r="P145" s="260"/>
      <c r="Q145" s="300"/>
      <c r="R145" s="300"/>
      <c r="S145" s="300"/>
      <c r="T145" s="300"/>
      <c r="U145" s="260"/>
      <c r="V145" s="261"/>
      <c r="W145" s="261"/>
      <c r="X145" s="261"/>
      <c r="Y145" s="261"/>
      <c r="Z145" s="261"/>
      <c r="AA145" s="261"/>
      <c r="AB145" s="261"/>
      <c r="AC145" s="261"/>
      <c r="AD145" s="261"/>
      <c r="AE145" s="261"/>
    </row>
    <row r="146" s="32" customFormat="1" ht="17" customHeight="1" spans="1:31">
      <c r="A146" s="303" t="s">
        <v>420</v>
      </c>
      <c r="B146" s="304"/>
      <c r="C146" s="304"/>
      <c r="D146" s="262"/>
      <c r="E146" s="173">
        <f>ROUND(SUM(E6:E145),2)</f>
        <v>0</v>
      </c>
      <c r="F146" s="173">
        <f t="shared" ref="F146:K146" si="10">ROUND(SUM(F6:F145),2)</f>
        <v>0</v>
      </c>
      <c r="G146" s="173">
        <f t="shared" si="10"/>
        <v>0</v>
      </c>
      <c r="H146" s="298">
        <f t="shared" si="10"/>
        <v>0</v>
      </c>
      <c r="I146" s="173">
        <f t="shared" si="10"/>
        <v>0</v>
      </c>
      <c r="J146" s="173">
        <f t="shared" si="10"/>
        <v>0</v>
      </c>
      <c r="K146" s="173">
        <f t="shared" si="10"/>
        <v>0</v>
      </c>
      <c r="L146" s="299">
        <f t="shared" si="7"/>
        <v>0</v>
      </c>
      <c r="M146" s="264"/>
      <c r="N146" s="264">
        <f>ROUND(SUM(N6:N145),2)</f>
        <v>0</v>
      </c>
      <c r="O146" s="264"/>
      <c r="P146" s="264"/>
      <c r="Q146" s="264"/>
      <c r="R146" s="264"/>
      <c r="S146" s="264"/>
      <c r="T146" s="264"/>
      <c r="U146" s="264"/>
      <c r="V146" s="305"/>
      <c r="W146" s="28"/>
      <c r="X146" s="28"/>
      <c r="Y146" s="28"/>
      <c r="Z146" s="28"/>
      <c r="AA146" s="28"/>
      <c r="AB146" s="28"/>
      <c r="AC146" s="28"/>
      <c r="AD146" s="28"/>
      <c r="AE146" s="28"/>
    </row>
    <row r="147" ht="17" customHeight="1" spans="1:31">
      <c r="A147" s="303" t="s">
        <v>421</v>
      </c>
      <c r="B147" s="304"/>
      <c r="C147" s="304"/>
      <c r="D147" s="262"/>
      <c r="E147" s="295"/>
      <c r="F147" s="134"/>
      <c r="G147" s="134"/>
      <c r="H147" s="306">
        <f>E147+G147-F147</f>
        <v>0</v>
      </c>
      <c r="I147" s="174"/>
      <c r="J147" s="82">
        <f>H147+I147</f>
        <v>0</v>
      </c>
      <c r="K147" s="307"/>
      <c r="L147" s="299">
        <f t="shared" si="7"/>
        <v>0</v>
      </c>
      <c r="M147" s="50"/>
      <c r="N147" s="50"/>
      <c r="O147" s="50"/>
      <c r="P147" s="50"/>
      <c r="Q147" s="50"/>
      <c r="R147" s="50"/>
      <c r="S147" s="50"/>
      <c r="T147" s="50"/>
      <c r="U147" s="50"/>
    </row>
    <row r="148" ht="17" customHeight="1" spans="1:31">
      <c r="A148" s="303" t="s">
        <v>422</v>
      </c>
      <c r="B148" s="304"/>
      <c r="C148" s="304"/>
      <c r="D148" s="262"/>
      <c r="E148" s="173">
        <f>ROUND(E146-E147,2)</f>
        <v>0</v>
      </c>
      <c r="F148" s="173"/>
      <c r="G148" s="173"/>
      <c r="H148" s="298">
        <f t="shared" ref="H148:K148" si="11">ROUND(H146-H147,2)</f>
        <v>0</v>
      </c>
      <c r="I148" s="173">
        <f t="shared" si="11"/>
        <v>0</v>
      </c>
      <c r="J148" s="173">
        <f t="shared" si="11"/>
        <v>0</v>
      </c>
      <c r="K148" s="173">
        <f t="shared" si="11"/>
        <v>0</v>
      </c>
      <c r="L148" s="299">
        <f t="shared" si="7"/>
        <v>0</v>
      </c>
      <c r="M148" s="264"/>
      <c r="N148" s="264"/>
      <c r="O148" s="264"/>
      <c r="P148" s="264"/>
      <c r="Q148" s="264"/>
      <c r="R148" s="264"/>
      <c r="S148" s="264"/>
      <c r="T148" s="264"/>
      <c r="U148" s="264"/>
    </row>
    <row r="150" ht="24" customHeight="1" spans="1:31">
      <c r="B150" s="29" t="s">
        <v>218</v>
      </c>
    </row>
  </sheetData>
  <autoFilter xmlns:etc="http://www.wps.cn/officeDocument/2017/etCustomData" ref="A5:AE148" etc:filterBottomFollowUsedRange="0">
    <extLst/>
  </autoFilter>
  <mergeCells count="22">
    <mergeCell ref="A1:O1"/>
    <mergeCell ref="E4:I4"/>
    <mergeCell ref="V4:AE4"/>
    <mergeCell ref="A146:B146"/>
    <mergeCell ref="A147:B147"/>
    <mergeCell ref="A148:B148"/>
    <mergeCell ref="A4:A5"/>
    <mergeCell ref="B4:B5"/>
    <mergeCell ref="C4:C5"/>
    <mergeCell ref="D4:D5"/>
    <mergeCell ref="J4:J5"/>
    <mergeCell ref="K4:K5"/>
    <mergeCell ref="L4:L5"/>
    <mergeCell ref="M4:M5"/>
    <mergeCell ref="N4:N5"/>
    <mergeCell ref="O4:O5"/>
    <mergeCell ref="P4:P5"/>
    <mergeCell ref="Q4:Q5"/>
    <mergeCell ref="R4:R5"/>
    <mergeCell ref="S4:S5"/>
    <mergeCell ref="T4:T5"/>
    <mergeCell ref="U4:U5"/>
  </mergeCells>
  <dataValidations count="1">
    <dataValidation type="list" allowBlank="1" showInputMessage="1" showErrorMessage="1" sqref="M6:M145 P6:P145 U6:U145">
      <formula1>"√"</formula1>
    </dataValidation>
  </dataValidation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23"/>
  <sheetViews>
    <sheetView zoomScale="90" zoomScaleNormal="90" workbookViewId="0">
      <selection activeCell="J29" sqref="J29"/>
    </sheetView>
  </sheetViews>
  <sheetFormatPr defaultColWidth="8.73148148148148" defaultRowHeight="14.4"/>
  <cols>
    <col min="1" max="1" width="7.18518518518519" customWidth="1"/>
    <col min="2" max="2" width="13.4259259259259" customWidth="1"/>
    <col min="3" max="3" width="14.2685185185185" customWidth="1"/>
    <col min="4" max="4" width="15.8518518518519" customWidth="1"/>
    <col min="5" max="5" width="14.9444444444444" customWidth="1"/>
    <col min="6" max="6" width="12.0185185185185" customWidth="1"/>
    <col min="7" max="7" width="11.712962962963" customWidth="1"/>
    <col min="8" max="8" width="13.4351851851852" customWidth="1"/>
    <col min="9" max="9" width="12.7314814814815" customWidth="1"/>
    <col min="10" max="10" width="15.037037037037" customWidth="1"/>
    <col min="12" max="12" width="9.73148148148148" customWidth="1"/>
    <col min="13" max="13" width="10.0925925925926" customWidth="1"/>
  </cols>
  <sheetData>
    <row r="1" ht="22" customHeight="1" spans="1:10">
      <c r="A1" s="209" t="s">
        <v>423</v>
      </c>
      <c r="B1" s="209"/>
      <c r="C1" s="209"/>
      <c r="D1" s="209"/>
      <c r="E1" s="209"/>
      <c r="F1" s="209"/>
      <c r="G1" s="209"/>
      <c r="H1" s="209"/>
      <c r="I1" s="209"/>
      <c r="J1" s="209"/>
    </row>
    <row r="2" spans="1:10">
      <c r="A2" s="2" t="str">
        <f>备忘录!$A$1</f>
        <v>被审计单位：福禄福擎网络科技有限公司</v>
      </c>
      <c r="B2" s="30"/>
      <c r="C2" s="210"/>
      <c r="D2" s="210"/>
      <c r="E2" s="210" t="s">
        <v>193</v>
      </c>
      <c r="G2" s="210"/>
      <c r="H2" s="211" t="str">
        <f>备忘录!$C$2</f>
        <v>日期：2025/10/30</v>
      </c>
      <c r="I2" s="210"/>
      <c r="J2" s="210"/>
    </row>
    <row r="3" spans="1:10">
      <c r="A3" s="2" t="str">
        <f>备忘录!$A$2</f>
        <v>财务报表截止日：2025/9/30</v>
      </c>
      <c r="B3" s="30"/>
      <c r="C3" s="210"/>
      <c r="D3" s="210"/>
      <c r="E3" s="210" t="s">
        <v>194</v>
      </c>
      <c r="G3" s="210"/>
      <c r="H3" s="211" t="str">
        <f>备忘录!$C$3</f>
        <v>日期：2025/10/31</v>
      </c>
      <c r="I3" s="210"/>
      <c r="J3" s="210"/>
    </row>
    <row r="4" ht="18" customHeight="1" spans="1:10">
      <c r="A4" s="276" t="s">
        <v>424</v>
      </c>
      <c r="B4" s="277" t="s">
        <v>425</v>
      </c>
      <c r="C4" s="277" t="s">
        <v>426</v>
      </c>
      <c r="D4" s="277" t="s">
        <v>427</v>
      </c>
      <c r="E4" s="278" t="s">
        <v>428</v>
      </c>
      <c r="F4" s="279" t="s">
        <v>429</v>
      </c>
      <c r="G4" s="280" t="s">
        <v>430</v>
      </c>
      <c r="H4" s="280"/>
      <c r="I4" s="280"/>
      <c r="J4" s="280"/>
    </row>
    <row r="5" ht="18" customHeight="1" spans="1:10">
      <c r="A5" s="276"/>
      <c r="B5" s="277"/>
      <c r="C5" s="277"/>
      <c r="D5" s="277"/>
      <c r="E5" s="281"/>
      <c r="F5" s="282"/>
      <c r="G5" s="280" t="s">
        <v>431</v>
      </c>
      <c r="H5" s="280" t="s">
        <v>213</v>
      </c>
      <c r="I5" s="280" t="s">
        <v>429</v>
      </c>
      <c r="J5" s="280" t="s">
        <v>224</v>
      </c>
    </row>
    <row r="6" spans="1:10">
      <c r="A6" s="258">
        <v>1</v>
      </c>
      <c r="B6" s="283" t="s">
        <v>104</v>
      </c>
      <c r="C6" s="50"/>
      <c r="D6" s="50"/>
      <c r="E6" s="50"/>
      <c r="F6" s="50"/>
      <c r="G6" s="50"/>
      <c r="H6" s="50"/>
      <c r="I6" s="50"/>
      <c r="J6" s="284">
        <f t="shared" ref="J6:J20" si="0">E6-H6</f>
        <v>0</v>
      </c>
    </row>
    <row r="7" spans="1:10">
      <c r="A7" s="258">
        <v>2</v>
      </c>
      <c r="B7" s="283" t="s">
        <v>119</v>
      </c>
      <c r="C7" s="50"/>
      <c r="D7" s="50"/>
      <c r="E7" s="50"/>
      <c r="F7" s="50"/>
      <c r="G7" s="50"/>
      <c r="H7" s="50"/>
      <c r="I7" s="50"/>
      <c r="J7" s="284">
        <f t="shared" si="0"/>
        <v>0</v>
      </c>
    </row>
    <row r="8" spans="1:10">
      <c r="A8" s="258">
        <v>3</v>
      </c>
      <c r="B8" s="283" t="s">
        <v>114</v>
      </c>
      <c r="C8" s="50"/>
      <c r="D8" s="50"/>
      <c r="E8" s="50"/>
      <c r="F8" s="50"/>
      <c r="G8" s="50"/>
      <c r="H8" s="50"/>
      <c r="I8" s="50"/>
      <c r="J8" s="284">
        <f t="shared" si="0"/>
        <v>0</v>
      </c>
    </row>
    <row r="9" spans="1:10">
      <c r="A9" s="258">
        <v>4</v>
      </c>
      <c r="B9" s="283" t="s">
        <v>133</v>
      </c>
      <c r="C9" s="50"/>
      <c r="D9" s="50"/>
      <c r="E9" s="50"/>
      <c r="F9" s="50"/>
      <c r="G9" s="50"/>
      <c r="H9" s="50"/>
      <c r="I9" s="50"/>
      <c r="J9" s="284">
        <f t="shared" si="0"/>
        <v>0</v>
      </c>
    </row>
    <row r="10" spans="1:10">
      <c r="A10" s="258">
        <v>5</v>
      </c>
      <c r="B10" s="285"/>
      <c r="C10" s="50"/>
      <c r="D10" s="50"/>
      <c r="E10" s="50"/>
      <c r="F10" s="50"/>
      <c r="G10" s="50"/>
      <c r="H10" s="50"/>
      <c r="I10" s="50"/>
      <c r="J10" s="284">
        <f t="shared" si="0"/>
        <v>0</v>
      </c>
    </row>
    <row r="11" spans="1:10">
      <c r="A11" s="258">
        <v>6</v>
      </c>
      <c r="B11" s="285"/>
      <c r="C11" s="50"/>
      <c r="D11" s="50"/>
      <c r="E11" s="50"/>
      <c r="F11" s="50"/>
      <c r="G11" s="50"/>
      <c r="H11" s="50"/>
      <c r="I11" s="50"/>
      <c r="J11" s="284">
        <f t="shared" si="0"/>
        <v>0</v>
      </c>
    </row>
    <row r="12" spans="1:10">
      <c r="A12" s="258">
        <v>7</v>
      </c>
      <c r="B12" s="285"/>
      <c r="C12" s="50"/>
      <c r="D12" s="50"/>
      <c r="E12" s="50"/>
      <c r="F12" s="50"/>
      <c r="G12" s="50"/>
      <c r="H12" s="50"/>
      <c r="I12" s="50"/>
      <c r="J12" s="284">
        <f t="shared" si="0"/>
        <v>0</v>
      </c>
    </row>
    <row r="13" spans="1:10">
      <c r="A13" s="258">
        <v>8</v>
      </c>
      <c r="B13" s="285"/>
      <c r="C13" s="50"/>
      <c r="D13" s="50"/>
      <c r="E13" s="50"/>
      <c r="F13" s="50"/>
      <c r="G13" s="50"/>
      <c r="H13" s="50"/>
      <c r="I13" s="50"/>
      <c r="J13" s="284">
        <f t="shared" si="0"/>
        <v>0</v>
      </c>
    </row>
    <row r="14" spans="1:10">
      <c r="A14" s="258">
        <v>9</v>
      </c>
      <c r="B14" s="285"/>
      <c r="C14" s="50"/>
      <c r="D14" s="50"/>
      <c r="E14" s="50"/>
      <c r="F14" s="50"/>
      <c r="G14" s="50"/>
      <c r="H14" s="50"/>
      <c r="I14" s="50"/>
      <c r="J14" s="284">
        <f t="shared" si="0"/>
        <v>0</v>
      </c>
    </row>
    <row r="15" spans="1:10">
      <c r="A15" s="258">
        <v>10</v>
      </c>
      <c r="B15" s="285"/>
      <c r="C15" s="50"/>
      <c r="D15" s="50"/>
      <c r="E15" s="50"/>
      <c r="F15" s="50"/>
      <c r="G15" s="50"/>
      <c r="H15" s="50"/>
      <c r="I15" s="50"/>
      <c r="J15" s="284">
        <f t="shared" si="0"/>
        <v>0</v>
      </c>
    </row>
    <row r="16" spans="1:10">
      <c r="A16" s="258">
        <v>11</v>
      </c>
      <c r="B16" s="285"/>
      <c r="C16" s="50"/>
      <c r="D16" s="50"/>
      <c r="E16" s="50"/>
      <c r="F16" s="50"/>
      <c r="G16" s="50"/>
      <c r="H16" s="50"/>
      <c r="I16" s="50"/>
      <c r="J16" s="284">
        <f t="shared" si="0"/>
        <v>0</v>
      </c>
    </row>
    <row r="17" spans="1:10">
      <c r="A17" s="258">
        <v>12</v>
      </c>
      <c r="B17" s="285"/>
      <c r="C17" s="50"/>
      <c r="D17" s="50"/>
      <c r="E17" s="50"/>
      <c r="F17" s="50"/>
      <c r="G17" s="50"/>
      <c r="H17" s="50"/>
      <c r="I17" s="50"/>
      <c r="J17" s="284">
        <f t="shared" si="0"/>
        <v>0</v>
      </c>
    </row>
    <row r="18" spans="1:10">
      <c r="A18" s="258">
        <v>13</v>
      </c>
      <c r="B18" s="285"/>
      <c r="C18" s="50"/>
      <c r="D18" s="50"/>
      <c r="E18" s="50"/>
      <c r="F18" s="50"/>
      <c r="G18" s="50"/>
      <c r="H18" s="50"/>
      <c r="I18" s="50"/>
      <c r="J18" s="284">
        <f t="shared" si="0"/>
        <v>0</v>
      </c>
    </row>
    <row r="19" spans="1:10">
      <c r="A19" s="258">
        <v>14</v>
      </c>
      <c r="B19" s="285"/>
      <c r="C19" s="50"/>
      <c r="D19" s="50"/>
      <c r="E19" s="50"/>
      <c r="F19" s="50"/>
      <c r="G19" s="50"/>
      <c r="H19" s="50"/>
      <c r="I19" s="50"/>
      <c r="J19" s="284">
        <f t="shared" si="0"/>
        <v>0</v>
      </c>
    </row>
    <row r="20" spans="1:10">
      <c r="A20" s="258">
        <v>15</v>
      </c>
      <c r="B20" s="285"/>
      <c r="C20" s="50"/>
      <c r="D20" s="50"/>
      <c r="E20" s="50"/>
      <c r="F20" s="50"/>
      <c r="G20" s="50"/>
      <c r="H20" s="50"/>
      <c r="I20" s="50"/>
      <c r="J20" s="284">
        <f t="shared" si="0"/>
        <v>0</v>
      </c>
    </row>
    <row r="21" spans="1:10">
      <c r="A21" s="277" t="s">
        <v>432</v>
      </c>
      <c r="B21" s="277"/>
      <c r="C21" s="277"/>
      <c r="D21" s="277"/>
      <c r="E21" s="286">
        <f>SUM(E6:E20)</f>
        <v>0</v>
      </c>
      <c r="F21" s="287"/>
      <c r="G21" s="287"/>
      <c r="H21" s="286">
        <f>SUM(H6:H20)</f>
        <v>0</v>
      </c>
      <c r="I21" s="286"/>
      <c r="J21" s="286">
        <f>SUM(J6:J20)</f>
        <v>0</v>
      </c>
    </row>
    <row r="23" spans="1:10">
      <c r="B23" s="29" t="s">
        <v>218</v>
      </c>
    </row>
  </sheetData>
  <mergeCells count="9">
    <mergeCell ref="A1:J1"/>
    <mergeCell ref="G4:J4"/>
    <mergeCell ref="A21:D21"/>
    <mergeCell ref="A4:A5"/>
    <mergeCell ref="B4:B5"/>
    <mergeCell ref="C4:C5"/>
    <mergeCell ref="D4:D5"/>
    <mergeCell ref="E4:E5"/>
    <mergeCell ref="F4:F5"/>
  </mergeCell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dimension ref="A1:AE22"/>
  <sheetViews>
    <sheetView zoomScale="90" zoomScaleNormal="90" workbookViewId="0">
      <selection activeCell="C4" sqref="C4:D5"/>
    </sheetView>
  </sheetViews>
  <sheetFormatPr defaultColWidth="8.73148148148148" defaultRowHeight="14.4"/>
  <cols>
    <col min="2" max="2" width="11.4166666666667" customWidth="1"/>
    <col min="3" max="3" width="21.6111111111111" customWidth="1"/>
    <col min="4" max="4" width="22.0185185185185" customWidth="1"/>
    <col min="5" max="5" width="16.5648148148148" customWidth="1"/>
    <col min="6" max="6" width="14.8148148148148" customWidth="1"/>
    <col min="7" max="7" width="12.2685185185185" customWidth="1"/>
    <col min="8" max="8" width="12.8240740740741" customWidth="1"/>
    <col min="9" max="10" width="13.1296296296296" customWidth="1"/>
    <col min="11" max="11" width="12.5185185185185" customWidth="1"/>
    <col min="12" max="12" width="11.2685185185185" customWidth="1"/>
    <col min="13" max="13" width="10.2037037037037" customWidth="1"/>
    <col min="14" max="14" width="14.4444444444444" customWidth="1"/>
    <col min="15" max="15" width="14.0277777777778" customWidth="1"/>
    <col min="16" max="16" width="12.8148148148148" customWidth="1"/>
    <col min="17" max="17" width="9.59259259259259" customWidth="1"/>
    <col min="18" max="20" width="9.28703703703704" customWidth="1"/>
    <col min="21" max="21" width="13.4259259259259" customWidth="1"/>
    <col min="22" max="22" width="10.9074074074074" customWidth="1"/>
    <col min="23" max="23" width="14.4351851851852" customWidth="1"/>
    <col min="24" max="24" width="12.5185185185185" customWidth="1"/>
    <col min="25" max="25" width="13.8333333333333" customWidth="1"/>
    <col min="26" max="26" width="12.4259259259259" customWidth="1"/>
    <col min="27" max="27" width="15.6481481481481" customWidth="1"/>
    <col min="28" max="28" width="14.537037037037" customWidth="1"/>
    <col min="29" max="29" width="12.3148148148148" customWidth="1"/>
    <col min="30" max="30" width="16.0555555555556" customWidth="1"/>
    <col min="31" max="31" width="53.5277777777778" customWidth="1"/>
  </cols>
  <sheetData>
    <row r="1" ht="28" customHeight="1" spans="1:31">
      <c r="B1" s="247" t="s">
        <v>43</v>
      </c>
      <c r="C1" s="247"/>
      <c r="D1" s="247"/>
      <c r="E1" s="247"/>
      <c r="F1" s="247"/>
      <c r="G1" s="247"/>
      <c r="H1" s="247"/>
      <c r="I1" s="247"/>
      <c r="J1" s="247"/>
      <c r="K1" s="247"/>
      <c r="L1" s="247"/>
      <c r="M1" s="247"/>
      <c r="N1" s="247"/>
      <c r="O1" s="247"/>
      <c r="P1" s="247"/>
      <c r="Q1" s="247"/>
      <c r="R1" s="247"/>
      <c r="S1" s="247"/>
      <c r="T1" s="247"/>
      <c r="U1" s="247"/>
    </row>
    <row r="2" spans="1:31">
      <c r="A2" s="2" t="str">
        <f>备忘录!$A$1</f>
        <v>被审计单位：福禄福擎网络科技有限公司</v>
      </c>
      <c r="D2" s="4"/>
      <c r="E2" s="4"/>
      <c r="F2" s="4" t="s">
        <v>193</v>
      </c>
      <c r="M2" s="4" t="str">
        <f>备忘录!$C$2</f>
        <v>日期：2025/10/30</v>
      </c>
      <c r="P2" s="146"/>
    </row>
    <row r="3" spans="1:31">
      <c r="A3" s="2" t="str">
        <f>备忘录!$A$2</f>
        <v>财务报表截止日：2025/9/30</v>
      </c>
      <c r="D3" s="4"/>
      <c r="E3" s="4"/>
      <c r="F3" s="4" t="s">
        <v>194</v>
      </c>
      <c r="M3" s="4" t="str">
        <f>备忘录!$C$3</f>
        <v>日期：2025/10/31</v>
      </c>
    </row>
    <row r="4" s="30" customFormat="1" ht="21" customHeight="1" spans="1:31">
      <c r="A4" s="89" t="s">
        <v>77</v>
      </c>
      <c r="B4" s="159" t="s">
        <v>78</v>
      </c>
      <c r="C4" s="159" t="s">
        <v>270</v>
      </c>
      <c r="D4" s="159" t="s">
        <v>271</v>
      </c>
      <c r="E4" s="160" t="s">
        <v>207</v>
      </c>
      <c r="F4" s="161"/>
      <c r="G4" s="161"/>
      <c r="H4" s="161"/>
      <c r="I4" s="161"/>
      <c r="J4" s="248" t="s">
        <v>361</v>
      </c>
      <c r="K4" s="248" t="s">
        <v>272</v>
      </c>
      <c r="L4" s="248" t="s">
        <v>395</v>
      </c>
      <c r="M4" s="249" t="s">
        <v>396</v>
      </c>
      <c r="N4" s="250" t="s">
        <v>397</v>
      </c>
      <c r="O4" s="250" t="s">
        <v>203</v>
      </c>
      <c r="P4" s="250" t="s">
        <v>398</v>
      </c>
      <c r="Q4" s="250" t="s">
        <v>399</v>
      </c>
      <c r="R4" s="250" t="s">
        <v>400</v>
      </c>
      <c r="S4" s="250" t="s">
        <v>401</v>
      </c>
      <c r="T4" s="250" t="s">
        <v>402</v>
      </c>
      <c r="U4" s="250" t="s">
        <v>403</v>
      </c>
      <c r="V4" s="251" t="s">
        <v>404</v>
      </c>
      <c r="W4" s="251"/>
      <c r="X4" s="251"/>
      <c r="Y4" s="251"/>
      <c r="Z4" s="251"/>
      <c r="AA4" s="251"/>
      <c r="AB4" s="251"/>
      <c r="AC4" s="251"/>
      <c r="AD4" s="251"/>
      <c r="AE4" s="251"/>
    </row>
    <row r="5" s="30" customFormat="1" ht="36" spans="1:31">
      <c r="A5" s="252"/>
      <c r="B5" s="168"/>
      <c r="C5" s="168"/>
      <c r="D5" s="168"/>
      <c r="E5" s="169" t="s">
        <v>433</v>
      </c>
      <c r="F5" s="169" t="s">
        <v>211</v>
      </c>
      <c r="G5" s="169" t="s">
        <v>212</v>
      </c>
      <c r="H5" s="169" t="s">
        <v>213</v>
      </c>
      <c r="I5" s="160" t="s">
        <v>409</v>
      </c>
      <c r="J5" s="253"/>
      <c r="K5" s="253"/>
      <c r="L5" s="253"/>
      <c r="M5" s="254"/>
      <c r="N5" s="255"/>
      <c r="O5" s="255"/>
      <c r="P5" s="255"/>
      <c r="Q5" s="255"/>
      <c r="R5" s="255"/>
      <c r="S5" s="255"/>
      <c r="T5" s="255"/>
      <c r="U5" s="256"/>
      <c r="V5" s="257" t="s">
        <v>410</v>
      </c>
      <c r="W5" s="257" t="s">
        <v>411</v>
      </c>
      <c r="X5" s="257" t="s">
        <v>412</v>
      </c>
      <c r="Y5" s="257" t="s">
        <v>413</v>
      </c>
      <c r="Z5" s="257" t="s">
        <v>414</v>
      </c>
      <c r="AA5" s="257" t="s">
        <v>415</v>
      </c>
      <c r="AB5" s="257" t="s">
        <v>416</v>
      </c>
      <c r="AC5" s="257" t="s">
        <v>417</v>
      </c>
      <c r="AD5" s="257" t="s">
        <v>418</v>
      </c>
      <c r="AE5" s="257" t="s">
        <v>419</v>
      </c>
    </row>
    <row r="6" s="31" customFormat="1" ht="17" customHeight="1" spans="1:31">
      <c r="A6" s="258">
        <v>1</v>
      </c>
      <c r="B6" s="101"/>
      <c r="C6" s="101"/>
      <c r="D6" s="267"/>
      <c r="E6" s="77"/>
      <c r="F6" s="77"/>
      <c r="G6" s="77"/>
      <c r="H6" s="173">
        <f>SUM(E6,G6,-F6)</f>
        <v>0</v>
      </c>
      <c r="I6" s="259"/>
      <c r="J6" s="173">
        <f>H6+I6</f>
        <v>0</v>
      </c>
      <c r="K6" s="77"/>
      <c r="L6" s="173">
        <f>J6+K6</f>
        <v>0</v>
      </c>
      <c r="M6" s="269"/>
      <c r="N6" s="102"/>
      <c r="O6" s="261"/>
      <c r="P6" s="260"/>
      <c r="Q6" s="261"/>
      <c r="R6" s="261"/>
      <c r="S6" s="261"/>
      <c r="T6" s="261"/>
      <c r="U6" s="260"/>
      <c r="V6" s="261"/>
      <c r="W6" s="261"/>
      <c r="X6" s="261"/>
      <c r="Y6" s="261"/>
      <c r="Z6" s="261"/>
      <c r="AA6" s="261"/>
      <c r="AB6" s="261"/>
      <c r="AC6" s="261"/>
      <c r="AD6" s="261"/>
      <c r="AE6" s="261"/>
    </row>
    <row r="7" s="31" customFormat="1" ht="17" customHeight="1" spans="1:31">
      <c r="A7" s="258">
        <v>2</v>
      </c>
      <c r="B7" s="101"/>
      <c r="C7" s="101"/>
      <c r="D7" s="267"/>
      <c r="E7" s="77"/>
      <c r="F7" s="77"/>
      <c r="G7" s="77"/>
      <c r="H7" s="173">
        <f t="shared" ref="H7:H20" si="0">SUM(E7,G7,-F7)</f>
        <v>0</v>
      </c>
      <c r="I7" s="259"/>
      <c r="J7" s="173">
        <f t="shared" ref="J7:J20" si="1">H7+I7</f>
        <v>0</v>
      </c>
      <c r="K7" s="77"/>
      <c r="L7" s="173">
        <f t="shared" ref="L7:L20" si="2">J7+K7</f>
        <v>0</v>
      </c>
      <c r="M7" s="269"/>
      <c r="N7" s="102"/>
      <c r="O7" s="261"/>
      <c r="P7" s="260"/>
      <c r="Q7" s="261"/>
      <c r="R7" s="261"/>
      <c r="S7" s="261"/>
      <c r="T7" s="261"/>
      <c r="U7" s="260"/>
      <c r="V7" s="261"/>
      <c r="W7" s="261"/>
      <c r="X7" s="261"/>
      <c r="Y7" s="261"/>
      <c r="Z7" s="261"/>
      <c r="AA7" s="261"/>
      <c r="AB7" s="261"/>
      <c r="AC7" s="261"/>
      <c r="AD7" s="261"/>
      <c r="AE7" s="261"/>
    </row>
    <row r="8" s="31" customFormat="1" ht="17" customHeight="1" spans="1:31">
      <c r="A8" s="258">
        <v>3</v>
      </c>
      <c r="B8" s="101"/>
      <c r="C8" s="101"/>
      <c r="D8" s="267"/>
      <c r="E8" s="77"/>
      <c r="F8" s="77"/>
      <c r="G8" s="77"/>
      <c r="H8" s="173">
        <f t="shared" si="0"/>
        <v>0</v>
      </c>
      <c r="I8" s="259"/>
      <c r="J8" s="173">
        <f t="shared" si="1"/>
        <v>0</v>
      </c>
      <c r="K8" s="77"/>
      <c r="L8" s="173">
        <f t="shared" si="2"/>
        <v>0</v>
      </c>
      <c r="M8" s="269"/>
      <c r="N8" s="102"/>
      <c r="O8" s="261"/>
      <c r="P8" s="260"/>
      <c r="Q8" s="261"/>
      <c r="R8" s="261"/>
      <c r="S8" s="261"/>
      <c r="T8" s="261"/>
      <c r="U8" s="260"/>
      <c r="V8" s="261"/>
      <c r="W8" s="261"/>
      <c r="X8" s="261"/>
      <c r="Y8" s="261"/>
      <c r="Z8" s="261"/>
      <c r="AA8" s="261"/>
      <c r="AB8" s="261"/>
      <c r="AC8" s="261"/>
      <c r="AD8" s="261"/>
      <c r="AE8" s="261"/>
    </row>
    <row r="9" s="31" customFormat="1" ht="17" customHeight="1" spans="1:31">
      <c r="A9" s="258">
        <v>4</v>
      </c>
      <c r="B9" s="101"/>
      <c r="C9" s="101"/>
      <c r="D9" s="267"/>
      <c r="E9" s="77"/>
      <c r="F9" s="77"/>
      <c r="G9" s="77"/>
      <c r="H9" s="173">
        <f t="shared" si="0"/>
        <v>0</v>
      </c>
      <c r="I9" s="259"/>
      <c r="J9" s="173">
        <f t="shared" si="1"/>
        <v>0</v>
      </c>
      <c r="K9" s="77"/>
      <c r="L9" s="173">
        <f t="shared" si="2"/>
        <v>0</v>
      </c>
      <c r="M9" s="269"/>
      <c r="N9" s="102"/>
      <c r="O9" s="270"/>
      <c r="P9" s="260"/>
      <c r="Q9" s="270"/>
      <c r="R9" s="270"/>
      <c r="S9" s="270"/>
      <c r="T9" s="270"/>
      <c r="U9" s="260"/>
      <c r="V9" s="261"/>
      <c r="W9" s="261"/>
      <c r="X9" s="261"/>
      <c r="Y9" s="261"/>
      <c r="Z9" s="261"/>
      <c r="AA9" s="261"/>
      <c r="AB9" s="261"/>
      <c r="AD9" s="261"/>
      <c r="AE9" s="261"/>
    </row>
    <row r="10" s="31" customFormat="1" ht="17" customHeight="1" spans="1:31">
      <c r="A10" s="258">
        <v>5</v>
      </c>
      <c r="B10" s="101"/>
      <c r="C10" s="101"/>
      <c r="D10" s="267"/>
      <c r="E10" s="77"/>
      <c r="F10" s="77"/>
      <c r="G10" s="77"/>
      <c r="H10" s="173">
        <f t="shared" si="0"/>
        <v>0</v>
      </c>
      <c r="I10" s="259"/>
      <c r="J10" s="173">
        <f t="shared" si="1"/>
        <v>0</v>
      </c>
      <c r="K10" s="77"/>
      <c r="L10" s="173">
        <f t="shared" si="2"/>
        <v>0</v>
      </c>
      <c r="M10" s="269"/>
      <c r="N10" s="102"/>
      <c r="O10" s="261"/>
      <c r="P10" s="260"/>
      <c r="Q10" s="261"/>
      <c r="R10" s="261"/>
      <c r="S10" s="261"/>
      <c r="T10" s="261"/>
      <c r="U10" s="260"/>
      <c r="V10" s="261"/>
      <c r="W10" s="261"/>
      <c r="X10" s="261"/>
      <c r="Y10" s="261"/>
      <c r="Z10" s="261"/>
      <c r="AA10" s="261"/>
      <c r="AB10" s="261"/>
      <c r="AC10" s="261"/>
      <c r="AD10" s="261"/>
      <c r="AE10" s="261"/>
    </row>
    <row r="11" s="31" customFormat="1" spans="1:31">
      <c r="A11" s="258">
        <v>6</v>
      </c>
      <c r="B11" s="101"/>
      <c r="C11" s="101"/>
      <c r="D11" s="267"/>
      <c r="E11" s="77"/>
      <c r="F11" s="77"/>
      <c r="G11" s="77"/>
      <c r="H11" s="173">
        <f t="shared" si="0"/>
        <v>0</v>
      </c>
      <c r="I11" s="259"/>
      <c r="J11" s="173">
        <f t="shared" si="1"/>
        <v>0</v>
      </c>
      <c r="K11" s="77"/>
      <c r="L11" s="173">
        <f t="shared" si="2"/>
        <v>0</v>
      </c>
      <c r="M11" s="269"/>
      <c r="N11" s="102"/>
      <c r="O11" s="261"/>
      <c r="P11" s="260"/>
      <c r="Q11" s="261"/>
      <c r="R11" s="261"/>
      <c r="S11" s="261"/>
      <c r="T11" s="261"/>
      <c r="U11" s="260"/>
      <c r="V11" s="271"/>
      <c r="W11" s="272"/>
      <c r="X11" s="273"/>
      <c r="Y11" s="273"/>
      <c r="Z11" s="273"/>
      <c r="AA11" s="274"/>
      <c r="AB11" s="275"/>
      <c r="AC11" s="274"/>
      <c r="AD11" s="274"/>
      <c r="AE11" s="272"/>
    </row>
    <row r="12" s="31" customFormat="1" ht="17" customHeight="1" spans="1:31">
      <c r="A12" s="258">
        <v>7</v>
      </c>
      <c r="B12" s="101"/>
      <c r="C12" s="101"/>
      <c r="D12" s="267"/>
      <c r="E12" s="77"/>
      <c r="F12" s="77"/>
      <c r="G12" s="77"/>
      <c r="H12" s="173">
        <f t="shared" si="0"/>
        <v>0</v>
      </c>
      <c r="I12" s="259"/>
      <c r="J12" s="173">
        <f t="shared" si="1"/>
        <v>0</v>
      </c>
      <c r="K12" s="77"/>
      <c r="L12" s="173">
        <f t="shared" si="2"/>
        <v>0</v>
      </c>
      <c r="M12" s="269"/>
      <c r="N12" s="102"/>
      <c r="O12" s="261"/>
      <c r="P12" s="260"/>
      <c r="Q12" s="261"/>
      <c r="R12" s="261"/>
      <c r="S12" s="261"/>
      <c r="T12" s="261"/>
      <c r="U12" s="260"/>
      <c r="V12" s="261"/>
      <c r="W12" s="261"/>
      <c r="X12" s="261"/>
      <c r="Y12" s="261"/>
      <c r="Z12" s="261"/>
      <c r="AA12" s="261"/>
      <c r="AB12" s="261"/>
      <c r="AC12" s="261"/>
      <c r="AD12" s="261"/>
      <c r="AE12" s="261"/>
    </row>
    <row r="13" s="31" customFormat="1" ht="17" customHeight="1" spans="1:31">
      <c r="A13" s="258">
        <v>8</v>
      </c>
      <c r="B13" s="101"/>
      <c r="C13" s="101"/>
      <c r="D13" s="267"/>
      <c r="E13" s="77"/>
      <c r="F13" s="77"/>
      <c r="G13" s="77"/>
      <c r="H13" s="173">
        <f t="shared" si="0"/>
        <v>0</v>
      </c>
      <c r="I13" s="259"/>
      <c r="J13" s="173">
        <f t="shared" si="1"/>
        <v>0</v>
      </c>
      <c r="K13" s="77"/>
      <c r="L13" s="173">
        <f t="shared" si="2"/>
        <v>0</v>
      </c>
      <c r="M13" s="269"/>
      <c r="N13" s="102"/>
      <c r="O13" s="261"/>
      <c r="P13" s="260"/>
      <c r="Q13" s="261"/>
      <c r="R13" s="261"/>
      <c r="S13" s="261"/>
      <c r="T13" s="261"/>
      <c r="U13" s="260"/>
      <c r="V13" s="261"/>
      <c r="W13" s="261"/>
      <c r="X13" s="261"/>
      <c r="Y13" s="261"/>
      <c r="Z13" s="261"/>
      <c r="AA13" s="261"/>
      <c r="AB13" s="261"/>
      <c r="AC13" s="261"/>
      <c r="AD13" s="261"/>
      <c r="AE13" s="261"/>
    </row>
    <row r="14" s="31" customFormat="1" ht="17" customHeight="1" spans="1:31">
      <c r="A14" s="258">
        <v>9</v>
      </c>
      <c r="B14" s="101"/>
      <c r="C14" s="101"/>
      <c r="D14" s="267"/>
      <c r="E14" s="77"/>
      <c r="F14" s="77"/>
      <c r="G14" s="77"/>
      <c r="H14" s="173">
        <f t="shared" si="0"/>
        <v>0</v>
      </c>
      <c r="I14" s="259"/>
      <c r="J14" s="173">
        <f t="shared" si="1"/>
        <v>0</v>
      </c>
      <c r="K14" s="77"/>
      <c r="L14" s="173">
        <f t="shared" si="2"/>
        <v>0</v>
      </c>
      <c r="M14" s="269"/>
      <c r="N14" s="102"/>
      <c r="O14" s="261"/>
      <c r="P14" s="260"/>
      <c r="Q14" s="261"/>
      <c r="R14" s="261"/>
      <c r="S14" s="261"/>
      <c r="T14" s="261"/>
      <c r="U14" s="260"/>
      <c r="V14" s="261"/>
      <c r="W14" s="261"/>
      <c r="X14" s="261"/>
      <c r="Y14" s="261"/>
      <c r="Z14" s="261"/>
      <c r="AA14" s="261"/>
      <c r="AB14" s="261"/>
      <c r="AC14" s="261"/>
      <c r="AD14" s="261"/>
      <c r="AE14" s="261"/>
    </row>
    <row r="15" s="31" customFormat="1" ht="17" customHeight="1" spans="1:31">
      <c r="A15" s="258">
        <v>10</v>
      </c>
      <c r="B15" s="101"/>
      <c r="C15" s="101"/>
      <c r="D15" s="267"/>
      <c r="E15" s="77"/>
      <c r="F15" s="77"/>
      <c r="G15" s="77"/>
      <c r="H15" s="173">
        <f t="shared" si="0"/>
        <v>0</v>
      </c>
      <c r="I15" s="259"/>
      <c r="J15" s="173">
        <f t="shared" si="1"/>
        <v>0</v>
      </c>
      <c r="K15" s="77"/>
      <c r="L15" s="173">
        <f t="shared" si="2"/>
        <v>0</v>
      </c>
      <c r="M15" s="269"/>
      <c r="N15" s="102"/>
      <c r="O15" s="261"/>
      <c r="P15" s="260"/>
      <c r="Q15" s="261"/>
      <c r="R15" s="261"/>
      <c r="S15" s="261"/>
      <c r="T15" s="261"/>
      <c r="U15" s="260"/>
      <c r="V15" s="261"/>
      <c r="W15" s="261"/>
      <c r="X15" s="261"/>
      <c r="Y15" s="261"/>
      <c r="Z15" s="261"/>
      <c r="AA15" s="261"/>
      <c r="AB15" s="261"/>
      <c r="AC15" s="261"/>
      <c r="AD15" s="261"/>
      <c r="AE15" s="261"/>
    </row>
    <row r="16" s="31" customFormat="1" ht="17" customHeight="1" spans="1:31">
      <c r="A16" s="258">
        <v>11</v>
      </c>
      <c r="B16" s="101"/>
      <c r="C16" s="101"/>
      <c r="D16" s="267"/>
      <c r="E16" s="77"/>
      <c r="F16" s="77"/>
      <c r="G16" s="77"/>
      <c r="H16" s="173">
        <f t="shared" si="0"/>
        <v>0</v>
      </c>
      <c r="I16" s="259"/>
      <c r="J16" s="173">
        <f t="shared" si="1"/>
        <v>0</v>
      </c>
      <c r="K16" s="77"/>
      <c r="L16" s="173">
        <f t="shared" si="2"/>
        <v>0</v>
      </c>
      <c r="M16" s="269"/>
      <c r="N16" s="102"/>
      <c r="O16" s="261"/>
      <c r="P16" s="260"/>
      <c r="Q16" s="261"/>
      <c r="R16" s="261"/>
      <c r="S16" s="261"/>
      <c r="T16" s="261"/>
      <c r="U16" s="260"/>
      <c r="V16" s="261"/>
      <c r="W16" s="261"/>
      <c r="X16" s="261"/>
      <c r="Y16" s="261"/>
      <c r="Z16" s="261"/>
      <c r="AA16" s="261"/>
      <c r="AB16" s="261"/>
      <c r="AC16" s="261"/>
      <c r="AD16" s="261"/>
      <c r="AE16" s="261"/>
    </row>
    <row r="17" s="31" customFormat="1" ht="17" customHeight="1" spans="1:31">
      <c r="A17" s="258">
        <v>12</v>
      </c>
      <c r="B17" s="101"/>
      <c r="C17" s="101"/>
      <c r="D17" s="267"/>
      <c r="E17" s="77"/>
      <c r="F17" s="77"/>
      <c r="G17" s="77"/>
      <c r="H17" s="173">
        <f t="shared" si="0"/>
        <v>0</v>
      </c>
      <c r="I17" s="259"/>
      <c r="J17" s="173">
        <f t="shared" si="1"/>
        <v>0</v>
      </c>
      <c r="K17" s="77"/>
      <c r="L17" s="173">
        <f t="shared" si="2"/>
        <v>0</v>
      </c>
      <c r="M17" s="269"/>
      <c r="N17" s="102"/>
      <c r="O17" s="261"/>
      <c r="P17" s="260"/>
      <c r="Q17" s="261"/>
      <c r="R17" s="261"/>
      <c r="S17" s="261"/>
      <c r="T17" s="261"/>
      <c r="U17" s="260"/>
      <c r="V17" s="261"/>
      <c r="W17" s="261"/>
      <c r="X17" s="261"/>
      <c r="Y17" s="261"/>
      <c r="Z17" s="261"/>
      <c r="AA17" s="261"/>
      <c r="AB17" s="261"/>
      <c r="AC17" s="261"/>
      <c r="AD17" s="261"/>
      <c r="AE17" s="261"/>
    </row>
    <row r="18" s="31" customFormat="1" ht="17" customHeight="1" spans="1:31">
      <c r="A18" s="258">
        <v>13</v>
      </c>
      <c r="B18" s="101"/>
      <c r="C18" s="101"/>
      <c r="D18" s="267"/>
      <c r="E18" s="77"/>
      <c r="F18" s="77"/>
      <c r="G18" s="77"/>
      <c r="H18" s="173">
        <f t="shared" si="0"/>
        <v>0</v>
      </c>
      <c r="I18" s="259"/>
      <c r="J18" s="173">
        <f t="shared" si="1"/>
        <v>0</v>
      </c>
      <c r="K18" s="77"/>
      <c r="L18" s="173">
        <f t="shared" si="2"/>
        <v>0</v>
      </c>
      <c r="M18" s="269"/>
      <c r="N18" s="102"/>
      <c r="O18" s="261"/>
      <c r="P18" s="260"/>
      <c r="Q18" s="261"/>
      <c r="R18" s="261"/>
      <c r="S18" s="261"/>
      <c r="T18" s="261"/>
      <c r="U18" s="260"/>
      <c r="V18" s="261"/>
      <c r="W18" s="261"/>
      <c r="X18" s="261"/>
      <c r="Y18" s="261"/>
      <c r="Z18" s="261"/>
      <c r="AA18" s="261"/>
      <c r="AB18" s="261"/>
      <c r="AC18" s="261"/>
      <c r="AD18" s="261"/>
      <c r="AE18" s="261"/>
    </row>
    <row r="19" s="31" customFormat="1" ht="17" customHeight="1" spans="1:31">
      <c r="A19" s="258">
        <v>14</v>
      </c>
      <c r="B19" s="101"/>
      <c r="C19" s="101"/>
      <c r="D19" s="267"/>
      <c r="E19" s="77"/>
      <c r="F19" s="77"/>
      <c r="G19" s="77"/>
      <c r="H19" s="173">
        <f t="shared" si="0"/>
        <v>0</v>
      </c>
      <c r="I19" s="259"/>
      <c r="J19" s="173">
        <f t="shared" si="1"/>
        <v>0</v>
      </c>
      <c r="K19" s="77"/>
      <c r="L19" s="173">
        <f t="shared" si="2"/>
        <v>0</v>
      </c>
      <c r="M19" s="269"/>
      <c r="N19" s="102"/>
      <c r="O19" s="261"/>
      <c r="P19" s="260"/>
      <c r="Q19" s="261"/>
      <c r="R19" s="261"/>
      <c r="S19" s="261"/>
      <c r="T19" s="261"/>
      <c r="U19" s="260"/>
      <c r="V19" s="261"/>
      <c r="W19" s="261"/>
      <c r="X19" s="261"/>
      <c r="Y19" s="261"/>
      <c r="Z19" s="261"/>
      <c r="AA19" s="261"/>
      <c r="AB19" s="261"/>
      <c r="AC19" s="261"/>
      <c r="AD19" s="261"/>
      <c r="AE19" s="261"/>
    </row>
    <row r="20" s="32" customFormat="1" ht="19" customHeight="1" spans="1:31">
      <c r="A20" s="262"/>
      <c r="B20" s="23" t="s">
        <v>217</v>
      </c>
      <c r="C20" s="23"/>
      <c r="D20" s="262"/>
      <c r="E20" s="173">
        <f>ROUND(SUM(E6:E19),2)</f>
        <v>0</v>
      </c>
      <c r="F20" s="173">
        <f>ROUND(SUM(F6:F19),2)</f>
        <v>0</v>
      </c>
      <c r="G20" s="173">
        <f>ROUND(SUM(G6:G19),2)</f>
        <v>0</v>
      </c>
      <c r="H20" s="173">
        <f t="shared" si="0"/>
        <v>0</v>
      </c>
      <c r="I20" s="173"/>
      <c r="J20" s="173">
        <f t="shared" si="1"/>
        <v>0</v>
      </c>
      <c r="K20" s="173">
        <f>ROUND(SUM(K6:K19),2)</f>
        <v>0</v>
      </c>
      <c r="L20" s="173">
        <f t="shared" si="2"/>
        <v>0</v>
      </c>
      <c r="M20" s="25"/>
      <c r="N20" s="264">
        <f>ROUND(SUM(N6:N19),2)</f>
        <v>0</v>
      </c>
      <c r="O20" s="265"/>
      <c r="P20" s="265"/>
      <c r="Q20" s="265"/>
      <c r="R20" s="265"/>
      <c r="S20" s="265"/>
      <c r="T20" s="265"/>
      <c r="U20" s="265"/>
      <c r="V20" s="266"/>
      <c r="W20" s="266"/>
      <c r="X20" s="266"/>
      <c r="Y20" s="266"/>
      <c r="Z20" s="266"/>
      <c r="AA20" s="266"/>
      <c r="AB20" s="266"/>
      <c r="AC20" s="266"/>
      <c r="AD20" s="266"/>
      <c r="AE20" s="266"/>
    </row>
    <row r="22" ht="23" customHeight="1" spans="1:31">
      <c r="B22" s="29" t="s">
        <v>218</v>
      </c>
    </row>
  </sheetData>
  <autoFilter xmlns:etc="http://www.wps.cn/officeDocument/2017/etCustomData" ref="B5:AE20" etc:filterBottomFollowUsedRange="0">
    <extLst/>
  </autoFilter>
  <mergeCells count="19">
    <mergeCell ref="B1:O1"/>
    <mergeCell ref="E4:I4"/>
    <mergeCell ref="V4:AE4"/>
    <mergeCell ref="A4:A5"/>
    <mergeCell ref="B4:B5"/>
    <mergeCell ref="C4:C5"/>
    <mergeCell ref="D4:D5"/>
    <mergeCell ref="J4:J5"/>
    <mergeCell ref="K4:K5"/>
    <mergeCell ref="L4:L5"/>
    <mergeCell ref="M4:M5"/>
    <mergeCell ref="N4:N5"/>
    <mergeCell ref="O4:O5"/>
    <mergeCell ref="P4:P5"/>
    <mergeCell ref="Q4:Q5"/>
    <mergeCell ref="R4:R5"/>
    <mergeCell ref="S4:S5"/>
    <mergeCell ref="T4:T5"/>
    <mergeCell ref="U4:U5"/>
  </mergeCells>
  <dataValidations count="1">
    <dataValidation type="list" allowBlank="1" showInputMessage="1" showErrorMessage="1" sqref="M6:M19 P6:P19 U6:U19">
      <formula1>"√"</formula1>
    </dataValidation>
  </dataValidation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AE28"/>
  <sheetViews>
    <sheetView zoomScale="90" zoomScaleNormal="90" workbookViewId="0">
      <pane ySplit="5" topLeftCell="A6" activePane="bottomLeft" state="frozen"/>
      <selection/>
      <selection pane="bottomLeft" activeCell="C4" sqref="C4:D5"/>
    </sheetView>
  </sheetViews>
  <sheetFormatPr defaultColWidth="8.73148148148148" defaultRowHeight="14.4"/>
  <cols>
    <col min="2" max="2" width="14.9444444444444" customWidth="1"/>
    <col min="3" max="3" width="21.712962962963" customWidth="1"/>
    <col min="4" max="4" width="20.7962962962963" customWidth="1"/>
    <col min="5" max="5" width="17.6759259259259" customWidth="1"/>
    <col min="6" max="7" width="11.8148148148148" customWidth="1"/>
    <col min="8" max="10" width="14.4351851851852" customWidth="1"/>
    <col min="11" max="11" width="13.537037037037" customWidth="1"/>
    <col min="12" max="12" width="14.6481481481481" customWidth="1"/>
    <col min="13" max="13" width="10.3981481481481" customWidth="1"/>
    <col min="14" max="14" width="14.3333333333333" customWidth="1"/>
    <col min="15" max="15" width="8.81481481481481"/>
    <col min="16" max="16" width="15.4537037037037" customWidth="1"/>
    <col min="17" max="20" width="8.81481481481481"/>
    <col min="21" max="21" width="13.7407407407407" customWidth="1"/>
    <col min="22" max="22" width="16.2592592592593" customWidth="1"/>
    <col min="23" max="23" width="15.8518518518519" customWidth="1"/>
    <col min="24" max="24" width="19.8981481481481" customWidth="1"/>
    <col min="25" max="25" width="18.1759259259259" customWidth="1"/>
    <col min="26" max="26" width="11.9166666666667" customWidth="1"/>
    <col min="27" max="27" width="12.9166666666667" customWidth="1"/>
    <col min="28" max="28" width="13.8333333333333" customWidth="1"/>
    <col min="29" max="29" width="11.212962962963" customWidth="1"/>
    <col min="30" max="30" width="12.6203703703704" customWidth="1"/>
    <col min="31" max="31" width="34.5462962962963" customWidth="1"/>
  </cols>
  <sheetData>
    <row r="1" ht="25" customHeight="1" spans="1:31">
      <c r="B1" s="247" t="s">
        <v>44</v>
      </c>
      <c r="C1" s="247"/>
      <c r="D1" s="247"/>
      <c r="E1" s="247"/>
      <c r="F1" s="247"/>
      <c r="G1" s="247"/>
      <c r="H1" s="247"/>
      <c r="I1" s="247"/>
      <c r="J1" s="247"/>
      <c r="K1" s="247"/>
      <c r="L1" s="247"/>
      <c r="M1" s="247"/>
      <c r="N1" s="247"/>
      <c r="O1" s="247"/>
      <c r="P1" s="247"/>
      <c r="Q1" s="247"/>
      <c r="R1" s="247"/>
      <c r="S1" s="247"/>
      <c r="T1" s="247"/>
      <c r="U1" s="247"/>
    </row>
    <row r="2" spans="1:31">
      <c r="A2" s="2" t="str">
        <f>备忘录!$A$1</f>
        <v>被审计单位：福禄福擎网络科技有限公司</v>
      </c>
      <c r="D2" s="4"/>
      <c r="E2" s="4"/>
      <c r="F2" s="4" t="s">
        <v>193</v>
      </c>
      <c r="K2" s="4"/>
      <c r="L2" s="4" t="str">
        <f>备忘录!$C$2</f>
        <v>日期：2025/10/30</v>
      </c>
      <c r="M2" s="4"/>
      <c r="N2" s="4"/>
      <c r="P2" s="146"/>
    </row>
    <row r="3" spans="1:31">
      <c r="A3" s="2" t="str">
        <f>备忘录!$A$2</f>
        <v>财务报表截止日：2025/9/30</v>
      </c>
      <c r="D3" s="4"/>
      <c r="E3" s="4"/>
      <c r="F3" s="4" t="s">
        <v>194</v>
      </c>
      <c r="K3" s="4"/>
      <c r="L3" s="4" t="str">
        <f>备忘录!$C$3</f>
        <v>日期：2025/10/31</v>
      </c>
      <c r="M3" s="4"/>
      <c r="N3" s="4"/>
    </row>
    <row r="4" s="30" customFormat="1" ht="23" customHeight="1" spans="1:31">
      <c r="A4" s="89" t="s">
        <v>77</v>
      </c>
      <c r="B4" s="159" t="s">
        <v>78</v>
      </c>
      <c r="C4" s="159" t="s">
        <v>270</v>
      </c>
      <c r="D4" s="159" t="s">
        <v>271</v>
      </c>
      <c r="E4" s="160" t="s">
        <v>207</v>
      </c>
      <c r="F4" s="161"/>
      <c r="G4" s="161"/>
      <c r="H4" s="161"/>
      <c r="I4" s="161"/>
      <c r="J4" s="248" t="s">
        <v>361</v>
      </c>
      <c r="K4" s="248" t="s">
        <v>272</v>
      </c>
      <c r="L4" s="248" t="s">
        <v>395</v>
      </c>
      <c r="M4" s="249" t="s">
        <v>396</v>
      </c>
      <c r="N4" s="250" t="s">
        <v>397</v>
      </c>
      <c r="O4" s="250" t="s">
        <v>203</v>
      </c>
      <c r="P4" s="250" t="s">
        <v>398</v>
      </c>
      <c r="Q4" s="250" t="s">
        <v>399</v>
      </c>
      <c r="R4" s="250" t="s">
        <v>400</v>
      </c>
      <c r="S4" s="250" t="s">
        <v>401</v>
      </c>
      <c r="T4" s="250" t="s">
        <v>402</v>
      </c>
      <c r="U4" s="250" t="s">
        <v>403</v>
      </c>
      <c r="V4" s="251" t="s">
        <v>404</v>
      </c>
      <c r="W4" s="251"/>
      <c r="X4" s="251"/>
      <c r="Y4" s="251"/>
      <c r="Z4" s="251"/>
      <c r="AA4" s="251"/>
      <c r="AB4" s="251"/>
      <c r="AC4" s="251"/>
      <c r="AD4" s="251"/>
      <c r="AE4" s="251"/>
    </row>
    <row r="5" s="30" customFormat="1" ht="39" customHeight="1" spans="1:31">
      <c r="A5" s="252"/>
      <c r="B5" s="168"/>
      <c r="C5" s="168"/>
      <c r="D5" s="168"/>
      <c r="E5" s="169" t="s">
        <v>433</v>
      </c>
      <c r="F5" s="169" t="s">
        <v>211</v>
      </c>
      <c r="G5" s="169" t="s">
        <v>212</v>
      </c>
      <c r="H5" s="169" t="s">
        <v>213</v>
      </c>
      <c r="I5" s="160" t="s">
        <v>409</v>
      </c>
      <c r="J5" s="253"/>
      <c r="K5" s="253"/>
      <c r="L5" s="253"/>
      <c r="M5" s="254"/>
      <c r="N5" s="255"/>
      <c r="O5" s="255"/>
      <c r="P5" s="255"/>
      <c r="Q5" s="255"/>
      <c r="R5" s="255"/>
      <c r="S5" s="255"/>
      <c r="T5" s="255"/>
      <c r="U5" s="256"/>
      <c r="V5" s="257" t="s">
        <v>410</v>
      </c>
      <c r="W5" s="257" t="s">
        <v>411</v>
      </c>
      <c r="X5" s="257" t="s">
        <v>412</v>
      </c>
      <c r="Y5" s="257" t="s">
        <v>413</v>
      </c>
      <c r="Z5" s="257" t="s">
        <v>414</v>
      </c>
      <c r="AA5" s="257" t="s">
        <v>415</v>
      </c>
      <c r="AB5" s="257" t="s">
        <v>416</v>
      </c>
      <c r="AC5" s="257" t="s">
        <v>417</v>
      </c>
      <c r="AD5" s="257" t="s">
        <v>418</v>
      </c>
      <c r="AE5" s="257" t="s">
        <v>419</v>
      </c>
    </row>
    <row r="6" s="31" customFormat="1" ht="21" customHeight="1" spans="1:31">
      <c r="A6" s="258">
        <v>1</v>
      </c>
      <c r="B6" s="101"/>
      <c r="C6" s="101"/>
      <c r="D6" s="267"/>
      <c r="E6" s="54"/>
      <c r="F6" s="268"/>
      <c r="G6" s="268"/>
      <c r="H6" s="173">
        <f>SUM(E6,G6,-F6)</f>
        <v>0</v>
      </c>
      <c r="I6" s="259"/>
      <c r="J6" s="173">
        <f>H6+I6</f>
        <v>0</v>
      </c>
      <c r="K6" s="17"/>
      <c r="L6" s="173">
        <f>J6+K6</f>
        <v>0</v>
      </c>
      <c r="M6" s="269"/>
      <c r="N6" s="102"/>
      <c r="O6" s="102"/>
      <c r="P6" s="260"/>
      <c r="Q6" s="102"/>
      <c r="R6" s="102"/>
      <c r="S6" s="102"/>
      <c r="T6" s="102"/>
      <c r="U6" s="260"/>
      <c r="V6" s="261"/>
      <c r="W6" s="261"/>
      <c r="X6" s="261"/>
      <c r="Y6" s="261"/>
      <c r="Z6" s="261"/>
      <c r="AA6" s="261"/>
      <c r="AB6" s="261"/>
      <c r="AC6" s="261"/>
      <c r="AD6" s="261"/>
      <c r="AE6" s="261"/>
    </row>
    <row r="7" s="31" customFormat="1" spans="1:31">
      <c r="A7" s="258">
        <v>2</v>
      </c>
      <c r="B7" s="101"/>
      <c r="C7" s="101"/>
      <c r="D7" s="101"/>
      <c r="E7" s="268"/>
      <c r="F7" s="268"/>
      <c r="G7" s="268"/>
      <c r="H7" s="173">
        <f t="shared" ref="H7:H26" si="0">SUM(E7,G7,-F7)</f>
        <v>0</v>
      </c>
      <c r="I7" s="259"/>
      <c r="J7" s="173">
        <f t="shared" ref="J7:J26" si="1">H7+I7</f>
        <v>0</v>
      </c>
      <c r="K7" s="17"/>
      <c r="L7" s="173">
        <f t="shared" ref="L7:L26" si="2">J7+K7</f>
        <v>0</v>
      </c>
      <c r="M7" s="269"/>
      <c r="N7" s="102"/>
      <c r="O7" s="102"/>
      <c r="P7" s="260"/>
      <c r="Q7" s="102"/>
      <c r="R7" s="102"/>
      <c r="S7" s="102"/>
      <c r="T7" s="102"/>
      <c r="U7" s="260"/>
      <c r="V7" s="261"/>
      <c r="W7" s="261"/>
      <c r="X7" s="261"/>
      <c r="Y7" s="261"/>
      <c r="Z7" s="261"/>
      <c r="AA7" s="261"/>
      <c r="AB7" s="261"/>
      <c r="AC7" s="261"/>
      <c r="AD7" s="261"/>
      <c r="AE7" s="261"/>
    </row>
    <row r="8" s="31" customFormat="1" spans="1:31">
      <c r="A8" s="258">
        <v>3</v>
      </c>
      <c r="B8" s="101"/>
      <c r="C8" s="101"/>
      <c r="D8" s="101"/>
      <c r="E8" s="268"/>
      <c r="F8" s="268"/>
      <c r="G8" s="268"/>
      <c r="H8" s="173">
        <f t="shared" si="0"/>
        <v>0</v>
      </c>
      <c r="I8" s="259"/>
      <c r="J8" s="173">
        <f t="shared" si="1"/>
        <v>0</v>
      </c>
      <c r="K8" s="17"/>
      <c r="L8" s="173">
        <f t="shared" si="2"/>
        <v>0</v>
      </c>
      <c r="M8" s="269"/>
      <c r="N8" s="102"/>
      <c r="O8" s="102"/>
      <c r="P8" s="260"/>
      <c r="Q8" s="102"/>
      <c r="R8" s="102"/>
      <c r="S8" s="102"/>
      <c r="T8" s="102"/>
      <c r="U8" s="260"/>
      <c r="V8" s="261"/>
      <c r="W8" s="261"/>
      <c r="X8" s="261"/>
      <c r="Y8" s="261"/>
      <c r="Z8" s="261"/>
      <c r="AA8" s="261"/>
      <c r="AB8" s="261"/>
      <c r="AC8" s="261"/>
      <c r="AD8" s="261"/>
      <c r="AE8" s="261"/>
    </row>
    <row r="9" s="31" customFormat="1" spans="1:31">
      <c r="A9" s="258">
        <v>4</v>
      </c>
      <c r="B9" s="101"/>
      <c r="C9" s="101"/>
      <c r="D9" s="101"/>
      <c r="E9" s="268"/>
      <c r="F9" s="268"/>
      <c r="G9" s="268"/>
      <c r="H9" s="173">
        <f t="shared" si="0"/>
        <v>0</v>
      </c>
      <c r="I9" s="259"/>
      <c r="J9" s="173">
        <f t="shared" si="1"/>
        <v>0</v>
      </c>
      <c r="K9" s="17"/>
      <c r="L9" s="173">
        <f t="shared" si="2"/>
        <v>0</v>
      </c>
      <c r="M9" s="269"/>
      <c r="N9" s="102"/>
      <c r="O9" s="102"/>
      <c r="P9" s="260"/>
      <c r="Q9" s="102"/>
      <c r="R9" s="102"/>
      <c r="S9" s="102"/>
      <c r="T9" s="102"/>
      <c r="U9" s="260"/>
      <c r="V9" s="261"/>
      <c r="W9" s="261"/>
      <c r="X9" s="261"/>
      <c r="Y9" s="261"/>
      <c r="Z9" s="261"/>
      <c r="AA9" s="261"/>
      <c r="AB9" s="261"/>
      <c r="AC9" s="261"/>
      <c r="AD9" s="261"/>
      <c r="AE9" s="261"/>
    </row>
    <row r="10" s="31" customFormat="1" spans="1:31">
      <c r="A10" s="258">
        <v>5</v>
      </c>
      <c r="B10" s="101"/>
      <c r="C10" s="101"/>
      <c r="D10" s="101"/>
      <c r="E10" s="268"/>
      <c r="F10" s="268"/>
      <c r="G10" s="268"/>
      <c r="H10" s="173">
        <f t="shared" si="0"/>
        <v>0</v>
      </c>
      <c r="I10" s="259"/>
      <c r="J10" s="173">
        <f t="shared" si="1"/>
        <v>0</v>
      </c>
      <c r="K10" s="17"/>
      <c r="L10" s="173">
        <f t="shared" si="2"/>
        <v>0</v>
      </c>
      <c r="M10" s="269"/>
      <c r="N10" s="102"/>
      <c r="O10" s="102"/>
      <c r="P10" s="260"/>
      <c r="Q10" s="102"/>
      <c r="R10" s="102"/>
      <c r="S10" s="102"/>
      <c r="T10" s="102"/>
      <c r="U10" s="260"/>
      <c r="V10" s="261"/>
      <c r="W10" s="261"/>
      <c r="X10" s="261"/>
      <c r="Y10" s="261"/>
      <c r="Z10" s="261"/>
      <c r="AA10" s="261"/>
      <c r="AB10" s="261"/>
      <c r="AC10" s="261"/>
      <c r="AD10" s="261"/>
      <c r="AE10" s="261"/>
    </row>
    <row r="11" s="31" customFormat="1" spans="1:31">
      <c r="A11" s="258">
        <v>6</v>
      </c>
      <c r="B11" s="101"/>
      <c r="C11" s="101"/>
      <c r="D11" s="101"/>
      <c r="E11" s="268"/>
      <c r="F11" s="268"/>
      <c r="G11" s="268"/>
      <c r="H11" s="173">
        <f t="shared" si="0"/>
        <v>0</v>
      </c>
      <c r="I11" s="259"/>
      <c r="J11" s="173">
        <f t="shared" si="1"/>
        <v>0</v>
      </c>
      <c r="K11" s="17"/>
      <c r="L11" s="173">
        <f t="shared" si="2"/>
        <v>0</v>
      </c>
      <c r="M11" s="269"/>
      <c r="N11" s="102"/>
      <c r="O11" s="102"/>
      <c r="P11" s="260"/>
      <c r="Q11" s="102"/>
      <c r="R11" s="102"/>
      <c r="S11" s="102"/>
      <c r="T11" s="102"/>
      <c r="U11" s="260"/>
      <c r="V11" s="261"/>
      <c r="W11" s="261"/>
      <c r="X11" s="261"/>
      <c r="Y11" s="261"/>
      <c r="Z11" s="261"/>
      <c r="AA11" s="261"/>
      <c r="AB11" s="261"/>
      <c r="AC11" s="261"/>
      <c r="AD11" s="261"/>
      <c r="AE11" s="261"/>
    </row>
    <row r="12" s="31" customFormat="1" spans="1:31">
      <c r="A12" s="258">
        <v>7</v>
      </c>
      <c r="B12" s="101"/>
      <c r="C12" s="101"/>
      <c r="D12" s="101"/>
      <c r="E12" s="268"/>
      <c r="F12" s="268"/>
      <c r="G12" s="268"/>
      <c r="H12" s="173">
        <f t="shared" si="0"/>
        <v>0</v>
      </c>
      <c r="I12" s="259"/>
      <c r="J12" s="173">
        <f t="shared" si="1"/>
        <v>0</v>
      </c>
      <c r="K12" s="17"/>
      <c r="L12" s="173">
        <f t="shared" si="2"/>
        <v>0</v>
      </c>
      <c r="M12" s="269"/>
      <c r="N12" s="102"/>
      <c r="O12" s="102"/>
      <c r="P12" s="260"/>
      <c r="Q12" s="102"/>
      <c r="R12" s="102"/>
      <c r="S12" s="102"/>
      <c r="T12" s="102"/>
      <c r="U12" s="260"/>
      <c r="V12" s="261"/>
      <c r="W12" s="261"/>
      <c r="X12" s="261"/>
      <c r="Y12" s="261"/>
      <c r="Z12" s="261"/>
      <c r="AA12" s="261"/>
      <c r="AB12" s="261"/>
      <c r="AC12" s="261"/>
      <c r="AD12" s="261"/>
      <c r="AE12" s="261"/>
    </row>
    <row r="13" s="31" customFormat="1" spans="1:31">
      <c r="A13" s="258">
        <v>8</v>
      </c>
      <c r="B13" s="101"/>
      <c r="C13" s="101"/>
      <c r="D13" s="101"/>
      <c r="E13" s="268"/>
      <c r="F13" s="268"/>
      <c r="G13" s="268"/>
      <c r="H13" s="173">
        <f t="shared" si="0"/>
        <v>0</v>
      </c>
      <c r="I13" s="259"/>
      <c r="J13" s="173">
        <f t="shared" si="1"/>
        <v>0</v>
      </c>
      <c r="K13" s="17"/>
      <c r="L13" s="173">
        <f t="shared" si="2"/>
        <v>0</v>
      </c>
      <c r="M13" s="269"/>
      <c r="N13" s="102"/>
      <c r="O13" s="102"/>
      <c r="P13" s="260"/>
      <c r="Q13" s="102"/>
      <c r="R13" s="102"/>
      <c r="S13" s="102"/>
      <c r="T13" s="102"/>
      <c r="U13" s="260"/>
      <c r="V13" s="261"/>
      <c r="W13" s="261"/>
      <c r="X13" s="261"/>
      <c r="Y13" s="261"/>
      <c r="Z13" s="261"/>
      <c r="AA13" s="261"/>
      <c r="AB13" s="261"/>
      <c r="AC13" s="261"/>
      <c r="AD13" s="261"/>
      <c r="AE13" s="261"/>
    </row>
    <row r="14" s="31" customFormat="1" spans="1:31">
      <c r="A14" s="258">
        <v>9</v>
      </c>
      <c r="B14" s="101"/>
      <c r="C14" s="101"/>
      <c r="D14" s="101"/>
      <c r="E14" s="268"/>
      <c r="F14" s="268"/>
      <c r="G14" s="268"/>
      <c r="H14" s="173">
        <f t="shared" si="0"/>
        <v>0</v>
      </c>
      <c r="I14" s="259"/>
      <c r="J14" s="173">
        <f t="shared" si="1"/>
        <v>0</v>
      </c>
      <c r="K14" s="17"/>
      <c r="L14" s="173">
        <f t="shared" si="2"/>
        <v>0</v>
      </c>
      <c r="M14" s="269"/>
      <c r="N14" s="102"/>
      <c r="O14" s="102"/>
      <c r="P14" s="260"/>
      <c r="Q14" s="102"/>
      <c r="R14" s="102"/>
      <c r="S14" s="102"/>
      <c r="T14" s="102"/>
      <c r="U14" s="260"/>
      <c r="V14" s="261"/>
      <c r="W14" s="261"/>
      <c r="X14" s="261"/>
      <c r="Y14" s="261"/>
      <c r="Z14" s="261"/>
      <c r="AA14" s="261"/>
      <c r="AB14" s="261"/>
      <c r="AC14" s="261"/>
      <c r="AD14" s="261"/>
      <c r="AE14" s="261"/>
    </row>
    <row r="15" s="31" customFormat="1" spans="1:31">
      <c r="A15" s="258">
        <v>10</v>
      </c>
      <c r="B15" s="101"/>
      <c r="C15" s="101"/>
      <c r="D15" s="101"/>
      <c r="E15" s="268"/>
      <c r="F15" s="268"/>
      <c r="G15" s="268"/>
      <c r="H15" s="173">
        <f t="shared" si="0"/>
        <v>0</v>
      </c>
      <c r="I15" s="259"/>
      <c r="J15" s="173">
        <f t="shared" si="1"/>
        <v>0</v>
      </c>
      <c r="K15" s="17"/>
      <c r="L15" s="173">
        <f t="shared" si="2"/>
        <v>0</v>
      </c>
      <c r="M15" s="269"/>
      <c r="N15" s="102"/>
      <c r="O15" s="102"/>
      <c r="P15" s="260"/>
      <c r="Q15" s="102"/>
      <c r="R15" s="102"/>
      <c r="S15" s="102"/>
      <c r="T15" s="102"/>
      <c r="U15" s="260"/>
      <c r="V15" s="261"/>
      <c r="W15" s="261"/>
      <c r="X15" s="261"/>
      <c r="Y15" s="261"/>
      <c r="Z15" s="261"/>
      <c r="AA15" s="261"/>
      <c r="AB15" s="261"/>
      <c r="AC15" s="261"/>
      <c r="AD15" s="261"/>
      <c r="AE15" s="261"/>
    </row>
    <row r="16" s="31" customFormat="1" spans="1:31">
      <c r="A16" s="258">
        <v>11</v>
      </c>
      <c r="B16" s="101"/>
      <c r="C16" s="101"/>
      <c r="D16" s="101"/>
      <c r="E16" s="268"/>
      <c r="F16" s="268"/>
      <c r="G16" s="268"/>
      <c r="H16" s="173">
        <f t="shared" si="0"/>
        <v>0</v>
      </c>
      <c r="I16" s="259"/>
      <c r="J16" s="173">
        <f t="shared" si="1"/>
        <v>0</v>
      </c>
      <c r="K16" s="17"/>
      <c r="L16" s="173">
        <f t="shared" si="2"/>
        <v>0</v>
      </c>
      <c r="M16" s="269"/>
      <c r="N16" s="102"/>
      <c r="O16" s="102"/>
      <c r="P16" s="260"/>
      <c r="Q16" s="102"/>
      <c r="R16" s="102"/>
      <c r="S16" s="102"/>
      <c r="T16" s="102"/>
      <c r="U16" s="260"/>
      <c r="V16" s="261"/>
      <c r="W16" s="261"/>
      <c r="X16" s="261"/>
      <c r="Y16" s="261"/>
      <c r="Z16" s="261"/>
      <c r="AA16" s="261"/>
      <c r="AB16" s="261"/>
      <c r="AC16" s="261"/>
      <c r="AD16" s="261"/>
      <c r="AE16" s="261"/>
    </row>
    <row r="17" s="31" customFormat="1" spans="1:31">
      <c r="A17" s="258">
        <v>12</v>
      </c>
      <c r="B17" s="101"/>
      <c r="C17" s="101"/>
      <c r="D17" s="101"/>
      <c r="E17" s="268"/>
      <c r="F17" s="268"/>
      <c r="G17" s="268"/>
      <c r="H17" s="173">
        <f t="shared" si="0"/>
        <v>0</v>
      </c>
      <c r="I17" s="259"/>
      <c r="J17" s="173">
        <f t="shared" si="1"/>
        <v>0</v>
      </c>
      <c r="K17" s="17"/>
      <c r="L17" s="173">
        <f t="shared" si="2"/>
        <v>0</v>
      </c>
      <c r="M17" s="269"/>
      <c r="N17" s="102"/>
      <c r="O17" s="102"/>
      <c r="P17" s="260"/>
      <c r="Q17" s="102"/>
      <c r="R17" s="102"/>
      <c r="S17" s="102"/>
      <c r="T17" s="102"/>
      <c r="U17" s="260"/>
      <c r="V17" s="261"/>
      <c r="W17" s="261"/>
      <c r="X17" s="261"/>
      <c r="Y17" s="261"/>
      <c r="Z17" s="261"/>
      <c r="AA17" s="261"/>
      <c r="AB17" s="261"/>
      <c r="AC17" s="261"/>
      <c r="AD17" s="261"/>
      <c r="AE17" s="261"/>
    </row>
    <row r="18" s="31" customFormat="1" spans="1:31">
      <c r="A18" s="258">
        <v>13</v>
      </c>
      <c r="B18" s="101"/>
      <c r="C18" s="101"/>
      <c r="D18" s="101"/>
      <c r="E18" s="268"/>
      <c r="F18" s="268"/>
      <c r="G18" s="268"/>
      <c r="H18" s="173">
        <f t="shared" si="0"/>
        <v>0</v>
      </c>
      <c r="I18" s="259"/>
      <c r="J18" s="173">
        <f t="shared" si="1"/>
        <v>0</v>
      </c>
      <c r="K18" s="17"/>
      <c r="L18" s="173">
        <f t="shared" si="2"/>
        <v>0</v>
      </c>
      <c r="M18" s="269"/>
      <c r="N18" s="102"/>
      <c r="O18" s="102"/>
      <c r="P18" s="260"/>
      <c r="Q18" s="102"/>
      <c r="R18" s="102"/>
      <c r="S18" s="102"/>
      <c r="T18" s="102"/>
      <c r="U18" s="260"/>
      <c r="V18" s="261"/>
      <c r="W18" s="261"/>
      <c r="X18" s="261"/>
      <c r="Y18" s="261"/>
      <c r="Z18" s="261"/>
      <c r="AA18" s="261"/>
      <c r="AB18" s="261"/>
      <c r="AC18" s="261"/>
      <c r="AD18" s="261"/>
      <c r="AE18" s="261"/>
    </row>
    <row r="19" s="31" customFormat="1" spans="1:31">
      <c r="A19" s="258">
        <v>14</v>
      </c>
      <c r="B19" s="101"/>
      <c r="C19" s="101"/>
      <c r="D19" s="101"/>
      <c r="E19" s="268"/>
      <c r="F19" s="268"/>
      <c r="G19" s="268"/>
      <c r="H19" s="173">
        <f t="shared" si="0"/>
        <v>0</v>
      </c>
      <c r="I19" s="259"/>
      <c r="J19" s="173">
        <f t="shared" si="1"/>
        <v>0</v>
      </c>
      <c r="K19" s="17"/>
      <c r="L19" s="173">
        <f t="shared" si="2"/>
        <v>0</v>
      </c>
      <c r="M19" s="269"/>
      <c r="N19" s="102"/>
      <c r="O19" s="102"/>
      <c r="P19" s="260"/>
      <c r="Q19" s="102"/>
      <c r="R19" s="102"/>
      <c r="S19" s="102"/>
      <c r="T19" s="102"/>
      <c r="U19" s="260"/>
      <c r="V19" s="261"/>
      <c r="W19" s="261"/>
      <c r="X19" s="261"/>
      <c r="Y19" s="261"/>
      <c r="Z19" s="261"/>
      <c r="AA19" s="261"/>
      <c r="AB19" s="261"/>
      <c r="AC19" s="261"/>
      <c r="AD19" s="261"/>
      <c r="AE19" s="261"/>
    </row>
    <row r="20" s="31" customFormat="1" spans="1:31">
      <c r="A20" s="258">
        <v>15</v>
      </c>
      <c r="B20" s="101"/>
      <c r="C20" s="101"/>
      <c r="D20" s="101"/>
      <c r="E20" s="268"/>
      <c r="F20" s="268"/>
      <c r="G20" s="268"/>
      <c r="H20" s="173">
        <f t="shared" si="0"/>
        <v>0</v>
      </c>
      <c r="I20" s="259"/>
      <c r="J20" s="173">
        <f t="shared" si="1"/>
        <v>0</v>
      </c>
      <c r="K20" s="17"/>
      <c r="L20" s="173">
        <f t="shared" si="2"/>
        <v>0</v>
      </c>
      <c r="M20" s="269"/>
      <c r="N20" s="102"/>
      <c r="O20" s="102"/>
      <c r="P20" s="260"/>
      <c r="Q20" s="102"/>
      <c r="R20" s="102"/>
      <c r="S20" s="102"/>
      <c r="T20" s="102"/>
      <c r="U20" s="260"/>
      <c r="V20" s="261"/>
      <c r="W20" s="261"/>
      <c r="X20" s="261"/>
      <c r="Y20" s="261"/>
      <c r="Z20" s="261"/>
      <c r="AA20" s="261"/>
      <c r="AB20" s="261"/>
      <c r="AC20" s="261"/>
      <c r="AD20" s="261"/>
      <c r="AE20" s="261"/>
    </row>
    <row r="21" s="31" customFormat="1" spans="1:31">
      <c r="A21" s="258">
        <v>16</v>
      </c>
      <c r="B21" s="101"/>
      <c r="C21" s="101"/>
      <c r="D21" s="101"/>
      <c r="E21" s="268"/>
      <c r="F21" s="268"/>
      <c r="G21" s="268"/>
      <c r="H21" s="173">
        <f t="shared" si="0"/>
        <v>0</v>
      </c>
      <c r="I21" s="259"/>
      <c r="J21" s="173">
        <f t="shared" si="1"/>
        <v>0</v>
      </c>
      <c r="K21" s="17"/>
      <c r="L21" s="173">
        <f t="shared" si="2"/>
        <v>0</v>
      </c>
      <c r="M21" s="269"/>
      <c r="N21" s="102"/>
      <c r="O21" s="102"/>
      <c r="P21" s="260"/>
      <c r="Q21" s="102"/>
      <c r="R21" s="102"/>
      <c r="S21" s="102"/>
      <c r="T21" s="102"/>
      <c r="U21" s="260"/>
      <c r="V21" s="261"/>
      <c r="W21" s="261"/>
      <c r="X21" s="261"/>
      <c r="Y21" s="261"/>
      <c r="Z21" s="261"/>
      <c r="AA21" s="261"/>
      <c r="AB21" s="261"/>
      <c r="AC21" s="261"/>
      <c r="AD21" s="261"/>
      <c r="AE21" s="261"/>
    </row>
    <row r="22" s="31" customFormat="1" spans="1:31">
      <c r="A22" s="258">
        <v>17</v>
      </c>
      <c r="B22" s="101"/>
      <c r="C22" s="101"/>
      <c r="D22" s="101"/>
      <c r="E22" s="268"/>
      <c r="F22" s="268"/>
      <c r="G22" s="268"/>
      <c r="H22" s="173">
        <f t="shared" si="0"/>
        <v>0</v>
      </c>
      <c r="I22" s="259"/>
      <c r="J22" s="173">
        <f t="shared" si="1"/>
        <v>0</v>
      </c>
      <c r="K22" s="17"/>
      <c r="L22" s="173">
        <f t="shared" si="2"/>
        <v>0</v>
      </c>
      <c r="M22" s="269"/>
      <c r="N22" s="102"/>
      <c r="O22" s="102"/>
      <c r="P22" s="260"/>
      <c r="Q22" s="102"/>
      <c r="R22" s="102"/>
      <c r="S22" s="102"/>
      <c r="T22" s="102"/>
      <c r="U22" s="260"/>
      <c r="V22" s="261"/>
      <c r="W22" s="261"/>
      <c r="X22" s="261"/>
      <c r="Y22" s="261"/>
      <c r="Z22" s="261"/>
      <c r="AA22" s="261"/>
      <c r="AB22" s="261"/>
      <c r="AC22" s="261"/>
      <c r="AD22" s="261"/>
      <c r="AE22" s="261"/>
    </row>
    <row r="23" s="31" customFormat="1" spans="1:31">
      <c r="A23" s="258">
        <v>18</v>
      </c>
      <c r="B23" s="101"/>
      <c r="C23" s="101"/>
      <c r="D23" s="101"/>
      <c r="E23" s="268"/>
      <c r="F23" s="268"/>
      <c r="G23" s="268"/>
      <c r="H23" s="173">
        <f t="shared" si="0"/>
        <v>0</v>
      </c>
      <c r="I23" s="259"/>
      <c r="J23" s="173">
        <f t="shared" si="1"/>
        <v>0</v>
      </c>
      <c r="K23" s="17"/>
      <c r="L23" s="173">
        <f t="shared" si="2"/>
        <v>0</v>
      </c>
      <c r="M23" s="269"/>
      <c r="N23" s="102"/>
      <c r="O23" s="102"/>
      <c r="P23" s="260"/>
      <c r="Q23" s="102"/>
      <c r="R23" s="102"/>
      <c r="S23" s="102"/>
      <c r="T23" s="102"/>
      <c r="U23" s="260"/>
      <c r="V23" s="261"/>
      <c r="W23" s="261"/>
      <c r="X23" s="261"/>
      <c r="Y23" s="261"/>
      <c r="Z23" s="261"/>
      <c r="AA23" s="261"/>
      <c r="AB23" s="261"/>
      <c r="AC23" s="261"/>
      <c r="AD23" s="261"/>
      <c r="AE23" s="261"/>
    </row>
    <row r="24" s="31" customFormat="1" spans="1:31">
      <c r="A24" s="258">
        <v>19</v>
      </c>
      <c r="B24" s="101"/>
      <c r="C24" s="101"/>
      <c r="D24" s="101"/>
      <c r="E24" s="268"/>
      <c r="F24" s="268"/>
      <c r="G24" s="268"/>
      <c r="H24" s="173">
        <f t="shared" si="0"/>
        <v>0</v>
      </c>
      <c r="I24" s="259"/>
      <c r="J24" s="173">
        <f t="shared" si="1"/>
        <v>0</v>
      </c>
      <c r="K24" s="17"/>
      <c r="L24" s="173">
        <f t="shared" si="2"/>
        <v>0</v>
      </c>
      <c r="M24" s="269"/>
      <c r="N24" s="102"/>
      <c r="O24" s="102"/>
      <c r="P24" s="260"/>
      <c r="Q24" s="102"/>
      <c r="R24" s="102"/>
      <c r="S24" s="102"/>
      <c r="T24" s="102"/>
      <c r="U24" s="260"/>
      <c r="V24" s="261"/>
      <c r="W24" s="261"/>
      <c r="X24" s="261"/>
      <c r="Y24" s="261"/>
      <c r="Z24" s="261"/>
      <c r="AA24" s="261"/>
      <c r="AB24" s="261"/>
      <c r="AC24" s="261"/>
      <c r="AD24" s="261"/>
      <c r="AE24" s="261"/>
    </row>
    <row r="25" s="31" customFormat="1" spans="1:31">
      <c r="A25" s="258">
        <v>20</v>
      </c>
      <c r="B25" s="101"/>
      <c r="C25" s="101"/>
      <c r="D25" s="101"/>
      <c r="E25" s="268"/>
      <c r="F25" s="268"/>
      <c r="G25" s="268"/>
      <c r="H25" s="173">
        <f t="shared" si="0"/>
        <v>0</v>
      </c>
      <c r="I25" s="259"/>
      <c r="J25" s="173">
        <f t="shared" si="1"/>
        <v>0</v>
      </c>
      <c r="K25" s="17"/>
      <c r="L25" s="173">
        <f t="shared" si="2"/>
        <v>0</v>
      </c>
      <c r="M25" s="269"/>
      <c r="N25" s="102"/>
      <c r="O25" s="102"/>
      <c r="P25" s="260"/>
      <c r="Q25" s="102"/>
      <c r="R25" s="102"/>
      <c r="S25" s="102"/>
      <c r="T25" s="102"/>
      <c r="U25" s="260"/>
      <c r="V25" s="261"/>
      <c r="W25" s="261"/>
      <c r="X25" s="261"/>
      <c r="Y25" s="261"/>
      <c r="Z25" s="261"/>
      <c r="AA25" s="261"/>
      <c r="AB25" s="261"/>
      <c r="AC25" s="261"/>
      <c r="AD25" s="261"/>
      <c r="AE25" s="261"/>
    </row>
    <row r="26" s="32" customFormat="1" ht="22" customHeight="1" spans="1:31">
      <c r="A26" s="262"/>
      <c r="B26" s="23" t="s">
        <v>217</v>
      </c>
      <c r="C26" s="23"/>
      <c r="D26" s="262"/>
      <c r="E26" s="173">
        <f>ROUND(SUM(E6:E25),2)</f>
        <v>0</v>
      </c>
      <c r="F26" s="173">
        <f>ROUND(SUM(F6:F25),2)</f>
        <v>0</v>
      </c>
      <c r="G26" s="173">
        <f>ROUND(SUM(G6:G25),2)</f>
        <v>0</v>
      </c>
      <c r="H26" s="173">
        <f t="shared" si="0"/>
        <v>0</v>
      </c>
      <c r="I26" s="173"/>
      <c r="J26" s="173">
        <f t="shared" si="1"/>
        <v>0</v>
      </c>
      <c r="K26" s="173">
        <f>ROUND(SUM(K6:K25),2)</f>
        <v>0</v>
      </c>
      <c r="L26" s="173">
        <f t="shared" si="2"/>
        <v>0</v>
      </c>
      <c r="M26" s="25"/>
      <c r="N26" s="264">
        <f>ROUND(SUM(N6:N25),2)</f>
        <v>0</v>
      </c>
      <c r="O26" s="265"/>
      <c r="P26" s="265"/>
      <c r="Q26" s="265"/>
      <c r="R26" s="265"/>
      <c r="S26" s="265"/>
      <c r="T26" s="265"/>
      <c r="U26" s="265"/>
      <c r="V26" s="28"/>
      <c r="W26" s="28"/>
      <c r="X26" s="28"/>
      <c r="Y26" s="28"/>
      <c r="Z26" s="28"/>
      <c r="AA26" s="28"/>
      <c r="AB26" s="28"/>
      <c r="AC26" s="28"/>
      <c r="AD26" s="28"/>
      <c r="AE26" s="28"/>
    </row>
    <row r="28" ht="26" customHeight="1" spans="1:31">
      <c r="B28" s="29" t="s">
        <v>218</v>
      </c>
    </row>
  </sheetData>
  <autoFilter xmlns:etc="http://www.wps.cn/officeDocument/2017/etCustomData" ref="B5:AE26" etc:filterBottomFollowUsedRange="0">
    <extLst/>
  </autoFilter>
  <mergeCells count="19">
    <mergeCell ref="B1:U1"/>
    <mergeCell ref="E4:I4"/>
    <mergeCell ref="V4:AE4"/>
    <mergeCell ref="A4:A5"/>
    <mergeCell ref="B4:B5"/>
    <mergeCell ref="C4:C5"/>
    <mergeCell ref="D4:D5"/>
    <mergeCell ref="J4:J5"/>
    <mergeCell ref="K4:K5"/>
    <mergeCell ref="L4:L5"/>
    <mergeCell ref="M4:M5"/>
    <mergeCell ref="N4:N5"/>
    <mergeCell ref="O4:O5"/>
    <mergeCell ref="P4:P5"/>
    <mergeCell ref="Q4:Q5"/>
    <mergeCell ref="R4:R5"/>
    <mergeCell ref="S4:S5"/>
    <mergeCell ref="T4:T5"/>
    <mergeCell ref="U4:U5"/>
  </mergeCells>
  <dataValidations count="1">
    <dataValidation type="list" allowBlank="1" showInputMessage="1" showErrorMessage="1" sqref="M6:M25 P6:P25 U6:U25">
      <formula1>"√"</formula1>
    </dataValidation>
  </dataValidations>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AE77"/>
  <sheetViews>
    <sheetView zoomScale="90" zoomScaleNormal="90" workbookViewId="0">
      <pane ySplit="5" topLeftCell="A6" activePane="bottomLeft" state="frozen"/>
      <selection/>
      <selection pane="bottomLeft" activeCell="B8" sqref="B8"/>
    </sheetView>
  </sheetViews>
  <sheetFormatPr defaultColWidth="8.73148148148148" defaultRowHeight="14.4"/>
  <cols>
    <col min="1" max="1" width="6.18518518518519" customWidth="1"/>
    <col min="2" max="2" width="12.7222222222222" customWidth="1"/>
    <col min="3" max="3" width="18.7777777777778" customWidth="1"/>
    <col min="4" max="4" width="18.5833333333333" customWidth="1"/>
    <col min="5" max="7" width="15.0462962962963" customWidth="1"/>
    <col min="8" max="10" width="14.037037037037" customWidth="1"/>
    <col min="11" max="11" width="13.6388888888889" customWidth="1"/>
    <col min="12" max="12" width="15.25" customWidth="1"/>
    <col min="13" max="13" width="12.2685185185185"/>
    <col min="14" max="14" width="15.0925925925926" customWidth="1"/>
    <col min="15" max="15" width="12.2685185185185"/>
    <col min="16" max="16" width="12.3611111111111" customWidth="1"/>
    <col min="17" max="20" width="8" customWidth="1"/>
    <col min="21" max="21" width="13" customWidth="1"/>
    <col min="22" max="22" width="16.6388888888889" customWidth="1"/>
    <col min="23" max="23" width="14.2685185185185" customWidth="1"/>
    <col min="24" max="24" width="12.9074074074074" customWidth="1"/>
    <col min="25" max="25" width="19.4537037037037" customWidth="1"/>
    <col min="26" max="26" width="10.1851851851852" customWidth="1"/>
    <col min="27" max="28" width="12.8148148148148" customWidth="1"/>
    <col min="30" max="30" width="14.1851851851852" customWidth="1"/>
    <col min="31" max="31" width="37.9074074074074" customWidth="1"/>
  </cols>
  <sheetData>
    <row r="1" ht="26" customHeight="1" spans="1:31">
      <c r="B1" s="247" t="s">
        <v>45</v>
      </c>
      <c r="C1" s="247"/>
      <c r="D1" s="247"/>
      <c r="E1" s="247"/>
      <c r="F1" s="247"/>
      <c r="G1" s="247"/>
      <c r="H1" s="247"/>
      <c r="I1" s="247"/>
      <c r="J1" s="247"/>
      <c r="K1" s="247"/>
      <c r="L1" s="247"/>
      <c r="M1" s="247"/>
      <c r="N1" s="247"/>
      <c r="O1" s="247"/>
      <c r="P1" s="247"/>
      <c r="Q1" s="247"/>
      <c r="R1" s="247"/>
      <c r="S1" s="247"/>
      <c r="T1" s="247"/>
      <c r="U1" s="247"/>
    </row>
    <row r="2" spans="1:31">
      <c r="A2" s="2" t="str">
        <f>备忘录!$A$1</f>
        <v>被审计单位：福禄福擎网络科技有限公司</v>
      </c>
      <c r="D2" s="4"/>
      <c r="E2" s="4"/>
      <c r="F2" s="4"/>
      <c r="H2" s="4" t="s">
        <v>193</v>
      </c>
      <c r="I2" s="4"/>
      <c r="J2" s="4"/>
      <c r="N2" s="4" t="str">
        <f>备忘录!$C$2</f>
        <v>日期：2025/10/30</v>
      </c>
      <c r="P2" s="146"/>
    </row>
    <row r="3" spans="1:31">
      <c r="A3" s="2" t="str">
        <f>备忘录!$A$2</f>
        <v>财务报表截止日：2025/9/30</v>
      </c>
      <c r="D3" s="4"/>
      <c r="E3" s="4"/>
      <c r="F3" s="4"/>
      <c r="H3" s="4" t="s">
        <v>194</v>
      </c>
      <c r="I3" s="4"/>
      <c r="J3" s="4"/>
      <c r="N3" s="4" t="str">
        <f>备忘录!$C$3</f>
        <v>日期：2025/10/31</v>
      </c>
    </row>
    <row r="4" s="30" customFormat="1" ht="21" customHeight="1" spans="1:31">
      <c r="A4" s="89" t="s">
        <v>77</v>
      </c>
      <c r="B4" s="159" t="s">
        <v>78</v>
      </c>
      <c r="C4" s="159" t="s">
        <v>270</v>
      </c>
      <c r="D4" s="159" t="s">
        <v>271</v>
      </c>
      <c r="E4" s="89" t="s">
        <v>207</v>
      </c>
      <c r="F4" s="89"/>
      <c r="G4" s="89"/>
      <c r="H4" s="89"/>
      <c r="I4" s="89"/>
      <c r="J4" s="248" t="s">
        <v>361</v>
      </c>
      <c r="K4" s="248" t="s">
        <v>272</v>
      </c>
      <c r="L4" s="248" t="s">
        <v>395</v>
      </c>
      <c r="M4" s="249" t="s">
        <v>396</v>
      </c>
      <c r="N4" s="250" t="s">
        <v>397</v>
      </c>
      <c r="O4" s="250" t="s">
        <v>203</v>
      </c>
      <c r="P4" s="250" t="s">
        <v>398</v>
      </c>
      <c r="Q4" s="250" t="s">
        <v>399</v>
      </c>
      <c r="R4" s="250" t="s">
        <v>400</v>
      </c>
      <c r="S4" s="250" t="s">
        <v>401</v>
      </c>
      <c r="T4" s="250" t="s">
        <v>402</v>
      </c>
      <c r="U4" s="250" t="s">
        <v>403</v>
      </c>
      <c r="V4" s="251" t="s">
        <v>404</v>
      </c>
      <c r="W4" s="251"/>
      <c r="X4" s="251"/>
      <c r="Y4" s="251"/>
      <c r="Z4" s="251"/>
      <c r="AA4" s="251"/>
      <c r="AB4" s="251"/>
      <c r="AC4" s="251"/>
      <c r="AD4" s="251"/>
      <c r="AE4" s="251"/>
    </row>
    <row r="5" s="30" customFormat="1" ht="41" customHeight="1" spans="1:31">
      <c r="A5" s="252"/>
      <c r="B5" s="168"/>
      <c r="C5" s="168"/>
      <c r="D5" s="168"/>
      <c r="E5" s="169" t="s">
        <v>433</v>
      </c>
      <c r="F5" s="169" t="s">
        <v>211</v>
      </c>
      <c r="G5" s="169" t="s">
        <v>212</v>
      </c>
      <c r="H5" s="169" t="s">
        <v>213</v>
      </c>
      <c r="I5" s="89" t="s">
        <v>409</v>
      </c>
      <c r="J5" s="253"/>
      <c r="K5" s="253"/>
      <c r="L5" s="253"/>
      <c r="M5" s="254"/>
      <c r="N5" s="255"/>
      <c r="O5" s="255"/>
      <c r="P5" s="255"/>
      <c r="Q5" s="255"/>
      <c r="R5" s="255"/>
      <c r="S5" s="255"/>
      <c r="T5" s="255"/>
      <c r="U5" s="256"/>
      <c r="V5" s="257" t="s">
        <v>410</v>
      </c>
      <c r="W5" s="257" t="s">
        <v>411</v>
      </c>
      <c r="X5" s="257" t="s">
        <v>412</v>
      </c>
      <c r="Y5" s="257" t="s">
        <v>413</v>
      </c>
      <c r="Z5" s="257" t="s">
        <v>414</v>
      </c>
      <c r="AA5" s="257" t="s">
        <v>415</v>
      </c>
      <c r="AB5" s="257" t="s">
        <v>416</v>
      </c>
      <c r="AC5" s="257" t="s">
        <v>417</v>
      </c>
      <c r="AD5" s="257" t="s">
        <v>418</v>
      </c>
      <c r="AE5" s="257" t="s">
        <v>419</v>
      </c>
    </row>
    <row r="6" s="31" customFormat="1" ht="19" customHeight="1" spans="1:31">
      <c r="A6" s="258">
        <v>1</v>
      </c>
      <c r="B6" s="101"/>
      <c r="C6" s="101"/>
      <c r="D6" s="101"/>
      <c r="E6" s="77"/>
      <c r="F6" s="77"/>
      <c r="G6" s="77"/>
      <c r="H6" s="173">
        <f>SUM(E6,G6,-F6)</f>
        <v>0</v>
      </c>
      <c r="I6" s="259"/>
      <c r="J6" s="173">
        <f>H6+I6</f>
        <v>0</v>
      </c>
      <c r="K6" s="77"/>
      <c r="L6" s="173">
        <f>J6+K6</f>
        <v>0</v>
      </c>
      <c r="M6" s="260"/>
      <c r="N6" s="102"/>
      <c r="O6" s="102"/>
      <c r="P6" s="260"/>
      <c r="Q6" s="102"/>
      <c r="R6" s="102"/>
      <c r="S6" s="102"/>
      <c r="T6" s="102"/>
      <c r="U6" s="260"/>
      <c r="V6" s="261"/>
      <c r="W6" s="261"/>
      <c r="X6" s="261"/>
      <c r="Y6" s="261"/>
      <c r="Z6" s="261"/>
      <c r="AA6" s="261"/>
      <c r="AB6" s="261"/>
      <c r="AC6" s="261"/>
      <c r="AD6" s="261"/>
      <c r="AE6" s="261"/>
    </row>
    <row r="7" s="31" customFormat="1" ht="19" customHeight="1" spans="1:31">
      <c r="A7" s="258">
        <v>2</v>
      </c>
      <c r="B7" s="101"/>
      <c r="C7" s="101"/>
      <c r="D7" s="101"/>
      <c r="E7" s="77"/>
      <c r="F7" s="77"/>
      <c r="G7" s="77"/>
      <c r="H7" s="173">
        <f t="shared" ref="H7:H70" si="0">SUM(E7,G7,-F7)</f>
        <v>0</v>
      </c>
      <c r="I7" s="259"/>
      <c r="J7" s="173">
        <f t="shared" ref="J7:J38" si="1">H7+I7</f>
        <v>0</v>
      </c>
      <c r="K7" s="77"/>
      <c r="L7" s="173">
        <f t="shared" ref="L7:L38" si="2">J7+K7</f>
        <v>0</v>
      </c>
      <c r="M7" s="260"/>
      <c r="N7" s="102"/>
      <c r="O7" s="102"/>
      <c r="P7" s="260"/>
      <c r="Q7" s="102"/>
      <c r="R7" s="102"/>
      <c r="S7" s="102"/>
      <c r="T7" s="102"/>
      <c r="U7" s="260"/>
      <c r="V7" s="261"/>
      <c r="W7" s="261"/>
      <c r="X7" s="261"/>
      <c r="Y7" s="261"/>
      <c r="Z7" s="261"/>
      <c r="AA7" s="261"/>
      <c r="AB7" s="261"/>
      <c r="AC7" s="261"/>
      <c r="AD7" s="261"/>
      <c r="AE7" s="261"/>
    </row>
    <row r="8" s="31" customFormat="1" ht="19" customHeight="1" spans="1:31">
      <c r="A8" s="258">
        <v>3</v>
      </c>
      <c r="B8" s="101"/>
      <c r="C8" s="101"/>
      <c r="D8" s="101"/>
      <c r="E8" s="77"/>
      <c r="F8" s="77"/>
      <c r="G8" s="77"/>
      <c r="H8" s="173">
        <f t="shared" si="0"/>
        <v>0</v>
      </c>
      <c r="I8" s="259"/>
      <c r="J8" s="173">
        <f t="shared" si="1"/>
        <v>0</v>
      </c>
      <c r="K8" s="77"/>
      <c r="L8" s="173">
        <f t="shared" si="2"/>
        <v>0</v>
      </c>
      <c r="M8" s="260"/>
      <c r="N8" s="102"/>
      <c r="O8" s="102"/>
      <c r="P8" s="260"/>
      <c r="Q8" s="102"/>
      <c r="R8" s="102"/>
      <c r="S8" s="102"/>
      <c r="T8" s="102"/>
      <c r="U8" s="260"/>
      <c r="V8" s="261"/>
      <c r="W8" s="261"/>
      <c r="X8" s="261"/>
      <c r="Y8" s="261"/>
      <c r="Z8" s="261"/>
      <c r="AA8" s="261"/>
      <c r="AB8" s="261"/>
      <c r="AC8" s="261"/>
      <c r="AD8" s="261"/>
      <c r="AE8" s="261"/>
    </row>
    <row r="9" s="31" customFormat="1" ht="19" customHeight="1" spans="1:31">
      <c r="A9" s="258">
        <v>4</v>
      </c>
      <c r="B9" s="101"/>
      <c r="C9" s="101"/>
      <c r="D9" s="55"/>
      <c r="E9" s="77"/>
      <c r="F9" s="77"/>
      <c r="G9" s="77"/>
      <c r="H9" s="173">
        <f t="shared" si="0"/>
        <v>0</v>
      </c>
      <c r="I9" s="259"/>
      <c r="J9" s="173">
        <f t="shared" si="1"/>
        <v>0</v>
      </c>
      <c r="K9" s="77"/>
      <c r="L9" s="173">
        <f t="shared" si="2"/>
        <v>0</v>
      </c>
      <c r="M9" s="260"/>
      <c r="N9" s="102"/>
      <c r="O9" s="102"/>
      <c r="P9" s="260"/>
      <c r="Q9" s="102"/>
      <c r="R9" s="102"/>
      <c r="S9" s="102"/>
      <c r="T9" s="102"/>
      <c r="U9" s="260"/>
      <c r="V9" s="261"/>
      <c r="W9" s="261"/>
      <c r="X9" s="261"/>
      <c r="Y9" s="261"/>
      <c r="Z9" s="261"/>
      <c r="AA9" s="261"/>
      <c r="AB9" s="261"/>
      <c r="AC9" s="261"/>
      <c r="AD9" s="261"/>
      <c r="AE9" s="261"/>
    </row>
    <row r="10" s="31" customFormat="1" ht="19" customHeight="1" spans="1:31">
      <c r="A10" s="258">
        <v>5</v>
      </c>
      <c r="B10" s="101"/>
      <c r="C10" s="101"/>
      <c r="D10" s="55"/>
      <c r="E10" s="77"/>
      <c r="F10" s="77"/>
      <c r="G10" s="77"/>
      <c r="H10" s="173">
        <f t="shared" si="0"/>
        <v>0</v>
      </c>
      <c r="I10" s="259"/>
      <c r="J10" s="173">
        <f t="shared" si="1"/>
        <v>0</v>
      </c>
      <c r="K10" s="77"/>
      <c r="L10" s="173">
        <f t="shared" si="2"/>
        <v>0</v>
      </c>
      <c r="M10" s="260"/>
      <c r="N10" s="102"/>
      <c r="O10" s="102"/>
      <c r="P10" s="260"/>
      <c r="Q10" s="102"/>
      <c r="R10" s="102"/>
      <c r="S10" s="102"/>
      <c r="T10" s="102"/>
      <c r="U10" s="260"/>
      <c r="V10" s="261"/>
      <c r="W10" s="261"/>
      <c r="X10" s="261"/>
      <c r="Y10" s="261"/>
      <c r="Z10" s="261"/>
      <c r="AA10" s="261"/>
      <c r="AB10" s="261"/>
      <c r="AC10" s="261"/>
      <c r="AD10" s="261"/>
      <c r="AE10" s="261"/>
    </row>
    <row r="11" s="31" customFormat="1" ht="19" customHeight="1" spans="1:31">
      <c r="A11" s="258">
        <v>6</v>
      </c>
      <c r="B11" s="101"/>
      <c r="C11" s="101"/>
      <c r="D11" s="101"/>
      <c r="E11" s="77"/>
      <c r="F11" s="77"/>
      <c r="G11" s="77"/>
      <c r="H11" s="173">
        <f t="shared" si="0"/>
        <v>0</v>
      </c>
      <c r="I11" s="259"/>
      <c r="J11" s="173">
        <f t="shared" si="1"/>
        <v>0</v>
      </c>
      <c r="K11" s="77"/>
      <c r="L11" s="173">
        <f t="shared" si="2"/>
        <v>0</v>
      </c>
      <c r="M11" s="260"/>
      <c r="N11" s="102"/>
      <c r="O11" s="102"/>
      <c r="P11" s="260"/>
      <c r="Q11" s="102"/>
      <c r="R11" s="102"/>
      <c r="S11" s="102"/>
      <c r="T11" s="102"/>
      <c r="U11" s="260"/>
      <c r="V11" s="261"/>
      <c r="W11" s="261"/>
      <c r="X11" s="261"/>
      <c r="Y11" s="261"/>
      <c r="Z11" s="261"/>
      <c r="AA11" s="261"/>
      <c r="AB11" s="261"/>
      <c r="AC11" s="261"/>
      <c r="AD11" s="261"/>
      <c r="AE11" s="261"/>
    </row>
    <row r="12" s="31" customFormat="1" ht="19" customHeight="1" spans="1:31">
      <c r="A12" s="258">
        <v>7</v>
      </c>
      <c r="B12" s="101"/>
      <c r="C12" s="101"/>
      <c r="D12" s="101"/>
      <c r="E12" s="77"/>
      <c r="F12" s="77"/>
      <c r="G12" s="77"/>
      <c r="H12" s="173">
        <f t="shared" si="0"/>
        <v>0</v>
      </c>
      <c r="I12" s="259"/>
      <c r="J12" s="173">
        <f t="shared" si="1"/>
        <v>0</v>
      </c>
      <c r="K12" s="77"/>
      <c r="L12" s="173">
        <f t="shared" si="2"/>
        <v>0</v>
      </c>
      <c r="M12" s="260"/>
      <c r="N12" s="102"/>
      <c r="O12" s="102"/>
      <c r="P12" s="260"/>
      <c r="Q12" s="102"/>
      <c r="R12" s="102"/>
      <c r="S12" s="102"/>
      <c r="T12" s="102"/>
      <c r="U12" s="260"/>
      <c r="V12" s="261"/>
      <c r="W12" s="261"/>
      <c r="X12" s="261"/>
      <c r="Y12" s="261"/>
      <c r="Z12" s="261"/>
      <c r="AA12" s="261"/>
      <c r="AB12" s="261"/>
      <c r="AC12" s="261"/>
      <c r="AD12" s="261"/>
      <c r="AE12" s="261"/>
    </row>
    <row r="13" s="31" customFormat="1" ht="19" customHeight="1" spans="1:31">
      <c r="A13" s="258">
        <v>8</v>
      </c>
      <c r="B13" s="101"/>
      <c r="C13" s="101"/>
      <c r="D13" s="101"/>
      <c r="E13" s="77"/>
      <c r="F13" s="77"/>
      <c r="G13" s="77"/>
      <c r="H13" s="173">
        <f t="shared" si="0"/>
        <v>0</v>
      </c>
      <c r="I13" s="259"/>
      <c r="J13" s="173">
        <f t="shared" si="1"/>
        <v>0</v>
      </c>
      <c r="K13" s="77"/>
      <c r="L13" s="173">
        <f t="shared" si="2"/>
        <v>0</v>
      </c>
      <c r="M13" s="260"/>
      <c r="N13" s="102"/>
      <c r="O13" s="102"/>
      <c r="P13" s="260"/>
      <c r="Q13" s="102"/>
      <c r="R13" s="102"/>
      <c r="S13" s="102"/>
      <c r="T13" s="102"/>
      <c r="U13" s="260"/>
      <c r="V13" s="261"/>
      <c r="W13" s="261"/>
      <c r="X13" s="261"/>
      <c r="Y13" s="261"/>
      <c r="Z13" s="261"/>
      <c r="AA13" s="261"/>
      <c r="AB13" s="261"/>
      <c r="AC13" s="261"/>
      <c r="AD13" s="261"/>
      <c r="AE13" s="261"/>
    </row>
    <row r="14" s="31" customFormat="1" ht="19" customHeight="1" spans="1:31">
      <c r="A14" s="258">
        <v>9</v>
      </c>
      <c r="B14" s="101"/>
      <c r="C14" s="101"/>
      <c r="D14" s="101"/>
      <c r="E14" s="77"/>
      <c r="F14" s="77"/>
      <c r="G14" s="77"/>
      <c r="H14" s="173">
        <f t="shared" si="0"/>
        <v>0</v>
      </c>
      <c r="I14" s="259"/>
      <c r="J14" s="173">
        <f t="shared" si="1"/>
        <v>0</v>
      </c>
      <c r="K14" s="77"/>
      <c r="L14" s="173">
        <f t="shared" si="2"/>
        <v>0</v>
      </c>
      <c r="M14" s="260"/>
      <c r="N14" s="102"/>
      <c r="O14" s="102"/>
      <c r="P14" s="260"/>
      <c r="Q14" s="102"/>
      <c r="R14" s="102"/>
      <c r="S14" s="102"/>
      <c r="T14" s="102"/>
      <c r="U14" s="260"/>
      <c r="V14" s="261"/>
      <c r="W14" s="261"/>
      <c r="X14" s="261"/>
      <c r="Y14" s="261"/>
      <c r="Z14" s="261"/>
      <c r="AA14" s="261"/>
      <c r="AB14" s="261"/>
      <c r="AC14" s="261"/>
      <c r="AD14" s="261"/>
      <c r="AE14" s="261"/>
    </row>
    <row r="15" s="31" customFormat="1" ht="19" customHeight="1" spans="1:31">
      <c r="A15" s="258">
        <v>10</v>
      </c>
      <c r="B15" s="101"/>
      <c r="C15" s="101"/>
      <c r="D15" s="101"/>
      <c r="E15" s="77"/>
      <c r="F15" s="77"/>
      <c r="G15" s="77"/>
      <c r="H15" s="173">
        <f t="shared" si="0"/>
        <v>0</v>
      </c>
      <c r="I15" s="259"/>
      <c r="J15" s="173">
        <f t="shared" si="1"/>
        <v>0</v>
      </c>
      <c r="K15" s="77"/>
      <c r="L15" s="173">
        <f t="shared" si="2"/>
        <v>0</v>
      </c>
      <c r="M15" s="260"/>
      <c r="N15" s="102"/>
      <c r="O15" s="102"/>
      <c r="P15" s="260"/>
      <c r="Q15" s="102"/>
      <c r="R15" s="102"/>
      <c r="S15" s="102"/>
      <c r="T15" s="102"/>
      <c r="U15" s="260"/>
      <c r="V15" s="261"/>
      <c r="W15" s="261"/>
      <c r="X15" s="261"/>
      <c r="Y15" s="261"/>
      <c r="Z15" s="261"/>
      <c r="AA15" s="261"/>
      <c r="AB15" s="261"/>
      <c r="AC15" s="261"/>
      <c r="AD15" s="261"/>
      <c r="AE15" s="261"/>
    </row>
    <row r="16" s="31" customFormat="1" ht="19" customHeight="1" spans="1:31">
      <c r="A16" s="258">
        <v>11</v>
      </c>
      <c r="B16" s="101"/>
      <c r="C16" s="101"/>
      <c r="D16" s="101"/>
      <c r="E16" s="77"/>
      <c r="F16" s="77"/>
      <c r="G16" s="77"/>
      <c r="H16" s="173">
        <f t="shared" si="0"/>
        <v>0</v>
      </c>
      <c r="I16" s="259"/>
      <c r="J16" s="173">
        <f t="shared" si="1"/>
        <v>0</v>
      </c>
      <c r="K16" s="77"/>
      <c r="L16" s="173">
        <f t="shared" si="2"/>
        <v>0</v>
      </c>
      <c r="M16" s="260"/>
      <c r="N16" s="102"/>
      <c r="O16" s="102"/>
      <c r="P16" s="260"/>
      <c r="Q16" s="102"/>
      <c r="R16" s="102"/>
      <c r="S16" s="102"/>
      <c r="T16" s="102"/>
      <c r="U16" s="260"/>
      <c r="V16" s="261"/>
      <c r="W16" s="261"/>
      <c r="X16" s="261"/>
      <c r="Y16" s="261"/>
      <c r="Z16" s="261"/>
      <c r="AA16" s="261"/>
      <c r="AB16" s="261"/>
      <c r="AC16" s="261"/>
      <c r="AD16" s="261"/>
      <c r="AE16" s="261"/>
    </row>
    <row r="17" s="31" customFormat="1" ht="19" customHeight="1" spans="1:31">
      <c r="A17" s="258">
        <v>12</v>
      </c>
      <c r="B17" s="101"/>
      <c r="C17" s="101"/>
      <c r="D17" s="101"/>
      <c r="E17" s="77"/>
      <c r="F17" s="77"/>
      <c r="G17" s="77"/>
      <c r="H17" s="173">
        <f t="shared" si="0"/>
        <v>0</v>
      </c>
      <c r="I17" s="259"/>
      <c r="J17" s="173">
        <f t="shared" si="1"/>
        <v>0</v>
      </c>
      <c r="K17" s="77"/>
      <c r="L17" s="173">
        <f t="shared" si="2"/>
        <v>0</v>
      </c>
      <c r="M17" s="260"/>
      <c r="N17" s="102"/>
      <c r="O17" s="102"/>
      <c r="P17" s="260"/>
      <c r="Q17" s="102"/>
      <c r="R17" s="102"/>
      <c r="S17" s="102"/>
      <c r="T17" s="102"/>
      <c r="U17" s="260"/>
      <c r="V17" s="261"/>
      <c r="W17" s="261"/>
      <c r="X17" s="261"/>
      <c r="Y17" s="261"/>
      <c r="Z17" s="261"/>
      <c r="AA17" s="261"/>
      <c r="AB17" s="261"/>
      <c r="AC17" s="261"/>
      <c r="AD17" s="261"/>
      <c r="AE17" s="261"/>
    </row>
    <row r="18" s="31" customFormat="1" ht="19" customHeight="1" spans="1:31">
      <c r="A18" s="258">
        <v>13</v>
      </c>
      <c r="B18" s="101"/>
      <c r="C18" s="101"/>
      <c r="D18" s="101"/>
      <c r="E18" s="77"/>
      <c r="F18" s="77"/>
      <c r="G18" s="77"/>
      <c r="H18" s="173">
        <f t="shared" si="0"/>
        <v>0</v>
      </c>
      <c r="I18" s="259"/>
      <c r="J18" s="173">
        <f t="shared" si="1"/>
        <v>0</v>
      </c>
      <c r="K18" s="77"/>
      <c r="L18" s="173">
        <f t="shared" si="2"/>
        <v>0</v>
      </c>
      <c r="M18" s="260"/>
      <c r="N18" s="102"/>
      <c r="O18" s="102"/>
      <c r="P18" s="260"/>
      <c r="Q18" s="102"/>
      <c r="R18" s="102"/>
      <c r="S18" s="102"/>
      <c r="T18" s="102"/>
      <c r="U18" s="260"/>
      <c r="V18" s="261"/>
      <c r="W18" s="261"/>
      <c r="X18" s="261"/>
      <c r="Y18" s="261"/>
      <c r="Z18" s="261"/>
      <c r="AA18" s="261"/>
      <c r="AB18" s="261"/>
      <c r="AC18" s="261"/>
      <c r="AD18" s="261"/>
      <c r="AE18" s="261"/>
    </row>
    <row r="19" s="31" customFormat="1" ht="19" customHeight="1" spans="1:31">
      <c r="A19" s="258">
        <v>14</v>
      </c>
      <c r="B19" s="101"/>
      <c r="C19" s="101"/>
      <c r="D19" s="101"/>
      <c r="E19" s="77"/>
      <c r="F19" s="77"/>
      <c r="G19" s="77"/>
      <c r="H19" s="173">
        <f t="shared" si="0"/>
        <v>0</v>
      </c>
      <c r="I19" s="259"/>
      <c r="J19" s="173">
        <f t="shared" si="1"/>
        <v>0</v>
      </c>
      <c r="K19" s="77"/>
      <c r="L19" s="173">
        <f t="shared" si="2"/>
        <v>0</v>
      </c>
      <c r="M19" s="260"/>
      <c r="N19" s="102"/>
      <c r="O19" s="102"/>
      <c r="P19" s="260"/>
      <c r="Q19" s="102"/>
      <c r="R19" s="102"/>
      <c r="S19" s="102"/>
      <c r="T19" s="102"/>
      <c r="U19" s="260"/>
      <c r="V19" s="261"/>
      <c r="W19" s="261"/>
      <c r="X19" s="261"/>
      <c r="Y19" s="261"/>
      <c r="Z19" s="261"/>
      <c r="AA19" s="261"/>
      <c r="AB19" s="261"/>
      <c r="AC19" s="261"/>
      <c r="AD19" s="261"/>
      <c r="AE19" s="261"/>
    </row>
    <row r="20" s="31" customFormat="1" ht="19" customHeight="1" spans="1:31">
      <c r="A20" s="258">
        <v>15</v>
      </c>
      <c r="B20" s="101"/>
      <c r="C20" s="101"/>
      <c r="D20" s="101"/>
      <c r="E20" s="77"/>
      <c r="F20" s="77"/>
      <c r="G20" s="77"/>
      <c r="H20" s="173">
        <f t="shared" si="0"/>
        <v>0</v>
      </c>
      <c r="I20" s="259"/>
      <c r="J20" s="173">
        <f t="shared" si="1"/>
        <v>0</v>
      </c>
      <c r="K20" s="77"/>
      <c r="L20" s="173">
        <f t="shared" si="2"/>
        <v>0</v>
      </c>
      <c r="M20" s="260"/>
      <c r="N20" s="102"/>
      <c r="O20" s="102"/>
      <c r="P20" s="260"/>
      <c r="Q20" s="102"/>
      <c r="R20" s="102"/>
      <c r="S20" s="102"/>
      <c r="T20" s="102"/>
      <c r="U20" s="260"/>
      <c r="V20" s="261"/>
      <c r="W20" s="261"/>
      <c r="X20" s="261"/>
      <c r="Y20" s="261"/>
      <c r="Z20" s="261"/>
      <c r="AA20" s="261"/>
      <c r="AB20" s="261"/>
      <c r="AC20" s="261"/>
      <c r="AD20" s="261"/>
      <c r="AE20" s="261"/>
    </row>
    <row r="21" s="31" customFormat="1" ht="19" customHeight="1" spans="1:31">
      <c r="A21" s="258">
        <v>16</v>
      </c>
      <c r="B21" s="101"/>
      <c r="C21" s="101"/>
      <c r="D21" s="101"/>
      <c r="E21" s="77"/>
      <c r="F21" s="77"/>
      <c r="G21" s="77"/>
      <c r="H21" s="173">
        <f t="shared" si="0"/>
        <v>0</v>
      </c>
      <c r="I21" s="259"/>
      <c r="J21" s="173">
        <f t="shared" si="1"/>
        <v>0</v>
      </c>
      <c r="K21" s="77"/>
      <c r="L21" s="173">
        <f t="shared" si="2"/>
        <v>0</v>
      </c>
      <c r="M21" s="260"/>
      <c r="N21" s="102"/>
      <c r="O21" s="102"/>
      <c r="P21" s="260"/>
      <c r="Q21" s="102"/>
      <c r="R21" s="102"/>
      <c r="S21" s="102"/>
      <c r="T21" s="102"/>
      <c r="U21" s="260"/>
      <c r="V21" s="261"/>
      <c r="W21" s="261"/>
      <c r="X21" s="261"/>
      <c r="Y21" s="261"/>
      <c r="Z21" s="261"/>
      <c r="AA21" s="261"/>
      <c r="AB21" s="261"/>
      <c r="AC21" s="261"/>
      <c r="AD21" s="261"/>
      <c r="AE21" s="261"/>
    </row>
    <row r="22" s="31" customFormat="1" ht="19" customHeight="1" spans="1:31">
      <c r="A22" s="258">
        <v>17</v>
      </c>
      <c r="B22" s="101"/>
      <c r="C22" s="101"/>
      <c r="D22" s="101"/>
      <c r="E22" s="77"/>
      <c r="F22" s="77"/>
      <c r="G22" s="77"/>
      <c r="H22" s="173">
        <f t="shared" si="0"/>
        <v>0</v>
      </c>
      <c r="I22" s="259"/>
      <c r="J22" s="173">
        <f t="shared" si="1"/>
        <v>0</v>
      </c>
      <c r="K22" s="77"/>
      <c r="L22" s="173">
        <f t="shared" si="2"/>
        <v>0</v>
      </c>
      <c r="M22" s="260"/>
      <c r="N22" s="102"/>
      <c r="O22" s="102"/>
      <c r="P22" s="260"/>
      <c r="Q22" s="102"/>
      <c r="R22" s="102"/>
      <c r="S22" s="102"/>
      <c r="T22" s="102"/>
      <c r="U22" s="260"/>
      <c r="V22" s="261"/>
      <c r="W22" s="261"/>
      <c r="X22" s="261"/>
      <c r="Y22" s="261"/>
      <c r="Z22" s="261"/>
      <c r="AA22" s="261"/>
      <c r="AB22" s="261"/>
      <c r="AC22" s="261"/>
      <c r="AD22" s="261"/>
      <c r="AE22" s="261"/>
    </row>
    <row r="23" s="31" customFormat="1" ht="19" customHeight="1" spans="1:31">
      <c r="A23" s="258">
        <v>18</v>
      </c>
      <c r="B23" s="101"/>
      <c r="C23" s="101"/>
      <c r="D23" s="101"/>
      <c r="E23" s="77"/>
      <c r="F23" s="77"/>
      <c r="G23" s="77"/>
      <c r="H23" s="173">
        <f t="shared" si="0"/>
        <v>0</v>
      </c>
      <c r="I23" s="259"/>
      <c r="J23" s="173">
        <f t="shared" si="1"/>
        <v>0</v>
      </c>
      <c r="K23" s="77"/>
      <c r="L23" s="173">
        <f t="shared" si="2"/>
        <v>0</v>
      </c>
      <c r="M23" s="260"/>
      <c r="N23" s="102"/>
      <c r="O23" s="102"/>
      <c r="P23" s="260"/>
      <c r="Q23" s="102"/>
      <c r="R23" s="102"/>
      <c r="S23" s="102"/>
      <c r="T23" s="102"/>
      <c r="U23" s="260"/>
      <c r="V23" s="261"/>
      <c r="W23" s="261"/>
      <c r="X23" s="261"/>
      <c r="Y23" s="261"/>
      <c r="Z23" s="261"/>
      <c r="AA23" s="261"/>
      <c r="AB23" s="261"/>
      <c r="AC23" s="261"/>
      <c r="AD23" s="261"/>
      <c r="AE23" s="261"/>
    </row>
    <row r="24" s="31" customFormat="1" ht="19" customHeight="1" spans="1:31">
      <c r="A24" s="258">
        <v>19</v>
      </c>
      <c r="B24" s="101"/>
      <c r="C24" s="101"/>
      <c r="D24" s="101"/>
      <c r="E24" s="77"/>
      <c r="F24" s="77"/>
      <c r="G24" s="77"/>
      <c r="H24" s="173">
        <f t="shared" si="0"/>
        <v>0</v>
      </c>
      <c r="I24" s="259"/>
      <c r="J24" s="173">
        <f t="shared" si="1"/>
        <v>0</v>
      </c>
      <c r="K24" s="77"/>
      <c r="L24" s="173">
        <f t="shared" si="2"/>
        <v>0</v>
      </c>
      <c r="M24" s="260"/>
      <c r="N24" s="102"/>
      <c r="O24" s="102"/>
      <c r="P24" s="260"/>
      <c r="Q24" s="102"/>
      <c r="R24" s="102"/>
      <c r="S24" s="102"/>
      <c r="T24" s="102"/>
      <c r="U24" s="260"/>
      <c r="V24" s="261"/>
      <c r="W24" s="261"/>
      <c r="X24" s="261"/>
      <c r="Y24" s="261"/>
      <c r="Z24" s="261"/>
      <c r="AA24" s="261"/>
      <c r="AB24" s="261"/>
      <c r="AC24" s="261"/>
      <c r="AD24" s="261"/>
      <c r="AE24" s="261"/>
    </row>
    <row r="25" s="31" customFormat="1" ht="19" customHeight="1" spans="1:31">
      <c r="A25" s="258">
        <v>20</v>
      </c>
      <c r="B25" s="101"/>
      <c r="C25" s="101"/>
      <c r="D25" s="101"/>
      <c r="E25" s="77"/>
      <c r="F25" s="77"/>
      <c r="G25" s="77"/>
      <c r="H25" s="173">
        <f t="shared" si="0"/>
        <v>0</v>
      </c>
      <c r="I25" s="259"/>
      <c r="J25" s="173">
        <f t="shared" si="1"/>
        <v>0</v>
      </c>
      <c r="K25" s="77"/>
      <c r="L25" s="173">
        <f t="shared" si="2"/>
        <v>0</v>
      </c>
      <c r="M25" s="260"/>
      <c r="N25" s="102"/>
      <c r="O25" s="102"/>
      <c r="P25" s="260"/>
      <c r="Q25" s="102"/>
      <c r="R25" s="102"/>
      <c r="S25" s="102"/>
      <c r="T25" s="102"/>
      <c r="U25" s="260"/>
      <c r="V25" s="261"/>
      <c r="W25" s="261"/>
      <c r="X25" s="261"/>
      <c r="Y25" s="261"/>
      <c r="Z25" s="261"/>
      <c r="AA25" s="261"/>
      <c r="AB25" s="261"/>
      <c r="AC25" s="261"/>
      <c r="AD25" s="261"/>
      <c r="AE25" s="261"/>
    </row>
    <row r="26" s="31" customFormat="1" ht="19" customHeight="1" spans="1:31">
      <c r="A26" s="258">
        <v>21</v>
      </c>
      <c r="B26" s="101"/>
      <c r="C26" s="101"/>
      <c r="D26" s="101"/>
      <c r="E26" s="77"/>
      <c r="F26" s="77"/>
      <c r="G26" s="77"/>
      <c r="H26" s="173">
        <f t="shared" si="0"/>
        <v>0</v>
      </c>
      <c r="I26" s="259"/>
      <c r="J26" s="173">
        <f t="shared" si="1"/>
        <v>0</v>
      </c>
      <c r="K26" s="77"/>
      <c r="L26" s="173">
        <f t="shared" si="2"/>
        <v>0</v>
      </c>
      <c r="M26" s="260"/>
      <c r="N26" s="102"/>
      <c r="O26" s="102"/>
      <c r="P26" s="260"/>
      <c r="Q26" s="102"/>
      <c r="R26" s="102"/>
      <c r="S26" s="102"/>
      <c r="T26" s="102"/>
      <c r="U26" s="260"/>
      <c r="V26" s="261"/>
      <c r="W26" s="261"/>
      <c r="X26" s="261"/>
      <c r="Y26" s="261"/>
      <c r="Z26" s="261"/>
      <c r="AA26" s="261"/>
      <c r="AB26" s="261"/>
      <c r="AC26" s="261"/>
      <c r="AD26" s="261"/>
      <c r="AE26" s="261"/>
    </row>
    <row r="27" s="31" customFormat="1" ht="19" customHeight="1" spans="1:31">
      <c r="A27" s="258">
        <v>22</v>
      </c>
      <c r="B27" s="101"/>
      <c r="C27" s="101"/>
      <c r="D27" s="101"/>
      <c r="E27" s="77"/>
      <c r="F27" s="77"/>
      <c r="G27" s="77"/>
      <c r="H27" s="173">
        <f t="shared" si="0"/>
        <v>0</v>
      </c>
      <c r="I27" s="259"/>
      <c r="J27" s="173">
        <f t="shared" si="1"/>
        <v>0</v>
      </c>
      <c r="K27" s="77"/>
      <c r="L27" s="173">
        <f t="shared" si="2"/>
        <v>0</v>
      </c>
      <c r="M27" s="260"/>
      <c r="N27" s="102"/>
      <c r="O27" s="102"/>
      <c r="P27" s="260"/>
      <c r="Q27" s="102"/>
      <c r="R27" s="102"/>
      <c r="S27" s="102"/>
      <c r="T27" s="102"/>
      <c r="U27" s="260"/>
      <c r="V27" s="261"/>
      <c r="W27" s="261"/>
      <c r="X27" s="261"/>
      <c r="Y27" s="261"/>
      <c r="Z27" s="261"/>
      <c r="AA27" s="261"/>
      <c r="AB27" s="261"/>
      <c r="AC27" s="261"/>
      <c r="AD27" s="261"/>
      <c r="AE27" s="261"/>
    </row>
    <row r="28" s="31" customFormat="1" ht="19" customHeight="1" spans="1:31">
      <c r="A28" s="258">
        <v>23</v>
      </c>
      <c r="B28" s="101"/>
      <c r="C28" s="101"/>
      <c r="D28" s="101"/>
      <c r="E28" s="77"/>
      <c r="F28" s="77"/>
      <c r="G28" s="77"/>
      <c r="H28" s="173">
        <f t="shared" si="0"/>
        <v>0</v>
      </c>
      <c r="I28" s="259"/>
      <c r="J28" s="173">
        <f t="shared" si="1"/>
        <v>0</v>
      </c>
      <c r="K28" s="77"/>
      <c r="L28" s="173">
        <f t="shared" si="2"/>
        <v>0</v>
      </c>
      <c r="M28" s="260"/>
      <c r="N28" s="102"/>
      <c r="O28" s="102"/>
      <c r="P28" s="260"/>
      <c r="Q28" s="102"/>
      <c r="R28" s="102"/>
      <c r="S28" s="102"/>
      <c r="T28" s="102"/>
      <c r="U28" s="260"/>
      <c r="V28" s="261"/>
      <c r="W28" s="261"/>
      <c r="X28" s="261"/>
      <c r="Y28" s="261"/>
      <c r="Z28" s="261"/>
      <c r="AA28" s="261"/>
      <c r="AB28" s="261"/>
      <c r="AC28" s="261"/>
      <c r="AD28" s="261"/>
      <c r="AE28" s="261"/>
    </row>
    <row r="29" s="31" customFormat="1" ht="19" customHeight="1" spans="1:31">
      <c r="A29" s="258">
        <v>24</v>
      </c>
      <c r="B29" s="101"/>
      <c r="C29" s="101"/>
      <c r="D29" s="101"/>
      <c r="E29" s="77"/>
      <c r="F29" s="77"/>
      <c r="G29" s="77"/>
      <c r="H29" s="173">
        <f t="shared" si="0"/>
        <v>0</v>
      </c>
      <c r="I29" s="259"/>
      <c r="J29" s="173">
        <f t="shared" si="1"/>
        <v>0</v>
      </c>
      <c r="K29" s="77"/>
      <c r="L29" s="173">
        <f t="shared" si="2"/>
        <v>0</v>
      </c>
      <c r="M29" s="260"/>
      <c r="N29" s="102"/>
      <c r="O29" s="102"/>
      <c r="P29" s="260"/>
      <c r="Q29" s="102"/>
      <c r="R29" s="102"/>
      <c r="S29" s="102"/>
      <c r="T29" s="102"/>
      <c r="U29" s="260"/>
      <c r="V29" s="261"/>
      <c r="W29" s="261"/>
      <c r="X29" s="261"/>
      <c r="Y29" s="261"/>
      <c r="Z29" s="261"/>
      <c r="AA29" s="261"/>
      <c r="AB29" s="261"/>
      <c r="AC29" s="261"/>
      <c r="AD29" s="261"/>
      <c r="AE29" s="261"/>
    </row>
    <row r="30" s="31" customFormat="1" ht="19" customHeight="1" spans="1:31">
      <c r="A30" s="258">
        <v>25</v>
      </c>
      <c r="B30" s="101"/>
      <c r="C30" s="101"/>
      <c r="D30" s="101"/>
      <c r="E30" s="77"/>
      <c r="F30" s="77"/>
      <c r="G30" s="77"/>
      <c r="H30" s="173">
        <f t="shared" si="0"/>
        <v>0</v>
      </c>
      <c r="I30" s="259"/>
      <c r="J30" s="173">
        <f t="shared" si="1"/>
        <v>0</v>
      </c>
      <c r="K30" s="77"/>
      <c r="L30" s="173">
        <f t="shared" si="2"/>
        <v>0</v>
      </c>
      <c r="M30" s="260"/>
      <c r="N30" s="102"/>
      <c r="O30" s="102"/>
      <c r="P30" s="260"/>
      <c r="Q30" s="102"/>
      <c r="R30" s="102"/>
      <c r="S30" s="102"/>
      <c r="T30" s="102"/>
      <c r="U30" s="260"/>
      <c r="V30" s="261"/>
      <c r="W30" s="261"/>
      <c r="X30" s="261"/>
      <c r="Y30" s="261"/>
      <c r="Z30" s="261"/>
      <c r="AA30" s="261"/>
      <c r="AB30" s="261"/>
      <c r="AC30" s="261"/>
      <c r="AD30" s="261"/>
      <c r="AE30" s="261"/>
    </row>
    <row r="31" s="31" customFormat="1" ht="19" customHeight="1" spans="1:31">
      <c r="A31" s="258">
        <v>26</v>
      </c>
      <c r="B31" s="101"/>
      <c r="C31" s="101"/>
      <c r="D31" s="101"/>
      <c r="E31" s="77"/>
      <c r="F31" s="77"/>
      <c r="G31" s="77"/>
      <c r="H31" s="173">
        <f t="shared" si="0"/>
        <v>0</v>
      </c>
      <c r="I31" s="259"/>
      <c r="J31" s="173">
        <f t="shared" si="1"/>
        <v>0</v>
      </c>
      <c r="K31" s="77"/>
      <c r="L31" s="173">
        <f t="shared" si="2"/>
        <v>0</v>
      </c>
      <c r="M31" s="260"/>
      <c r="N31" s="102"/>
      <c r="O31" s="102"/>
      <c r="P31" s="260"/>
      <c r="Q31" s="102"/>
      <c r="R31" s="102"/>
      <c r="S31" s="102"/>
      <c r="T31" s="102"/>
      <c r="U31" s="260"/>
      <c r="V31" s="261"/>
      <c r="W31" s="261"/>
      <c r="X31" s="261"/>
      <c r="Y31" s="261"/>
      <c r="Z31" s="261"/>
      <c r="AA31" s="261"/>
      <c r="AB31" s="261"/>
      <c r="AC31" s="261"/>
      <c r="AD31" s="261"/>
      <c r="AE31" s="261"/>
    </row>
    <row r="32" s="31" customFormat="1" ht="19" customHeight="1" spans="1:31">
      <c r="A32" s="258">
        <v>27</v>
      </c>
      <c r="B32" s="101"/>
      <c r="C32" s="101"/>
      <c r="D32" s="101"/>
      <c r="E32" s="77"/>
      <c r="F32" s="77"/>
      <c r="G32" s="77"/>
      <c r="H32" s="173">
        <f t="shared" si="0"/>
        <v>0</v>
      </c>
      <c r="I32" s="259"/>
      <c r="J32" s="173">
        <f t="shared" si="1"/>
        <v>0</v>
      </c>
      <c r="K32" s="77"/>
      <c r="L32" s="173">
        <f t="shared" si="2"/>
        <v>0</v>
      </c>
      <c r="M32" s="260"/>
      <c r="N32" s="102"/>
      <c r="O32" s="102"/>
      <c r="P32" s="260"/>
      <c r="Q32" s="102"/>
      <c r="R32" s="102"/>
      <c r="S32" s="102"/>
      <c r="T32" s="102"/>
      <c r="U32" s="260"/>
      <c r="V32" s="261"/>
      <c r="W32" s="261"/>
      <c r="X32" s="261"/>
      <c r="Y32" s="261"/>
      <c r="Z32" s="261"/>
      <c r="AA32" s="261"/>
      <c r="AB32" s="261"/>
      <c r="AC32" s="261"/>
      <c r="AD32" s="261"/>
      <c r="AE32" s="261"/>
    </row>
    <row r="33" s="31" customFormat="1" ht="19" customHeight="1" spans="1:31">
      <c r="A33" s="258">
        <v>28</v>
      </c>
      <c r="B33" s="101"/>
      <c r="C33" s="101"/>
      <c r="D33" s="101"/>
      <c r="E33" s="77"/>
      <c r="F33" s="77"/>
      <c r="G33" s="77"/>
      <c r="H33" s="173">
        <f t="shared" si="0"/>
        <v>0</v>
      </c>
      <c r="I33" s="259"/>
      <c r="J33" s="173">
        <f t="shared" si="1"/>
        <v>0</v>
      </c>
      <c r="K33" s="77"/>
      <c r="L33" s="173">
        <f t="shared" si="2"/>
        <v>0</v>
      </c>
      <c r="M33" s="260"/>
      <c r="N33" s="102"/>
      <c r="O33" s="102"/>
      <c r="P33" s="260"/>
      <c r="Q33" s="102"/>
      <c r="R33" s="102"/>
      <c r="S33" s="102"/>
      <c r="T33" s="102"/>
      <c r="U33" s="260"/>
      <c r="V33" s="261"/>
      <c r="W33" s="261"/>
      <c r="X33" s="261"/>
      <c r="Y33" s="261"/>
      <c r="Z33" s="261"/>
      <c r="AA33" s="261"/>
      <c r="AB33" s="261"/>
      <c r="AC33" s="261"/>
      <c r="AD33" s="261"/>
      <c r="AE33" s="261"/>
    </row>
    <row r="34" s="31" customFormat="1" ht="19" customHeight="1" spans="1:31">
      <c r="A34" s="258">
        <v>29</v>
      </c>
      <c r="B34" s="101"/>
      <c r="C34" s="101"/>
      <c r="D34" s="101"/>
      <c r="E34" s="77"/>
      <c r="F34" s="77"/>
      <c r="G34" s="77"/>
      <c r="H34" s="173">
        <f t="shared" si="0"/>
        <v>0</v>
      </c>
      <c r="I34" s="259"/>
      <c r="J34" s="173">
        <f t="shared" si="1"/>
        <v>0</v>
      </c>
      <c r="K34" s="77"/>
      <c r="L34" s="173">
        <f t="shared" si="2"/>
        <v>0</v>
      </c>
      <c r="M34" s="260"/>
      <c r="N34" s="102"/>
      <c r="O34" s="102"/>
      <c r="P34" s="260"/>
      <c r="Q34" s="102"/>
      <c r="R34" s="102"/>
      <c r="S34" s="102"/>
      <c r="T34" s="102"/>
      <c r="U34" s="260"/>
      <c r="V34" s="261"/>
      <c r="W34" s="261"/>
      <c r="X34" s="261"/>
      <c r="Y34" s="261"/>
      <c r="Z34" s="261"/>
      <c r="AA34" s="261"/>
      <c r="AB34" s="261"/>
      <c r="AC34" s="261"/>
      <c r="AD34" s="261"/>
      <c r="AE34" s="261"/>
    </row>
    <row r="35" s="31" customFormat="1" ht="19" customHeight="1" spans="1:31">
      <c r="A35" s="258">
        <v>30</v>
      </c>
      <c r="B35" s="101"/>
      <c r="C35" s="101"/>
      <c r="D35" s="101"/>
      <c r="E35" s="77"/>
      <c r="F35" s="77"/>
      <c r="G35" s="77"/>
      <c r="H35" s="173">
        <f t="shared" si="0"/>
        <v>0</v>
      </c>
      <c r="I35" s="259"/>
      <c r="J35" s="173">
        <f t="shared" si="1"/>
        <v>0</v>
      </c>
      <c r="K35" s="77"/>
      <c r="L35" s="173">
        <f t="shared" si="2"/>
        <v>0</v>
      </c>
      <c r="M35" s="260"/>
      <c r="N35" s="102"/>
      <c r="O35" s="102"/>
      <c r="P35" s="260"/>
      <c r="Q35" s="102"/>
      <c r="R35" s="102"/>
      <c r="S35" s="102"/>
      <c r="T35" s="102"/>
      <c r="U35" s="260"/>
      <c r="V35" s="261"/>
      <c r="W35" s="261"/>
      <c r="X35" s="261"/>
      <c r="Y35" s="261"/>
      <c r="Z35" s="261"/>
      <c r="AA35" s="261"/>
      <c r="AB35" s="261"/>
      <c r="AC35" s="261"/>
      <c r="AD35" s="261"/>
      <c r="AE35" s="261"/>
    </row>
    <row r="36" s="31" customFormat="1" ht="19" customHeight="1" spans="1:31">
      <c r="A36" s="258">
        <v>31</v>
      </c>
      <c r="B36" s="101"/>
      <c r="C36" s="101"/>
      <c r="D36" s="101"/>
      <c r="E36" s="77"/>
      <c r="F36" s="77"/>
      <c r="G36" s="77"/>
      <c r="H36" s="173">
        <f t="shared" si="0"/>
        <v>0</v>
      </c>
      <c r="I36" s="259"/>
      <c r="J36" s="173">
        <f t="shared" si="1"/>
        <v>0</v>
      </c>
      <c r="K36" s="77"/>
      <c r="L36" s="173">
        <f t="shared" si="2"/>
        <v>0</v>
      </c>
      <c r="M36" s="260"/>
      <c r="N36" s="102"/>
      <c r="O36" s="102"/>
      <c r="P36" s="260"/>
      <c r="Q36" s="102"/>
      <c r="R36" s="102"/>
      <c r="S36" s="102"/>
      <c r="T36" s="102"/>
      <c r="U36" s="260"/>
      <c r="V36" s="261"/>
      <c r="W36" s="261"/>
      <c r="X36" s="261"/>
      <c r="Y36" s="261"/>
      <c r="Z36" s="261"/>
      <c r="AA36" s="261"/>
      <c r="AB36" s="261"/>
      <c r="AC36" s="261"/>
      <c r="AD36" s="261"/>
      <c r="AE36" s="261"/>
    </row>
    <row r="37" s="31" customFormat="1" ht="19" customHeight="1" spans="1:31">
      <c r="A37" s="258">
        <v>32</v>
      </c>
      <c r="B37" s="101"/>
      <c r="C37" s="101"/>
      <c r="D37" s="101"/>
      <c r="E37" s="77"/>
      <c r="F37" s="77"/>
      <c r="G37" s="77"/>
      <c r="H37" s="173">
        <f t="shared" si="0"/>
        <v>0</v>
      </c>
      <c r="I37" s="259"/>
      <c r="J37" s="173">
        <f t="shared" si="1"/>
        <v>0</v>
      </c>
      <c r="K37" s="77"/>
      <c r="L37" s="173">
        <f t="shared" si="2"/>
        <v>0</v>
      </c>
      <c r="M37" s="260"/>
      <c r="N37" s="102"/>
      <c r="O37" s="102"/>
      <c r="P37" s="260"/>
      <c r="Q37" s="102"/>
      <c r="R37" s="102"/>
      <c r="S37" s="102"/>
      <c r="T37" s="102"/>
      <c r="U37" s="260"/>
      <c r="V37" s="261"/>
      <c r="W37" s="261"/>
      <c r="X37" s="261"/>
      <c r="Y37" s="261"/>
      <c r="Z37" s="261"/>
      <c r="AA37" s="261"/>
      <c r="AB37" s="261"/>
      <c r="AC37" s="261"/>
      <c r="AD37" s="261"/>
      <c r="AE37" s="261"/>
    </row>
    <row r="38" s="31" customFormat="1" ht="19" customHeight="1" spans="1:31">
      <c r="A38" s="258">
        <v>33</v>
      </c>
      <c r="B38" s="101"/>
      <c r="C38" s="101"/>
      <c r="D38" s="101"/>
      <c r="E38" s="77"/>
      <c r="F38" s="77"/>
      <c r="G38" s="77"/>
      <c r="H38" s="173">
        <f t="shared" si="0"/>
        <v>0</v>
      </c>
      <c r="I38" s="259"/>
      <c r="J38" s="173">
        <f t="shared" si="1"/>
        <v>0</v>
      </c>
      <c r="K38" s="77"/>
      <c r="L38" s="173">
        <f t="shared" si="2"/>
        <v>0</v>
      </c>
      <c r="M38" s="260"/>
      <c r="N38" s="102"/>
      <c r="O38" s="102"/>
      <c r="P38" s="260"/>
      <c r="Q38" s="102"/>
      <c r="R38" s="102"/>
      <c r="S38" s="102"/>
      <c r="T38" s="102"/>
      <c r="U38" s="260"/>
      <c r="V38" s="261"/>
      <c r="W38" s="261"/>
      <c r="X38" s="261"/>
      <c r="Y38" s="261"/>
      <c r="Z38" s="261"/>
      <c r="AA38" s="261"/>
      <c r="AB38" s="261"/>
      <c r="AC38" s="261"/>
      <c r="AD38" s="261"/>
      <c r="AE38" s="261"/>
    </row>
    <row r="39" s="31" customFormat="1" ht="19" customHeight="1" spans="1:31">
      <c r="A39" s="258">
        <v>34</v>
      </c>
      <c r="B39" s="101"/>
      <c r="C39" s="101"/>
      <c r="D39" s="101"/>
      <c r="E39" s="77"/>
      <c r="F39" s="77"/>
      <c r="G39" s="77"/>
      <c r="H39" s="173">
        <f t="shared" si="0"/>
        <v>0</v>
      </c>
      <c r="I39" s="259"/>
      <c r="J39" s="173">
        <f t="shared" ref="J39:J75" si="3">H39+I39</f>
        <v>0</v>
      </c>
      <c r="K39" s="77"/>
      <c r="L39" s="173">
        <f t="shared" ref="L39:L75" si="4">J39+K39</f>
        <v>0</v>
      </c>
      <c r="M39" s="260"/>
      <c r="N39" s="102"/>
      <c r="O39" s="102"/>
      <c r="P39" s="260"/>
      <c r="Q39" s="102"/>
      <c r="R39" s="102"/>
      <c r="S39" s="102"/>
      <c r="T39" s="102"/>
      <c r="U39" s="260"/>
      <c r="V39" s="261"/>
      <c r="W39" s="261"/>
      <c r="X39" s="261"/>
      <c r="Y39" s="261"/>
      <c r="Z39" s="261"/>
      <c r="AA39" s="261"/>
      <c r="AB39" s="261"/>
      <c r="AC39" s="261"/>
      <c r="AD39" s="261"/>
      <c r="AE39" s="261"/>
    </row>
    <row r="40" s="31" customFormat="1" ht="19" customHeight="1" spans="1:31">
      <c r="A40" s="258">
        <v>35</v>
      </c>
      <c r="B40" s="101"/>
      <c r="C40" s="101"/>
      <c r="D40" s="101"/>
      <c r="E40" s="77"/>
      <c r="F40" s="77"/>
      <c r="G40" s="77"/>
      <c r="H40" s="173">
        <f t="shared" si="0"/>
        <v>0</v>
      </c>
      <c r="I40" s="259"/>
      <c r="J40" s="173">
        <f t="shared" si="3"/>
        <v>0</v>
      </c>
      <c r="K40" s="77"/>
      <c r="L40" s="173">
        <f t="shared" si="4"/>
        <v>0</v>
      </c>
      <c r="M40" s="260"/>
      <c r="N40" s="102"/>
      <c r="O40" s="102"/>
      <c r="P40" s="260"/>
      <c r="Q40" s="102"/>
      <c r="R40" s="102"/>
      <c r="S40" s="102"/>
      <c r="T40" s="102"/>
      <c r="U40" s="260"/>
      <c r="V40" s="261"/>
      <c r="W40" s="261"/>
      <c r="X40" s="261"/>
      <c r="Y40" s="261"/>
      <c r="Z40" s="261"/>
      <c r="AA40" s="261"/>
      <c r="AB40" s="261"/>
      <c r="AC40" s="261"/>
      <c r="AD40" s="261"/>
      <c r="AE40" s="261"/>
    </row>
    <row r="41" s="31" customFormat="1" ht="19" customHeight="1" spans="1:31">
      <c r="A41" s="258">
        <v>36</v>
      </c>
      <c r="B41" s="101"/>
      <c r="C41" s="101"/>
      <c r="D41" s="101"/>
      <c r="E41" s="77"/>
      <c r="F41" s="77"/>
      <c r="G41" s="77"/>
      <c r="H41" s="173">
        <f t="shared" si="0"/>
        <v>0</v>
      </c>
      <c r="I41" s="259"/>
      <c r="J41" s="173">
        <f t="shared" si="3"/>
        <v>0</v>
      </c>
      <c r="K41" s="77"/>
      <c r="L41" s="173">
        <f t="shared" si="4"/>
        <v>0</v>
      </c>
      <c r="M41" s="260"/>
      <c r="N41" s="102"/>
      <c r="O41" s="102"/>
      <c r="P41" s="260"/>
      <c r="Q41" s="102"/>
      <c r="R41" s="102"/>
      <c r="S41" s="102"/>
      <c r="T41" s="102"/>
      <c r="U41" s="260"/>
      <c r="V41" s="261"/>
      <c r="W41" s="261"/>
      <c r="X41" s="261"/>
      <c r="Y41" s="261"/>
      <c r="Z41" s="261"/>
      <c r="AA41" s="261"/>
      <c r="AB41" s="261"/>
      <c r="AC41" s="261"/>
      <c r="AD41" s="261"/>
      <c r="AE41" s="261"/>
    </row>
    <row r="42" s="31" customFormat="1" ht="19" customHeight="1" spans="1:31">
      <c r="A42" s="258">
        <v>37</v>
      </c>
      <c r="B42" s="101"/>
      <c r="C42" s="101"/>
      <c r="D42" s="101"/>
      <c r="E42" s="77"/>
      <c r="F42" s="77"/>
      <c r="G42" s="77"/>
      <c r="H42" s="173">
        <f t="shared" si="0"/>
        <v>0</v>
      </c>
      <c r="I42" s="259"/>
      <c r="J42" s="173">
        <f t="shared" si="3"/>
        <v>0</v>
      </c>
      <c r="K42" s="77"/>
      <c r="L42" s="173">
        <f t="shared" si="4"/>
        <v>0</v>
      </c>
      <c r="M42" s="260"/>
      <c r="N42" s="102"/>
      <c r="O42" s="102"/>
      <c r="P42" s="260"/>
      <c r="Q42" s="102"/>
      <c r="R42" s="102"/>
      <c r="S42" s="102"/>
      <c r="T42" s="102"/>
      <c r="U42" s="260"/>
      <c r="V42" s="261"/>
      <c r="W42" s="261"/>
      <c r="X42" s="261"/>
      <c r="Y42" s="261"/>
      <c r="Z42" s="261"/>
      <c r="AA42" s="261"/>
      <c r="AB42" s="261"/>
      <c r="AC42" s="261"/>
      <c r="AD42" s="261"/>
      <c r="AE42" s="261"/>
    </row>
    <row r="43" s="31" customFormat="1" ht="19" customHeight="1" spans="1:31">
      <c r="A43" s="258">
        <v>38</v>
      </c>
      <c r="B43" s="101"/>
      <c r="C43" s="101"/>
      <c r="D43" s="101"/>
      <c r="E43" s="77"/>
      <c r="F43" s="77"/>
      <c r="G43" s="77"/>
      <c r="H43" s="173">
        <f t="shared" si="0"/>
        <v>0</v>
      </c>
      <c r="I43" s="259"/>
      <c r="J43" s="173">
        <f t="shared" si="3"/>
        <v>0</v>
      </c>
      <c r="K43" s="77"/>
      <c r="L43" s="173">
        <f t="shared" si="4"/>
        <v>0</v>
      </c>
      <c r="M43" s="260"/>
      <c r="N43" s="102"/>
      <c r="O43" s="102"/>
      <c r="P43" s="260"/>
      <c r="Q43" s="102"/>
      <c r="R43" s="102"/>
      <c r="S43" s="102"/>
      <c r="T43" s="102"/>
      <c r="U43" s="260"/>
      <c r="V43" s="261"/>
      <c r="W43" s="261"/>
      <c r="X43" s="261"/>
      <c r="Y43" s="261"/>
      <c r="Z43" s="261"/>
      <c r="AA43" s="261"/>
      <c r="AB43" s="261"/>
      <c r="AC43" s="261"/>
      <c r="AD43" s="261"/>
      <c r="AE43" s="261"/>
    </row>
    <row r="44" s="31" customFormat="1" ht="19" customHeight="1" spans="1:31">
      <c r="A44" s="258">
        <v>39</v>
      </c>
      <c r="B44" s="101"/>
      <c r="C44" s="101"/>
      <c r="D44" s="101"/>
      <c r="E44" s="77"/>
      <c r="F44" s="77"/>
      <c r="G44" s="77"/>
      <c r="H44" s="173">
        <f t="shared" si="0"/>
        <v>0</v>
      </c>
      <c r="I44" s="259"/>
      <c r="J44" s="173">
        <f t="shared" si="3"/>
        <v>0</v>
      </c>
      <c r="K44" s="77"/>
      <c r="L44" s="173">
        <f t="shared" si="4"/>
        <v>0</v>
      </c>
      <c r="M44" s="260"/>
      <c r="N44" s="102"/>
      <c r="O44" s="102"/>
      <c r="P44" s="260"/>
      <c r="Q44" s="102"/>
      <c r="R44" s="102"/>
      <c r="S44" s="102"/>
      <c r="T44" s="102"/>
      <c r="U44" s="260"/>
      <c r="V44" s="261"/>
      <c r="W44" s="261"/>
      <c r="X44" s="261"/>
      <c r="Y44" s="261"/>
      <c r="Z44" s="261"/>
      <c r="AA44" s="261"/>
      <c r="AB44" s="261"/>
      <c r="AC44" s="261"/>
      <c r="AD44" s="261"/>
      <c r="AE44" s="261"/>
    </row>
    <row r="45" s="31" customFormat="1" ht="19" customHeight="1" spans="1:31">
      <c r="A45" s="258">
        <v>40</v>
      </c>
      <c r="B45" s="101"/>
      <c r="C45" s="101"/>
      <c r="D45" s="101"/>
      <c r="E45" s="77"/>
      <c r="F45" s="77"/>
      <c r="G45" s="77"/>
      <c r="H45" s="173">
        <f t="shared" si="0"/>
        <v>0</v>
      </c>
      <c r="I45" s="259"/>
      <c r="J45" s="173">
        <f t="shared" si="3"/>
        <v>0</v>
      </c>
      <c r="K45" s="77"/>
      <c r="L45" s="173">
        <f t="shared" si="4"/>
        <v>0</v>
      </c>
      <c r="M45" s="260"/>
      <c r="N45" s="102"/>
      <c r="O45" s="102"/>
      <c r="P45" s="260"/>
      <c r="Q45" s="102"/>
      <c r="R45" s="102"/>
      <c r="S45" s="102"/>
      <c r="T45" s="102"/>
      <c r="U45" s="260"/>
      <c r="V45" s="261"/>
      <c r="W45" s="261"/>
      <c r="X45" s="261"/>
      <c r="Y45" s="261"/>
      <c r="Z45" s="261"/>
      <c r="AA45" s="261"/>
      <c r="AB45" s="261"/>
      <c r="AC45" s="261"/>
      <c r="AD45" s="261"/>
      <c r="AE45" s="261"/>
    </row>
    <row r="46" s="31" customFormat="1" ht="19" customHeight="1" spans="1:31">
      <c r="A46" s="258">
        <v>41</v>
      </c>
      <c r="B46" s="101"/>
      <c r="C46" s="101"/>
      <c r="D46" s="101"/>
      <c r="E46" s="77"/>
      <c r="F46" s="77"/>
      <c r="G46" s="77"/>
      <c r="H46" s="173">
        <f t="shared" si="0"/>
        <v>0</v>
      </c>
      <c r="I46" s="259"/>
      <c r="J46" s="173">
        <f t="shared" si="3"/>
        <v>0</v>
      </c>
      <c r="K46" s="77"/>
      <c r="L46" s="173">
        <f t="shared" si="4"/>
        <v>0</v>
      </c>
      <c r="M46" s="260"/>
      <c r="N46" s="102"/>
      <c r="O46" s="102"/>
      <c r="P46" s="260"/>
      <c r="Q46" s="102"/>
      <c r="R46" s="102"/>
      <c r="S46" s="102"/>
      <c r="T46" s="102"/>
      <c r="U46" s="260"/>
      <c r="V46" s="261"/>
      <c r="W46" s="261"/>
      <c r="X46" s="261"/>
      <c r="Y46" s="261"/>
      <c r="Z46" s="261"/>
      <c r="AA46" s="261"/>
      <c r="AB46" s="261"/>
      <c r="AC46" s="261"/>
      <c r="AD46" s="261"/>
      <c r="AE46" s="261"/>
    </row>
    <row r="47" s="31" customFormat="1" ht="19" customHeight="1" spans="1:31">
      <c r="A47" s="258">
        <v>42</v>
      </c>
      <c r="B47" s="101"/>
      <c r="C47" s="101"/>
      <c r="D47" s="101"/>
      <c r="E47" s="77"/>
      <c r="F47" s="77"/>
      <c r="G47" s="77"/>
      <c r="H47" s="173">
        <f t="shared" si="0"/>
        <v>0</v>
      </c>
      <c r="I47" s="259"/>
      <c r="J47" s="173">
        <f t="shared" si="3"/>
        <v>0</v>
      </c>
      <c r="K47" s="77"/>
      <c r="L47" s="173">
        <f t="shared" si="4"/>
        <v>0</v>
      </c>
      <c r="M47" s="260"/>
      <c r="N47" s="102"/>
      <c r="O47" s="102"/>
      <c r="P47" s="260"/>
      <c r="Q47" s="102"/>
      <c r="R47" s="102"/>
      <c r="S47" s="102"/>
      <c r="T47" s="102"/>
      <c r="U47" s="260"/>
      <c r="V47" s="261"/>
      <c r="W47" s="261"/>
      <c r="X47" s="261"/>
      <c r="Y47" s="261"/>
      <c r="Z47" s="261"/>
      <c r="AA47" s="261"/>
      <c r="AB47" s="261"/>
      <c r="AC47" s="261"/>
      <c r="AD47" s="261"/>
      <c r="AE47" s="261"/>
    </row>
    <row r="48" s="31" customFormat="1" ht="19" customHeight="1" spans="1:31">
      <c r="A48" s="258">
        <v>43</v>
      </c>
      <c r="B48" s="101"/>
      <c r="C48" s="101"/>
      <c r="D48" s="101"/>
      <c r="E48" s="77"/>
      <c r="F48" s="77"/>
      <c r="G48" s="77"/>
      <c r="H48" s="173">
        <f t="shared" si="0"/>
        <v>0</v>
      </c>
      <c r="I48" s="259"/>
      <c r="J48" s="173">
        <f t="shared" si="3"/>
        <v>0</v>
      </c>
      <c r="K48" s="77"/>
      <c r="L48" s="173">
        <f t="shared" si="4"/>
        <v>0</v>
      </c>
      <c r="M48" s="260"/>
      <c r="N48" s="102"/>
      <c r="O48" s="102"/>
      <c r="P48" s="260"/>
      <c r="Q48" s="102"/>
      <c r="R48" s="102"/>
      <c r="S48" s="102"/>
      <c r="T48" s="102"/>
      <c r="U48" s="260"/>
      <c r="V48" s="261"/>
      <c r="W48" s="261"/>
      <c r="X48" s="261"/>
      <c r="Y48" s="261"/>
      <c r="Z48" s="261"/>
      <c r="AA48" s="261"/>
      <c r="AB48" s="261"/>
      <c r="AC48" s="261"/>
      <c r="AD48" s="261"/>
      <c r="AE48" s="261"/>
    </row>
    <row r="49" s="31" customFormat="1" ht="19" customHeight="1" spans="1:31">
      <c r="A49" s="258">
        <v>44</v>
      </c>
      <c r="B49" s="101"/>
      <c r="C49" s="101"/>
      <c r="D49" s="101"/>
      <c r="E49" s="77"/>
      <c r="F49" s="77"/>
      <c r="G49" s="77"/>
      <c r="H49" s="173">
        <f t="shared" si="0"/>
        <v>0</v>
      </c>
      <c r="I49" s="259"/>
      <c r="J49" s="173">
        <f t="shared" si="3"/>
        <v>0</v>
      </c>
      <c r="K49" s="77"/>
      <c r="L49" s="173">
        <f t="shared" si="4"/>
        <v>0</v>
      </c>
      <c r="M49" s="260"/>
      <c r="N49" s="102"/>
      <c r="O49" s="102"/>
      <c r="P49" s="260"/>
      <c r="Q49" s="102"/>
      <c r="R49" s="102"/>
      <c r="S49" s="102"/>
      <c r="T49" s="102"/>
      <c r="U49" s="260"/>
      <c r="V49" s="261"/>
      <c r="W49" s="261"/>
      <c r="X49" s="261"/>
      <c r="Y49" s="261"/>
      <c r="Z49" s="261"/>
      <c r="AA49" s="261"/>
      <c r="AB49" s="261"/>
      <c r="AC49" s="261"/>
      <c r="AD49" s="261"/>
      <c r="AE49" s="261"/>
    </row>
    <row r="50" s="31" customFormat="1" ht="19" customHeight="1" spans="1:31">
      <c r="A50" s="258">
        <v>45</v>
      </c>
      <c r="B50" s="101"/>
      <c r="C50" s="101"/>
      <c r="D50" s="101"/>
      <c r="E50" s="77"/>
      <c r="F50" s="77"/>
      <c r="G50" s="77"/>
      <c r="H50" s="173">
        <f t="shared" si="0"/>
        <v>0</v>
      </c>
      <c r="I50" s="259"/>
      <c r="J50" s="173">
        <f t="shared" si="3"/>
        <v>0</v>
      </c>
      <c r="K50" s="77"/>
      <c r="L50" s="173">
        <f t="shared" si="4"/>
        <v>0</v>
      </c>
      <c r="M50" s="260"/>
      <c r="N50" s="102"/>
      <c r="O50" s="102"/>
      <c r="P50" s="260"/>
      <c r="Q50" s="102"/>
      <c r="R50" s="102"/>
      <c r="S50" s="102"/>
      <c r="T50" s="102"/>
      <c r="U50" s="260"/>
      <c r="V50" s="261"/>
      <c r="W50" s="261"/>
      <c r="X50" s="261"/>
      <c r="Y50" s="261"/>
      <c r="Z50" s="261"/>
      <c r="AA50" s="261"/>
      <c r="AB50" s="261"/>
      <c r="AC50" s="261"/>
      <c r="AD50" s="261"/>
      <c r="AE50" s="261"/>
    </row>
    <row r="51" s="31" customFormat="1" ht="19" customHeight="1" spans="1:31">
      <c r="A51" s="258">
        <v>46</v>
      </c>
      <c r="B51" s="101"/>
      <c r="C51" s="101"/>
      <c r="D51" s="101"/>
      <c r="E51" s="77"/>
      <c r="F51" s="77"/>
      <c r="G51" s="77"/>
      <c r="H51" s="173">
        <f t="shared" si="0"/>
        <v>0</v>
      </c>
      <c r="I51" s="259"/>
      <c r="J51" s="173">
        <f t="shared" si="3"/>
        <v>0</v>
      </c>
      <c r="K51" s="77"/>
      <c r="L51" s="173">
        <f t="shared" si="4"/>
        <v>0</v>
      </c>
      <c r="M51" s="260"/>
      <c r="N51" s="102"/>
      <c r="O51" s="102"/>
      <c r="P51" s="260"/>
      <c r="Q51" s="102"/>
      <c r="R51" s="102"/>
      <c r="S51" s="102"/>
      <c r="T51" s="102"/>
      <c r="U51" s="260"/>
      <c r="V51" s="261"/>
      <c r="W51" s="261"/>
      <c r="X51" s="261"/>
      <c r="Y51" s="261"/>
      <c r="Z51" s="261"/>
      <c r="AA51" s="261"/>
      <c r="AB51" s="261"/>
      <c r="AC51" s="261"/>
      <c r="AD51" s="261"/>
      <c r="AE51" s="261"/>
    </row>
    <row r="52" s="31" customFormat="1" ht="19" customHeight="1" spans="1:31">
      <c r="A52" s="258">
        <v>47</v>
      </c>
      <c r="B52" s="101"/>
      <c r="C52" s="101"/>
      <c r="D52" s="101"/>
      <c r="E52" s="77"/>
      <c r="F52" s="77"/>
      <c r="G52" s="77"/>
      <c r="H52" s="173">
        <f t="shared" si="0"/>
        <v>0</v>
      </c>
      <c r="I52" s="259"/>
      <c r="J52" s="173">
        <f t="shared" si="3"/>
        <v>0</v>
      </c>
      <c r="K52" s="77"/>
      <c r="L52" s="173">
        <f t="shared" si="4"/>
        <v>0</v>
      </c>
      <c r="M52" s="260"/>
      <c r="N52" s="102"/>
      <c r="O52" s="102"/>
      <c r="P52" s="260"/>
      <c r="Q52" s="102"/>
      <c r="R52" s="102"/>
      <c r="S52" s="102"/>
      <c r="T52" s="102"/>
      <c r="U52" s="260"/>
      <c r="V52" s="261"/>
      <c r="W52" s="261"/>
      <c r="X52" s="261"/>
      <c r="Y52" s="261"/>
      <c r="Z52" s="261"/>
      <c r="AA52" s="261"/>
      <c r="AB52" s="261"/>
      <c r="AC52" s="261"/>
      <c r="AD52" s="261"/>
      <c r="AE52" s="261"/>
    </row>
    <row r="53" s="31" customFormat="1" ht="19" customHeight="1" spans="1:31">
      <c r="A53" s="258">
        <v>48</v>
      </c>
      <c r="B53" s="101"/>
      <c r="C53" s="101"/>
      <c r="D53" s="101"/>
      <c r="E53" s="77"/>
      <c r="F53" s="77"/>
      <c r="G53" s="77"/>
      <c r="H53" s="173">
        <f t="shared" si="0"/>
        <v>0</v>
      </c>
      <c r="I53" s="259"/>
      <c r="J53" s="173">
        <f t="shared" si="3"/>
        <v>0</v>
      </c>
      <c r="K53" s="77"/>
      <c r="L53" s="173">
        <f t="shared" si="4"/>
        <v>0</v>
      </c>
      <c r="M53" s="260"/>
      <c r="N53" s="102"/>
      <c r="O53" s="102"/>
      <c r="P53" s="260"/>
      <c r="Q53" s="102"/>
      <c r="R53" s="102"/>
      <c r="S53" s="102"/>
      <c r="T53" s="102"/>
      <c r="U53" s="260"/>
      <c r="V53" s="261"/>
      <c r="W53" s="261"/>
      <c r="X53" s="261"/>
      <c r="Y53" s="261"/>
      <c r="Z53" s="261"/>
      <c r="AA53" s="261"/>
      <c r="AB53" s="261"/>
      <c r="AC53" s="261"/>
      <c r="AD53" s="261"/>
      <c r="AE53" s="261"/>
    </row>
    <row r="54" s="31" customFormat="1" ht="19" customHeight="1" spans="1:31">
      <c r="A54" s="258">
        <v>49</v>
      </c>
      <c r="B54" s="101"/>
      <c r="C54" s="101"/>
      <c r="D54" s="101"/>
      <c r="E54" s="77"/>
      <c r="F54" s="77"/>
      <c r="G54" s="77"/>
      <c r="H54" s="173">
        <f t="shared" si="0"/>
        <v>0</v>
      </c>
      <c r="I54" s="259"/>
      <c r="J54" s="173">
        <f t="shared" si="3"/>
        <v>0</v>
      </c>
      <c r="K54" s="77"/>
      <c r="L54" s="173">
        <f t="shared" si="4"/>
        <v>0</v>
      </c>
      <c r="M54" s="260"/>
      <c r="N54" s="102"/>
      <c r="O54" s="102"/>
      <c r="P54" s="260"/>
      <c r="Q54" s="102"/>
      <c r="R54" s="102"/>
      <c r="S54" s="102"/>
      <c r="T54" s="102"/>
      <c r="U54" s="260"/>
      <c r="V54" s="261"/>
      <c r="W54" s="261"/>
      <c r="X54" s="261"/>
      <c r="Y54" s="261"/>
      <c r="Z54" s="261"/>
      <c r="AA54" s="261"/>
      <c r="AB54" s="261"/>
      <c r="AC54" s="261"/>
      <c r="AD54" s="261"/>
      <c r="AE54" s="261"/>
    </row>
    <row r="55" s="31" customFormat="1" ht="19" customHeight="1" spans="1:31">
      <c r="A55" s="258">
        <v>50</v>
      </c>
      <c r="B55" s="101"/>
      <c r="C55" s="101"/>
      <c r="D55" s="101"/>
      <c r="E55" s="77"/>
      <c r="F55" s="77"/>
      <c r="G55" s="77"/>
      <c r="H55" s="173">
        <f t="shared" si="0"/>
        <v>0</v>
      </c>
      <c r="I55" s="259"/>
      <c r="J55" s="173">
        <f t="shared" si="3"/>
        <v>0</v>
      </c>
      <c r="K55" s="77"/>
      <c r="L55" s="173">
        <f t="shared" si="4"/>
        <v>0</v>
      </c>
      <c r="M55" s="260"/>
      <c r="N55" s="102"/>
      <c r="O55" s="102"/>
      <c r="P55" s="260"/>
      <c r="Q55" s="102"/>
      <c r="R55" s="102"/>
      <c r="S55" s="102"/>
      <c r="T55" s="102"/>
      <c r="U55" s="260"/>
      <c r="V55" s="261"/>
      <c r="W55" s="261"/>
      <c r="X55" s="261"/>
      <c r="Y55" s="261"/>
      <c r="Z55" s="261"/>
      <c r="AA55" s="261"/>
      <c r="AB55" s="261"/>
      <c r="AC55" s="261"/>
      <c r="AD55" s="261"/>
      <c r="AE55" s="261"/>
    </row>
    <row r="56" s="31" customFormat="1" ht="19" customHeight="1" spans="1:31">
      <c r="A56" s="258">
        <v>51</v>
      </c>
      <c r="B56" s="101"/>
      <c r="C56" s="101"/>
      <c r="D56" s="101"/>
      <c r="E56" s="77"/>
      <c r="F56" s="77"/>
      <c r="G56" s="77"/>
      <c r="H56" s="173">
        <f t="shared" si="0"/>
        <v>0</v>
      </c>
      <c r="I56" s="259"/>
      <c r="J56" s="173">
        <f t="shared" si="3"/>
        <v>0</v>
      </c>
      <c r="K56" s="77"/>
      <c r="L56" s="173">
        <f t="shared" si="4"/>
        <v>0</v>
      </c>
      <c r="M56" s="260"/>
      <c r="N56" s="102"/>
      <c r="O56" s="102"/>
      <c r="P56" s="260"/>
      <c r="Q56" s="102"/>
      <c r="R56" s="102"/>
      <c r="S56" s="102"/>
      <c r="T56" s="102"/>
      <c r="U56" s="260"/>
      <c r="V56" s="261"/>
      <c r="W56" s="261"/>
      <c r="X56" s="261"/>
      <c r="Y56" s="261"/>
      <c r="Z56" s="261"/>
      <c r="AA56" s="261"/>
      <c r="AB56" s="261"/>
      <c r="AC56" s="261"/>
      <c r="AD56" s="261"/>
      <c r="AE56" s="261"/>
    </row>
    <row r="57" s="31" customFormat="1" ht="19" customHeight="1" spans="1:31">
      <c r="A57" s="258">
        <v>52</v>
      </c>
      <c r="B57" s="101"/>
      <c r="C57" s="101"/>
      <c r="D57" s="101"/>
      <c r="E57" s="77"/>
      <c r="F57" s="77"/>
      <c r="G57" s="77"/>
      <c r="H57" s="173">
        <f t="shared" si="0"/>
        <v>0</v>
      </c>
      <c r="I57" s="259"/>
      <c r="J57" s="173">
        <f t="shared" si="3"/>
        <v>0</v>
      </c>
      <c r="K57" s="77"/>
      <c r="L57" s="173">
        <f t="shared" si="4"/>
        <v>0</v>
      </c>
      <c r="M57" s="260"/>
      <c r="N57" s="102"/>
      <c r="O57" s="102"/>
      <c r="P57" s="260"/>
      <c r="Q57" s="102"/>
      <c r="R57" s="102"/>
      <c r="S57" s="102"/>
      <c r="T57" s="102"/>
      <c r="U57" s="260"/>
      <c r="V57" s="261"/>
      <c r="W57" s="261"/>
      <c r="X57" s="261"/>
      <c r="Y57" s="261"/>
      <c r="Z57" s="261"/>
      <c r="AA57" s="261"/>
      <c r="AB57" s="261"/>
      <c r="AC57" s="261"/>
      <c r="AD57" s="261"/>
      <c r="AE57" s="261"/>
    </row>
    <row r="58" s="31" customFormat="1" ht="19" customHeight="1" spans="1:31">
      <c r="A58" s="258">
        <v>53</v>
      </c>
      <c r="B58" s="101"/>
      <c r="C58" s="101"/>
      <c r="D58" s="101"/>
      <c r="E58" s="77"/>
      <c r="F58" s="77"/>
      <c r="G58" s="77"/>
      <c r="H58" s="173">
        <f t="shared" si="0"/>
        <v>0</v>
      </c>
      <c r="I58" s="259"/>
      <c r="J58" s="173">
        <f t="shared" si="3"/>
        <v>0</v>
      </c>
      <c r="K58" s="77"/>
      <c r="L58" s="173">
        <f t="shared" si="4"/>
        <v>0</v>
      </c>
      <c r="M58" s="260"/>
      <c r="N58" s="102"/>
      <c r="O58" s="102"/>
      <c r="P58" s="260"/>
      <c r="Q58" s="102"/>
      <c r="R58" s="102"/>
      <c r="S58" s="102"/>
      <c r="T58" s="102"/>
      <c r="U58" s="260"/>
      <c r="V58" s="261"/>
      <c r="W58" s="261"/>
      <c r="X58" s="261"/>
      <c r="Y58" s="261"/>
      <c r="Z58" s="261"/>
      <c r="AA58" s="261"/>
      <c r="AB58" s="261"/>
      <c r="AC58" s="261"/>
      <c r="AD58" s="261"/>
      <c r="AE58" s="261"/>
    </row>
    <row r="59" s="31" customFormat="1" ht="19" customHeight="1" spans="1:31">
      <c r="A59" s="258">
        <v>54</v>
      </c>
      <c r="B59" s="101"/>
      <c r="C59" s="101"/>
      <c r="D59" s="101"/>
      <c r="E59" s="77"/>
      <c r="F59" s="77"/>
      <c r="G59" s="77"/>
      <c r="H59" s="173">
        <f t="shared" si="0"/>
        <v>0</v>
      </c>
      <c r="I59" s="259"/>
      <c r="J59" s="173">
        <f t="shared" si="3"/>
        <v>0</v>
      </c>
      <c r="K59" s="77"/>
      <c r="L59" s="173">
        <f t="shared" si="4"/>
        <v>0</v>
      </c>
      <c r="M59" s="260"/>
      <c r="N59" s="102"/>
      <c r="O59" s="102"/>
      <c r="P59" s="260"/>
      <c r="Q59" s="102"/>
      <c r="R59" s="102"/>
      <c r="S59" s="102"/>
      <c r="T59" s="102"/>
      <c r="U59" s="260"/>
      <c r="V59" s="261"/>
      <c r="W59" s="261"/>
      <c r="X59" s="261"/>
      <c r="Y59" s="261"/>
      <c r="Z59" s="261"/>
      <c r="AA59" s="261"/>
      <c r="AB59" s="261"/>
      <c r="AC59" s="261"/>
      <c r="AD59" s="261"/>
      <c r="AE59" s="261"/>
    </row>
    <row r="60" s="31" customFormat="1" ht="19" customHeight="1" spans="1:31">
      <c r="A60" s="258">
        <v>55</v>
      </c>
      <c r="B60" s="101"/>
      <c r="C60" s="101"/>
      <c r="D60" s="101"/>
      <c r="E60" s="77"/>
      <c r="F60" s="77"/>
      <c r="G60" s="77"/>
      <c r="H60" s="173">
        <f t="shared" si="0"/>
        <v>0</v>
      </c>
      <c r="I60" s="259"/>
      <c r="J60" s="173">
        <f t="shared" si="3"/>
        <v>0</v>
      </c>
      <c r="K60" s="77"/>
      <c r="L60" s="173">
        <f t="shared" si="4"/>
        <v>0</v>
      </c>
      <c r="M60" s="260"/>
      <c r="N60" s="102"/>
      <c r="O60" s="102"/>
      <c r="P60" s="260"/>
      <c r="Q60" s="102"/>
      <c r="R60" s="102"/>
      <c r="S60" s="102"/>
      <c r="T60" s="102"/>
      <c r="U60" s="260"/>
      <c r="V60" s="261"/>
      <c r="W60" s="261"/>
      <c r="X60" s="261"/>
      <c r="Y60" s="261"/>
      <c r="Z60" s="261"/>
      <c r="AA60" s="261"/>
      <c r="AB60" s="261"/>
      <c r="AC60" s="261"/>
      <c r="AD60" s="261"/>
      <c r="AE60" s="261"/>
    </row>
    <row r="61" s="31" customFormat="1" ht="19" customHeight="1" spans="1:31">
      <c r="A61" s="258">
        <v>56</v>
      </c>
      <c r="B61" s="101"/>
      <c r="C61" s="101"/>
      <c r="D61" s="101"/>
      <c r="E61" s="77"/>
      <c r="F61" s="77"/>
      <c r="G61" s="77"/>
      <c r="H61" s="173">
        <f t="shared" si="0"/>
        <v>0</v>
      </c>
      <c r="I61" s="259"/>
      <c r="J61" s="173">
        <f t="shared" si="3"/>
        <v>0</v>
      </c>
      <c r="K61" s="77"/>
      <c r="L61" s="173">
        <f t="shared" si="4"/>
        <v>0</v>
      </c>
      <c r="M61" s="260"/>
      <c r="N61" s="102"/>
      <c r="O61" s="102"/>
      <c r="P61" s="260"/>
      <c r="Q61" s="102"/>
      <c r="R61" s="102"/>
      <c r="S61" s="102"/>
      <c r="T61" s="102"/>
      <c r="U61" s="260"/>
      <c r="V61" s="261"/>
      <c r="W61" s="261"/>
      <c r="X61" s="261"/>
      <c r="Y61" s="261"/>
      <c r="Z61" s="261"/>
      <c r="AA61" s="261"/>
      <c r="AB61" s="261"/>
      <c r="AC61" s="261"/>
      <c r="AD61" s="261"/>
      <c r="AE61" s="261"/>
    </row>
    <row r="62" s="31" customFormat="1" ht="19" customHeight="1" spans="1:31">
      <c r="A62" s="258">
        <v>57</v>
      </c>
      <c r="B62" s="101"/>
      <c r="C62" s="101"/>
      <c r="D62" s="101"/>
      <c r="E62" s="77"/>
      <c r="F62" s="77"/>
      <c r="G62" s="77"/>
      <c r="H62" s="173">
        <f t="shared" si="0"/>
        <v>0</v>
      </c>
      <c r="I62" s="259"/>
      <c r="J62" s="173">
        <f t="shared" si="3"/>
        <v>0</v>
      </c>
      <c r="K62" s="77"/>
      <c r="L62" s="173">
        <f t="shared" si="4"/>
        <v>0</v>
      </c>
      <c r="M62" s="260"/>
      <c r="N62" s="102"/>
      <c r="O62" s="102"/>
      <c r="P62" s="260"/>
      <c r="Q62" s="102"/>
      <c r="R62" s="102"/>
      <c r="S62" s="102"/>
      <c r="T62" s="102"/>
      <c r="U62" s="260"/>
      <c r="V62" s="261"/>
      <c r="W62" s="261"/>
      <c r="X62" s="261"/>
      <c r="Y62" s="261"/>
      <c r="Z62" s="261"/>
      <c r="AA62" s="261"/>
      <c r="AB62" s="261"/>
      <c r="AC62" s="261"/>
      <c r="AD62" s="261"/>
      <c r="AE62" s="261"/>
    </row>
    <row r="63" s="31" customFormat="1" ht="19" customHeight="1" spans="1:31">
      <c r="A63" s="258">
        <v>58</v>
      </c>
      <c r="B63" s="101"/>
      <c r="C63" s="101"/>
      <c r="D63" s="101"/>
      <c r="E63" s="77"/>
      <c r="F63" s="77"/>
      <c r="G63" s="77"/>
      <c r="H63" s="173">
        <f t="shared" si="0"/>
        <v>0</v>
      </c>
      <c r="I63" s="259"/>
      <c r="J63" s="173">
        <f t="shared" si="3"/>
        <v>0</v>
      </c>
      <c r="K63" s="77"/>
      <c r="L63" s="173">
        <f t="shared" si="4"/>
        <v>0</v>
      </c>
      <c r="M63" s="260"/>
      <c r="N63" s="102"/>
      <c r="O63" s="102"/>
      <c r="P63" s="260"/>
      <c r="Q63" s="102"/>
      <c r="R63" s="102"/>
      <c r="S63" s="102"/>
      <c r="T63" s="102"/>
      <c r="U63" s="260"/>
      <c r="V63" s="261"/>
      <c r="W63" s="261"/>
      <c r="X63" s="261"/>
      <c r="Y63" s="261"/>
      <c r="Z63" s="261"/>
      <c r="AA63" s="261"/>
      <c r="AB63" s="261"/>
      <c r="AC63" s="261"/>
      <c r="AD63" s="261"/>
      <c r="AE63" s="261"/>
    </row>
    <row r="64" s="31" customFormat="1" ht="19" customHeight="1" spans="1:31">
      <c r="A64" s="258">
        <v>59</v>
      </c>
      <c r="B64" s="101"/>
      <c r="C64" s="101"/>
      <c r="D64" s="101"/>
      <c r="E64" s="77"/>
      <c r="F64" s="77"/>
      <c r="G64" s="77"/>
      <c r="H64" s="173">
        <f t="shared" si="0"/>
        <v>0</v>
      </c>
      <c r="I64" s="259"/>
      <c r="J64" s="173">
        <f t="shared" si="3"/>
        <v>0</v>
      </c>
      <c r="K64" s="77"/>
      <c r="L64" s="173">
        <f t="shared" si="4"/>
        <v>0</v>
      </c>
      <c r="M64" s="260"/>
      <c r="N64" s="102"/>
      <c r="O64" s="102"/>
      <c r="P64" s="260"/>
      <c r="Q64" s="102"/>
      <c r="R64" s="102"/>
      <c r="S64" s="102"/>
      <c r="T64" s="102"/>
      <c r="U64" s="260"/>
      <c r="V64" s="261"/>
      <c r="W64" s="261"/>
      <c r="X64" s="261"/>
      <c r="Y64" s="261"/>
      <c r="Z64" s="261"/>
      <c r="AA64" s="261"/>
      <c r="AB64" s="261"/>
      <c r="AC64" s="261"/>
      <c r="AD64" s="261"/>
      <c r="AE64" s="261"/>
    </row>
    <row r="65" s="31" customFormat="1" ht="19" customHeight="1" spans="1:31">
      <c r="A65" s="258">
        <v>60</v>
      </c>
      <c r="B65" s="101"/>
      <c r="C65" s="101"/>
      <c r="D65" s="101"/>
      <c r="E65" s="77"/>
      <c r="F65" s="77"/>
      <c r="G65" s="77"/>
      <c r="H65" s="173">
        <f t="shared" si="0"/>
        <v>0</v>
      </c>
      <c r="I65" s="259"/>
      <c r="J65" s="173">
        <f t="shared" si="3"/>
        <v>0</v>
      </c>
      <c r="K65" s="77"/>
      <c r="L65" s="173">
        <f t="shared" si="4"/>
        <v>0</v>
      </c>
      <c r="M65" s="260"/>
      <c r="N65" s="102"/>
      <c r="O65" s="102"/>
      <c r="P65" s="260"/>
      <c r="Q65" s="102"/>
      <c r="R65" s="102"/>
      <c r="S65" s="102"/>
      <c r="T65" s="102"/>
      <c r="U65" s="260"/>
      <c r="V65" s="261"/>
      <c r="W65" s="261"/>
      <c r="X65" s="261"/>
      <c r="Y65" s="261"/>
      <c r="Z65" s="261"/>
      <c r="AA65" s="261"/>
      <c r="AB65" s="261"/>
      <c r="AC65" s="261"/>
      <c r="AD65" s="261"/>
      <c r="AE65" s="261"/>
    </row>
    <row r="66" s="31" customFormat="1" ht="19" customHeight="1" spans="1:31">
      <c r="A66" s="258">
        <v>61</v>
      </c>
      <c r="B66" s="101"/>
      <c r="C66" s="101"/>
      <c r="D66" s="101"/>
      <c r="E66" s="77"/>
      <c r="F66" s="77"/>
      <c r="G66" s="77"/>
      <c r="H66" s="173">
        <f t="shared" si="0"/>
        <v>0</v>
      </c>
      <c r="I66" s="259"/>
      <c r="J66" s="173">
        <f t="shared" si="3"/>
        <v>0</v>
      </c>
      <c r="K66" s="77"/>
      <c r="L66" s="173">
        <f t="shared" si="4"/>
        <v>0</v>
      </c>
      <c r="M66" s="260"/>
      <c r="N66" s="102"/>
      <c r="O66" s="102"/>
      <c r="P66" s="260"/>
      <c r="Q66" s="102"/>
      <c r="R66" s="102"/>
      <c r="S66" s="102"/>
      <c r="T66" s="102"/>
      <c r="U66" s="260"/>
      <c r="V66" s="261"/>
      <c r="W66" s="261"/>
      <c r="X66" s="261"/>
      <c r="Y66" s="261"/>
      <c r="Z66" s="261"/>
      <c r="AA66" s="261"/>
      <c r="AB66" s="261"/>
      <c r="AC66" s="261"/>
      <c r="AD66" s="261"/>
      <c r="AE66" s="261"/>
    </row>
    <row r="67" s="31" customFormat="1" ht="19" customHeight="1" spans="1:31">
      <c r="A67" s="258">
        <v>62</v>
      </c>
      <c r="B67" s="101"/>
      <c r="C67" s="101"/>
      <c r="D67" s="101"/>
      <c r="E67" s="77"/>
      <c r="F67" s="77"/>
      <c r="G67" s="77"/>
      <c r="H67" s="173">
        <f t="shared" si="0"/>
        <v>0</v>
      </c>
      <c r="I67" s="259"/>
      <c r="J67" s="173">
        <f t="shared" si="3"/>
        <v>0</v>
      </c>
      <c r="K67" s="77"/>
      <c r="L67" s="173">
        <f t="shared" si="4"/>
        <v>0</v>
      </c>
      <c r="M67" s="260"/>
      <c r="N67" s="102"/>
      <c r="O67" s="102"/>
      <c r="P67" s="260"/>
      <c r="Q67" s="102"/>
      <c r="R67" s="102"/>
      <c r="S67" s="102"/>
      <c r="T67" s="102"/>
      <c r="U67" s="260"/>
      <c r="V67" s="261"/>
      <c r="W67" s="261"/>
      <c r="X67" s="261"/>
      <c r="Y67" s="261"/>
      <c r="Z67" s="261"/>
      <c r="AA67" s="261"/>
      <c r="AB67" s="261"/>
      <c r="AC67" s="261"/>
      <c r="AD67" s="261"/>
      <c r="AE67" s="261"/>
    </row>
    <row r="68" s="31" customFormat="1" ht="19" customHeight="1" spans="1:31">
      <c r="A68" s="258">
        <v>63</v>
      </c>
      <c r="B68" s="101"/>
      <c r="C68" s="101"/>
      <c r="D68" s="101"/>
      <c r="E68" s="77"/>
      <c r="F68" s="77"/>
      <c r="G68" s="77"/>
      <c r="H68" s="173">
        <f t="shared" si="0"/>
        <v>0</v>
      </c>
      <c r="I68" s="259"/>
      <c r="J68" s="173">
        <f t="shared" si="3"/>
        <v>0</v>
      </c>
      <c r="K68" s="77"/>
      <c r="L68" s="173">
        <f t="shared" si="4"/>
        <v>0</v>
      </c>
      <c r="M68" s="260"/>
      <c r="N68" s="102"/>
      <c r="O68" s="102"/>
      <c r="P68" s="260"/>
      <c r="Q68" s="102"/>
      <c r="R68" s="102"/>
      <c r="S68" s="102"/>
      <c r="T68" s="102"/>
      <c r="U68" s="260"/>
      <c r="V68" s="261"/>
      <c r="W68" s="261"/>
      <c r="X68" s="261"/>
      <c r="Y68" s="261"/>
      <c r="Z68" s="261"/>
      <c r="AA68" s="261"/>
      <c r="AB68" s="261"/>
      <c r="AC68" s="261"/>
      <c r="AD68" s="261"/>
      <c r="AE68" s="261"/>
    </row>
    <row r="69" s="31" customFormat="1" ht="19" customHeight="1" spans="1:31">
      <c r="A69" s="258">
        <v>64</v>
      </c>
      <c r="B69" s="101"/>
      <c r="C69" s="101"/>
      <c r="D69" s="101"/>
      <c r="E69" s="77"/>
      <c r="F69" s="77"/>
      <c r="G69" s="77"/>
      <c r="H69" s="173">
        <f t="shared" si="0"/>
        <v>0</v>
      </c>
      <c r="I69" s="259"/>
      <c r="J69" s="173">
        <f t="shared" si="3"/>
        <v>0</v>
      </c>
      <c r="K69" s="77"/>
      <c r="L69" s="173">
        <f t="shared" si="4"/>
        <v>0</v>
      </c>
      <c r="M69" s="260"/>
      <c r="N69" s="102"/>
      <c r="O69" s="102"/>
      <c r="P69" s="260"/>
      <c r="Q69" s="102"/>
      <c r="R69" s="102"/>
      <c r="S69" s="102"/>
      <c r="T69" s="102"/>
      <c r="U69" s="260"/>
      <c r="V69" s="261"/>
      <c r="W69" s="261"/>
      <c r="X69" s="261"/>
      <c r="Y69" s="261"/>
      <c r="Z69" s="261"/>
      <c r="AA69" s="261"/>
      <c r="AB69" s="261"/>
      <c r="AC69" s="261"/>
      <c r="AD69" s="261"/>
      <c r="AE69" s="261"/>
    </row>
    <row r="70" s="31" customFormat="1" ht="19" customHeight="1" spans="1:31">
      <c r="A70" s="258">
        <v>65</v>
      </c>
      <c r="B70" s="101"/>
      <c r="C70" s="101"/>
      <c r="D70" s="101"/>
      <c r="E70" s="77"/>
      <c r="F70" s="77"/>
      <c r="G70" s="77"/>
      <c r="H70" s="173">
        <f t="shared" si="0"/>
        <v>0</v>
      </c>
      <c r="I70" s="259"/>
      <c r="J70" s="173">
        <f t="shared" si="3"/>
        <v>0</v>
      </c>
      <c r="K70" s="77"/>
      <c r="L70" s="173">
        <f t="shared" si="4"/>
        <v>0</v>
      </c>
      <c r="M70" s="260"/>
      <c r="N70" s="102"/>
      <c r="O70" s="102"/>
      <c r="P70" s="260"/>
      <c r="Q70" s="102"/>
      <c r="R70" s="102"/>
      <c r="S70" s="102"/>
      <c r="T70" s="102"/>
      <c r="U70" s="260"/>
      <c r="V70" s="261"/>
      <c r="W70" s="261"/>
      <c r="X70" s="261"/>
      <c r="Y70" s="261"/>
      <c r="Z70" s="261"/>
      <c r="AA70" s="261"/>
      <c r="AB70" s="261"/>
      <c r="AC70" s="261"/>
      <c r="AD70" s="261"/>
      <c r="AE70" s="261"/>
    </row>
    <row r="71" s="31" customFormat="1" ht="19" customHeight="1" spans="1:31">
      <c r="A71" s="258">
        <v>66</v>
      </c>
      <c r="B71" s="101"/>
      <c r="C71" s="101"/>
      <c r="D71" s="101"/>
      <c r="E71" s="77"/>
      <c r="F71" s="77"/>
      <c r="G71" s="77"/>
      <c r="H71" s="173">
        <f>SUM(E71,G71,-F71)</f>
        <v>0</v>
      </c>
      <c r="I71" s="259"/>
      <c r="J71" s="173">
        <f t="shared" si="3"/>
        <v>0</v>
      </c>
      <c r="K71" s="77"/>
      <c r="L71" s="173">
        <f t="shared" si="4"/>
        <v>0</v>
      </c>
      <c r="M71" s="260"/>
      <c r="N71" s="102"/>
      <c r="O71" s="102"/>
      <c r="P71" s="260"/>
      <c r="Q71" s="102"/>
      <c r="R71" s="102"/>
      <c r="S71" s="102"/>
      <c r="T71" s="102"/>
      <c r="U71" s="260"/>
      <c r="V71" s="261"/>
      <c r="W71" s="261"/>
      <c r="X71" s="261"/>
      <c r="Y71" s="261"/>
      <c r="Z71" s="261"/>
      <c r="AA71" s="261"/>
      <c r="AB71" s="261"/>
      <c r="AC71" s="261"/>
      <c r="AD71" s="261"/>
      <c r="AE71" s="261"/>
    </row>
    <row r="72" s="31" customFormat="1" ht="19" customHeight="1" spans="1:31">
      <c r="A72" s="258">
        <v>67</v>
      </c>
      <c r="B72" s="101"/>
      <c r="C72" s="101"/>
      <c r="D72" s="101"/>
      <c r="E72" s="77"/>
      <c r="F72" s="77"/>
      <c r="G72" s="77"/>
      <c r="H72" s="173">
        <f>SUM(E72,G72,-F72)</f>
        <v>0</v>
      </c>
      <c r="I72" s="259"/>
      <c r="J72" s="173">
        <f t="shared" si="3"/>
        <v>0</v>
      </c>
      <c r="K72" s="77"/>
      <c r="L72" s="173">
        <f t="shared" si="4"/>
        <v>0</v>
      </c>
      <c r="M72" s="260"/>
      <c r="N72" s="102"/>
      <c r="O72" s="102"/>
      <c r="P72" s="260"/>
      <c r="Q72" s="102"/>
      <c r="R72" s="102"/>
      <c r="S72" s="102"/>
      <c r="T72" s="102"/>
      <c r="U72" s="260"/>
      <c r="V72" s="261"/>
      <c r="W72" s="261"/>
      <c r="X72" s="261"/>
      <c r="Y72" s="261"/>
      <c r="Z72" s="261"/>
      <c r="AA72" s="261"/>
      <c r="AB72" s="261"/>
      <c r="AC72" s="261"/>
      <c r="AD72" s="261"/>
      <c r="AE72" s="261"/>
    </row>
    <row r="73" s="31" customFormat="1" ht="19" customHeight="1" spans="1:31">
      <c r="A73" s="258">
        <v>68</v>
      </c>
      <c r="B73" s="101"/>
      <c r="C73" s="101"/>
      <c r="D73" s="101"/>
      <c r="E73" s="77"/>
      <c r="F73" s="77"/>
      <c r="G73" s="77"/>
      <c r="H73" s="173">
        <f>SUM(E73,G73,-F73)</f>
        <v>0</v>
      </c>
      <c r="I73" s="259"/>
      <c r="J73" s="173">
        <f t="shared" si="3"/>
        <v>0</v>
      </c>
      <c r="K73" s="77"/>
      <c r="L73" s="173">
        <f t="shared" si="4"/>
        <v>0</v>
      </c>
      <c r="M73" s="260"/>
      <c r="N73" s="102"/>
      <c r="O73" s="102"/>
      <c r="P73" s="260"/>
      <c r="Q73" s="102"/>
      <c r="R73" s="102"/>
      <c r="S73" s="102"/>
      <c r="T73" s="102"/>
      <c r="U73" s="260"/>
      <c r="V73" s="261"/>
      <c r="W73" s="261"/>
      <c r="X73" s="261"/>
      <c r="Y73" s="261"/>
      <c r="Z73" s="261"/>
      <c r="AA73" s="261"/>
      <c r="AB73" s="261"/>
      <c r="AC73" s="261"/>
      <c r="AD73" s="261"/>
      <c r="AE73" s="261"/>
    </row>
    <row r="74" s="31" customFormat="1" ht="19" customHeight="1" spans="1:31">
      <c r="A74" s="258">
        <v>69</v>
      </c>
      <c r="B74" s="101"/>
      <c r="C74" s="101"/>
      <c r="D74" s="101"/>
      <c r="E74" s="77"/>
      <c r="F74" s="77"/>
      <c r="G74" s="77"/>
      <c r="H74" s="173">
        <f>SUM(E74,G74,-F74)</f>
        <v>0</v>
      </c>
      <c r="I74" s="259"/>
      <c r="J74" s="173">
        <f t="shared" si="3"/>
        <v>0</v>
      </c>
      <c r="K74" s="77"/>
      <c r="L74" s="173">
        <f t="shared" si="4"/>
        <v>0</v>
      </c>
      <c r="M74" s="260"/>
      <c r="N74" s="102"/>
      <c r="O74" s="102"/>
      <c r="P74" s="260"/>
      <c r="Q74" s="102"/>
      <c r="R74" s="102"/>
      <c r="S74" s="102"/>
      <c r="T74" s="102"/>
      <c r="U74" s="260"/>
      <c r="V74" s="261"/>
      <c r="W74" s="261"/>
      <c r="X74" s="261"/>
      <c r="Y74" s="261"/>
      <c r="Z74" s="261"/>
      <c r="AA74" s="261"/>
      <c r="AB74" s="261"/>
      <c r="AC74" s="261"/>
      <c r="AD74" s="261"/>
      <c r="AE74" s="261"/>
    </row>
    <row r="75" s="32" customFormat="1" ht="16" customHeight="1" spans="1:31">
      <c r="A75" s="262" t="s">
        <v>434</v>
      </c>
      <c r="B75" s="23" t="s">
        <v>217</v>
      </c>
      <c r="C75" s="23"/>
      <c r="D75" s="262"/>
      <c r="E75" s="173">
        <f>ROUND(SUM(E6:E74),2)</f>
        <v>0</v>
      </c>
      <c r="F75" s="173">
        <f>ROUND(SUM(F6:F74),2)</f>
        <v>0</v>
      </c>
      <c r="G75" s="173">
        <f>ROUND(SUM(G6:G74),2)</f>
        <v>0</v>
      </c>
      <c r="H75" s="173">
        <f>ROUND(SUM(H6:H74),2)</f>
        <v>0</v>
      </c>
      <c r="I75" s="173"/>
      <c r="J75" s="173">
        <f t="shared" si="3"/>
        <v>0</v>
      </c>
      <c r="K75" s="173">
        <f>ROUND(SUM(K6:K74),2)</f>
        <v>0</v>
      </c>
      <c r="L75" s="173">
        <f t="shared" si="4"/>
        <v>0</v>
      </c>
      <c r="M75" s="263"/>
      <c r="N75" s="264">
        <f>ROUND(SUM(N6:N74),2)</f>
        <v>0</v>
      </c>
      <c r="O75" s="265"/>
      <c r="P75" s="265"/>
      <c r="Q75" s="265"/>
      <c r="R75" s="265"/>
      <c r="S75" s="265"/>
      <c r="T75" s="265"/>
      <c r="U75" s="265"/>
      <c r="V75" s="266"/>
      <c r="W75" s="266"/>
      <c r="X75" s="266"/>
      <c r="Y75" s="266"/>
      <c r="Z75" s="266"/>
      <c r="AA75" s="266"/>
      <c r="AB75" s="266"/>
      <c r="AC75" s="266"/>
      <c r="AD75" s="266"/>
      <c r="AE75" s="266"/>
    </row>
    <row r="77" ht="22" customHeight="1" spans="1:31">
      <c r="B77" s="29" t="s">
        <v>218</v>
      </c>
    </row>
  </sheetData>
  <mergeCells count="19">
    <mergeCell ref="B1:U1"/>
    <mergeCell ref="E4:I4"/>
    <mergeCell ref="V4:AE4"/>
    <mergeCell ref="A4:A5"/>
    <mergeCell ref="B4:B5"/>
    <mergeCell ref="C4:C5"/>
    <mergeCell ref="D4:D5"/>
    <mergeCell ref="J4:J5"/>
    <mergeCell ref="K4:K5"/>
    <mergeCell ref="L4:L5"/>
    <mergeCell ref="M4:M5"/>
    <mergeCell ref="N4:N5"/>
    <mergeCell ref="O4:O5"/>
    <mergeCell ref="P4:P5"/>
    <mergeCell ref="Q4:Q5"/>
    <mergeCell ref="R4:R5"/>
    <mergeCell ref="S4:S5"/>
    <mergeCell ref="T4:T5"/>
    <mergeCell ref="U4:U5"/>
  </mergeCells>
  <dataValidations count="1">
    <dataValidation type="list" allowBlank="1" showInputMessage="1" showErrorMessage="1" sqref="M6:M74 P6:P74 U6:U74">
      <formula1>"√"</formula1>
    </dataValidation>
  </dataValidation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
  <sheetViews>
    <sheetView workbookViewId="0">
      <selection activeCell="E18" sqref="E18"/>
    </sheetView>
  </sheetViews>
  <sheetFormatPr defaultColWidth="8.73148148148148" defaultRowHeight="14.4"/>
  <cols>
    <col min="1" max="1" width="23.7314814814815" customWidth="1"/>
    <col min="2" max="2" width="16.5462962962963" customWidth="1"/>
    <col min="3" max="3" width="13.7314814814815" customWidth="1"/>
    <col min="4" max="4" width="16.3611111111111" customWidth="1"/>
    <col min="5" max="5" width="14.5462962962963" customWidth="1"/>
    <col min="6" max="6" width="15.4537037037037" customWidth="1"/>
    <col min="7" max="7" width="14.4537037037037" customWidth="1"/>
  </cols>
  <sheetData>
    <row r="1" ht="23" customHeight="1" spans="1:10">
      <c r="A1" s="209" t="s">
        <v>435</v>
      </c>
      <c r="B1" s="209"/>
      <c r="C1" s="209"/>
      <c r="D1" s="209"/>
      <c r="E1" s="209"/>
      <c r="F1" s="209"/>
      <c r="G1" s="209"/>
      <c r="H1" s="209"/>
      <c r="I1" s="209"/>
      <c r="J1" s="209"/>
    </row>
    <row r="2" spans="1:10">
      <c r="A2" s="2" t="str">
        <f>备忘录!$A$1</f>
        <v>被审计单位：福禄福擎网络科技有限公司</v>
      </c>
      <c r="B2" s="30"/>
      <c r="C2" s="210"/>
      <c r="D2" s="210" t="s">
        <v>193</v>
      </c>
      <c r="F2" s="210"/>
      <c r="G2" s="211" t="str">
        <f>备忘录!$C$2</f>
        <v>日期：2025/10/30</v>
      </c>
      <c r="I2" s="210"/>
      <c r="J2" s="210"/>
    </row>
    <row r="3" spans="1:10">
      <c r="A3" s="2" t="str">
        <f>备忘录!$A$2</f>
        <v>财务报表截止日：2025/9/30</v>
      </c>
      <c r="B3" s="30"/>
      <c r="C3" s="210"/>
      <c r="D3" s="210" t="s">
        <v>194</v>
      </c>
      <c r="F3" s="210"/>
      <c r="G3" s="211" t="str">
        <f>备忘录!$C$3</f>
        <v>日期：2025/10/31</v>
      </c>
      <c r="I3" s="210"/>
      <c r="J3" s="210"/>
    </row>
    <row r="4" ht="17" customHeight="1" spans="1:10">
      <c r="A4" s="238" t="s">
        <v>436</v>
      </c>
      <c r="B4" s="239" t="s">
        <v>207</v>
      </c>
      <c r="C4" s="200"/>
      <c r="D4" s="200"/>
      <c r="E4" s="200"/>
      <c r="F4" s="200"/>
      <c r="G4" s="201"/>
    </row>
    <row r="5" ht="17" customHeight="1" spans="1:10">
      <c r="A5" s="238"/>
      <c r="B5" s="240" t="s">
        <v>437</v>
      </c>
      <c r="C5" s="240" t="s">
        <v>211</v>
      </c>
      <c r="D5" s="240" t="s">
        <v>407</v>
      </c>
      <c r="E5" s="240" t="s">
        <v>408</v>
      </c>
      <c r="F5" s="240" t="s">
        <v>274</v>
      </c>
      <c r="G5" s="240" t="s">
        <v>361</v>
      </c>
    </row>
    <row r="6" spans="1:10">
      <c r="A6" s="241" t="s">
        <v>438</v>
      </c>
      <c r="B6" s="81">
        <f>ROUND(SUM(B7:B9),2)</f>
        <v>0</v>
      </c>
      <c r="C6" s="81">
        <f t="shared" ref="B6:G6" si="0">ROUND(SUM(C7:C9),2)</f>
        <v>0</v>
      </c>
      <c r="D6" s="242">
        <f t="shared" si="0"/>
        <v>0</v>
      </c>
      <c r="E6" s="242">
        <f t="shared" si="0"/>
        <v>0</v>
      </c>
      <c r="F6" s="242">
        <f t="shared" si="0"/>
        <v>0</v>
      </c>
      <c r="G6" s="242">
        <f t="shared" si="0"/>
        <v>0</v>
      </c>
    </row>
    <row r="7" ht="15" customHeight="1" spans="1:10">
      <c r="A7" s="243" t="s">
        <v>439</v>
      </c>
      <c r="B7" s="244"/>
      <c r="C7" s="244"/>
      <c r="D7" s="245"/>
      <c r="E7" s="242">
        <f t="shared" ref="E7:E9" si="1">B7+C7-D7</f>
        <v>0</v>
      </c>
      <c r="F7" s="245"/>
      <c r="G7" s="242">
        <f t="shared" ref="G7:G9" si="2">E7+F7</f>
        <v>0</v>
      </c>
    </row>
    <row r="8" ht="15" customHeight="1" spans="1:10">
      <c r="A8" s="243" t="s">
        <v>440</v>
      </c>
      <c r="B8" s="244"/>
      <c r="C8" s="244"/>
      <c r="D8" s="245"/>
      <c r="E8" s="242">
        <f t="shared" si="1"/>
        <v>0</v>
      </c>
      <c r="F8" s="245"/>
      <c r="G8" s="79">
        <f t="shared" si="2"/>
        <v>0</v>
      </c>
    </row>
    <row r="9" ht="15" customHeight="1" spans="1:10">
      <c r="A9" s="243" t="s">
        <v>441</v>
      </c>
      <c r="B9" s="244"/>
      <c r="C9" s="244"/>
      <c r="D9" s="245"/>
      <c r="E9" s="242">
        <f t="shared" si="1"/>
        <v>0</v>
      </c>
      <c r="F9" s="245"/>
      <c r="G9" s="246">
        <f t="shared" si="2"/>
        <v>0</v>
      </c>
    </row>
    <row r="10" spans="1:10">
      <c r="A10" s="241" t="s">
        <v>442</v>
      </c>
      <c r="B10" s="81">
        <f t="shared" ref="B10:G10" si="3">ROUND(SUM(B11:B13),2)</f>
        <v>0</v>
      </c>
      <c r="C10" s="81">
        <f t="shared" si="3"/>
        <v>0</v>
      </c>
      <c r="D10" s="242">
        <f t="shared" si="3"/>
        <v>0</v>
      </c>
      <c r="E10" s="242">
        <f t="shared" si="3"/>
        <v>0</v>
      </c>
      <c r="F10" s="242">
        <f t="shared" si="3"/>
        <v>0</v>
      </c>
      <c r="G10" s="242">
        <f t="shared" si="3"/>
        <v>0</v>
      </c>
    </row>
    <row r="11" ht="14" customHeight="1" spans="1:10">
      <c r="A11" s="243" t="s">
        <v>439</v>
      </c>
      <c r="B11" s="244"/>
      <c r="C11" s="244"/>
      <c r="D11" s="245"/>
      <c r="E11" s="242">
        <f t="shared" ref="E11:E13" si="4">B11-C11+D11</f>
        <v>0</v>
      </c>
      <c r="F11" s="245"/>
      <c r="G11" s="246">
        <f t="shared" ref="G11:G13" si="5">E11+F11</f>
        <v>0</v>
      </c>
    </row>
    <row r="12" ht="14" customHeight="1" spans="1:10">
      <c r="A12" s="243" t="s">
        <v>440</v>
      </c>
      <c r="B12" s="244"/>
      <c r="C12" s="244"/>
      <c r="D12" s="245"/>
      <c r="E12" s="242">
        <f t="shared" si="4"/>
        <v>0</v>
      </c>
      <c r="F12" s="245"/>
      <c r="G12" s="246">
        <f t="shared" si="5"/>
        <v>0</v>
      </c>
    </row>
    <row r="13" ht="14" customHeight="1" spans="1:10">
      <c r="A13" s="243" t="s">
        <v>441</v>
      </c>
      <c r="B13" s="244"/>
      <c r="C13" s="244"/>
      <c r="D13" s="245"/>
      <c r="E13" s="242">
        <f t="shared" si="4"/>
        <v>0</v>
      </c>
      <c r="F13" s="245"/>
      <c r="G13" s="246">
        <f t="shared" si="5"/>
        <v>0</v>
      </c>
    </row>
    <row r="14" ht="14" customHeight="1" spans="1:10">
      <c r="A14" s="241" t="s">
        <v>443</v>
      </c>
      <c r="B14" s="81">
        <f t="shared" ref="B14:G14" si="6">ROUND(B6-B10,2)</f>
        <v>0</v>
      </c>
      <c r="C14" s="81">
        <f t="shared" si="6"/>
        <v>0</v>
      </c>
      <c r="D14" s="242">
        <f t="shared" si="6"/>
        <v>0</v>
      </c>
      <c r="E14" s="242">
        <f t="shared" si="6"/>
        <v>0</v>
      </c>
      <c r="F14" s="242">
        <f t="shared" si="6"/>
        <v>0</v>
      </c>
      <c r="G14" s="242">
        <f t="shared" si="6"/>
        <v>0</v>
      </c>
    </row>
    <row r="15" spans="1:10">
      <c r="E15" s="3"/>
    </row>
  </sheetData>
  <mergeCells count="3">
    <mergeCell ref="A1:J1"/>
    <mergeCell ref="B4:G4"/>
    <mergeCell ref="A4:A5"/>
  </mergeCells>
  <dataValidations count="1">
    <dataValidation allowBlank="1" showInputMessage="1" showErrorMessage="1" prompt="下拉菜单中选择" sqref="A7:A9 A11:A13"/>
  </dataValidations>
  <pageMargins left="0.75" right="0.75" top="1" bottom="1" header="0.5" footer="0.5"/>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7"/>
  <sheetViews>
    <sheetView workbookViewId="0">
      <selection activeCell="I7" sqref="I7"/>
    </sheetView>
  </sheetViews>
  <sheetFormatPr defaultColWidth="8.73148148148148" defaultRowHeight="14.4" outlineLevelRow="6"/>
  <cols>
    <col min="1" max="1" width="12.9074074074074" customWidth="1"/>
    <col min="2" max="2" width="11.1851851851852" customWidth="1"/>
    <col min="11" max="11" width="10.8148148148148" customWidth="1"/>
    <col min="12" max="12" width="11.3611111111111" customWidth="1"/>
    <col min="14" max="14" width="14.6388888888889" customWidth="1"/>
    <col min="15" max="15" width="21" customWidth="1"/>
    <col min="16" max="16" width="14.2685185185185" customWidth="1"/>
    <col min="17" max="17" width="14.1851851851852" customWidth="1"/>
    <col min="18" max="18" width="12.5462962962963" customWidth="1"/>
    <col min="19" max="19" width="15.5462962962963" customWidth="1"/>
    <col min="20" max="20" width="23.1851851851852" customWidth="1"/>
  </cols>
  <sheetData>
    <row r="1" ht="24" customHeight="1" spans="1:21">
      <c r="A1" s="209" t="s">
        <v>444</v>
      </c>
      <c r="B1" s="209"/>
      <c r="C1" s="209"/>
      <c r="D1" s="209"/>
      <c r="E1" s="209"/>
      <c r="F1" s="209"/>
      <c r="G1" s="209"/>
      <c r="H1" s="209"/>
      <c r="I1" s="209"/>
      <c r="J1" s="209"/>
      <c r="K1" s="209"/>
      <c r="L1" s="209"/>
      <c r="M1" s="209"/>
      <c r="N1" s="209"/>
      <c r="O1" s="209"/>
      <c r="P1" s="209"/>
      <c r="Q1" s="209"/>
      <c r="R1" s="209"/>
      <c r="S1" s="209"/>
      <c r="T1" s="209"/>
      <c r="U1" s="209"/>
    </row>
    <row r="2" spans="1:21">
      <c r="A2" s="2" t="str">
        <f>备忘录!$A$1</f>
        <v>被审计单位：福禄福擎网络科技有限公司</v>
      </c>
      <c r="B2" s="30"/>
      <c r="C2" s="210"/>
      <c r="D2" s="210"/>
      <c r="G2" s="210" t="s">
        <v>193</v>
      </c>
      <c r="K2" s="210"/>
      <c r="L2" s="211" t="str">
        <f>备忘录!$C$2</f>
        <v>日期：2025/10/30</v>
      </c>
    </row>
    <row r="3" spans="1:21">
      <c r="A3" s="2" t="str">
        <f>备忘录!$A$2</f>
        <v>财务报表截止日：2025/9/30</v>
      </c>
      <c r="B3" s="30"/>
      <c r="C3" s="210"/>
      <c r="D3" s="210"/>
      <c r="G3" s="210" t="s">
        <v>194</v>
      </c>
      <c r="K3" s="210"/>
      <c r="L3" s="211" t="str">
        <f>备忘录!$C$3</f>
        <v>日期：2025/10/31</v>
      </c>
    </row>
    <row r="4" ht="18" customHeight="1" spans="1:21">
      <c r="A4" s="212" t="s">
        <v>445</v>
      </c>
      <c r="B4" s="213"/>
      <c r="C4" s="213"/>
      <c r="D4" s="213"/>
      <c r="E4" s="213"/>
      <c r="F4" s="213"/>
      <c r="G4" s="213"/>
      <c r="H4" s="213"/>
      <c r="I4" s="213"/>
      <c r="J4" s="213"/>
      <c r="K4" s="214"/>
      <c r="L4" s="215"/>
      <c r="M4" s="213"/>
      <c r="N4" s="213"/>
      <c r="O4" s="216" t="s">
        <v>446</v>
      </c>
      <c r="P4" s="217"/>
      <c r="Q4" s="218" t="s">
        <v>447</v>
      </c>
      <c r="R4" s="219"/>
      <c r="S4" s="219"/>
      <c r="T4" s="220"/>
      <c r="U4" s="213"/>
    </row>
    <row r="5" s="3" customFormat="1" ht="25" customHeight="1" spans="1:21">
      <c r="A5" s="221" t="s">
        <v>448</v>
      </c>
      <c r="B5" s="221" t="s">
        <v>449</v>
      </c>
      <c r="C5" s="221" t="s">
        <v>450</v>
      </c>
      <c r="D5" s="221" t="s">
        <v>451</v>
      </c>
      <c r="E5" s="222" t="s">
        <v>452</v>
      </c>
      <c r="F5" s="223"/>
      <c r="G5" s="222" t="s">
        <v>453</v>
      </c>
      <c r="H5" s="223"/>
      <c r="I5" s="222" t="s">
        <v>454</v>
      </c>
      <c r="J5" s="223"/>
      <c r="K5" s="221" t="s">
        <v>455</v>
      </c>
      <c r="L5" s="221" t="s">
        <v>456</v>
      </c>
      <c r="M5" s="221" t="s">
        <v>457</v>
      </c>
      <c r="N5" s="221" t="s">
        <v>458</v>
      </c>
      <c r="O5" s="221" t="s">
        <v>459</v>
      </c>
      <c r="P5" s="221" t="s">
        <v>460</v>
      </c>
      <c r="Q5" s="221" t="s">
        <v>461</v>
      </c>
      <c r="R5" s="221" t="s">
        <v>462</v>
      </c>
      <c r="S5" s="221" t="s">
        <v>463</v>
      </c>
      <c r="T5" s="221" t="s">
        <v>464</v>
      </c>
      <c r="U5" s="221" t="s">
        <v>203</v>
      </c>
    </row>
    <row r="6" s="3" customFormat="1" ht="25" customHeight="1" spans="1:21">
      <c r="A6" s="224"/>
      <c r="B6" s="224"/>
      <c r="C6" s="224"/>
      <c r="D6" s="224"/>
      <c r="E6" s="225" t="s">
        <v>465</v>
      </c>
      <c r="F6" s="225" t="s">
        <v>466</v>
      </c>
      <c r="G6" s="225" t="s">
        <v>465</v>
      </c>
      <c r="H6" s="225" t="s">
        <v>466</v>
      </c>
      <c r="I6" s="225" t="s">
        <v>465</v>
      </c>
      <c r="J6" s="225" t="s">
        <v>466</v>
      </c>
      <c r="K6" s="224"/>
      <c r="L6" s="224"/>
      <c r="M6" s="224"/>
      <c r="N6" s="224"/>
      <c r="O6" s="226"/>
      <c r="P6" s="226"/>
      <c r="Q6" s="224"/>
      <c r="R6" s="224"/>
      <c r="S6" s="224"/>
      <c r="T6" s="224"/>
      <c r="U6" s="224"/>
    </row>
    <row r="7" ht="21" customHeight="1" spans="1:21">
      <c r="A7" s="227"/>
      <c r="B7" s="228"/>
      <c r="C7" s="228"/>
      <c r="D7" s="228"/>
      <c r="E7" s="229"/>
      <c r="F7" s="230"/>
      <c r="G7" s="230"/>
      <c r="H7" s="230"/>
      <c r="I7" s="231">
        <f>ROUND(E7+G7,2)</f>
        <v>0</v>
      </c>
      <c r="J7" s="232">
        <f>ROUND(F7+H7,2)</f>
        <v>0</v>
      </c>
      <c r="K7" s="228"/>
      <c r="L7" s="233"/>
      <c r="M7" s="228"/>
      <c r="N7" s="234"/>
      <c r="O7" s="217"/>
      <c r="P7" s="202">
        <f>N7-O7</f>
        <v>0</v>
      </c>
      <c r="Q7" s="235" t="s">
        <v>467</v>
      </c>
      <c r="R7" s="217"/>
      <c r="S7" s="217"/>
      <c r="T7" s="236"/>
      <c r="U7" s="237"/>
    </row>
  </sheetData>
  <mergeCells count="19">
    <mergeCell ref="A1:U1"/>
    <mergeCell ref="E5:F5"/>
    <mergeCell ref="G5:H5"/>
    <mergeCell ref="I5:J5"/>
    <mergeCell ref="A5:A6"/>
    <mergeCell ref="B5:B6"/>
    <mergeCell ref="C5:C6"/>
    <mergeCell ref="D5:D6"/>
    <mergeCell ref="K5:K6"/>
    <mergeCell ref="L5:L6"/>
    <mergeCell ref="M5:M6"/>
    <mergeCell ref="N5:N6"/>
    <mergeCell ref="O5:O6"/>
    <mergeCell ref="P5:P6"/>
    <mergeCell ref="Q5:Q6"/>
    <mergeCell ref="R5:R6"/>
    <mergeCell ref="S5:S6"/>
    <mergeCell ref="T5:T6"/>
    <mergeCell ref="U5:U6"/>
  </mergeCells>
  <dataValidations count="1">
    <dataValidation type="list" allowBlank="1" showInputMessage="1" showErrorMessage="1" sqref="Q7">
      <formula1>"重要,不重要,无财务数据"</formula1>
    </dataValidation>
  </dataValidations>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26"/>
  <sheetViews>
    <sheetView zoomScale="90" zoomScaleNormal="90" workbookViewId="0">
      <selection activeCell="B5" sqref="$A5:$XFD5"/>
    </sheetView>
  </sheetViews>
  <sheetFormatPr defaultColWidth="8.73148148148148" defaultRowHeight="14.4"/>
  <cols>
    <col min="1" max="1" width="31.6111111111111" customWidth="1"/>
    <col min="2" max="7" width="13.4537037037037" customWidth="1"/>
    <col min="8" max="8" width="11.1111111111111" customWidth="1"/>
    <col min="9" max="9" width="10.8055555555556" customWidth="1"/>
    <col min="10" max="10" width="10" customWidth="1"/>
    <col min="11" max="11" width="10.1944444444444" customWidth="1"/>
    <col min="13" max="13" width="10.3888888888889" customWidth="1"/>
  </cols>
  <sheetData>
    <row r="1" ht="26" customHeight="1" spans="1:13">
      <c r="A1" s="1" t="s">
        <v>50</v>
      </c>
      <c r="B1" s="1"/>
      <c r="C1" s="1"/>
      <c r="D1" s="1"/>
      <c r="E1" s="1"/>
      <c r="F1" s="1"/>
      <c r="G1" s="1"/>
      <c r="H1" s="1"/>
      <c r="I1" s="1"/>
      <c r="J1" s="1"/>
      <c r="K1" s="1"/>
      <c r="L1" s="1"/>
      <c r="M1" s="1"/>
    </row>
    <row r="2" ht="17" customHeight="1" spans="1:13">
      <c r="A2" s="2" t="str">
        <f>备忘录!$A$1</f>
        <v>被审计单位：福禄福擎网络科技有限公司</v>
      </c>
      <c r="B2" s="3"/>
      <c r="C2" s="3"/>
      <c r="D2" s="4" t="s">
        <v>193</v>
      </c>
      <c r="E2" s="3"/>
      <c r="G2" s="4" t="str">
        <f>备忘录!$C$2</f>
        <v>日期：2025/10/30</v>
      </c>
    </row>
    <row r="3" ht="17" customHeight="1" spans="1:13">
      <c r="A3" s="2" t="str">
        <f>备忘录!$A$2</f>
        <v>财务报表截止日：2025/9/30</v>
      </c>
      <c r="B3" s="3"/>
      <c r="C3" s="3"/>
      <c r="D3" s="4" t="s">
        <v>194</v>
      </c>
      <c r="E3" s="3"/>
      <c r="G3" s="4" t="str">
        <f>备忘录!$C$3</f>
        <v>日期：2025/10/31</v>
      </c>
    </row>
    <row r="4" ht="19" customHeight="1" spans="1:13">
      <c r="A4" s="121" t="s">
        <v>436</v>
      </c>
      <c r="B4" s="199" t="s">
        <v>355</v>
      </c>
      <c r="C4" s="200"/>
      <c r="D4" s="200"/>
      <c r="E4" s="200"/>
      <c r="F4" s="200"/>
      <c r="G4" s="201"/>
      <c r="H4" s="163" t="s">
        <v>357</v>
      </c>
      <c r="I4" s="164"/>
      <c r="J4" s="165" t="s">
        <v>468</v>
      </c>
      <c r="K4" s="166"/>
      <c r="L4" s="166"/>
      <c r="M4" s="167"/>
    </row>
    <row r="5" ht="20" customHeight="1" spans="1:13">
      <c r="A5" s="129"/>
      <c r="B5" s="40" t="s">
        <v>437</v>
      </c>
      <c r="C5" s="40" t="s">
        <v>406</v>
      </c>
      <c r="D5" s="40" t="s">
        <v>407</v>
      </c>
      <c r="E5" s="40" t="s">
        <v>408</v>
      </c>
      <c r="F5" s="40" t="s">
        <v>274</v>
      </c>
      <c r="G5" s="40" t="s">
        <v>275</v>
      </c>
      <c r="H5" s="170" t="s">
        <v>211</v>
      </c>
      <c r="I5" s="170" t="s">
        <v>212</v>
      </c>
      <c r="J5" s="171" t="s">
        <v>210</v>
      </c>
      <c r="K5" s="172" t="s">
        <v>406</v>
      </c>
      <c r="L5" s="172" t="s">
        <v>407</v>
      </c>
      <c r="M5" s="172" t="s">
        <v>360</v>
      </c>
    </row>
    <row r="6" ht="17" customHeight="1" spans="1:13">
      <c r="A6" s="182" t="s">
        <v>469</v>
      </c>
      <c r="B6" s="183">
        <f t="shared" ref="B6:G6" si="0">ROUND(SUM(B7:B9,B14:B16),2)</f>
        <v>0</v>
      </c>
      <c r="C6" s="183">
        <f t="shared" si="0"/>
        <v>0</v>
      </c>
      <c r="D6" s="183">
        <f t="shared" si="0"/>
        <v>0</v>
      </c>
      <c r="E6" s="183">
        <f t="shared" si="0"/>
        <v>0</v>
      </c>
      <c r="F6" s="183">
        <f t="shared" si="0"/>
        <v>0</v>
      </c>
      <c r="G6" s="183">
        <f t="shared" si="0"/>
        <v>0</v>
      </c>
      <c r="H6" s="50"/>
      <c r="I6" s="50"/>
      <c r="J6" s="202">
        <f>ROUND(SUM(J7:J9,J14:J16),2)</f>
        <v>0</v>
      </c>
      <c r="K6" s="202">
        <f t="shared" ref="J6:M6" si="1">ROUND(SUM(K7:K9,K14:K16),2)</f>
        <v>0</v>
      </c>
      <c r="L6" s="202">
        <f t="shared" si="1"/>
        <v>0</v>
      </c>
      <c r="M6" s="202">
        <f t="shared" si="1"/>
        <v>0</v>
      </c>
    </row>
    <row r="7" spans="1:13">
      <c r="A7" s="186" t="s">
        <v>470</v>
      </c>
      <c r="B7" s="203"/>
      <c r="C7" s="187"/>
      <c r="D7" s="187"/>
      <c r="E7" s="196">
        <f t="shared" ref="E7:E22" si="2">ROUND(B7-C7+D7,2)</f>
        <v>0</v>
      </c>
      <c r="F7" s="187"/>
      <c r="G7" s="196">
        <f t="shared" ref="G7:G22" si="3">ROUND(SUM(E7:F7),2)</f>
        <v>0</v>
      </c>
      <c r="H7" s="50"/>
      <c r="I7" s="50"/>
      <c r="J7" s="82">
        <f t="shared" ref="J7:J16" si="4">B7</f>
        <v>0</v>
      </c>
      <c r="K7" s="82">
        <f t="shared" ref="K7:K16" si="5">C7+H7</f>
        <v>0</v>
      </c>
      <c r="L7" s="82">
        <f t="shared" ref="L7:L16" si="6">D7+I7</f>
        <v>0</v>
      </c>
      <c r="M7" s="82">
        <f t="shared" ref="M7:M16" si="7">J7+L7-K7</f>
        <v>0</v>
      </c>
    </row>
    <row r="8" spans="1:13">
      <c r="A8" s="186" t="s">
        <v>471</v>
      </c>
      <c r="B8" s="203"/>
      <c r="C8" s="187"/>
      <c r="D8" s="187"/>
      <c r="E8" s="196">
        <f t="shared" si="2"/>
        <v>0</v>
      </c>
      <c r="F8" s="187"/>
      <c r="G8" s="196">
        <f t="shared" si="3"/>
        <v>0</v>
      </c>
      <c r="H8" s="50"/>
      <c r="I8" s="50"/>
      <c r="J8" s="82">
        <f t="shared" si="4"/>
        <v>0</v>
      </c>
      <c r="K8" s="82">
        <f t="shared" si="5"/>
        <v>0</v>
      </c>
      <c r="L8" s="82">
        <f t="shared" si="6"/>
        <v>0</v>
      </c>
      <c r="M8" s="82">
        <f t="shared" si="7"/>
        <v>0</v>
      </c>
    </row>
    <row r="9" spans="1:13">
      <c r="A9" s="204" t="s">
        <v>472</v>
      </c>
      <c r="B9" s="183">
        <f t="shared" ref="B9:G9" si="8">ROUND(SUM(B10:B13),2)</f>
        <v>0</v>
      </c>
      <c r="C9" s="183">
        <f t="shared" si="8"/>
        <v>0</v>
      </c>
      <c r="D9" s="183">
        <f t="shared" si="8"/>
        <v>0</v>
      </c>
      <c r="E9" s="183">
        <f t="shared" si="8"/>
        <v>0</v>
      </c>
      <c r="F9" s="183">
        <f t="shared" si="8"/>
        <v>0</v>
      </c>
      <c r="G9" s="183">
        <f t="shared" si="8"/>
        <v>0</v>
      </c>
      <c r="H9" s="50"/>
      <c r="I9" s="50"/>
      <c r="J9" s="202">
        <f t="shared" ref="J9:M9" si="9">ROUND(SUM(J10:J13),2)</f>
        <v>0</v>
      </c>
      <c r="K9" s="202">
        <f t="shared" si="9"/>
        <v>0</v>
      </c>
      <c r="L9" s="202">
        <f t="shared" si="9"/>
        <v>0</v>
      </c>
      <c r="M9" s="202">
        <f t="shared" si="9"/>
        <v>0</v>
      </c>
    </row>
    <row r="10" spans="1:13">
      <c r="A10" s="204" t="s">
        <v>473</v>
      </c>
      <c r="B10" s="203"/>
      <c r="C10" s="187"/>
      <c r="D10" s="187"/>
      <c r="E10" s="196">
        <f t="shared" si="2"/>
        <v>0</v>
      </c>
      <c r="F10" s="187"/>
      <c r="G10" s="196">
        <f t="shared" si="3"/>
        <v>0</v>
      </c>
      <c r="H10" s="50"/>
      <c r="I10" s="50"/>
      <c r="J10" s="82">
        <f t="shared" si="4"/>
        <v>0</v>
      </c>
      <c r="K10" s="82">
        <f t="shared" si="5"/>
        <v>0</v>
      </c>
      <c r="L10" s="82">
        <f t="shared" si="6"/>
        <v>0</v>
      </c>
      <c r="M10" s="82">
        <f t="shared" si="7"/>
        <v>0</v>
      </c>
    </row>
    <row r="11" spans="1:13">
      <c r="A11" s="205" t="s">
        <v>474</v>
      </c>
      <c r="B11" s="203"/>
      <c r="C11" s="187"/>
      <c r="D11" s="187"/>
      <c r="E11" s="196">
        <f t="shared" si="2"/>
        <v>0</v>
      </c>
      <c r="F11" s="187"/>
      <c r="G11" s="196">
        <f t="shared" si="3"/>
        <v>0</v>
      </c>
      <c r="H11" s="50"/>
      <c r="I11" s="50"/>
      <c r="J11" s="82">
        <f t="shared" si="4"/>
        <v>0</v>
      </c>
      <c r="K11" s="82">
        <f t="shared" si="5"/>
        <v>0</v>
      </c>
      <c r="L11" s="82">
        <f t="shared" si="6"/>
        <v>0</v>
      </c>
      <c r="M11" s="82">
        <f t="shared" si="7"/>
        <v>0</v>
      </c>
    </row>
    <row r="12" spans="1:13">
      <c r="A12" s="205" t="s">
        <v>475</v>
      </c>
      <c r="B12" s="203"/>
      <c r="C12" s="187"/>
      <c r="D12" s="187"/>
      <c r="E12" s="196">
        <f t="shared" si="2"/>
        <v>0</v>
      </c>
      <c r="F12" s="187"/>
      <c r="G12" s="196">
        <f t="shared" si="3"/>
        <v>0</v>
      </c>
      <c r="H12" s="50"/>
      <c r="I12" s="50"/>
      <c r="J12" s="82">
        <f t="shared" si="4"/>
        <v>0</v>
      </c>
      <c r="K12" s="82">
        <f t="shared" si="5"/>
        <v>0</v>
      </c>
      <c r="L12" s="82">
        <f t="shared" si="6"/>
        <v>0</v>
      </c>
      <c r="M12" s="82">
        <f t="shared" si="7"/>
        <v>0</v>
      </c>
    </row>
    <row r="13" spans="1:13">
      <c r="A13" s="205" t="s">
        <v>476</v>
      </c>
      <c r="B13" s="203"/>
      <c r="C13" s="193"/>
      <c r="D13" s="193"/>
      <c r="E13" s="196">
        <f t="shared" si="2"/>
        <v>0</v>
      </c>
      <c r="F13" s="187"/>
      <c r="G13" s="196">
        <f t="shared" si="3"/>
        <v>0</v>
      </c>
      <c r="H13" s="50"/>
      <c r="I13" s="50"/>
      <c r="J13" s="82">
        <f t="shared" si="4"/>
        <v>0</v>
      </c>
      <c r="K13" s="82">
        <f t="shared" si="5"/>
        <v>0</v>
      </c>
      <c r="L13" s="82">
        <f t="shared" si="6"/>
        <v>0</v>
      </c>
      <c r="M13" s="82">
        <f t="shared" si="7"/>
        <v>0</v>
      </c>
    </row>
    <row r="14" ht="16" customHeight="1" spans="1:13">
      <c r="A14" s="186" t="s">
        <v>477</v>
      </c>
      <c r="B14" s="203"/>
      <c r="C14" s="187"/>
      <c r="D14" s="187"/>
      <c r="E14" s="196">
        <f t="shared" si="2"/>
        <v>0</v>
      </c>
      <c r="F14" s="187"/>
      <c r="G14" s="196">
        <f t="shared" si="3"/>
        <v>0</v>
      </c>
      <c r="H14" s="50"/>
      <c r="I14" s="50"/>
      <c r="J14" s="82">
        <f t="shared" si="4"/>
        <v>0</v>
      </c>
      <c r="K14" s="82">
        <f t="shared" si="5"/>
        <v>0</v>
      </c>
      <c r="L14" s="82">
        <f t="shared" si="6"/>
        <v>0</v>
      </c>
      <c r="M14" s="82">
        <f t="shared" si="7"/>
        <v>0</v>
      </c>
    </row>
    <row r="15" ht="16" customHeight="1" spans="1:13">
      <c r="A15" s="186" t="s">
        <v>478</v>
      </c>
      <c r="B15" s="203"/>
      <c r="C15" s="187"/>
      <c r="D15" s="187"/>
      <c r="E15" s="196">
        <f t="shared" si="2"/>
        <v>0</v>
      </c>
      <c r="F15" s="187"/>
      <c r="G15" s="196">
        <f t="shared" si="3"/>
        <v>0</v>
      </c>
      <c r="H15" s="50"/>
      <c r="I15" s="50"/>
      <c r="J15" s="82">
        <f t="shared" si="4"/>
        <v>0</v>
      </c>
      <c r="K15" s="82">
        <f t="shared" si="5"/>
        <v>0</v>
      </c>
      <c r="L15" s="82">
        <f t="shared" si="6"/>
        <v>0</v>
      </c>
      <c r="M15" s="82">
        <f t="shared" si="7"/>
        <v>0</v>
      </c>
    </row>
    <row r="16" ht="16" customHeight="1" spans="1:13">
      <c r="A16" s="186" t="s">
        <v>479</v>
      </c>
      <c r="B16" s="203"/>
      <c r="C16" s="187"/>
      <c r="D16" s="187"/>
      <c r="E16" s="196">
        <f t="shared" si="2"/>
        <v>0</v>
      </c>
      <c r="F16" s="187"/>
      <c r="G16" s="196">
        <f t="shared" si="3"/>
        <v>0</v>
      </c>
      <c r="H16" s="50"/>
      <c r="I16" s="50"/>
      <c r="J16" s="82">
        <f t="shared" si="4"/>
        <v>0</v>
      </c>
      <c r="K16" s="82">
        <f t="shared" si="5"/>
        <v>0</v>
      </c>
      <c r="L16" s="82">
        <f t="shared" si="6"/>
        <v>0</v>
      </c>
      <c r="M16" s="82">
        <f t="shared" si="7"/>
        <v>0</v>
      </c>
    </row>
    <row r="17" spans="1:13">
      <c r="A17" s="192" t="s">
        <v>480</v>
      </c>
      <c r="B17" s="183">
        <f t="shared" ref="B17:G17" si="10">ROUND(SUM(B18:B20),2)</f>
        <v>0</v>
      </c>
      <c r="C17" s="183">
        <f t="shared" si="10"/>
        <v>0</v>
      </c>
      <c r="D17" s="183">
        <f t="shared" si="10"/>
        <v>0</v>
      </c>
      <c r="E17" s="183">
        <f t="shared" si="10"/>
        <v>0</v>
      </c>
      <c r="F17" s="183">
        <f t="shared" si="10"/>
        <v>0</v>
      </c>
      <c r="G17" s="183">
        <f t="shared" si="10"/>
        <v>0</v>
      </c>
      <c r="H17" s="50"/>
      <c r="I17" s="50"/>
      <c r="J17" s="202">
        <f t="shared" ref="J17:M17" si="11">ROUND(SUM(J18:J20),2)</f>
        <v>0</v>
      </c>
      <c r="K17" s="202">
        <f t="shared" si="11"/>
        <v>0</v>
      </c>
      <c r="L17" s="202">
        <f t="shared" si="11"/>
        <v>0</v>
      </c>
      <c r="M17" s="202">
        <f t="shared" si="11"/>
        <v>0</v>
      </c>
    </row>
    <row r="18" spans="1:13">
      <c r="A18" s="186" t="s">
        <v>481</v>
      </c>
      <c r="B18" s="203"/>
      <c r="C18" s="187"/>
      <c r="D18" s="187"/>
      <c r="E18" s="196">
        <f t="shared" ref="E18:E23" si="12">ROUND(B18-C18+D18,2)</f>
        <v>0</v>
      </c>
      <c r="F18" s="187"/>
      <c r="G18" s="196">
        <f t="shared" ref="G18:G23" si="13">ROUND(SUM(E18:F18),2)</f>
        <v>0</v>
      </c>
      <c r="H18" s="50"/>
      <c r="I18" s="50"/>
      <c r="J18" s="82">
        <f t="shared" ref="J18:J23" si="14">B18</f>
        <v>0</v>
      </c>
      <c r="K18" s="82">
        <f t="shared" ref="K18:K23" si="15">C18+H18</f>
        <v>0</v>
      </c>
      <c r="L18" s="82">
        <f t="shared" ref="L18:L23" si="16">D18+I18</f>
        <v>0</v>
      </c>
      <c r="M18" s="82">
        <f t="shared" ref="M18:M23" si="17">J18+L18-K18</f>
        <v>0</v>
      </c>
    </row>
    <row r="19" spans="1:13">
      <c r="A19" s="186" t="s">
        <v>482</v>
      </c>
      <c r="B19" s="203"/>
      <c r="C19" s="187"/>
      <c r="D19" s="187"/>
      <c r="E19" s="196">
        <f t="shared" si="12"/>
        <v>0</v>
      </c>
      <c r="F19" s="187"/>
      <c r="G19" s="196">
        <f t="shared" si="13"/>
        <v>0</v>
      </c>
      <c r="H19" s="50"/>
      <c r="I19" s="50"/>
      <c r="J19" s="82">
        <f t="shared" si="14"/>
        <v>0</v>
      </c>
      <c r="K19" s="82">
        <f t="shared" si="15"/>
        <v>0</v>
      </c>
      <c r="L19" s="82">
        <f t="shared" si="16"/>
        <v>0</v>
      </c>
      <c r="M19" s="82">
        <f t="shared" si="17"/>
        <v>0</v>
      </c>
    </row>
    <row r="20" spans="1:13">
      <c r="A20" s="186" t="s">
        <v>483</v>
      </c>
      <c r="B20" s="203"/>
      <c r="C20" s="193"/>
      <c r="D20" s="193"/>
      <c r="E20" s="196">
        <f t="shared" si="12"/>
        <v>0</v>
      </c>
      <c r="F20" s="187"/>
      <c r="G20" s="196">
        <f t="shared" si="13"/>
        <v>0</v>
      </c>
      <c r="H20" s="50"/>
      <c r="I20" s="50"/>
      <c r="J20" s="82">
        <f t="shared" si="14"/>
        <v>0</v>
      </c>
      <c r="K20" s="82">
        <f t="shared" si="15"/>
        <v>0</v>
      </c>
      <c r="L20" s="82">
        <f t="shared" si="16"/>
        <v>0</v>
      </c>
      <c r="M20" s="82">
        <f t="shared" si="17"/>
        <v>0</v>
      </c>
    </row>
    <row r="21" spans="1:13">
      <c r="A21" s="192" t="s">
        <v>484</v>
      </c>
      <c r="B21" s="203"/>
      <c r="C21" s="193"/>
      <c r="D21" s="193"/>
      <c r="E21" s="196">
        <f t="shared" si="12"/>
        <v>0</v>
      </c>
      <c r="F21" s="187"/>
      <c r="G21" s="196">
        <f t="shared" si="13"/>
        <v>0</v>
      </c>
      <c r="H21" s="50"/>
      <c r="I21" s="50"/>
      <c r="J21" s="82">
        <f t="shared" si="14"/>
        <v>0</v>
      </c>
      <c r="K21" s="82">
        <f t="shared" si="15"/>
        <v>0</v>
      </c>
      <c r="L21" s="82">
        <f t="shared" si="16"/>
        <v>0</v>
      </c>
      <c r="M21" s="82">
        <f t="shared" si="17"/>
        <v>0</v>
      </c>
    </row>
    <row r="22" spans="1:13">
      <c r="A22" s="192" t="s">
        <v>485</v>
      </c>
      <c r="B22" s="203"/>
      <c r="C22" s="187"/>
      <c r="D22" s="187"/>
      <c r="E22" s="196">
        <f t="shared" si="12"/>
        <v>0</v>
      </c>
      <c r="F22" s="187"/>
      <c r="G22" s="196">
        <f t="shared" si="13"/>
        <v>0</v>
      </c>
      <c r="H22" s="50"/>
      <c r="I22" s="50"/>
      <c r="J22" s="82">
        <f t="shared" si="14"/>
        <v>0</v>
      </c>
      <c r="K22" s="82">
        <f t="shared" si="15"/>
        <v>0</v>
      </c>
      <c r="L22" s="82">
        <f t="shared" si="16"/>
        <v>0</v>
      </c>
      <c r="M22" s="82">
        <f t="shared" si="17"/>
        <v>0</v>
      </c>
    </row>
    <row r="23" spans="1:13">
      <c r="A23" s="194" t="s">
        <v>486</v>
      </c>
      <c r="B23" s="203"/>
      <c r="C23" s="187"/>
      <c r="D23" s="187"/>
      <c r="E23" s="196">
        <f t="shared" si="12"/>
        <v>0</v>
      </c>
      <c r="F23" s="187"/>
      <c r="G23" s="196">
        <f t="shared" si="13"/>
        <v>0</v>
      </c>
      <c r="H23" s="50"/>
      <c r="I23" s="50"/>
      <c r="J23" s="82">
        <f t="shared" si="14"/>
        <v>0</v>
      </c>
      <c r="K23" s="82">
        <f t="shared" si="15"/>
        <v>0</v>
      </c>
      <c r="L23" s="82">
        <f t="shared" si="16"/>
        <v>0</v>
      </c>
      <c r="M23" s="82">
        <f t="shared" si="17"/>
        <v>0</v>
      </c>
    </row>
    <row r="24" spans="1:13">
      <c r="A24" s="195" t="s">
        <v>217</v>
      </c>
      <c r="B24" s="206">
        <f>ROUND(SUM(B6+B17+B22+B23),2)</f>
        <v>0</v>
      </c>
      <c r="C24" s="196">
        <f>ROUND(SUM(C6+C17+C22+C23),2)</f>
        <v>0</v>
      </c>
      <c r="D24" s="196">
        <f t="shared" ref="B24:G24" si="18">ROUND(SUM(D6+D17+D22+D23),2)</f>
        <v>0</v>
      </c>
      <c r="E24" s="196">
        <f t="shared" si="18"/>
        <v>0</v>
      </c>
      <c r="F24" s="196">
        <f t="shared" si="18"/>
        <v>0</v>
      </c>
      <c r="G24" s="196">
        <f t="shared" si="18"/>
        <v>0</v>
      </c>
      <c r="H24" s="207">
        <f>SUM(H6:H23)</f>
        <v>0</v>
      </c>
      <c r="I24" s="207">
        <f>SUM(I6:I23)</f>
        <v>0</v>
      </c>
      <c r="J24" s="208">
        <f t="shared" ref="J24:M24" si="19">ROUND(SUM(J6+J17+J22+J23),2)</f>
        <v>0</v>
      </c>
      <c r="K24" s="208">
        <f t="shared" si="19"/>
        <v>0</v>
      </c>
      <c r="L24" s="208">
        <f t="shared" si="19"/>
        <v>0</v>
      </c>
      <c r="M24" s="208">
        <f t="shared" si="19"/>
        <v>0</v>
      </c>
    </row>
    <row r="26" ht="21" customHeight="1" spans="1:13">
      <c r="A26" s="29" t="s">
        <v>218</v>
      </c>
    </row>
  </sheetData>
  <mergeCells count="5">
    <mergeCell ref="A1:M1"/>
    <mergeCell ref="B4:G4"/>
    <mergeCell ref="H4:I4"/>
    <mergeCell ref="J4:M4"/>
    <mergeCell ref="A4:A5"/>
  </mergeCells>
  <dataValidations count="3">
    <dataValidation type="list" allowBlank="1" showInputMessage="1" showErrorMessage="1" prompt="从下拉菜单中选择" sqref="A7:A8 A14:A16">
      <formula1>$B$61:$B$70</formula1>
    </dataValidation>
    <dataValidation allowBlank="1" showErrorMessage="1" sqref="A9:A13"/>
    <dataValidation type="list" allowBlank="1" showInputMessage="1" showErrorMessage="1" sqref="A18:A20">
      <formula1>$B$71:$B$75</formula1>
    </dataValidation>
  </dataValidations>
  <pageMargins left="0.75" right="0.75" top="1" bottom="1" header="0.5" footer="0.5"/>
  <headerFooter/>
  <ignoredErrors>
    <ignoredError sqref="A7:A8" listDataValidation="1"/>
  </ignoredErrors>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H28"/>
  <sheetViews>
    <sheetView zoomScale="90" zoomScaleNormal="90" workbookViewId="0">
      <selection activeCell="F28" sqref="F28"/>
    </sheetView>
  </sheetViews>
  <sheetFormatPr defaultColWidth="8.73148148148148" defaultRowHeight="14.4" outlineLevelCol="7"/>
  <cols>
    <col min="1" max="1" width="33.2685185185185" customWidth="1"/>
    <col min="2" max="2" width="16.0648148148148" customWidth="1"/>
    <col min="3" max="3" width="14.5462962962963" customWidth="1"/>
    <col min="4" max="4" width="15.3425925925926" customWidth="1"/>
    <col min="5" max="5" width="13.9351851851852" customWidth="1"/>
    <col min="6" max="6" width="13.537037037037" customWidth="1"/>
    <col min="7" max="7" width="22.5277777777778" customWidth="1"/>
  </cols>
  <sheetData>
    <row r="1" ht="26" customHeight="1" spans="1:8">
      <c r="A1" s="1" t="s">
        <v>487</v>
      </c>
      <c r="B1" s="1"/>
      <c r="C1" s="1"/>
      <c r="D1" s="1"/>
      <c r="E1" s="1"/>
      <c r="F1" s="1"/>
      <c r="G1" s="1"/>
      <c r="H1" s="140"/>
    </row>
    <row r="2" spans="1:8">
      <c r="A2" s="2" t="str">
        <f>备忘录!$A$1</f>
        <v>被审计单位：福禄福擎网络科技有限公司</v>
      </c>
      <c r="B2" s="3"/>
      <c r="C2" s="4" t="s">
        <v>193</v>
      </c>
      <c r="D2" s="3"/>
      <c r="F2" s="4" t="str">
        <f>备忘录!$C$2</f>
        <v>日期：2025/10/30</v>
      </c>
    </row>
    <row r="3" spans="1:8">
      <c r="A3" s="2" t="str">
        <f>备忘录!$A$2</f>
        <v>财务报表截止日：2025/9/30</v>
      </c>
      <c r="B3" s="3"/>
      <c r="C3" s="4" t="s">
        <v>194</v>
      </c>
      <c r="D3" s="3"/>
      <c r="F3" s="4" t="str">
        <f>备忘录!$C$3</f>
        <v>日期：2025/10/31</v>
      </c>
    </row>
    <row r="4" spans="1:8">
      <c r="A4" s="121" t="s">
        <v>436</v>
      </c>
      <c r="B4" s="178" t="s">
        <v>488</v>
      </c>
      <c r="C4" s="178" t="s">
        <v>168</v>
      </c>
      <c r="D4" s="178" t="s">
        <v>176</v>
      </c>
      <c r="E4" s="178" t="s">
        <v>217</v>
      </c>
      <c r="F4" s="178" t="s">
        <v>489</v>
      </c>
      <c r="G4" s="178" t="s">
        <v>201</v>
      </c>
    </row>
    <row r="5" spans="1:8">
      <c r="A5" s="129"/>
      <c r="B5" s="179"/>
      <c r="C5" s="179"/>
      <c r="D5" s="179"/>
      <c r="E5" s="179"/>
      <c r="F5" s="180"/>
      <c r="G5" s="181"/>
    </row>
    <row r="6" ht="18" customHeight="1" spans="1:8">
      <c r="A6" s="182" t="s">
        <v>469</v>
      </c>
      <c r="B6" s="183">
        <f>ROUND(SUM(B7:B12),2)</f>
        <v>0</v>
      </c>
      <c r="C6" s="183">
        <f>ROUND(SUM(C7:C12),2)</f>
        <v>0</v>
      </c>
      <c r="D6" s="183">
        <f>ROUND(SUM(D7:D12),2)</f>
        <v>0</v>
      </c>
      <c r="E6" s="184">
        <f>SUM(E7:E12)</f>
        <v>0</v>
      </c>
      <c r="F6" s="185"/>
      <c r="G6" s="50"/>
    </row>
    <row r="7" ht="18" customHeight="1" spans="1:8">
      <c r="A7" s="186" t="s">
        <v>470</v>
      </c>
      <c r="B7" s="187"/>
      <c r="C7" s="187"/>
      <c r="D7" s="188"/>
      <c r="E7" s="189">
        <f t="shared" ref="E7:E12" si="0">B7+C7+D7</f>
        <v>0</v>
      </c>
      <c r="F7" s="190"/>
      <c r="G7" s="50"/>
    </row>
    <row r="8" ht="18" customHeight="1" spans="1:8">
      <c r="A8" s="186" t="s">
        <v>471</v>
      </c>
      <c r="B8" s="187"/>
      <c r="C8" s="187"/>
      <c r="D8" s="188"/>
      <c r="E8" s="189">
        <f t="shared" si="0"/>
        <v>0</v>
      </c>
      <c r="F8" s="190"/>
      <c r="G8" s="50"/>
    </row>
    <row r="9" ht="18" customHeight="1" spans="1:8">
      <c r="A9" s="191" t="s">
        <v>472</v>
      </c>
      <c r="B9" s="187"/>
      <c r="C9" s="187"/>
      <c r="D9" s="188"/>
      <c r="E9" s="189">
        <f t="shared" si="0"/>
        <v>0</v>
      </c>
      <c r="F9" s="185"/>
      <c r="G9" s="50"/>
    </row>
    <row r="10" ht="18" customHeight="1" spans="1:8">
      <c r="A10" s="186" t="s">
        <v>477</v>
      </c>
      <c r="B10" s="187"/>
      <c r="C10" s="187"/>
      <c r="D10" s="188"/>
      <c r="E10" s="189">
        <f t="shared" si="0"/>
        <v>0</v>
      </c>
      <c r="F10" s="190"/>
      <c r="G10" s="50"/>
    </row>
    <row r="11" ht="18" customHeight="1" spans="1:8">
      <c r="A11" s="186" t="s">
        <v>478</v>
      </c>
      <c r="B11" s="187"/>
      <c r="C11" s="187"/>
      <c r="D11" s="188"/>
      <c r="E11" s="189">
        <f t="shared" si="0"/>
        <v>0</v>
      </c>
      <c r="F11" s="190"/>
      <c r="G11" s="50"/>
    </row>
    <row r="12" ht="18" customHeight="1" spans="1:8">
      <c r="A12" s="186" t="s">
        <v>479</v>
      </c>
      <c r="B12" s="187"/>
      <c r="C12" s="187"/>
      <c r="D12" s="188"/>
      <c r="E12" s="189">
        <f t="shared" si="0"/>
        <v>0</v>
      </c>
      <c r="F12" s="190"/>
      <c r="G12" s="50"/>
    </row>
    <row r="13" ht="16" customHeight="1" spans="1:8">
      <c r="A13" s="192" t="s">
        <v>480</v>
      </c>
      <c r="B13" s="183">
        <f>ROUND(SUM(B14:B16),2)</f>
        <v>0</v>
      </c>
      <c r="C13" s="183">
        <f>ROUND(SUM(C14:C16),2)</f>
        <v>0</v>
      </c>
      <c r="D13" s="183">
        <f>ROUND(SUM(D14:D16),2)</f>
        <v>0</v>
      </c>
      <c r="E13" s="184">
        <f>ROUND(SUM(E14:E16),2)</f>
        <v>0</v>
      </c>
      <c r="F13" s="185"/>
      <c r="G13" s="50"/>
    </row>
    <row r="14" hidden="1" spans="1:8">
      <c r="A14" s="186" t="s">
        <v>481</v>
      </c>
      <c r="B14" s="187"/>
      <c r="C14" s="187"/>
      <c r="D14" s="188"/>
      <c r="E14" s="189">
        <f t="shared" ref="E14:E19" si="1">B14+C14+D14</f>
        <v>0</v>
      </c>
      <c r="F14" s="190"/>
      <c r="G14" s="50"/>
    </row>
    <row r="15" hidden="1" spans="1:8">
      <c r="A15" s="186" t="s">
        <v>482</v>
      </c>
      <c r="B15" s="187"/>
      <c r="C15" s="187"/>
      <c r="D15" s="188"/>
      <c r="E15" s="189">
        <f t="shared" si="1"/>
        <v>0</v>
      </c>
      <c r="F15" s="190"/>
      <c r="G15" s="50"/>
    </row>
    <row r="16" hidden="1" spans="1:8">
      <c r="A16" s="186" t="s">
        <v>483</v>
      </c>
      <c r="B16" s="193"/>
      <c r="C16" s="193"/>
      <c r="D16" s="188"/>
      <c r="E16" s="189">
        <f t="shared" si="1"/>
        <v>0</v>
      </c>
      <c r="F16" s="190"/>
      <c r="G16" s="50"/>
    </row>
    <row r="17" ht="18" customHeight="1" spans="1:7">
      <c r="A17" s="192" t="s">
        <v>484</v>
      </c>
      <c r="B17" s="193"/>
      <c r="C17" s="193"/>
      <c r="D17" s="188"/>
      <c r="E17" s="189">
        <f t="shared" si="1"/>
        <v>0</v>
      </c>
      <c r="F17" s="190"/>
      <c r="G17" s="50"/>
    </row>
    <row r="18" ht="18" customHeight="1" spans="1:7">
      <c r="A18" s="192" t="s">
        <v>485</v>
      </c>
      <c r="B18" s="187"/>
      <c r="C18" s="187"/>
      <c r="D18" s="188"/>
      <c r="E18" s="189">
        <f t="shared" si="1"/>
        <v>0</v>
      </c>
      <c r="F18" s="190"/>
      <c r="G18" s="50"/>
    </row>
    <row r="19" ht="18" customHeight="1" spans="1:7">
      <c r="A19" s="194" t="s">
        <v>486</v>
      </c>
      <c r="B19" s="187"/>
      <c r="C19" s="187"/>
      <c r="D19" s="188"/>
      <c r="E19" s="189">
        <f t="shared" si="1"/>
        <v>0</v>
      </c>
      <c r="F19" s="190"/>
      <c r="G19" s="50"/>
    </row>
    <row r="20" ht="18" customHeight="1" spans="1:7">
      <c r="A20" s="195" t="s">
        <v>217</v>
      </c>
      <c r="B20" s="196">
        <f>ROUND(SUM(B6+B13+B18+B19),2)</f>
        <v>0</v>
      </c>
      <c r="C20" s="196">
        <f>ROUND(SUM(C6+C13+C18+C19),2)</f>
        <v>0</v>
      </c>
      <c r="D20" s="196">
        <f>ROUND(SUM(D6+D13+D18+D19),2)</f>
        <v>0</v>
      </c>
      <c r="E20" s="197">
        <f>ROUND(SUM(E6+E13+E18+E19),2)</f>
        <v>0</v>
      </c>
      <c r="F20" s="198"/>
      <c r="G20" s="50"/>
    </row>
    <row r="22" ht="19" customHeight="1" spans="1:7">
      <c r="A22" s="29" t="s">
        <v>218</v>
      </c>
    </row>
    <row r="24" spans="1:7">
      <c r="D24" t="s">
        <v>490</v>
      </c>
    </row>
    <row r="25" spans="1:7">
      <c r="D25" t="s">
        <v>491</v>
      </c>
    </row>
    <row r="27" spans="1:7">
      <c r="D27" t="s">
        <v>492</v>
      </c>
    </row>
    <row r="28" spans="1:7">
      <c r="D28" t="s">
        <v>493</v>
      </c>
    </row>
  </sheetData>
  <mergeCells count="8">
    <mergeCell ref="A1:G1"/>
    <mergeCell ref="A4:A5"/>
    <mergeCell ref="B4:B5"/>
    <mergeCell ref="C4:C5"/>
    <mergeCell ref="D4:D5"/>
    <mergeCell ref="E4:E5"/>
    <mergeCell ref="F4:F5"/>
    <mergeCell ref="G4:G5"/>
  </mergeCells>
  <dataValidations count="3">
    <dataValidation allowBlank="1" showErrorMessage="1" sqref="A9"/>
    <dataValidation type="list" allowBlank="1" showInputMessage="1" showErrorMessage="1" prompt="从下拉菜单中选择" sqref="A7:A8 A10:A12">
      <formula1>#REF!</formula1>
    </dataValidation>
    <dataValidation type="list" allowBlank="1" showInputMessage="1" showErrorMessage="1" sqref="A14:A16">
      <formula1>#REF!</formula1>
    </dataValidation>
  </dataValidations>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K31"/>
  <sheetViews>
    <sheetView zoomScale="90" zoomScaleNormal="90" workbookViewId="0">
      <pane ySplit="5" topLeftCell="A6" activePane="bottomLeft" state="frozen"/>
      <selection/>
      <selection pane="bottomLeft" activeCell="B5" sqref="B5"/>
    </sheetView>
  </sheetViews>
  <sheetFormatPr defaultColWidth="8.73148148148148" defaultRowHeight="14.4"/>
  <cols>
    <col min="1" max="1" width="22.2222222222222" customWidth="1"/>
    <col min="2" max="2" width="21.8055555555556" customWidth="1"/>
    <col min="3" max="3" width="16.0555555555556" customWidth="1"/>
    <col min="4" max="5" width="11.7222222222222" customWidth="1"/>
    <col min="6" max="7" width="13.3240740740741" customWidth="1"/>
    <col min="8" max="8" width="10.8981481481481" customWidth="1"/>
    <col min="9" max="9" width="14.3333333333333" customWidth="1"/>
    <col min="10" max="10" width="12.8240740740741" customWidth="1"/>
    <col min="11" max="11" width="10.8981481481481" customWidth="1"/>
  </cols>
  <sheetData>
    <row r="1" ht="27" customHeight="1" spans="1:11">
      <c r="A1" s="1" t="s">
        <v>55</v>
      </c>
      <c r="B1" s="1"/>
      <c r="C1" s="1"/>
      <c r="D1" s="1"/>
      <c r="E1" s="1"/>
      <c r="F1" s="1"/>
      <c r="G1" s="1"/>
      <c r="H1" s="1"/>
      <c r="I1" s="1"/>
      <c r="J1" s="1"/>
      <c r="K1" s="1"/>
    </row>
    <row r="2" spans="1:11">
      <c r="A2" s="2" t="str">
        <f>备忘录!$A$1</f>
        <v>被审计单位：福禄福擎网络科技有限公司</v>
      </c>
      <c r="B2" s="3"/>
      <c r="C2" s="3"/>
      <c r="D2" s="4" t="s">
        <v>193</v>
      </c>
      <c r="E2" s="3"/>
      <c r="G2" s="4" t="str">
        <f>备忘录!$C$2</f>
        <v>日期：2025/10/30</v>
      </c>
    </row>
    <row r="3" spans="1:11">
      <c r="A3" s="2" t="str">
        <f>备忘录!$A$2</f>
        <v>财务报表截止日：2025/9/30</v>
      </c>
      <c r="B3" s="3"/>
      <c r="C3" s="3"/>
      <c r="D3" s="4" t="s">
        <v>194</v>
      </c>
      <c r="E3" s="3"/>
      <c r="G3" s="4" t="str">
        <f>备忘录!$C$3</f>
        <v>日期：2025/10/31</v>
      </c>
    </row>
    <row r="4" s="30" customFormat="1" ht="23" customHeight="1" spans="1:11">
      <c r="A4" s="159" t="s">
        <v>78</v>
      </c>
      <c r="B4" s="160" t="s">
        <v>207</v>
      </c>
      <c r="C4" s="161"/>
      <c r="D4" s="161"/>
      <c r="E4" s="162"/>
      <c r="F4" s="163" t="s">
        <v>357</v>
      </c>
      <c r="G4" s="164"/>
      <c r="H4" s="165" t="s">
        <v>468</v>
      </c>
      <c r="I4" s="166"/>
      <c r="J4" s="166"/>
      <c r="K4" s="167"/>
    </row>
    <row r="5" s="30" customFormat="1" ht="40" customHeight="1" spans="1:11">
      <c r="A5" s="168"/>
      <c r="B5" s="169" t="s">
        <v>433</v>
      </c>
      <c r="C5" s="169" t="s">
        <v>211</v>
      </c>
      <c r="D5" s="169" t="s">
        <v>212</v>
      </c>
      <c r="E5" s="169" t="s">
        <v>213</v>
      </c>
      <c r="F5" s="170" t="s">
        <v>211</v>
      </c>
      <c r="G5" s="170" t="s">
        <v>212</v>
      </c>
      <c r="H5" s="171" t="s">
        <v>210</v>
      </c>
      <c r="I5" s="172" t="s">
        <v>406</v>
      </c>
      <c r="J5" s="172" t="s">
        <v>407</v>
      </c>
      <c r="K5" s="172" t="s">
        <v>360</v>
      </c>
    </row>
    <row r="6" s="30" customFormat="1" ht="17" customHeight="1" spans="1:11">
      <c r="A6" s="50" t="s">
        <v>494</v>
      </c>
      <c r="B6" s="77"/>
      <c r="C6" s="77"/>
      <c r="D6" s="77"/>
      <c r="E6" s="173">
        <f>ROUND(B6+D6-C6,2)</f>
        <v>0</v>
      </c>
      <c r="F6" s="174"/>
      <c r="G6" s="174"/>
      <c r="H6" s="173">
        <f>B6</f>
        <v>0</v>
      </c>
      <c r="I6" s="173">
        <f t="shared" ref="I6:I19" si="0">ROUND(C6+F6,2)</f>
        <v>0</v>
      </c>
      <c r="J6" s="173">
        <f t="shared" ref="J6:J19" si="1">ROUND(D6+G6,2)</f>
        <v>0</v>
      </c>
      <c r="K6" s="173">
        <f t="shared" ref="K6:K19" si="2">ROUND(H6+J6-I6,2)</f>
        <v>0</v>
      </c>
    </row>
    <row r="7" s="30" customFormat="1" ht="17" customHeight="1" spans="1:11">
      <c r="A7" s="50" t="s">
        <v>495</v>
      </c>
      <c r="B7" s="77"/>
      <c r="C7" s="77"/>
      <c r="D7" s="77"/>
      <c r="E7" s="173">
        <f t="shared" ref="E6:E9" si="3">ROUND(B7+D7-C7,2)</f>
        <v>0</v>
      </c>
      <c r="F7" s="174"/>
      <c r="G7" s="174"/>
      <c r="H7" s="173">
        <f t="shared" ref="H6:H19" si="4">B7</f>
        <v>0</v>
      </c>
      <c r="I7" s="173">
        <f t="shared" si="0"/>
        <v>0</v>
      </c>
      <c r="J7" s="173">
        <f t="shared" si="1"/>
        <v>0</v>
      </c>
      <c r="K7" s="173">
        <f t="shared" si="2"/>
        <v>0</v>
      </c>
    </row>
    <row r="8" s="30" customFormat="1" ht="17" customHeight="1" spans="1:11">
      <c r="A8" t="s">
        <v>496</v>
      </c>
      <c r="B8" s="77"/>
      <c r="C8" s="77"/>
      <c r="D8" s="77"/>
      <c r="E8" s="173">
        <f t="shared" si="3"/>
        <v>0</v>
      </c>
      <c r="F8" s="174"/>
      <c r="G8" s="174"/>
      <c r="H8" s="173">
        <f t="shared" si="4"/>
        <v>0</v>
      </c>
      <c r="I8" s="173">
        <f t="shared" si="0"/>
        <v>0</v>
      </c>
      <c r="J8" s="173">
        <f t="shared" si="1"/>
        <v>0</v>
      </c>
      <c r="K8" s="173">
        <f t="shared" si="2"/>
        <v>0</v>
      </c>
    </row>
    <row r="9" s="30" customFormat="1" ht="17" customHeight="1" spans="1:11">
      <c r="A9" s="175" t="s">
        <v>497</v>
      </c>
      <c r="B9" s="77"/>
      <c r="C9" s="77"/>
      <c r="D9" s="77"/>
      <c r="E9" s="173">
        <f t="shared" si="3"/>
        <v>0</v>
      </c>
      <c r="F9" s="174"/>
      <c r="G9" s="174"/>
      <c r="H9" s="173">
        <f t="shared" si="4"/>
        <v>0</v>
      </c>
      <c r="I9" s="173">
        <f t="shared" si="0"/>
        <v>0</v>
      </c>
      <c r="J9" s="173">
        <f t="shared" si="1"/>
        <v>0</v>
      </c>
      <c r="K9" s="173">
        <f t="shared" si="2"/>
        <v>0</v>
      </c>
    </row>
    <row r="10" s="30" customFormat="1" ht="17" customHeight="1" spans="1:11">
      <c r="A10" s="175" t="s">
        <v>498</v>
      </c>
      <c r="B10" s="77"/>
      <c r="C10" s="77"/>
      <c r="D10" s="77"/>
      <c r="E10" s="173">
        <f t="shared" ref="E10:E15" si="5">ROUND(B10+D10-C10,2)</f>
        <v>0</v>
      </c>
      <c r="F10" s="174"/>
      <c r="G10" s="174"/>
      <c r="H10" s="173">
        <f t="shared" si="4"/>
        <v>0</v>
      </c>
      <c r="I10" s="173">
        <f t="shared" si="0"/>
        <v>0</v>
      </c>
      <c r="J10" s="173">
        <f t="shared" si="1"/>
        <v>0</v>
      </c>
      <c r="K10" s="173">
        <f t="shared" si="2"/>
        <v>0</v>
      </c>
    </row>
    <row r="11" s="30" customFormat="1" ht="17" customHeight="1" spans="1:11">
      <c r="A11" s="175" t="s">
        <v>499</v>
      </c>
      <c r="B11" s="77"/>
      <c r="C11" s="77"/>
      <c r="D11" s="77"/>
      <c r="E11" s="173">
        <f t="shared" si="5"/>
        <v>0</v>
      </c>
      <c r="F11" s="174"/>
      <c r="G11" s="174"/>
      <c r="H11" s="173">
        <f t="shared" si="4"/>
        <v>0</v>
      </c>
      <c r="I11" s="173">
        <f t="shared" si="0"/>
        <v>0</v>
      </c>
      <c r="J11" s="173">
        <f t="shared" si="1"/>
        <v>0</v>
      </c>
      <c r="K11" s="173">
        <f t="shared" si="2"/>
        <v>0</v>
      </c>
    </row>
    <row r="12" s="30" customFormat="1" ht="17" customHeight="1" spans="1:11">
      <c r="A12" s="175" t="s">
        <v>500</v>
      </c>
      <c r="B12" s="77"/>
      <c r="C12" s="77"/>
      <c r="D12" s="77"/>
      <c r="E12" s="173">
        <f t="shared" si="5"/>
        <v>0</v>
      </c>
      <c r="F12" s="174"/>
      <c r="G12" s="174"/>
      <c r="H12" s="173">
        <f t="shared" si="4"/>
        <v>0</v>
      </c>
      <c r="I12" s="173">
        <f t="shared" si="0"/>
        <v>0</v>
      </c>
      <c r="J12" s="173">
        <f t="shared" si="1"/>
        <v>0</v>
      </c>
      <c r="K12" s="173">
        <f t="shared" si="2"/>
        <v>0</v>
      </c>
    </row>
    <row r="13" s="30" customFormat="1" ht="15" hidden="1" customHeight="1" spans="1:11">
      <c r="A13" s="101"/>
      <c r="B13" s="77"/>
      <c r="C13" s="77"/>
      <c r="D13" s="77"/>
      <c r="E13" s="173">
        <f t="shared" si="5"/>
        <v>0</v>
      </c>
      <c r="F13" s="174"/>
      <c r="G13" s="174"/>
      <c r="H13" s="173">
        <f t="shared" si="4"/>
        <v>0</v>
      </c>
      <c r="I13" s="173">
        <f t="shared" si="0"/>
        <v>0</v>
      </c>
      <c r="J13" s="173">
        <f t="shared" si="1"/>
        <v>0</v>
      </c>
      <c r="K13" s="173">
        <f t="shared" si="2"/>
        <v>0</v>
      </c>
    </row>
    <row r="14" s="30" customFormat="1" ht="15" hidden="1" customHeight="1" spans="1:11">
      <c r="A14" s="101"/>
      <c r="B14" s="77"/>
      <c r="C14" s="77"/>
      <c r="D14" s="77"/>
      <c r="E14" s="173">
        <f t="shared" si="5"/>
        <v>0</v>
      </c>
      <c r="F14" s="174"/>
      <c r="G14" s="174"/>
      <c r="H14" s="173">
        <f t="shared" si="4"/>
        <v>0</v>
      </c>
      <c r="I14" s="173">
        <f t="shared" si="0"/>
        <v>0</v>
      </c>
      <c r="J14" s="173">
        <f t="shared" si="1"/>
        <v>0</v>
      </c>
      <c r="K14" s="173">
        <f t="shared" si="2"/>
        <v>0</v>
      </c>
    </row>
    <row r="15" s="30" customFormat="1" ht="15" hidden="1" customHeight="1" spans="1:11">
      <c r="A15" s="101"/>
      <c r="B15" s="77"/>
      <c r="C15" s="77"/>
      <c r="D15" s="77"/>
      <c r="E15" s="173">
        <f t="shared" si="5"/>
        <v>0</v>
      </c>
      <c r="F15" s="174"/>
      <c r="G15" s="174"/>
      <c r="H15" s="173">
        <f t="shared" si="4"/>
        <v>0</v>
      </c>
      <c r="I15" s="173">
        <f t="shared" si="0"/>
        <v>0</v>
      </c>
      <c r="J15" s="173">
        <f t="shared" si="1"/>
        <v>0</v>
      </c>
      <c r="K15" s="173">
        <f t="shared" si="2"/>
        <v>0</v>
      </c>
    </row>
    <row r="16" s="30" customFormat="1" ht="15" hidden="1" customHeight="1" spans="1:11">
      <c r="A16" s="101"/>
      <c r="B16" s="77"/>
      <c r="C16" s="77"/>
      <c r="D16" s="77"/>
      <c r="E16" s="173">
        <f t="shared" ref="E16:E19" si="6">ROUND(B16+D16-C16,2)</f>
        <v>0</v>
      </c>
      <c r="F16" s="174"/>
      <c r="G16" s="174"/>
      <c r="H16" s="173">
        <f t="shared" si="4"/>
        <v>0</v>
      </c>
      <c r="I16" s="173">
        <f t="shared" si="0"/>
        <v>0</v>
      </c>
      <c r="J16" s="173">
        <f t="shared" si="1"/>
        <v>0</v>
      </c>
      <c r="K16" s="173">
        <f t="shared" si="2"/>
        <v>0</v>
      </c>
    </row>
    <row r="17" s="30" customFormat="1" ht="15" hidden="1" customHeight="1" spans="1:11">
      <c r="A17" s="101"/>
      <c r="B17" s="77"/>
      <c r="C17" s="77"/>
      <c r="D17" s="77"/>
      <c r="E17" s="173">
        <f t="shared" si="6"/>
        <v>0</v>
      </c>
      <c r="F17" s="174"/>
      <c r="G17" s="174"/>
      <c r="H17" s="173">
        <f t="shared" si="4"/>
        <v>0</v>
      </c>
      <c r="I17" s="173">
        <f t="shared" si="0"/>
        <v>0</v>
      </c>
      <c r="J17" s="173">
        <f t="shared" si="1"/>
        <v>0</v>
      </c>
      <c r="K17" s="173">
        <f t="shared" si="2"/>
        <v>0</v>
      </c>
    </row>
    <row r="18" s="30" customFormat="1" ht="15" hidden="1" customHeight="1" spans="1:11">
      <c r="A18" s="101"/>
      <c r="B18" s="77"/>
      <c r="C18" s="77"/>
      <c r="D18" s="77"/>
      <c r="E18" s="173">
        <f t="shared" si="6"/>
        <v>0</v>
      </c>
      <c r="F18" s="174"/>
      <c r="G18" s="174"/>
      <c r="H18" s="173">
        <f t="shared" si="4"/>
        <v>0</v>
      </c>
      <c r="I18" s="173">
        <f t="shared" si="0"/>
        <v>0</v>
      </c>
      <c r="J18" s="173">
        <f t="shared" si="1"/>
        <v>0</v>
      </c>
      <c r="K18" s="173">
        <f t="shared" si="2"/>
        <v>0</v>
      </c>
    </row>
    <row r="19" s="30" customFormat="1" ht="15" hidden="1" customHeight="1" spans="1:11">
      <c r="A19" s="101"/>
      <c r="B19" s="77"/>
      <c r="C19" s="77"/>
      <c r="D19" s="77"/>
      <c r="E19" s="173">
        <f t="shared" si="6"/>
        <v>0</v>
      </c>
      <c r="F19" s="174"/>
      <c r="G19" s="174"/>
      <c r="H19" s="173">
        <f t="shared" si="4"/>
        <v>0</v>
      </c>
      <c r="I19" s="173">
        <f t="shared" si="0"/>
        <v>0</v>
      </c>
      <c r="J19" s="173">
        <f t="shared" si="1"/>
        <v>0</v>
      </c>
      <c r="K19" s="173">
        <f t="shared" si="2"/>
        <v>0</v>
      </c>
    </row>
    <row r="20" s="32" customFormat="1" ht="22" customHeight="1" spans="1:11">
      <c r="A20" s="176" t="s">
        <v>217</v>
      </c>
      <c r="B20" s="173">
        <f>ROUND(SUM(B6:B19),2)</f>
        <v>0</v>
      </c>
      <c r="C20" s="173">
        <f t="shared" ref="C20:K20" si="7">ROUND(SUM(C6:C19),2)</f>
        <v>0</v>
      </c>
      <c r="D20" s="173">
        <f t="shared" si="7"/>
        <v>0</v>
      </c>
      <c r="E20" s="173">
        <f t="shared" si="7"/>
        <v>0</v>
      </c>
      <c r="F20" s="173">
        <f t="shared" si="7"/>
        <v>0</v>
      </c>
      <c r="G20" s="173">
        <f t="shared" si="7"/>
        <v>0</v>
      </c>
      <c r="H20" s="173">
        <f t="shared" si="7"/>
        <v>0</v>
      </c>
      <c r="I20" s="173">
        <f t="shared" si="7"/>
        <v>0</v>
      </c>
      <c r="J20" s="173">
        <f t="shared" si="7"/>
        <v>0</v>
      </c>
      <c r="K20" s="173">
        <f t="shared" si="7"/>
        <v>0</v>
      </c>
    </row>
    <row r="23" spans="1:11">
      <c r="B23" s="29" t="s">
        <v>218</v>
      </c>
    </row>
    <row r="25" spans="1:11">
      <c r="A25" t="s">
        <v>494</v>
      </c>
    </row>
    <row r="26" spans="1:11">
      <c r="A26" t="s">
        <v>496</v>
      </c>
    </row>
    <row r="27" spans="1:11">
      <c r="A27" t="s">
        <v>495</v>
      </c>
    </row>
    <row r="28" spans="1:11">
      <c r="A28" s="177" t="s">
        <v>497</v>
      </c>
    </row>
    <row r="29" spans="1:11">
      <c r="A29" s="177" t="s">
        <v>498</v>
      </c>
    </row>
    <row r="30" spans="1:11">
      <c r="A30" s="177" t="s">
        <v>499</v>
      </c>
    </row>
    <row r="31" spans="1:11">
      <c r="A31" s="177" t="s">
        <v>500</v>
      </c>
    </row>
  </sheetData>
  <autoFilter xmlns:etc="http://www.wps.cn/officeDocument/2017/etCustomData" ref="A5:E20" etc:filterBottomFollowUsedRange="0">
    <extLst/>
  </autoFilter>
  <mergeCells count="5">
    <mergeCell ref="A1:K1"/>
    <mergeCell ref="B4:E4"/>
    <mergeCell ref="F4:G4"/>
    <mergeCell ref="H4:K4"/>
    <mergeCell ref="A4:A5"/>
  </mergeCells>
  <dataValidations count="1">
    <dataValidation type="list" allowBlank="1" showInputMessage="1" showErrorMessage="1" sqref="A13:A19">
      <formula1>$A$25:$A$35</formula1>
    </dataValidation>
  </dataValidations>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J63"/>
  <sheetViews>
    <sheetView zoomScale="90" zoomScaleNormal="90" workbookViewId="0">
      <selection activeCell="H4" sqref="H4:H5"/>
    </sheetView>
  </sheetViews>
  <sheetFormatPr defaultColWidth="8.73148148148148" defaultRowHeight="14.4"/>
  <cols>
    <col min="1" max="1" width="39.3611111111111" customWidth="1"/>
    <col min="2" max="2" width="13.8148148148148" customWidth="1"/>
    <col min="3" max="3" width="14.1851851851852" customWidth="1"/>
    <col min="4" max="4" width="14.8148148148148" customWidth="1"/>
    <col min="5" max="5" width="24.1851851851852" customWidth="1"/>
    <col min="6" max="7" width="23" customWidth="1"/>
    <col min="8" max="8" width="13.2314814814815" customWidth="1"/>
    <col min="9" max="9" width="14.75" customWidth="1"/>
    <col min="10" max="10" width="16.2685185185185" customWidth="1"/>
  </cols>
  <sheetData>
    <row r="1" ht="26" customHeight="1" spans="1:10">
      <c r="A1" s="1" t="s">
        <v>55</v>
      </c>
      <c r="B1" s="1"/>
      <c r="C1" s="1"/>
      <c r="D1" s="1"/>
      <c r="E1" s="1"/>
      <c r="F1" s="140"/>
      <c r="G1" s="140"/>
      <c r="H1" s="140"/>
      <c r="I1" s="140"/>
      <c r="J1" s="140"/>
    </row>
    <row r="2" ht="15" customHeight="1" spans="1:10">
      <c r="A2" s="2" t="str">
        <f>备忘录!$A$1</f>
        <v>被审计单位：福禄福擎网络科技有限公司</v>
      </c>
      <c r="B2" s="3"/>
      <c r="C2" s="4" t="s">
        <v>193</v>
      </c>
      <c r="E2" s="4" t="str">
        <f>备忘录!$C$2</f>
        <v>日期：2025/10/30</v>
      </c>
    </row>
    <row r="3" ht="15" customHeight="1" spans="1:10">
      <c r="A3" s="2" t="str">
        <f>备忘录!$A$2</f>
        <v>财务报表截止日：2025/9/30</v>
      </c>
      <c r="B3" s="3"/>
      <c r="C3" s="4" t="s">
        <v>194</v>
      </c>
      <c r="E3" s="4" t="str">
        <f>备忘录!$C$3</f>
        <v>日期：2025/10/31</v>
      </c>
      <c r="G3" s="141" t="s">
        <v>501</v>
      </c>
      <c r="H3" s="50"/>
    </row>
    <row r="4" ht="17" customHeight="1" spans="1:10">
      <c r="A4" s="142" t="s">
        <v>502</v>
      </c>
      <c r="B4" s="142" t="s">
        <v>503</v>
      </c>
      <c r="C4" s="143" t="s">
        <v>504</v>
      </c>
      <c r="D4" s="143" t="s">
        <v>201</v>
      </c>
      <c r="E4" s="144" t="s">
        <v>505</v>
      </c>
      <c r="G4" s="141" t="s">
        <v>506</v>
      </c>
      <c r="H4" s="145"/>
      <c r="I4" s="146"/>
    </row>
    <row r="5" ht="16" customHeight="1" spans="1:10">
      <c r="A5" s="147" t="s">
        <v>507</v>
      </c>
      <c r="B5" s="148"/>
      <c r="C5" s="148"/>
      <c r="D5" s="149" t="s">
        <v>364</v>
      </c>
      <c r="E5" s="148"/>
      <c r="G5" s="141" t="s">
        <v>508</v>
      </c>
      <c r="H5" s="50"/>
    </row>
    <row r="6" spans="1:10">
      <c r="A6" s="150" t="s">
        <v>509</v>
      </c>
      <c r="B6" s="148"/>
      <c r="C6" s="148"/>
      <c r="D6" s="151">
        <f t="shared" ref="D6:D18" si="0">ROUND(B6-C6,2)</f>
        <v>0</v>
      </c>
      <c r="E6" s="148"/>
      <c r="G6" s="152" t="s">
        <v>510</v>
      </c>
      <c r="H6" s="50"/>
    </row>
    <row r="7" spans="1:10">
      <c r="A7" s="150" t="s">
        <v>511</v>
      </c>
      <c r="B7" s="153"/>
      <c r="C7" s="153"/>
      <c r="D7" s="151">
        <f t="shared" si="0"/>
        <v>0</v>
      </c>
      <c r="E7" s="148"/>
      <c r="G7" s="152" t="s">
        <v>512</v>
      </c>
      <c r="H7" s="50"/>
    </row>
    <row r="8" spans="1:10">
      <c r="A8" s="154" t="s">
        <v>513</v>
      </c>
      <c r="B8" s="153"/>
      <c r="C8" s="153"/>
      <c r="D8" s="151">
        <f t="shared" si="0"/>
        <v>0</v>
      </c>
      <c r="E8" s="148"/>
      <c r="G8" s="155" t="s">
        <v>514</v>
      </c>
      <c r="H8" s="50">
        <f>H3-H4</f>
        <v>0</v>
      </c>
    </row>
    <row r="9" spans="1:10">
      <c r="A9" s="154" t="s">
        <v>515</v>
      </c>
      <c r="B9" s="153"/>
      <c r="C9" s="153"/>
      <c r="D9" s="151">
        <f t="shared" si="0"/>
        <v>0</v>
      </c>
      <c r="E9" s="148"/>
      <c r="G9" s="155" t="s">
        <v>516</v>
      </c>
      <c r="H9" s="50">
        <f>H3-H5</f>
        <v>0</v>
      </c>
    </row>
    <row r="10" spans="1:10">
      <c r="A10" s="154" t="s">
        <v>517</v>
      </c>
      <c r="B10" s="153"/>
      <c r="C10" s="153"/>
      <c r="D10" s="151">
        <f t="shared" si="0"/>
        <v>0</v>
      </c>
      <c r="E10" s="148"/>
      <c r="G10" s="155" t="s">
        <v>518</v>
      </c>
      <c r="H10" s="50">
        <f>H6-H7</f>
        <v>0</v>
      </c>
    </row>
    <row r="11" spans="1:10">
      <c r="A11" s="150" t="s">
        <v>519</v>
      </c>
      <c r="B11" s="153"/>
      <c r="C11" s="153"/>
      <c r="D11" s="151">
        <f t="shared" si="0"/>
        <v>0</v>
      </c>
      <c r="E11" s="148"/>
    </row>
    <row r="12" spans="1:10">
      <c r="A12" s="154" t="s">
        <v>520</v>
      </c>
      <c r="B12" s="148"/>
      <c r="C12" s="148"/>
      <c r="D12" s="151">
        <f t="shared" si="0"/>
        <v>0</v>
      </c>
      <c r="E12" s="148"/>
    </row>
    <row r="13" spans="1:10">
      <c r="A13" s="154" t="s">
        <v>521</v>
      </c>
      <c r="B13" s="148"/>
      <c r="C13" s="148"/>
      <c r="D13" s="151">
        <f t="shared" si="0"/>
        <v>0</v>
      </c>
      <c r="E13" s="148"/>
    </row>
    <row r="14" spans="1:10">
      <c r="A14" s="154" t="s">
        <v>522</v>
      </c>
      <c r="B14" s="148"/>
      <c r="C14" s="148"/>
      <c r="D14" s="151">
        <f t="shared" si="0"/>
        <v>0</v>
      </c>
      <c r="E14" s="148"/>
    </row>
    <row r="15" spans="1:10">
      <c r="A15" s="154" t="s">
        <v>523</v>
      </c>
      <c r="B15" s="148"/>
      <c r="C15" s="148"/>
      <c r="D15" s="151">
        <f t="shared" si="0"/>
        <v>0</v>
      </c>
      <c r="E15" s="148"/>
    </row>
    <row r="16" spans="1:10">
      <c r="A16" s="154" t="s">
        <v>513</v>
      </c>
      <c r="B16" s="148"/>
      <c r="C16" s="148"/>
      <c r="D16" s="151">
        <f t="shared" si="0"/>
        <v>0</v>
      </c>
      <c r="E16" s="148"/>
    </row>
    <row r="17" spans="1:5">
      <c r="A17" s="154" t="s">
        <v>524</v>
      </c>
      <c r="B17" s="153">
        <f>B6+B7+B9+B10-B11-B13</f>
        <v>0</v>
      </c>
      <c r="C17" s="153">
        <f>C6+C7+C9-C11-C13</f>
        <v>0</v>
      </c>
      <c r="D17" s="151">
        <f t="shared" si="0"/>
        <v>0</v>
      </c>
      <c r="E17" s="148">
        <f>E6+E7+E9+E10-E11-E13</f>
        <v>0</v>
      </c>
    </row>
    <row r="18" spans="1:5">
      <c r="A18" s="150" t="s">
        <v>525</v>
      </c>
      <c r="B18" s="148">
        <f>B6+B7+B8+B9+B10-B11-B12-B13-B17</f>
        <v>0</v>
      </c>
      <c r="C18" s="148">
        <f>C6+C7+C8+C9+C10-C11-C12-C13-C17</f>
        <v>0</v>
      </c>
      <c r="D18" s="151">
        <f t="shared" si="0"/>
        <v>0</v>
      </c>
      <c r="E18" s="148"/>
    </row>
    <row r="19" spans="1:5">
      <c r="A19" s="147" t="s">
        <v>526</v>
      </c>
      <c r="B19" s="156" t="s">
        <v>364</v>
      </c>
      <c r="C19" s="156" t="s">
        <v>364</v>
      </c>
      <c r="D19" s="149" t="s">
        <v>364</v>
      </c>
      <c r="E19" s="156" t="s">
        <v>364</v>
      </c>
    </row>
    <row r="20" spans="1:5">
      <c r="A20" s="150" t="s">
        <v>527</v>
      </c>
      <c r="B20" s="148"/>
      <c r="C20" s="148"/>
      <c r="D20" s="151">
        <f t="shared" ref="D20:D22" si="1">ROUND(B20-C20,2)</f>
        <v>0</v>
      </c>
      <c r="E20" s="148"/>
    </row>
    <row r="21" spans="1:5">
      <c r="A21" s="150" t="s">
        <v>528</v>
      </c>
      <c r="B21" s="148"/>
      <c r="C21" s="148"/>
      <c r="D21" s="151">
        <f t="shared" si="1"/>
        <v>0</v>
      </c>
      <c r="E21" s="148"/>
    </row>
    <row r="22" spans="1:5">
      <c r="A22" s="150" t="s">
        <v>529</v>
      </c>
      <c r="B22" s="148"/>
      <c r="C22" s="148"/>
      <c r="D22" s="151">
        <f t="shared" si="1"/>
        <v>0</v>
      </c>
      <c r="E22" s="148"/>
    </row>
    <row r="23" spans="1:5">
      <c r="A23" s="157" t="s">
        <v>530</v>
      </c>
      <c r="B23" s="151">
        <f>ROUND(B20+B21-B22,2)</f>
        <v>0</v>
      </c>
      <c r="C23" s="151">
        <f>ROUND(C20+C21-C22,2)</f>
        <v>0</v>
      </c>
      <c r="D23" s="151">
        <f>ROUND(D20+D21-D22,2)</f>
        <v>0</v>
      </c>
      <c r="E23" s="151">
        <f>ROUND(E20+E21-E22,2)</f>
        <v>0</v>
      </c>
    </row>
    <row r="24" spans="1:5">
      <c r="A24" s="158" t="s">
        <v>531</v>
      </c>
      <c r="B24" s="156" t="s">
        <v>364</v>
      </c>
      <c r="C24" s="156" t="s">
        <v>364</v>
      </c>
      <c r="D24" s="156" t="s">
        <v>364</v>
      </c>
      <c r="E24" s="156" t="s">
        <v>364</v>
      </c>
    </row>
    <row r="25" spans="1:5">
      <c r="A25" s="150" t="s">
        <v>532</v>
      </c>
      <c r="B25" s="148"/>
      <c r="C25" s="148"/>
      <c r="D25" s="151">
        <f t="shared" ref="D25:D27" si="2">ROUND(B25-C25,2)</f>
        <v>0</v>
      </c>
      <c r="E25" s="148"/>
    </row>
    <row r="26" spans="1:5">
      <c r="A26" s="150" t="s">
        <v>533</v>
      </c>
      <c r="B26" s="148"/>
      <c r="C26" s="148"/>
      <c r="D26" s="151">
        <f t="shared" si="2"/>
        <v>0</v>
      </c>
      <c r="E26" s="148"/>
    </row>
    <row r="27" spans="1:5">
      <c r="A27" s="150" t="s">
        <v>534</v>
      </c>
      <c r="B27" s="148"/>
      <c r="C27" s="148"/>
      <c r="D27" s="151">
        <f t="shared" si="2"/>
        <v>0</v>
      </c>
      <c r="E27" s="148"/>
    </row>
    <row r="28" spans="1:5">
      <c r="A28" s="150" t="s">
        <v>535</v>
      </c>
      <c r="B28" s="151">
        <f>ROUND(B25+B26-B27,2)</f>
        <v>0</v>
      </c>
      <c r="C28" s="151">
        <f>ROUND(C25+C26-C27,2)</f>
        <v>0</v>
      </c>
      <c r="D28" s="151">
        <f>ROUND(D25+D26-D27,2)</f>
        <v>0</v>
      </c>
      <c r="E28" s="151">
        <f>ROUND(E25+E26-E27,2)</f>
        <v>0</v>
      </c>
    </row>
    <row r="29" spans="1:5">
      <c r="A29" s="158" t="s">
        <v>536</v>
      </c>
      <c r="B29" s="156" t="s">
        <v>364</v>
      </c>
      <c r="C29" s="156" t="s">
        <v>364</v>
      </c>
      <c r="D29" s="156" t="s">
        <v>364</v>
      </c>
      <c r="E29" s="156" t="s">
        <v>364</v>
      </c>
    </row>
    <row r="30" spans="1:5">
      <c r="A30" s="150" t="s">
        <v>537</v>
      </c>
      <c r="B30" s="148"/>
      <c r="C30" s="148"/>
      <c r="D30" s="151">
        <f t="shared" ref="D30:D32" si="3">ROUND(B30-C30,2)</f>
        <v>0</v>
      </c>
      <c r="E30" s="148"/>
    </row>
    <row r="31" spans="1:5">
      <c r="A31" s="150" t="s">
        <v>538</v>
      </c>
      <c r="B31" s="148"/>
      <c r="C31" s="148"/>
      <c r="D31" s="151">
        <f t="shared" si="3"/>
        <v>0</v>
      </c>
      <c r="E31" s="148"/>
    </row>
    <row r="32" spans="1:5">
      <c r="A32" s="150" t="s">
        <v>539</v>
      </c>
      <c r="B32" s="148"/>
      <c r="C32" s="148"/>
      <c r="D32" s="151">
        <f t="shared" si="3"/>
        <v>0</v>
      </c>
      <c r="E32" s="148"/>
    </row>
    <row r="33" spans="1:5">
      <c r="A33" s="150" t="s">
        <v>540</v>
      </c>
      <c r="B33" s="151">
        <f>ROUND(B30+B31-B32,2)</f>
        <v>0</v>
      </c>
      <c r="C33" s="151">
        <f>ROUND(C30+C31-C32,2)</f>
        <v>0</v>
      </c>
      <c r="D33" s="151">
        <f>ROUND(D30+D31-D32,2)</f>
        <v>0</v>
      </c>
      <c r="E33" s="151">
        <f>ROUND(E30+E31-E32,2)</f>
        <v>0</v>
      </c>
    </row>
    <row r="34" spans="1:5">
      <c r="A34" s="158" t="s">
        <v>541</v>
      </c>
      <c r="B34" s="156" t="s">
        <v>364</v>
      </c>
      <c r="C34" s="156" t="s">
        <v>364</v>
      </c>
      <c r="D34" s="156" t="s">
        <v>364</v>
      </c>
      <c r="E34" s="156" t="s">
        <v>364</v>
      </c>
    </row>
    <row r="35" spans="1:5">
      <c r="A35" s="150" t="s">
        <v>542</v>
      </c>
      <c r="B35" s="148"/>
      <c r="C35" s="148"/>
      <c r="D35" s="151">
        <f t="shared" ref="D35:D37" si="4">ROUND(B35-C35,2)</f>
        <v>0</v>
      </c>
      <c r="E35" s="148"/>
    </row>
    <row r="36" spans="1:5">
      <c r="A36" s="150" t="s">
        <v>543</v>
      </c>
      <c r="B36" s="148"/>
      <c r="C36" s="148"/>
      <c r="D36" s="151">
        <f t="shared" si="4"/>
        <v>0</v>
      </c>
      <c r="E36" s="148"/>
    </row>
    <row r="37" spans="1:5">
      <c r="A37" s="150" t="s">
        <v>544</v>
      </c>
      <c r="B37" s="148"/>
      <c r="C37" s="148"/>
      <c r="D37" s="151">
        <f t="shared" si="4"/>
        <v>0</v>
      </c>
      <c r="E37" s="148"/>
    </row>
    <row r="38" spans="1:5">
      <c r="A38" s="150" t="s">
        <v>545</v>
      </c>
      <c r="B38" s="151">
        <f>ROUND(B35+B36-B37,2)</f>
        <v>0</v>
      </c>
      <c r="C38" s="151">
        <f>ROUND(C35+C36-C37,2)</f>
        <v>0</v>
      </c>
      <c r="D38" s="151">
        <f>ROUND(D35+D36-D37,2)</f>
        <v>0</v>
      </c>
      <c r="E38" s="151">
        <f>ROUND(E35+E36-E37,2)</f>
        <v>0</v>
      </c>
    </row>
    <row r="39" spans="1:5">
      <c r="A39" s="158" t="s">
        <v>546</v>
      </c>
      <c r="B39" s="156" t="s">
        <v>364</v>
      </c>
      <c r="C39" s="156" t="s">
        <v>364</v>
      </c>
      <c r="D39" s="156" t="s">
        <v>364</v>
      </c>
      <c r="E39" s="156" t="s">
        <v>364</v>
      </c>
    </row>
    <row r="40" spans="1:5">
      <c r="A40" s="150" t="s">
        <v>547</v>
      </c>
      <c r="B40" s="148"/>
      <c r="C40" s="148"/>
      <c r="D40" s="151">
        <f t="shared" ref="D40:D42" si="5">ROUND(B40-C40,2)</f>
        <v>0</v>
      </c>
      <c r="E40" s="148"/>
    </row>
    <row r="41" spans="1:5">
      <c r="A41" s="150" t="s">
        <v>548</v>
      </c>
      <c r="B41" s="148"/>
      <c r="C41" s="148"/>
      <c r="D41" s="151">
        <f t="shared" si="5"/>
        <v>0</v>
      </c>
      <c r="E41" s="148"/>
    </row>
    <row r="42" spans="1:5">
      <c r="A42" s="150" t="s">
        <v>549</v>
      </c>
      <c r="B42" s="148"/>
      <c r="C42" s="148"/>
      <c r="D42" s="151">
        <f t="shared" si="5"/>
        <v>0</v>
      </c>
      <c r="E42" s="148"/>
    </row>
    <row r="43" spans="1:5">
      <c r="A43" s="150" t="s">
        <v>550</v>
      </c>
      <c r="B43" s="151">
        <f>ROUND(B40+B41-B42,2)</f>
        <v>0</v>
      </c>
      <c r="C43" s="151">
        <f>ROUND(C40+C41-C42,2)</f>
        <v>0</v>
      </c>
      <c r="D43" s="151">
        <f>ROUND(D40+D41-D42,2)</f>
        <v>0</v>
      </c>
      <c r="E43" s="151">
        <f>ROUND(E40+E41-E42,2)</f>
        <v>0</v>
      </c>
    </row>
    <row r="44" spans="1:5">
      <c r="A44" s="158" t="s">
        <v>551</v>
      </c>
      <c r="B44" s="156" t="s">
        <v>364</v>
      </c>
      <c r="C44" s="156" t="s">
        <v>364</v>
      </c>
      <c r="D44" s="156" t="s">
        <v>364</v>
      </c>
      <c r="E44" s="156" t="s">
        <v>364</v>
      </c>
    </row>
    <row r="45" spans="1:5">
      <c r="A45" s="150" t="s">
        <v>547</v>
      </c>
      <c r="B45" s="148"/>
      <c r="C45" s="148"/>
      <c r="D45" s="151">
        <f t="shared" ref="D45:D52" si="6">ROUND(B45-C45,2)</f>
        <v>0</v>
      </c>
      <c r="E45" s="148"/>
    </row>
    <row r="46" spans="1:5">
      <c r="A46" s="150" t="s">
        <v>552</v>
      </c>
      <c r="B46" s="148"/>
      <c r="C46" s="148"/>
      <c r="D46" s="151">
        <f t="shared" si="6"/>
        <v>0</v>
      </c>
      <c r="E46" s="148"/>
    </row>
    <row r="47" spans="1:5">
      <c r="A47" s="150" t="s">
        <v>553</v>
      </c>
      <c r="B47" s="151">
        <f>ROUND(B45-B46,2)</f>
        <v>0</v>
      </c>
      <c r="C47" s="151">
        <f>ROUND(C45-C46,2)</f>
        <v>0</v>
      </c>
      <c r="D47" s="151">
        <f>ROUND(D45-D46,2)</f>
        <v>0</v>
      </c>
      <c r="E47" s="151">
        <f>ROUND(E45-E46,2)</f>
        <v>0</v>
      </c>
    </row>
    <row r="48" spans="1:5">
      <c r="A48" s="158" t="s">
        <v>554</v>
      </c>
      <c r="B48" s="156" t="s">
        <v>364</v>
      </c>
      <c r="C48" s="156" t="s">
        <v>364</v>
      </c>
      <c r="D48" s="156" t="s">
        <v>364</v>
      </c>
      <c r="E48" s="156" t="s">
        <v>364</v>
      </c>
    </row>
    <row r="49" spans="1:5">
      <c r="A49" s="150" t="s">
        <v>555</v>
      </c>
      <c r="B49" s="148"/>
      <c r="C49" s="148"/>
      <c r="D49" s="151">
        <f t="shared" si="6"/>
        <v>0</v>
      </c>
      <c r="E49" s="148"/>
    </row>
    <row r="50" spans="1:5">
      <c r="A50" s="150" t="s">
        <v>556</v>
      </c>
      <c r="B50" s="148"/>
      <c r="C50" s="148"/>
      <c r="D50" s="151">
        <f t="shared" si="6"/>
        <v>0</v>
      </c>
      <c r="E50" s="148"/>
    </row>
    <row r="51" spans="1:5">
      <c r="A51" s="150" t="s">
        <v>557</v>
      </c>
      <c r="B51" s="148"/>
      <c r="C51" s="148"/>
      <c r="D51" s="151">
        <f t="shared" si="6"/>
        <v>0</v>
      </c>
      <c r="E51" s="148"/>
    </row>
    <row r="52" spans="1:5">
      <c r="A52" s="150" t="s">
        <v>558</v>
      </c>
      <c r="B52" s="148"/>
      <c r="C52" s="148"/>
      <c r="D52" s="151">
        <f t="shared" si="6"/>
        <v>0</v>
      </c>
      <c r="E52" s="148"/>
    </row>
    <row r="53" spans="1:5">
      <c r="A53" s="150" t="s">
        <v>559</v>
      </c>
      <c r="B53" s="151">
        <f>ROUND(B49+B50-B51-B52,2)</f>
        <v>0</v>
      </c>
      <c r="C53" s="151">
        <f>ROUND(C49+C50-C51-C52,2)</f>
        <v>0</v>
      </c>
      <c r="D53" s="151">
        <f>ROUND(D49+D50-D51-D52,2)</f>
        <v>0</v>
      </c>
      <c r="E53" s="151">
        <f>ROUND(E49+E50-E51-E52,2)</f>
        <v>0</v>
      </c>
    </row>
    <row r="54" spans="1:5">
      <c r="A54" s="158" t="s">
        <v>560</v>
      </c>
      <c r="B54" s="156" t="s">
        <v>364</v>
      </c>
      <c r="C54" s="156" t="s">
        <v>364</v>
      </c>
      <c r="D54" s="156" t="s">
        <v>364</v>
      </c>
      <c r="E54" s="156" t="s">
        <v>364</v>
      </c>
    </row>
    <row r="55" spans="1:5">
      <c r="A55" s="150" t="s">
        <v>555</v>
      </c>
      <c r="B55" s="148"/>
      <c r="C55" s="148"/>
      <c r="D55" s="151">
        <f t="shared" ref="D55:D57" si="7">ROUND(B55-C55,2)</f>
        <v>0</v>
      </c>
      <c r="E55" s="148"/>
    </row>
    <row r="56" spans="1:5">
      <c r="A56" s="150" t="s">
        <v>556</v>
      </c>
      <c r="B56" s="148"/>
      <c r="C56" s="148"/>
      <c r="D56" s="151">
        <f t="shared" si="7"/>
        <v>0</v>
      </c>
      <c r="E56" s="148"/>
    </row>
    <row r="57" spans="1:5">
      <c r="A57" s="150" t="s">
        <v>558</v>
      </c>
      <c r="B57" s="148"/>
      <c r="C57" s="148"/>
      <c r="D57" s="151">
        <f t="shared" si="7"/>
        <v>0</v>
      </c>
      <c r="E57" s="148"/>
    </row>
    <row r="58" spans="1:5">
      <c r="A58" s="150" t="s">
        <v>559</v>
      </c>
      <c r="B58" s="151">
        <f>ROUND(B55+B56-B57,2)</f>
        <v>0</v>
      </c>
      <c r="C58" s="151">
        <f>ROUND(C55+C56-C57,2)</f>
        <v>0</v>
      </c>
      <c r="D58" s="151">
        <f>ROUND(D55+D56-D57,2)</f>
        <v>0</v>
      </c>
      <c r="E58" s="151">
        <f>ROUND(E55+E56-E57,2)</f>
        <v>0</v>
      </c>
    </row>
    <row r="59" spans="1:5">
      <c r="A59" s="158" t="s">
        <v>561</v>
      </c>
      <c r="B59" s="148"/>
      <c r="C59" s="148"/>
      <c r="D59" s="148"/>
      <c r="E59" s="148"/>
    </row>
    <row r="61" ht="16" customHeight="1" spans="1:5">
      <c r="A61" s="29" t="s">
        <v>218</v>
      </c>
    </row>
    <row r="62" ht="16" customHeight="1"/>
    <row r="63" ht="16" customHeight="1"/>
  </sheetData>
  <mergeCells count="1">
    <mergeCell ref="A1:E1"/>
  </mergeCells>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8"/>
  <sheetViews>
    <sheetView workbookViewId="0">
      <selection activeCell="L15" sqref="L15"/>
    </sheetView>
  </sheetViews>
  <sheetFormatPr defaultColWidth="8.73148148148148" defaultRowHeight="14.4" outlineLevelRow="7"/>
  <cols>
    <col min="2" max="2" width="22.2685185185185" customWidth="1"/>
    <col min="3" max="3" width="13.8148148148148" customWidth="1"/>
    <col min="4" max="4" width="11.3611111111111" customWidth="1"/>
    <col min="5" max="5" width="11.6388888888889" customWidth="1"/>
    <col min="10" max="10" width="10.2685185185185" customWidth="1"/>
    <col min="11" max="11" width="9.73148148148148"/>
    <col min="12" max="12" width="10.6388888888889" customWidth="1"/>
    <col min="13" max="14" width="11.4537037037037" customWidth="1"/>
    <col min="15" max="15" width="12.4537037037037" customWidth="1"/>
    <col min="18" max="18" width="13.7314814814815" customWidth="1"/>
    <col min="19" max="19" width="12.2685185185185" customWidth="1"/>
  </cols>
  <sheetData>
    <row r="1" ht="20.4" spans="1:19">
      <c r="A1" s="1" t="s">
        <v>562</v>
      </c>
      <c r="B1" s="1"/>
      <c r="C1" s="1"/>
      <c r="D1" s="1"/>
      <c r="E1" s="1"/>
      <c r="F1" s="1"/>
      <c r="G1" s="1"/>
      <c r="H1" s="1"/>
      <c r="I1" s="1"/>
      <c r="J1" s="1"/>
      <c r="K1" s="1"/>
      <c r="L1" s="1"/>
      <c r="M1" s="1"/>
      <c r="N1" s="1"/>
      <c r="O1" s="1"/>
      <c r="P1" s="1"/>
      <c r="Q1" s="1"/>
      <c r="R1" s="1"/>
      <c r="S1" s="1"/>
    </row>
    <row r="2" spans="1:19">
      <c r="A2" s="2" t="str">
        <f>备忘录!$A$1</f>
        <v>被审计单位：福禄福擎网络科技有限公司</v>
      </c>
      <c r="C2" s="3"/>
      <c r="D2" s="4"/>
      <c r="G2" s="4" t="s">
        <v>193</v>
      </c>
      <c r="H2" s="3"/>
      <c r="M2" s="4" t="str">
        <f>备忘录!$C$2</f>
        <v>日期：2025/10/30</v>
      </c>
    </row>
    <row r="3" spans="1:19">
      <c r="A3" s="2" t="str">
        <f>备忘录!$A$2</f>
        <v>财务报表截止日：2025/9/30</v>
      </c>
      <c r="C3" s="3"/>
      <c r="D3" s="4"/>
      <c r="G3" s="4" t="s">
        <v>194</v>
      </c>
      <c r="H3" s="3"/>
      <c r="M3" s="4" t="str">
        <f>备忘录!$C$3</f>
        <v>日期：2025/10/31</v>
      </c>
    </row>
    <row r="4" spans="1:19">
      <c r="A4" s="2"/>
      <c r="C4" s="119" t="s">
        <v>563</v>
      </c>
      <c r="D4" s="120">
        <v>45962</v>
      </c>
      <c r="E4" s="4"/>
      <c r="F4" s="3"/>
      <c r="H4" s="4"/>
    </row>
    <row r="5" spans="1:19">
      <c r="A5" s="2"/>
      <c r="C5" s="119" t="s">
        <v>564</v>
      </c>
      <c r="D5" s="120">
        <v>46325</v>
      </c>
      <c r="E5" s="4"/>
      <c r="F5" s="3"/>
      <c r="H5" s="4"/>
    </row>
    <row r="6" s="4" customFormat="1" ht="21" customHeight="1" spans="1:19">
      <c r="A6" s="121" t="s">
        <v>77</v>
      </c>
      <c r="B6" s="121" t="s">
        <v>565</v>
      </c>
      <c r="C6" s="122" t="s">
        <v>566</v>
      </c>
      <c r="D6" s="123"/>
      <c r="E6" s="123"/>
      <c r="F6" s="124" t="s">
        <v>437</v>
      </c>
      <c r="G6" s="124" t="s">
        <v>406</v>
      </c>
      <c r="H6" s="124" t="s">
        <v>407</v>
      </c>
      <c r="I6" s="124" t="s">
        <v>408</v>
      </c>
      <c r="J6" s="125" t="s">
        <v>567</v>
      </c>
      <c r="K6" s="125"/>
      <c r="L6" s="125"/>
      <c r="M6" s="125"/>
      <c r="N6" s="125"/>
      <c r="O6" s="121" t="s">
        <v>568</v>
      </c>
      <c r="P6" s="121" t="s">
        <v>569</v>
      </c>
      <c r="Q6" s="121" t="s">
        <v>570</v>
      </c>
      <c r="R6" s="121" t="s">
        <v>571</v>
      </c>
      <c r="S6" s="121" t="s">
        <v>572</v>
      </c>
    </row>
    <row r="7" s="4" customFormat="1" ht="19" customHeight="1" spans="1:19">
      <c r="A7" s="126"/>
      <c r="B7" s="126"/>
      <c r="C7" s="127" t="s">
        <v>573</v>
      </c>
      <c r="D7" s="127" t="s">
        <v>574</v>
      </c>
      <c r="E7" s="128" t="s">
        <v>575</v>
      </c>
      <c r="F7" s="40"/>
      <c r="G7" s="40"/>
      <c r="H7" s="40"/>
      <c r="I7" s="40"/>
      <c r="J7" s="125" t="s">
        <v>576</v>
      </c>
      <c r="K7" s="127" t="s">
        <v>577</v>
      </c>
      <c r="L7" s="127" t="s">
        <v>578</v>
      </c>
      <c r="M7" s="127" t="s">
        <v>579</v>
      </c>
      <c r="N7" s="127" t="s">
        <v>201</v>
      </c>
      <c r="O7" s="126"/>
      <c r="P7" s="126"/>
      <c r="Q7" s="126"/>
      <c r="R7" s="129"/>
      <c r="S7" s="126"/>
    </row>
    <row r="8" ht="40" customHeight="1" spans="1:19">
      <c r="A8" s="130">
        <v>1</v>
      </c>
      <c r="B8" s="131"/>
      <c r="C8" s="132"/>
      <c r="D8" s="132"/>
      <c r="E8" s="133"/>
      <c r="F8" s="50"/>
      <c r="G8" s="50"/>
      <c r="H8" s="134"/>
      <c r="I8" s="134"/>
      <c r="J8" s="135">
        <f>MAX($D$4,C8)</f>
        <v>45962</v>
      </c>
      <c r="K8" s="135">
        <f>IF($D$5&gt;D8,MIN($D$5,D8),$D$5)</f>
        <v>46325</v>
      </c>
      <c r="L8" s="136">
        <f>MAX(F8,I8,H8)*E8*(K8-J8+1)/365</f>
        <v>0</v>
      </c>
      <c r="M8" s="137"/>
      <c r="N8" s="136">
        <f>M8-L8</f>
        <v>0</v>
      </c>
      <c r="O8" s="138"/>
      <c r="P8" s="100"/>
      <c r="Q8" s="100"/>
      <c r="R8" s="139"/>
      <c r="S8" s="50"/>
    </row>
  </sheetData>
  <mergeCells count="14">
    <mergeCell ref="A1:S1"/>
    <mergeCell ref="C6:E6"/>
    <mergeCell ref="J6:N6"/>
    <mergeCell ref="A6:A7"/>
    <mergeCell ref="B6:B7"/>
    <mergeCell ref="F6:F7"/>
    <mergeCell ref="G6:G7"/>
    <mergeCell ref="H6:H7"/>
    <mergeCell ref="I6:I7"/>
    <mergeCell ref="O6:O7"/>
    <mergeCell ref="P6:P7"/>
    <mergeCell ref="Q6:Q7"/>
    <mergeCell ref="R6:R7"/>
    <mergeCell ref="S6:S7"/>
  </mergeCells>
  <pageMargins left="0.75" right="0.75" top="1" bottom="1" header="0.5" footer="0.5"/>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dimension ref="A1:H28"/>
  <sheetViews>
    <sheetView zoomScale="90" zoomScaleNormal="90" workbookViewId="0">
      <pane ySplit="5" topLeftCell="A6" activePane="bottomLeft" state="frozen"/>
      <selection/>
      <selection pane="bottomLeft" activeCell="B7" sqref="B7:C9"/>
    </sheetView>
  </sheetViews>
  <sheetFormatPr defaultColWidth="8.73148148148148" defaultRowHeight="14.4" outlineLevelCol="7"/>
  <cols>
    <col min="1" max="1" width="38.1481481481481" customWidth="1"/>
    <col min="2" max="2" width="15.1481481481481" customWidth="1"/>
    <col min="3" max="3" width="25.6759259259259" customWidth="1"/>
    <col min="4" max="4" width="15.9537037037037" customWidth="1"/>
    <col min="5" max="5" width="13.2685185185185" customWidth="1"/>
    <col min="6" max="6" width="17.2685185185185" customWidth="1"/>
    <col min="7" max="7" width="13.2685185185185" customWidth="1"/>
    <col min="8" max="8" width="29.9074074074074" customWidth="1"/>
  </cols>
  <sheetData>
    <row r="1" ht="26" customHeight="1" spans="1:8">
      <c r="A1" s="1" t="s">
        <v>60</v>
      </c>
      <c r="B1" s="1"/>
      <c r="C1" s="1"/>
      <c r="D1" s="1"/>
      <c r="E1" s="1"/>
      <c r="F1" s="1"/>
      <c r="G1" s="1"/>
      <c r="H1" s="1"/>
    </row>
    <row r="2" ht="16" customHeight="1" spans="1:8">
      <c r="A2" s="2" t="str">
        <f>备忘录!$A$1</f>
        <v>被审计单位：福禄福擎网络科技有限公司</v>
      </c>
      <c r="B2" s="2"/>
      <c r="C2" s="4"/>
      <c r="D2" s="4" t="s">
        <v>193</v>
      </c>
      <c r="E2" s="4"/>
      <c r="F2" s="4" t="str">
        <f>备忘录!$C$2</f>
        <v>日期：2025/10/30</v>
      </c>
    </row>
    <row r="3" ht="16" customHeight="1" spans="1:8">
      <c r="A3" s="2" t="str">
        <f>备忘录!A3</f>
        <v>财务报表期间：2025.1-2025.9</v>
      </c>
      <c r="B3" s="2"/>
      <c r="C3" s="4"/>
      <c r="D3" s="4" t="s">
        <v>194</v>
      </c>
      <c r="E3" s="4"/>
      <c r="F3" s="4" t="str">
        <f>备忘录!$C$3</f>
        <v>日期：2025/10/31</v>
      </c>
    </row>
    <row r="4" ht="17" customHeight="1" spans="1:8">
      <c r="A4" s="89" t="s">
        <v>78</v>
      </c>
      <c r="B4" s="7" t="s">
        <v>270</v>
      </c>
      <c r="C4" s="7" t="s">
        <v>271</v>
      </c>
      <c r="D4" s="7" t="s">
        <v>580</v>
      </c>
      <c r="E4" s="7" t="s">
        <v>581</v>
      </c>
      <c r="F4" s="90" t="s">
        <v>582</v>
      </c>
      <c r="G4" s="91"/>
      <c r="H4" s="117" t="s">
        <v>203</v>
      </c>
    </row>
    <row r="5" ht="17" customHeight="1" spans="1:8">
      <c r="A5" s="93"/>
      <c r="B5" s="13"/>
      <c r="C5" s="13"/>
      <c r="D5" s="12"/>
      <c r="E5" s="12"/>
      <c r="F5" s="94" t="s">
        <v>583</v>
      </c>
      <c r="G5" s="94" t="s">
        <v>584</v>
      </c>
      <c r="H5" s="118"/>
    </row>
    <row r="6" ht="24" customHeight="1" spans="1:8">
      <c r="A6" s="96" t="s">
        <v>585</v>
      </c>
      <c r="B6" s="97"/>
      <c r="C6" s="98"/>
      <c r="D6" s="98"/>
      <c r="E6" s="98"/>
      <c r="F6" s="98"/>
      <c r="G6" s="99"/>
      <c r="H6" s="100"/>
    </row>
    <row r="7" ht="16" customHeight="1" spans="1:8">
      <c r="A7" s="55" t="s">
        <v>586</v>
      </c>
      <c r="B7" s="55" t="s">
        <v>587</v>
      </c>
      <c r="C7" s="101" t="s">
        <v>588</v>
      </c>
      <c r="D7" s="102"/>
      <c r="E7" s="102"/>
      <c r="F7" s="103">
        <f t="shared" ref="F7:F14" si="0">_wpsfn.ROUNDBANK(D7-E7,2)</f>
        <v>0</v>
      </c>
      <c r="G7" s="104">
        <f t="shared" ref="G7:G34" si="1">IF(E7=0,0,F7/E7)</f>
        <v>0</v>
      </c>
      <c r="H7" s="100"/>
    </row>
    <row r="8" ht="16" customHeight="1" spans="1:8">
      <c r="A8" s="55" t="s">
        <v>586</v>
      </c>
      <c r="B8" s="55" t="s">
        <v>587</v>
      </c>
      <c r="C8" s="101" t="s">
        <v>589</v>
      </c>
      <c r="D8" s="102"/>
      <c r="E8" s="102"/>
      <c r="F8" s="103">
        <f t="shared" si="0"/>
        <v>0</v>
      </c>
      <c r="G8" s="104">
        <f t="shared" si="1"/>
        <v>0</v>
      </c>
      <c r="H8" s="100"/>
    </row>
    <row r="9" ht="16" customHeight="1" spans="1:8">
      <c r="A9" s="55" t="s">
        <v>586</v>
      </c>
      <c r="B9" s="55" t="s">
        <v>590</v>
      </c>
      <c r="C9" s="101" t="s">
        <v>589</v>
      </c>
      <c r="D9" s="102"/>
      <c r="E9" s="102"/>
      <c r="F9" s="103">
        <f t="shared" si="0"/>
        <v>0</v>
      </c>
      <c r="G9" s="104">
        <f t="shared" si="1"/>
        <v>0</v>
      </c>
      <c r="H9" s="100"/>
    </row>
    <row r="10" ht="16" customHeight="1" spans="1:8">
      <c r="A10" s="55" t="s">
        <v>591</v>
      </c>
      <c r="B10" s="55" t="s">
        <v>587</v>
      </c>
      <c r="C10" s="101"/>
      <c r="D10" s="102"/>
      <c r="E10" s="102"/>
      <c r="F10" s="103">
        <f t="shared" si="0"/>
        <v>0</v>
      </c>
      <c r="G10" s="104">
        <f t="shared" si="1"/>
        <v>0</v>
      </c>
      <c r="H10" s="105"/>
    </row>
    <row r="11" ht="16" customHeight="1" spans="1:8">
      <c r="A11" s="55" t="s">
        <v>592</v>
      </c>
      <c r="B11" s="55" t="s">
        <v>587</v>
      </c>
      <c r="C11" s="101"/>
      <c r="D11" s="102"/>
      <c r="E11" s="102"/>
      <c r="F11" s="103">
        <f t="shared" si="0"/>
        <v>0</v>
      </c>
      <c r="G11" s="104">
        <f t="shared" si="1"/>
        <v>0</v>
      </c>
      <c r="H11" s="100"/>
    </row>
    <row r="12" ht="16" customHeight="1" spans="1:8">
      <c r="A12" s="55" t="s">
        <v>593</v>
      </c>
      <c r="B12" s="55" t="s">
        <v>587</v>
      </c>
      <c r="C12" s="101"/>
      <c r="D12" s="102"/>
      <c r="E12" s="102"/>
      <c r="F12" s="103">
        <f t="shared" si="0"/>
        <v>0</v>
      </c>
      <c r="G12" s="104">
        <f t="shared" si="1"/>
        <v>0</v>
      </c>
      <c r="H12" s="100"/>
    </row>
    <row r="13" ht="16" customHeight="1" spans="1:8">
      <c r="A13" s="55"/>
      <c r="B13" s="55"/>
      <c r="C13" s="101"/>
      <c r="D13" s="102"/>
      <c r="E13" s="102"/>
      <c r="F13" s="103">
        <f t="shared" ref="F13:F34" si="2">_wpsfn.ROUNDBANK(D13-E13,2)</f>
        <v>0</v>
      </c>
      <c r="G13" s="104">
        <f t="shared" si="1"/>
        <v>0</v>
      </c>
      <c r="H13" s="100"/>
    </row>
    <row r="14" customFormat="1" ht="16" customHeight="1" spans="1:8">
      <c r="A14" s="55"/>
      <c r="B14" s="55"/>
      <c r="C14" s="101"/>
      <c r="D14" s="102"/>
      <c r="E14" s="102"/>
      <c r="F14" s="103">
        <f t="shared" si="2"/>
        <v>0</v>
      </c>
      <c r="G14" s="104">
        <f t="shared" si="1"/>
        <v>0</v>
      </c>
      <c r="H14" s="100"/>
    </row>
    <row r="15" customFormat="1" ht="16" customHeight="1" spans="1:8">
      <c r="A15" s="55"/>
      <c r="B15" s="55"/>
      <c r="C15" s="101"/>
      <c r="D15" s="102"/>
      <c r="E15" s="102"/>
      <c r="F15" s="103">
        <f t="shared" si="2"/>
        <v>0</v>
      </c>
      <c r="G15" s="104">
        <f t="shared" si="1"/>
        <v>0</v>
      </c>
      <c r="H15" s="100"/>
    </row>
    <row r="16" customFormat="1" ht="16" customHeight="1" spans="1:8">
      <c r="A16" s="55"/>
      <c r="B16" s="55"/>
      <c r="C16" s="101"/>
      <c r="D16" s="102"/>
      <c r="E16" s="102"/>
      <c r="F16" s="103">
        <f t="shared" si="2"/>
        <v>0</v>
      </c>
      <c r="G16" s="104">
        <f t="shared" si="1"/>
        <v>0</v>
      </c>
      <c r="H16" s="100"/>
    </row>
    <row r="17" customFormat="1" ht="16" customHeight="1" spans="1:8">
      <c r="A17" s="55"/>
      <c r="B17" s="55"/>
      <c r="C17" s="101"/>
      <c r="D17" s="102"/>
      <c r="E17" s="102"/>
      <c r="F17" s="103">
        <f t="shared" si="2"/>
        <v>0</v>
      </c>
      <c r="G17" s="104">
        <f t="shared" si="1"/>
        <v>0</v>
      </c>
      <c r="H17" s="100"/>
    </row>
    <row r="18" customFormat="1" ht="16" customHeight="1" spans="1:8">
      <c r="A18" s="55"/>
      <c r="B18" s="55"/>
      <c r="C18" s="101"/>
      <c r="D18" s="102"/>
      <c r="E18" s="102"/>
      <c r="F18" s="103">
        <f t="shared" si="2"/>
        <v>0</v>
      </c>
      <c r="G18" s="104">
        <f t="shared" si="1"/>
        <v>0</v>
      </c>
      <c r="H18" s="100"/>
    </row>
    <row r="19" s="116" customFormat="1" ht="18" customHeight="1" spans="1:8">
      <c r="A19" s="106" t="s">
        <v>594</v>
      </c>
      <c r="B19" s="106"/>
      <c r="C19" s="107"/>
      <c r="D19" s="108">
        <f>SUM(D7:D18)</f>
        <v>0</v>
      </c>
      <c r="E19" s="108">
        <f>SUM(E7:E18)</f>
        <v>0</v>
      </c>
      <c r="F19" s="108">
        <f>SUM(F7:F18)</f>
        <v>0</v>
      </c>
      <c r="G19" s="109"/>
      <c r="H19" s="110"/>
    </row>
    <row r="20" ht="18" customHeight="1" spans="1:8">
      <c r="A20" s="111" t="s">
        <v>595</v>
      </c>
      <c r="B20" s="111"/>
      <c r="C20" s="112"/>
      <c r="D20" s="112"/>
      <c r="E20" s="112"/>
      <c r="F20" s="112"/>
      <c r="G20" s="112"/>
      <c r="H20" s="100"/>
    </row>
    <row r="21" s="30" customFormat="1" ht="18" customHeight="1" spans="1:8">
      <c r="A21" s="55" t="s">
        <v>596</v>
      </c>
      <c r="B21" s="55"/>
      <c r="C21" s="101"/>
      <c r="D21" s="101"/>
      <c r="E21" s="101"/>
      <c r="F21" s="103">
        <f>_wpsfn.ROUNDBANK(D21-E21,2)</f>
        <v>0</v>
      </c>
      <c r="G21" s="104">
        <f>IF(E21=0,0,F21/E21)</f>
        <v>0</v>
      </c>
      <c r="H21" s="113"/>
    </row>
    <row r="22" s="30" customFormat="1" ht="18" customHeight="1" spans="1:8">
      <c r="A22" s="55"/>
      <c r="B22" s="55"/>
      <c r="C22" s="101"/>
      <c r="D22" s="101"/>
      <c r="E22" s="101"/>
      <c r="F22" s="103">
        <f>_wpsfn.ROUNDBANK(D22-E22,2)</f>
        <v>0</v>
      </c>
      <c r="G22" s="104">
        <f>IF(E22=0,0,F22/E22)</f>
        <v>0</v>
      </c>
      <c r="H22" s="113"/>
    </row>
    <row r="23" s="30" customFormat="1" ht="18" customHeight="1" spans="1:8">
      <c r="A23" s="106" t="s">
        <v>594</v>
      </c>
      <c r="B23" s="106"/>
      <c r="C23" s="107"/>
      <c r="D23" s="108">
        <f>SUM(D21:D22)</f>
        <v>0</v>
      </c>
      <c r="E23" s="108">
        <f>SUM(E21:E22)</f>
        <v>0</v>
      </c>
      <c r="F23" s="108">
        <f>SUM(F21:F22)</f>
        <v>0</v>
      </c>
      <c r="G23" s="114"/>
      <c r="H23" s="113"/>
    </row>
    <row r="24" s="116" customFormat="1" ht="18" customHeight="1" spans="1:8">
      <c r="A24" s="106" t="s">
        <v>597</v>
      </c>
      <c r="B24" s="106"/>
      <c r="C24" s="107"/>
      <c r="D24" s="108">
        <f>D19+D23</f>
        <v>0</v>
      </c>
      <c r="E24" s="108">
        <f>E19+E23</f>
        <v>0</v>
      </c>
      <c r="F24" s="108">
        <f>F19+F23</f>
        <v>0</v>
      </c>
      <c r="G24" s="109"/>
      <c r="H24" s="110"/>
    </row>
    <row r="26" ht="17" customHeight="1" spans="1:8">
      <c r="A26" s="29" t="s">
        <v>218</v>
      </c>
      <c r="B26" s="29"/>
    </row>
    <row r="27" ht="17" customHeight="1"/>
    <row r="28" ht="17" customHeight="1"/>
  </sheetData>
  <autoFilter xmlns:etc="http://www.wps.cn/officeDocument/2017/etCustomData" ref="A5:D24" etc:filterBottomFollowUsedRange="0">
    <extLst/>
  </autoFilter>
  <mergeCells count="10">
    <mergeCell ref="A1:H1"/>
    <mergeCell ref="F4:G4"/>
    <mergeCell ref="A6:G6"/>
    <mergeCell ref="A20:G20"/>
    <mergeCell ref="A4:A5"/>
    <mergeCell ref="B4:B5"/>
    <mergeCell ref="C4:C5"/>
    <mergeCell ref="D4:D5"/>
    <mergeCell ref="E4:E5"/>
    <mergeCell ref="H4:H5"/>
  </mergeCells>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6"/>
  <dimension ref="A1:H30"/>
  <sheetViews>
    <sheetView zoomScale="90" zoomScaleNormal="90" workbookViewId="0">
      <pane ySplit="5" topLeftCell="A6" activePane="bottomLeft" state="frozen"/>
      <selection/>
      <selection pane="bottomLeft" activeCell="C13" sqref="C13:C15"/>
    </sheetView>
  </sheetViews>
  <sheetFormatPr defaultColWidth="8.73148148148148" defaultRowHeight="14.4" outlineLevelCol="7"/>
  <cols>
    <col min="1" max="1" width="23.6296296296296" customWidth="1"/>
    <col min="2" max="3" width="14.9444444444444" customWidth="1"/>
    <col min="4" max="4" width="13.9351851851852" customWidth="1"/>
    <col min="5" max="5" width="13.0925925925926" customWidth="1"/>
    <col min="6" max="6" width="14.2685185185185" customWidth="1"/>
    <col min="7" max="7" width="14.8425925925926" customWidth="1"/>
    <col min="8" max="8" width="37.7777777777778" customWidth="1"/>
  </cols>
  <sheetData>
    <row r="1" ht="28" customHeight="1" spans="1:8">
      <c r="A1" s="1" t="s">
        <v>62</v>
      </c>
      <c r="B1" s="1"/>
      <c r="C1" s="1"/>
      <c r="D1" s="1"/>
      <c r="E1" s="1"/>
      <c r="F1" s="1"/>
      <c r="G1" s="1"/>
    </row>
    <row r="2" spans="1:8">
      <c r="A2" s="2" t="str">
        <f>备忘录!$A$1</f>
        <v>被审计单位：福禄福擎网络科技有限公司</v>
      </c>
      <c r="B2" s="2"/>
      <c r="C2" s="4"/>
      <c r="D2" s="4" t="s">
        <v>193</v>
      </c>
      <c r="E2" s="4"/>
      <c r="G2" s="4" t="str">
        <f>备忘录!$C$2</f>
        <v>日期：2025/10/30</v>
      </c>
    </row>
    <row r="3" spans="1:8">
      <c r="A3" s="2" t="str">
        <f>备忘录!A3</f>
        <v>财务报表期间：2025.1-2025.9</v>
      </c>
      <c r="B3" s="2"/>
      <c r="C3" s="4"/>
      <c r="D3" s="4" t="s">
        <v>194</v>
      </c>
      <c r="E3" s="4"/>
      <c r="G3" s="4" t="str">
        <f>备忘录!$C$3</f>
        <v>日期：2025/10/31</v>
      </c>
    </row>
    <row r="4" s="30" customFormat="1" ht="18" customHeight="1" spans="1:8">
      <c r="A4" s="89" t="s">
        <v>78</v>
      </c>
      <c r="B4" s="7" t="s">
        <v>270</v>
      </c>
      <c r="C4" s="7" t="s">
        <v>271</v>
      </c>
      <c r="D4" s="7" t="s">
        <v>580</v>
      </c>
      <c r="E4" s="7" t="s">
        <v>581</v>
      </c>
      <c r="F4" s="90" t="s">
        <v>582</v>
      </c>
      <c r="G4" s="91"/>
      <c r="H4" s="92" t="s">
        <v>203</v>
      </c>
    </row>
    <row r="5" s="30" customFormat="1" spans="1:8">
      <c r="A5" s="93"/>
      <c r="B5" s="13"/>
      <c r="C5" s="13"/>
      <c r="D5" s="12"/>
      <c r="E5" s="12"/>
      <c r="F5" s="94" t="s">
        <v>583</v>
      </c>
      <c r="G5" s="94" t="s">
        <v>584</v>
      </c>
      <c r="H5" s="95"/>
    </row>
    <row r="6" ht="19" customHeight="1" spans="1:8">
      <c r="A6" s="96" t="s">
        <v>598</v>
      </c>
      <c r="B6" s="97"/>
      <c r="C6" s="98"/>
      <c r="D6" s="98"/>
      <c r="E6" s="98"/>
      <c r="F6" s="98"/>
      <c r="G6" s="99"/>
      <c r="H6" s="100"/>
    </row>
    <row r="7" ht="18" customHeight="1" spans="1:8">
      <c r="A7" s="55" t="s">
        <v>599</v>
      </c>
      <c r="B7" s="55" t="s">
        <v>587</v>
      </c>
      <c r="C7" s="101" t="s">
        <v>588</v>
      </c>
      <c r="D7" s="102">
        <v>1971.42</v>
      </c>
      <c r="E7" s="102"/>
      <c r="F7" s="103">
        <f t="shared" ref="F7:F20" si="0">_wpsfn.ROUNDBANK(D7-E7,2)</f>
        <v>1971.42</v>
      </c>
      <c r="G7" s="104">
        <f t="shared" ref="G7:G20" si="1">IF(E7=0,0,F7/E7)</f>
        <v>0</v>
      </c>
      <c r="H7" s="100"/>
    </row>
    <row r="8" ht="18" customHeight="1" spans="1:8">
      <c r="A8" s="101" t="s">
        <v>599</v>
      </c>
      <c r="B8" s="55" t="s">
        <v>587</v>
      </c>
      <c r="C8" s="101" t="s">
        <v>589</v>
      </c>
      <c r="D8" s="102">
        <v>116868.97</v>
      </c>
      <c r="E8" s="102"/>
      <c r="F8" s="103">
        <f t="shared" si="0"/>
        <v>116868.97</v>
      </c>
      <c r="G8" s="104">
        <f t="shared" si="1"/>
        <v>0</v>
      </c>
      <c r="H8" s="100"/>
    </row>
    <row r="9" ht="18" customHeight="1" spans="1:8">
      <c r="A9" s="55" t="s">
        <v>599</v>
      </c>
      <c r="B9" s="55" t="s">
        <v>590</v>
      </c>
      <c r="C9" s="101" t="s">
        <v>589</v>
      </c>
      <c r="D9" s="102">
        <v>100381.97</v>
      </c>
      <c r="E9" s="102"/>
      <c r="F9" s="103">
        <f t="shared" si="0"/>
        <v>100381.97</v>
      </c>
      <c r="G9" s="104">
        <f t="shared" si="1"/>
        <v>0</v>
      </c>
      <c r="H9" s="100"/>
    </row>
    <row r="10" ht="18" customHeight="1" spans="1:8">
      <c r="A10" s="55" t="s">
        <v>600</v>
      </c>
      <c r="B10" s="55"/>
      <c r="C10" s="101"/>
      <c r="D10" s="102">
        <v>1261609.07</v>
      </c>
      <c r="E10" s="102"/>
      <c r="F10" s="103">
        <f t="shared" si="0"/>
        <v>1261609.07</v>
      </c>
      <c r="G10" s="104">
        <f t="shared" si="1"/>
        <v>0</v>
      </c>
      <c r="H10" s="105"/>
    </row>
    <row r="11" ht="18" customHeight="1" spans="1:8">
      <c r="A11" s="55" t="s">
        <v>601</v>
      </c>
      <c r="B11" s="55"/>
      <c r="C11" s="101"/>
      <c r="D11" s="102">
        <v>121578.3</v>
      </c>
      <c r="E11" s="102"/>
      <c r="F11" s="103">
        <f t="shared" si="0"/>
        <v>121578.3</v>
      </c>
      <c r="G11" s="104">
        <f t="shared" si="1"/>
        <v>0</v>
      </c>
      <c r="H11" s="100"/>
    </row>
    <row r="12" s="30" customFormat="1" ht="18" customHeight="1" spans="1:8">
      <c r="A12" s="55" t="s">
        <v>602</v>
      </c>
      <c r="B12" s="101"/>
      <c r="C12" s="101"/>
      <c r="D12" s="102">
        <v>17951.2</v>
      </c>
      <c r="E12" s="102"/>
      <c r="F12" s="103">
        <f t="shared" si="0"/>
        <v>17951.2</v>
      </c>
      <c r="G12" s="104">
        <f t="shared" si="1"/>
        <v>0</v>
      </c>
      <c r="H12" s="100"/>
    </row>
    <row r="13" s="30" customFormat="1" ht="18" customHeight="1" spans="1:8">
      <c r="A13" s="101" t="s">
        <v>603</v>
      </c>
      <c r="B13" s="55" t="s">
        <v>587</v>
      </c>
      <c r="C13" s="101"/>
      <c r="D13" s="102">
        <v>15834138.93</v>
      </c>
      <c r="E13" s="102"/>
      <c r="F13" s="103">
        <f t="shared" si="0"/>
        <v>15834138.93</v>
      </c>
      <c r="G13" s="104">
        <f t="shared" si="1"/>
        <v>0</v>
      </c>
      <c r="H13" s="100"/>
    </row>
    <row r="14" s="30" customFormat="1" ht="18" customHeight="1" spans="1:8">
      <c r="A14" s="101" t="s">
        <v>603</v>
      </c>
      <c r="B14" s="55" t="s">
        <v>590</v>
      </c>
      <c r="C14" s="101"/>
      <c r="D14" s="102">
        <v>7288.49</v>
      </c>
      <c r="E14" s="102"/>
      <c r="F14" s="103">
        <f t="shared" si="0"/>
        <v>7288.49</v>
      </c>
      <c r="G14" s="104">
        <f t="shared" si="1"/>
        <v>0</v>
      </c>
      <c r="H14" s="100"/>
    </row>
    <row r="15" s="30" customFormat="1" ht="18" customHeight="1" spans="1:8">
      <c r="A15" s="55" t="s">
        <v>604</v>
      </c>
      <c r="B15" s="101" t="s">
        <v>587</v>
      </c>
      <c r="C15" s="101"/>
      <c r="D15" s="102">
        <v>2598796.62</v>
      </c>
      <c r="E15" s="102"/>
      <c r="F15" s="103">
        <f t="shared" si="0"/>
        <v>2598796.62</v>
      </c>
      <c r="G15" s="104">
        <f t="shared" si="1"/>
        <v>0</v>
      </c>
      <c r="H15" s="100"/>
    </row>
    <row r="16" s="30" customFormat="1" ht="18" customHeight="1" spans="1:8">
      <c r="A16" s="101"/>
      <c r="B16" s="101"/>
      <c r="C16" s="101"/>
      <c r="D16" s="102"/>
      <c r="E16" s="102"/>
      <c r="F16" s="103">
        <f t="shared" si="0"/>
        <v>0</v>
      </c>
      <c r="G16" s="104">
        <f t="shared" si="1"/>
        <v>0</v>
      </c>
      <c r="H16" s="100"/>
    </row>
    <row r="17" s="30" customFormat="1" ht="18" customHeight="1" spans="1:8">
      <c r="A17" s="55"/>
      <c r="B17" s="101"/>
      <c r="C17" s="101"/>
      <c r="D17" s="102"/>
      <c r="E17" s="102"/>
      <c r="F17" s="103">
        <f t="shared" si="0"/>
        <v>0</v>
      </c>
      <c r="G17" s="104">
        <f t="shared" si="1"/>
        <v>0</v>
      </c>
      <c r="H17" s="100"/>
    </row>
    <row r="18" s="30" customFormat="1" ht="18" customHeight="1" spans="1:8">
      <c r="A18" s="55"/>
      <c r="B18" s="55"/>
      <c r="C18" s="101"/>
      <c r="D18" s="102"/>
      <c r="E18" s="102"/>
      <c r="F18" s="103">
        <f t="shared" si="0"/>
        <v>0</v>
      </c>
      <c r="G18" s="104">
        <f t="shared" si="1"/>
        <v>0</v>
      </c>
      <c r="H18" s="100"/>
    </row>
    <row r="19" ht="16" customHeight="1" spans="1:8">
      <c r="A19" s="106" t="s">
        <v>594</v>
      </c>
      <c r="B19" s="106"/>
      <c r="C19" s="107"/>
      <c r="D19" s="108">
        <f>SUM(D7:D18)</f>
        <v>20060584.97</v>
      </c>
      <c r="E19" s="108">
        <f>SUM(E7:E18)</f>
        <v>0</v>
      </c>
      <c r="F19" s="108">
        <f>SUM(F6:F18)</f>
        <v>20060584.97</v>
      </c>
      <c r="G19" s="109"/>
      <c r="H19" s="110"/>
    </row>
    <row r="20" ht="18" customHeight="1" spans="1:8">
      <c r="A20" s="111" t="s">
        <v>605</v>
      </c>
      <c r="B20" s="111"/>
      <c r="C20" s="112"/>
      <c r="D20" s="112"/>
      <c r="E20" s="112"/>
      <c r="F20" s="112"/>
      <c r="G20" s="112"/>
      <c r="H20" s="100"/>
    </row>
    <row r="21" spans="1:8">
      <c r="A21" s="55"/>
      <c r="B21" s="55"/>
      <c r="C21" s="101"/>
      <c r="D21" s="101"/>
      <c r="E21" s="101"/>
      <c r="F21" s="103">
        <f>_wpsfn.ROUNDBANK(D21-E21,2)</f>
        <v>0</v>
      </c>
      <c r="G21" s="104">
        <f>IF(E21=0,0,F21/E21)</f>
        <v>0</v>
      </c>
      <c r="H21" s="113"/>
    </row>
    <row r="22" spans="1:8">
      <c r="A22" s="55"/>
      <c r="B22" s="55"/>
      <c r="C22" s="101"/>
      <c r="D22" s="101"/>
      <c r="E22" s="101"/>
      <c r="F22" s="103">
        <f>_wpsfn.ROUNDBANK(D22-E22,2)</f>
        <v>0</v>
      </c>
      <c r="G22" s="104">
        <f>IF(E22=0,0,F22/E22)</f>
        <v>0</v>
      </c>
      <c r="H22" s="113"/>
    </row>
    <row r="23" ht="16" customHeight="1" spans="1:8">
      <c r="A23" s="106" t="s">
        <v>594</v>
      </c>
      <c r="B23" s="106"/>
      <c r="C23" s="107"/>
      <c r="D23" s="108">
        <f>SUM(D21:D22)</f>
        <v>0</v>
      </c>
      <c r="E23" s="108">
        <f>SUM(E21:E22)</f>
        <v>0</v>
      </c>
      <c r="F23" s="108">
        <f>SUM(F21:F22)</f>
        <v>0</v>
      </c>
      <c r="G23" s="114"/>
      <c r="H23" s="113"/>
    </row>
    <row r="24" ht="16" customHeight="1" spans="1:8">
      <c r="A24" s="115" t="s">
        <v>606</v>
      </c>
      <c r="B24" s="115"/>
      <c r="C24" s="107"/>
      <c r="D24" s="108">
        <f>D19+D23</f>
        <v>20060584.97</v>
      </c>
      <c r="E24" s="108">
        <f>E19+E23</f>
        <v>0</v>
      </c>
      <c r="F24" s="108">
        <f>F19+F23</f>
        <v>20060584.97</v>
      </c>
      <c r="G24" s="109"/>
      <c r="H24" s="110"/>
    </row>
    <row r="27" ht="19" customHeight="1" spans="1:8">
      <c r="A27" s="29" t="s">
        <v>218</v>
      </c>
      <c r="B27" s="29"/>
    </row>
    <row r="28" ht="19" customHeight="1"/>
    <row r="29" ht="19" customHeight="1"/>
    <row r="30" ht="19" customHeight="1"/>
  </sheetData>
  <mergeCells count="10">
    <mergeCell ref="A1:G1"/>
    <mergeCell ref="F4:G4"/>
    <mergeCell ref="A6:G6"/>
    <mergeCell ref="A20:G20"/>
    <mergeCell ref="A4:A5"/>
    <mergeCell ref="B4:B5"/>
    <mergeCell ref="C4:C5"/>
    <mergeCell ref="D4:D5"/>
    <mergeCell ref="E4:E5"/>
    <mergeCell ref="H4:H5"/>
  </mergeCells>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7"/>
  <dimension ref="A1:T23"/>
  <sheetViews>
    <sheetView tabSelected="1" zoomScale="90" zoomScaleNormal="90" workbookViewId="0">
      <selection activeCell="H10" sqref="H10"/>
    </sheetView>
  </sheetViews>
  <sheetFormatPr defaultColWidth="8.73148148148148" defaultRowHeight="14.4"/>
  <cols>
    <col min="1" max="1" width="10.2037037037037" customWidth="1"/>
    <col min="2" max="2" width="11.6203703703704" customWidth="1"/>
    <col min="3" max="3" width="12.4166666666667" customWidth="1"/>
    <col min="4" max="4" width="10.7314814814815" customWidth="1"/>
    <col min="5" max="5" width="9.36111111111111" customWidth="1"/>
    <col min="6" max="6" width="14.0925925925926" customWidth="1"/>
    <col min="7" max="7" width="13.2037037037037" customWidth="1"/>
    <col min="8" max="8" width="13.7037037037037" customWidth="1"/>
    <col min="9" max="9" width="11.9074074074074" customWidth="1"/>
    <col min="11" max="11" width="10.2962962962963" customWidth="1"/>
    <col min="12" max="12" width="12.3148148148148" customWidth="1"/>
    <col min="13" max="13" width="12.5185185185185" customWidth="1"/>
    <col min="18" max="18" width="10.6388888888889" customWidth="1"/>
    <col min="20" max="20" width="13.2314814814815" customWidth="1"/>
  </cols>
  <sheetData>
    <row r="1" ht="30" customHeight="1" spans="1:20">
      <c r="A1" s="1" t="s">
        <v>607</v>
      </c>
      <c r="B1" s="1"/>
      <c r="C1" s="1"/>
      <c r="D1" s="1"/>
      <c r="E1" s="1"/>
      <c r="F1" s="1"/>
      <c r="G1" s="1"/>
      <c r="H1" s="1"/>
      <c r="I1" s="1"/>
      <c r="J1" s="1"/>
      <c r="K1" s="1"/>
      <c r="L1" s="1"/>
      <c r="M1" s="1"/>
      <c r="N1" s="1"/>
      <c r="O1" s="1"/>
      <c r="P1" s="1"/>
      <c r="Q1" s="1"/>
      <c r="R1" s="1"/>
      <c r="S1" s="1"/>
      <c r="T1" s="1"/>
    </row>
    <row r="2" s="4" customFormat="1" ht="16" customHeight="1" spans="1:20">
      <c r="A2" s="2" t="str">
        <f>备忘录!$A$1</f>
        <v>被审计单位：福禄福擎网络科技有限公司</v>
      </c>
      <c r="I2" s="4" t="s">
        <v>193</v>
      </c>
      <c r="P2" s="4" t="str">
        <f>备忘录!$C$2</f>
        <v>日期：2025/10/30</v>
      </c>
    </row>
    <row r="3" s="4" customFormat="1" ht="16" customHeight="1" spans="1:20">
      <c r="A3" s="2" t="str">
        <f>备忘录!A3</f>
        <v>财务报表期间：2025.1-2025.9</v>
      </c>
      <c r="I3" s="4" t="s">
        <v>194</v>
      </c>
      <c r="P3" s="4" t="str">
        <f>备忘录!$C$3</f>
        <v>日期：2025/10/31</v>
      </c>
    </row>
    <row r="4" ht="22" customHeight="1" spans="1:20">
      <c r="A4" s="7" t="s">
        <v>608</v>
      </c>
      <c r="B4" s="66" t="s">
        <v>609</v>
      </c>
      <c r="C4" s="67"/>
      <c r="D4" s="67"/>
      <c r="E4" s="67"/>
      <c r="F4" s="67"/>
      <c r="G4" s="66" t="s">
        <v>610</v>
      </c>
      <c r="H4" s="67"/>
      <c r="I4" s="67"/>
      <c r="J4" s="67"/>
      <c r="K4" s="67"/>
      <c r="L4" s="68" t="s">
        <v>611</v>
      </c>
      <c r="M4" s="69"/>
      <c r="N4" s="70"/>
      <c r="O4" s="68" t="s">
        <v>584</v>
      </c>
      <c r="P4" s="69"/>
      <c r="Q4" s="69"/>
      <c r="R4" s="69"/>
      <c r="S4" s="70"/>
      <c r="T4" s="71" t="s">
        <v>612</v>
      </c>
    </row>
    <row r="5" ht="24" spans="1:20">
      <c r="A5" s="13"/>
      <c r="B5" s="72" t="s">
        <v>613</v>
      </c>
      <c r="C5" s="72" t="s">
        <v>614</v>
      </c>
      <c r="D5" s="73" t="s">
        <v>615</v>
      </c>
      <c r="E5" s="72" t="s">
        <v>616</v>
      </c>
      <c r="F5" s="72" t="s">
        <v>617</v>
      </c>
      <c r="G5" s="72" t="s">
        <v>613</v>
      </c>
      <c r="H5" s="72" t="s">
        <v>614</v>
      </c>
      <c r="I5" s="73" t="s">
        <v>615</v>
      </c>
      <c r="J5" s="72" t="s">
        <v>616</v>
      </c>
      <c r="K5" s="72" t="s">
        <v>617</v>
      </c>
      <c r="L5" s="74" t="s">
        <v>618</v>
      </c>
      <c r="M5" s="71" t="s">
        <v>614</v>
      </c>
      <c r="N5" s="71" t="s">
        <v>616</v>
      </c>
      <c r="O5" s="74" t="s">
        <v>618</v>
      </c>
      <c r="P5" s="71" t="s">
        <v>614</v>
      </c>
      <c r="Q5" s="71" t="s">
        <v>616</v>
      </c>
      <c r="R5" s="71" t="s">
        <v>619</v>
      </c>
      <c r="S5" s="71" t="s">
        <v>617</v>
      </c>
      <c r="T5" s="75"/>
    </row>
    <row r="6" spans="1:20">
      <c r="A6" s="54">
        <v>1</v>
      </c>
      <c r="B6" s="76"/>
      <c r="C6" s="77"/>
      <c r="D6" s="78">
        <f>IF(B6=0,0,B6/$B$18)</f>
        <v>0</v>
      </c>
      <c r="E6" s="79">
        <f>B6-C6</f>
        <v>0</v>
      </c>
      <c r="F6" s="78">
        <f t="shared" ref="F6:F17" si="0">IF(B6-C6=0,0,(B6-C6)/B6)</f>
        <v>0</v>
      </c>
      <c r="G6" s="80"/>
      <c r="H6" s="80"/>
      <c r="I6" s="78">
        <f t="shared" ref="I6:I17" si="1">IF(G6=0,0,G6/$G$18)</f>
        <v>0</v>
      </c>
      <c r="J6" s="81">
        <f>G6-H6</f>
        <v>0</v>
      </c>
      <c r="K6" s="78">
        <f t="shared" ref="K6:K17" si="2">IF(G6-H6=0,0,(G6-H6)/G6)</f>
        <v>0</v>
      </c>
      <c r="L6" s="82">
        <f t="shared" ref="L6:L17" si="3">B6-G6</f>
        <v>0</v>
      </c>
      <c r="M6" s="82">
        <f t="shared" ref="M6:M17" si="4">C6-H6</f>
        <v>0</v>
      </c>
      <c r="N6" s="82">
        <f t="shared" ref="N6:N17" si="5">E6-J6</f>
        <v>0</v>
      </c>
      <c r="O6" s="83">
        <f>IF(L6=0,0,L6/G6)</f>
        <v>0</v>
      </c>
      <c r="P6" s="83">
        <f t="shared" ref="P6:P17" si="6">IF(M6=0,0,M6/H6)</f>
        <v>0</v>
      </c>
      <c r="Q6" s="83">
        <f t="shared" ref="Q6:Q17" si="7">IF(N6=0,0,N6/J6)</f>
        <v>0</v>
      </c>
      <c r="R6" s="78">
        <f t="shared" ref="R6:R17" si="8">IF(D6-I6=0,0,(D6-I6)/I6)</f>
        <v>0</v>
      </c>
      <c r="S6" s="78">
        <f t="shared" ref="S6:S18" si="9">IF(F6-K6=0,0,(F6-K6)/K6)</f>
        <v>0</v>
      </c>
      <c r="T6" s="80"/>
    </row>
    <row r="7" spans="1:20">
      <c r="A7" s="54">
        <v>2</v>
      </c>
      <c r="B7" s="76"/>
      <c r="C7" s="77"/>
      <c r="D7" s="78">
        <f t="shared" ref="D6:D17" si="10">IF(B7=0,0,B7/$B$18)</f>
        <v>0</v>
      </c>
      <c r="E7" s="79">
        <f t="shared" ref="E7:E17" si="11">B7-C7</f>
        <v>0</v>
      </c>
      <c r="F7" s="78">
        <f t="shared" si="0"/>
        <v>0</v>
      </c>
      <c r="G7" s="80"/>
      <c r="H7" s="80"/>
      <c r="I7" s="78">
        <f t="shared" si="1"/>
        <v>0</v>
      </c>
      <c r="J7" s="81">
        <f t="shared" ref="J7:J17" si="12">G7-H7</f>
        <v>0</v>
      </c>
      <c r="K7" s="78">
        <f t="shared" si="2"/>
        <v>0</v>
      </c>
      <c r="L7" s="82">
        <f t="shared" si="3"/>
        <v>0</v>
      </c>
      <c r="M7" s="82">
        <f t="shared" si="4"/>
        <v>0</v>
      </c>
      <c r="N7" s="82">
        <f t="shared" si="5"/>
        <v>0</v>
      </c>
      <c r="O7" s="83">
        <f t="shared" ref="O6:O17" si="13">IF(L7=0,0,L7/G7)</f>
        <v>0</v>
      </c>
      <c r="P7" s="83">
        <f t="shared" si="6"/>
        <v>0</v>
      </c>
      <c r="Q7" s="83">
        <f t="shared" si="7"/>
        <v>0</v>
      </c>
      <c r="R7" s="78">
        <f t="shared" si="8"/>
        <v>0</v>
      </c>
      <c r="S7" s="78">
        <f t="shared" si="9"/>
        <v>0</v>
      </c>
      <c r="T7" s="80"/>
    </row>
    <row r="8" spans="1:20">
      <c r="A8" s="54">
        <v>3</v>
      </c>
      <c r="B8" s="76"/>
      <c r="C8" s="77"/>
      <c r="D8" s="78">
        <f t="shared" si="10"/>
        <v>0</v>
      </c>
      <c r="E8" s="79">
        <f t="shared" si="11"/>
        <v>0</v>
      </c>
      <c r="F8" s="78">
        <f t="shared" si="0"/>
        <v>0</v>
      </c>
      <c r="G8" s="80"/>
      <c r="H8" s="80"/>
      <c r="I8" s="78">
        <f t="shared" si="1"/>
        <v>0</v>
      </c>
      <c r="J8" s="81">
        <f t="shared" si="12"/>
        <v>0</v>
      </c>
      <c r="K8" s="78">
        <f t="shared" si="2"/>
        <v>0</v>
      </c>
      <c r="L8" s="82">
        <f t="shared" si="3"/>
        <v>0</v>
      </c>
      <c r="M8" s="82">
        <f t="shared" si="4"/>
        <v>0</v>
      </c>
      <c r="N8" s="82">
        <f t="shared" si="5"/>
        <v>0</v>
      </c>
      <c r="O8" s="83">
        <f t="shared" si="13"/>
        <v>0</v>
      </c>
      <c r="P8" s="83">
        <f t="shared" si="6"/>
        <v>0</v>
      </c>
      <c r="Q8" s="83">
        <f t="shared" si="7"/>
        <v>0</v>
      </c>
      <c r="R8" s="78">
        <f t="shared" si="8"/>
        <v>0</v>
      </c>
      <c r="S8" s="78">
        <f t="shared" si="9"/>
        <v>0</v>
      </c>
      <c r="T8" s="80"/>
    </row>
    <row r="9" spans="1:20">
      <c r="A9" s="54">
        <v>4</v>
      </c>
      <c r="B9" s="76"/>
      <c r="C9" s="77"/>
      <c r="D9" s="78">
        <f t="shared" si="10"/>
        <v>0</v>
      </c>
      <c r="E9" s="79">
        <f t="shared" si="11"/>
        <v>0</v>
      </c>
      <c r="F9" s="78">
        <f t="shared" si="0"/>
        <v>0</v>
      </c>
      <c r="G9" s="80"/>
      <c r="H9" s="80"/>
      <c r="I9" s="78">
        <f t="shared" si="1"/>
        <v>0</v>
      </c>
      <c r="J9" s="81">
        <f t="shared" si="12"/>
        <v>0</v>
      </c>
      <c r="K9" s="78">
        <f t="shared" si="2"/>
        <v>0</v>
      </c>
      <c r="L9" s="82">
        <f t="shared" si="3"/>
        <v>0</v>
      </c>
      <c r="M9" s="82">
        <f t="shared" si="4"/>
        <v>0</v>
      </c>
      <c r="N9" s="82">
        <f t="shared" si="5"/>
        <v>0</v>
      </c>
      <c r="O9" s="83">
        <f t="shared" si="13"/>
        <v>0</v>
      </c>
      <c r="P9" s="83">
        <f t="shared" si="6"/>
        <v>0</v>
      </c>
      <c r="Q9" s="83">
        <f t="shared" si="7"/>
        <v>0</v>
      </c>
      <c r="R9" s="78">
        <f t="shared" si="8"/>
        <v>0</v>
      </c>
      <c r="S9" s="78">
        <f t="shared" si="9"/>
        <v>0</v>
      </c>
      <c r="T9" s="80"/>
    </row>
    <row r="10" spans="1:20">
      <c r="A10" s="54">
        <v>5</v>
      </c>
      <c r="B10" s="76"/>
      <c r="C10" s="77"/>
      <c r="D10" s="78">
        <f t="shared" si="10"/>
        <v>0</v>
      </c>
      <c r="E10" s="79">
        <f t="shared" si="11"/>
        <v>0</v>
      </c>
      <c r="F10" s="78">
        <f t="shared" si="0"/>
        <v>0</v>
      </c>
      <c r="G10" s="80"/>
      <c r="H10" s="80"/>
      <c r="I10" s="78">
        <f t="shared" si="1"/>
        <v>0</v>
      </c>
      <c r="J10" s="81">
        <f t="shared" si="12"/>
        <v>0</v>
      </c>
      <c r="K10" s="78">
        <f t="shared" si="2"/>
        <v>0</v>
      </c>
      <c r="L10" s="82">
        <f t="shared" si="3"/>
        <v>0</v>
      </c>
      <c r="M10" s="82">
        <f t="shared" si="4"/>
        <v>0</v>
      </c>
      <c r="N10" s="82">
        <f t="shared" si="5"/>
        <v>0</v>
      </c>
      <c r="O10" s="83">
        <f t="shared" si="13"/>
        <v>0</v>
      </c>
      <c r="P10" s="83">
        <f t="shared" si="6"/>
        <v>0</v>
      </c>
      <c r="Q10" s="83">
        <f t="shared" si="7"/>
        <v>0</v>
      </c>
      <c r="R10" s="78">
        <f t="shared" si="8"/>
        <v>0</v>
      </c>
      <c r="S10" s="78">
        <f t="shared" si="9"/>
        <v>0</v>
      </c>
      <c r="T10" s="80"/>
    </row>
    <row r="11" spans="1:20">
      <c r="A11" s="54">
        <v>6</v>
      </c>
      <c r="B11" s="76"/>
      <c r="C11" s="77"/>
      <c r="D11" s="78">
        <f t="shared" si="10"/>
        <v>0</v>
      </c>
      <c r="E11" s="79">
        <f t="shared" si="11"/>
        <v>0</v>
      </c>
      <c r="F11" s="78">
        <f t="shared" si="0"/>
        <v>0</v>
      </c>
      <c r="G11" s="80"/>
      <c r="H11" s="80"/>
      <c r="I11" s="78">
        <f t="shared" si="1"/>
        <v>0</v>
      </c>
      <c r="J11" s="81">
        <f t="shared" si="12"/>
        <v>0</v>
      </c>
      <c r="K11" s="78">
        <f t="shared" si="2"/>
        <v>0</v>
      </c>
      <c r="L11" s="82">
        <f t="shared" si="3"/>
        <v>0</v>
      </c>
      <c r="M11" s="82">
        <f t="shared" si="4"/>
        <v>0</v>
      </c>
      <c r="N11" s="82">
        <f t="shared" si="5"/>
        <v>0</v>
      </c>
      <c r="O11" s="83">
        <f t="shared" si="13"/>
        <v>0</v>
      </c>
      <c r="P11" s="83">
        <f t="shared" si="6"/>
        <v>0</v>
      </c>
      <c r="Q11" s="83">
        <f t="shared" si="7"/>
        <v>0</v>
      </c>
      <c r="R11" s="78">
        <f t="shared" si="8"/>
        <v>0</v>
      </c>
      <c r="S11" s="78">
        <f t="shared" si="9"/>
        <v>0</v>
      </c>
      <c r="T11" s="80"/>
    </row>
    <row r="12" spans="1:20">
      <c r="A12" s="54">
        <v>7</v>
      </c>
      <c r="B12" s="76"/>
      <c r="C12" s="77"/>
      <c r="D12" s="78">
        <f t="shared" si="10"/>
        <v>0</v>
      </c>
      <c r="E12" s="79">
        <f t="shared" si="11"/>
        <v>0</v>
      </c>
      <c r="F12" s="78">
        <f t="shared" si="0"/>
        <v>0</v>
      </c>
      <c r="G12" s="80"/>
      <c r="H12" s="80"/>
      <c r="I12" s="78">
        <f t="shared" si="1"/>
        <v>0</v>
      </c>
      <c r="J12" s="81">
        <f t="shared" si="12"/>
        <v>0</v>
      </c>
      <c r="K12" s="78">
        <f t="shared" si="2"/>
        <v>0</v>
      </c>
      <c r="L12" s="82">
        <f t="shared" si="3"/>
        <v>0</v>
      </c>
      <c r="M12" s="82">
        <f t="shared" si="4"/>
        <v>0</v>
      </c>
      <c r="N12" s="82">
        <f t="shared" si="5"/>
        <v>0</v>
      </c>
      <c r="O12" s="83">
        <f t="shared" si="13"/>
        <v>0</v>
      </c>
      <c r="P12" s="83">
        <f t="shared" si="6"/>
        <v>0</v>
      </c>
      <c r="Q12" s="83">
        <f t="shared" si="7"/>
        <v>0</v>
      </c>
      <c r="R12" s="78">
        <f t="shared" si="8"/>
        <v>0</v>
      </c>
      <c r="S12" s="78">
        <f t="shared" si="9"/>
        <v>0</v>
      </c>
      <c r="T12" s="80"/>
    </row>
    <row r="13" spans="1:20">
      <c r="A13" s="54">
        <v>8</v>
      </c>
      <c r="B13" s="76"/>
      <c r="C13" s="77"/>
      <c r="D13" s="78">
        <f t="shared" si="10"/>
        <v>0</v>
      </c>
      <c r="E13" s="79">
        <f t="shared" si="11"/>
        <v>0</v>
      </c>
      <c r="F13" s="78">
        <f t="shared" si="0"/>
        <v>0</v>
      </c>
      <c r="G13" s="80"/>
      <c r="H13" s="80"/>
      <c r="I13" s="78">
        <f t="shared" si="1"/>
        <v>0</v>
      </c>
      <c r="J13" s="81">
        <f t="shared" si="12"/>
        <v>0</v>
      </c>
      <c r="K13" s="78">
        <f t="shared" si="2"/>
        <v>0</v>
      </c>
      <c r="L13" s="82">
        <f t="shared" si="3"/>
        <v>0</v>
      </c>
      <c r="M13" s="82">
        <f t="shared" si="4"/>
        <v>0</v>
      </c>
      <c r="N13" s="82">
        <f t="shared" si="5"/>
        <v>0</v>
      </c>
      <c r="O13" s="83">
        <f t="shared" si="13"/>
        <v>0</v>
      </c>
      <c r="P13" s="83">
        <f t="shared" si="6"/>
        <v>0</v>
      </c>
      <c r="Q13" s="83">
        <f t="shared" si="7"/>
        <v>0</v>
      </c>
      <c r="R13" s="78">
        <f t="shared" si="8"/>
        <v>0</v>
      </c>
      <c r="S13" s="78">
        <f t="shared" si="9"/>
        <v>0</v>
      </c>
      <c r="T13" s="80"/>
    </row>
    <row r="14" spans="1:20">
      <c r="A14" s="54">
        <v>9</v>
      </c>
      <c r="B14" s="76"/>
      <c r="C14" s="77"/>
      <c r="D14" s="78">
        <f t="shared" si="10"/>
        <v>0</v>
      </c>
      <c r="E14" s="79">
        <f t="shared" si="11"/>
        <v>0</v>
      </c>
      <c r="F14" s="78">
        <f t="shared" si="0"/>
        <v>0</v>
      </c>
      <c r="G14" s="80"/>
      <c r="H14" s="80"/>
      <c r="I14" s="78">
        <f t="shared" si="1"/>
        <v>0</v>
      </c>
      <c r="J14" s="81">
        <f t="shared" si="12"/>
        <v>0</v>
      </c>
      <c r="K14" s="78">
        <f t="shared" si="2"/>
        <v>0</v>
      </c>
      <c r="L14" s="82">
        <f t="shared" si="3"/>
        <v>0</v>
      </c>
      <c r="M14" s="82">
        <f t="shared" si="4"/>
        <v>0</v>
      </c>
      <c r="N14" s="82">
        <f t="shared" si="5"/>
        <v>0</v>
      </c>
      <c r="O14" s="83">
        <f t="shared" si="13"/>
        <v>0</v>
      </c>
      <c r="P14" s="83">
        <f t="shared" si="6"/>
        <v>0</v>
      </c>
      <c r="Q14" s="83">
        <f t="shared" si="7"/>
        <v>0</v>
      </c>
      <c r="R14" s="78">
        <f t="shared" si="8"/>
        <v>0</v>
      </c>
      <c r="S14" s="78">
        <f t="shared" si="9"/>
        <v>0</v>
      </c>
      <c r="T14" s="80"/>
    </row>
    <row r="15" spans="1:20">
      <c r="A15" s="54">
        <v>10</v>
      </c>
      <c r="B15" s="76"/>
      <c r="C15" s="77"/>
      <c r="D15" s="78">
        <f t="shared" si="10"/>
        <v>0</v>
      </c>
      <c r="E15" s="79">
        <f t="shared" si="11"/>
        <v>0</v>
      </c>
      <c r="F15" s="78">
        <f t="shared" si="0"/>
        <v>0</v>
      </c>
      <c r="G15" s="80"/>
      <c r="H15" s="80"/>
      <c r="I15" s="78">
        <f t="shared" si="1"/>
        <v>0</v>
      </c>
      <c r="J15" s="81">
        <f t="shared" si="12"/>
        <v>0</v>
      </c>
      <c r="K15" s="78">
        <f t="shared" si="2"/>
        <v>0</v>
      </c>
      <c r="L15" s="82">
        <f t="shared" si="3"/>
        <v>0</v>
      </c>
      <c r="M15" s="82">
        <f t="shared" si="4"/>
        <v>0</v>
      </c>
      <c r="N15" s="82">
        <f t="shared" si="5"/>
        <v>0</v>
      </c>
      <c r="O15" s="83">
        <f t="shared" si="13"/>
        <v>0</v>
      </c>
      <c r="P15" s="83">
        <f t="shared" si="6"/>
        <v>0</v>
      </c>
      <c r="Q15" s="83">
        <f t="shared" si="7"/>
        <v>0</v>
      </c>
      <c r="R15" s="78">
        <f t="shared" si="8"/>
        <v>0</v>
      </c>
      <c r="S15" s="78">
        <f t="shared" si="9"/>
        <v>0</v>
      </c>
      <c r="T15" s="80"/>
    </row>
    <row r="16" spans="1:20">
      <c r="A16" s="54">
        <v>11</v>
      </c>
      <c r="B16" s="76"/>
      <c r="C16" s="77"/>
      <c r="D16" s="78">
        <f t="shared" si="10"/>
        <v>0</v>
      </c>
      <c r="E16" s="79">
        <f t="shared" si="11"/>
        <v>0</v>
      </c>
      <c r="F16" s="78">
        <f t="shared" si="0"/>
        <v>0</v>
      </c>
      <c r="G16" s="80"/>
      <c r="H16" s="80"/>
      <c r="I16" s="78">
        <f t="shared" si="1"/>
        <v>0</v>
      </c>
      <c r="J16" s="81">
        <f t="shared" si="12"/>
        <v>0</v>
      </c>
      <c r="K16" s="78">
        <f t="shared" si="2"/>
        <v>0</v>
      </c>
      <c r="L16" s="82">
        <f t="shared" si="3"/>
        <v>0</v>
      </c>
      <c r="M16" s="82">
        <f t="shared" si="4"/>
        <v>0</v>
      </c>
      <c r="N16" s="82">
        <f t="shared" si="5"/>
        <v>0</v>
      </c>
      <c r="O16" s="83">
        <f t="shared" si="13"/>
        <v>0</v>
      </c>
      <c r="P16" s="83">
        <f t="shared" si="6"/>
        <v>0</v>
      </c>
      <c r="Q16" s="83">
        <f t="shared" si="7"/>
        <v>0</v>
      </c>
      <c r="R16" s="78">
        <f t="shared" si="8"/>
        <v>0</v>
      </c>
      <c r="S16" s="78">
        <f t="shared" si="9"/>
        <v>0</v>
      </c>
      <c r="T16" s="80"/>
    </row>
    <row r="17" spans="1:20">
      <c r="A17" s="54">
        <v>12</v>
      </c>
      <c r="B17" s="76"/>
      <c r="C17" s="76"/>
      <c r="D17" s="78">
        <f t="shared" si="10"/>
        <v>0</v>
      </c>
      <c r="E17" s="79">
        <f t="shared" si="11"/>
        <v>0</v>
      </c>
      <c r="F17" s="78">
        <f t="shared" si="0"/>
        <v>0</v>
      </c>
      <c r="G17" s="80"/>
      <c r="H17" s="80"/>
      <c r="I17" s="78">
        <f t="shared" si="1"/>
        <v>0</v>
      </c>
      <c r="J17" s="81">
        <f t="shared" si="12"/>
        <v>0</v>
      </c>
      <c r="K17" s="78">
        <f t="shared" si="2"/>
        <v>0</v>
      </c>
      <c r="L17" s="82">
        <f t="shared" si="3"/>
        <v>0</v>
      </c>
      <c r="M17" s="82">
        <f t="shared" si="4"/>
        <v>0</v>
      </c>
      <c r="N17" s="82">
        <f t="shared" si="5"/>
        <v>0</v>
      </c>
      <c r="O17" s="83">
        <f t="shared" si="13"/>
        <v>0</v>
      </c>
      <c r="P17" s="83">
        <f t="shared" si="6"/>
        <v>0</v>
      </c>
      <c r="Q17" s="83">
        <f t="shared" si="7"/>
        <v>0</v>
      </c>
      <c r="R17" s="78">
        <f t="shared" si="8"/>
        <v>0</v>
      </c>
      <c r="S17" s="78">
        <f t="shared" si="9"/>
        <v>0</v>
      </c>
      <c r="T17" s="80"/>
    </row>
    <row r="18" ht="17" customHeight="1" spans="1:20">
      <c r="A18" s="84" t="s">
        <v>217</v>
      </c>
      <c r="B18" s="85">
        <f t="shared" ref="B18:H18" si="14">SUM(B6:B17)</f>
        <v>0</v>
      </c>
      <c r="C18" s="85">
        <f t="shared" si="14"/>
        <v>0</v>
      </c>
      <c r="D18" s="86"/>
      <c r="E18" s="85">
        <f>SUM(E6:E17)</f>
        <v>0</v>
      </c>
      <c r="F18" s="87"/>
      <c r="G18" s="85">
        <f t="shared" si="14"/>
        <v>0</v>
      </c>
      <c r="H18" s="85">
        <f t="shared" si="14"/>
        <v>0</v>
      </c>
      <c r="I18" s="86"/>
      <c r="J18" s="85">
        <f>SUM(J6:J17)</f>
        <v>0</v>
      </c>
      <c r="K18" s="87"/>
      <c r="L18" s="85">
        <f>SUM(L6:L17)</f>
        <v>0</v>
      </c>
      <c r="M18" s="85">
        <f>SUM(M6:M17)</f>
        <v>0</v>
      </c>
      <c r="N18" s="85">
        <f>SUM(N6:N17)</f>
        <v>0</v>
      </c>
      <c r="O18" s="83">
        <f>IF(B18-G18=0,0,(B18-G18)/G18)</f>
        <v>0</v>
      </c>
      <c r="P18" s="83">
        <f>IF(C18-H18=0,0,(C18-H18)/H18)</f>
        <v>0</v>
      </c>
      <c r="Q18" s="83">
        <f>IF(C18-H18=0,0,(C18-H18)/H18)</f>
        <v>0</v>
      </c>
      <c r="R18" s="88"/>
      <c r="S18" s="78">
        <f t="shared" si="9"/>
        <v>0</v>
      </c>
      <c r="T18" s="80"/>
    </row>
    <row r="20" ht="17" customHeight="1" spans="1:20">
      <c r="B20" s="29" t="s">
        <v>218</v>
      </c>
    </row>
    <row r="21" ht="17" customHeight="1"/>
    <row r="22" ht="17" customHeight="1"/>
    <row r="23" ht="17" customHeight="1"/>
  </sheetData>
  <mergeCells count="7">
    <mergeCell ref="A1:T1"/>
    <mergeCell ref="B4:F4"/>
    <mergeCell ref="G4:K4"/>
    <mergeCell ref="L4:N4"/>
    <mergeCell ref="O4:S4"/>
    <mergeCell ref="A4:A5"/>
    <mergeCell ref="T4:T5"/>
  </mergeCells>
  <conditionalFormatting sqref="O6:S6">
    <cfRule type="cellIs" dxfId="0" priority="8" operator="greaterThanOrEqual">
      <formula>0.3</formula>
    </cfRule>
    <cfRule type="cellIs" dxfId="0" priority="7" operator="lessThanOrEqual">
      <formula>-0.3</formula>
    </cfRule>
  </conditionalFormatting>
  <conditionalFormatting sqref="Q18">
    <cfRule type="cellIs" dxfId="0" priority="2" operator="greaterThanOrEqual">
      <formula>0.3</formula>
    </cfRule>
    <cfRule type="cellIs" dxfId="0" priority="1" operator="lessThanOrEqual">
      <formula>-0.3</formula>
    </cfRule>
  </conditionalFormatting>
  <conditionalFormatting sqref="O7:S17">
    <cfRule type="cellIs" dxfId="0" priority="6" operator="greaterThanOrEqual">
      <formula>0.3</formula>
    </cfRule>
    <cfRule type="cellIs" dxfId="0" priority="5" operator="lessThanOrEqual">
      <formula>-0.3</formula>
    </cfRule>
  </conditionalFormatting>
  <conditionalFormatting sqref="O18:P18 S18">
    <cfRule type="cellIs" dxfId="0" priority="4" operator="greaterThanOrEqual">
      <formula>0.3</formula>
    </cfRule>
    <cfRule type="cellIs" dxfId="0" priority="3" operator="lessThanOrEqual">
      <formula>-0.3</formula>
    </cfRule>
  </conditionalFormatting>
  <pageMargins left="0.75" right="0.75" top="1" bottom="1" header="0.5" footer="0.5"/>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8"/>
  <dimension ref="A1:I26"/>
  <sheetViews>
    <sheetView zoomScale="90" zoomScaleNormal="90" workbookViewId="0">
      <pane ySplit="5" topLeftCell="A6" activePane="bottomLeft" state="frozen"/>
      <selection/>
      <selection pane="bottomLeft" activeCell="B15" sqref="B15"/>
    </sheetView>
  </sheetViews>
  <sheetFormatPr defaultColWidth="8.73148148148148" defaultRowHeight="14.4"/>
  <cols>
    <col min="1" max="1" width="7" customWidth="1"/>
    <col min="2" max="2" width="27.6388888888889" customWidth="1"/>
    <col min="3" max="3" width="14.1851851851852" customWidth="1"/>
    <col min="4" max="4" width="13.5462962962963" customWidth="1"/>
    <col min="5" max="5" width="11.6388888888889" customWidth="1"/>
    <col min="6" max="6" width="11.4537037037037" customWidth="1"/>
    <col min="7" max="7" width="12.4537037037037" customWidth="1"/>
    <col min="8" max="8" width="20.1851851851852" customWidth="1"/>
  </cols>
  <sheetData>
    <row r="1" ht="20.4" spans="1:9">
      <c r="A1" s="1" t="s">
        <v>67</v>
      </c>
      <c r="B1" s="1"/>
      <c r="C1" s="1"/>
      <c r="D1" s="1"/>
      <c r="E1" s="1"/>
      <c r="F1" s="1"/>
      <c r="G1" s="1"/>
      <c r="H1" s="1"/>
    </row>
    <row r="2" spans="1:9">
      <c r="A2" s="2" t="str">
        <f>备忘录!$A$1</f>
        <v>被审计单位：福禄福擎网络科技有限公司</v>
      </c>
      <c r="B2" s="3"/>
      <c r="C2" s="3"/>
      <c r="D2" s="4" t="s">
        <v>193</v>
      </c>
      <c r="F2" s="3"/>
      <c r="G2" s="4" t="str">
        <f>备忘录!$C$2</f>
        <v>日期：2025/10/30</v>
      </c>
      <c r="I2" t="s">
        <v>620</v>
      </c>
    </row>
    <row r="3" spans="1:9">
      <c r="A3" s="2" t="str">
        <f>备忘录!A3</f>
        <v>财务报表期间：2025.1-2025.9</v>
      </c>
      <c r="B3" s="3"/>
      <c r="C3" s="3"/>
      <c r="D3" s="4" t="s">
        <v>194</v>
      </c>
      <c r="F3" s="3"/>
      <c r="G3" s="4" t="str">
        <f>备忘录!$C$3</f>
        <v>日期：2025/10/31</v>
      </c>
    </row>
    <row r="4" s="30" customFormat="1" spans="1:9">
      <c r="A4" s="7" t="s">
        <v>77</v>
      </c>
      <c r="B4" s="7" t="s">
        <v>78</v>
      </c>
      <c r="C4" s="7" t="s">
        <v>580</v>
      </c>
      <c r="D4" s="7" t="s">
        <v>581</v>
      </c>
      <c r="E4" s="7" t="s">
        <v>621</v>
      </c>
      <c r="F4" s="8" t="s">
        <v>622</v>
      </c>
      <c r="G4" s="8" t="s">
        <v>623</v>
      </c>
      <c r="H4" s="9" t="s">
        <v>624</v>
      </c>
    </row>
    <row r="5" s="30" customFormat="1" spans="1:9">
      <c r="A5" s="12"/>
      <c r="B5" s="12"/>
      <c r="C5" s="12"/>
      <c r="D5" s="12"/>
      <c r="E5" s="13"/>
      <c r="F5" s="14"/>
      <c r="G5" s="14"/>
      <c r="H5" s="15"/>
    </row>
    <row r="6" s="30" customFormat="1" ht="15" customHeight="1" spans="1:9">
      <c r="A6" s="54">
        <v>1</v>
      </c>
      <c r="B6" s="62" t="s">
        <v>625</v>
      </c>
      <c r="C6" s="17"/>
      <c r="D6" s="17"/>
      <c r="E6" s="18">
        <f>IF($C$22=0,0,C6/$C$22)</f>
        <v>0</v>
      </c>
      <c r="F6" s="19">
        <f>ROUND(C6-D6,2)</f>
        <v>0</v>
      </c>
      <c r="G6" s="20" t="e">
        <f>ROUND(F6/D6,2)</f>
        <v>#DIV/0!</v>
      </c>
      <c r="H6" s="56"/>
    </row>
    <row r="7" s="30" customFormat="1" ht="15" customHeight="1" spans="1:9">
      <c r="A7" s="54">
        <v>2</v>
      </c>
      <c r="B7" s="62" t="s">
        <v>626</v>
      </c>
      <c r="C7" s="17"/>
      <c r="D7" s="17"/>
      <c r="E7" s="18">
        <f>IF($C$22=0,0,C7/$C$22)</f>
        <v>0</v>
      </c>
      <c r="F7" s="19">
        <f>ROUND(C7-D7,2)</f>
        <v>0</v>
      </c>
      <c r="G7" s="20" t="e">
        <f>ROUND(F7/D7,2)</f>
        <v>#DIV/0!</v>
      </c>
      <c r="H7" s="56"/>
    </row>
    <row r="8" s="30" customFormat="1" ht="15" customHeight="1" spans="1:9">
      <c r="A8" s="54">
        <v>3</v>
      </c>
      <c r="B8" s="62" t="s">
        <v>627</v>
      </c>
      <c r="C8" s="17"/>
      <c r="D8" s="17"/>
      <c r="E8" s="18">
        <f>IF($C$22=0,0,C8/$C$22)</f>
        <v>0</v>
      </c>
      <c r="F8" s="19">
        <f>ROUND(C8-D8,2)</f>
        <v>0</v>
      </c>
      <c r="G8" s="20" t="e">
        <f>ROUND(F8/D8,2)</f>
        <v>#DIV/0!</v>
      </c>
      <c r="H8" s="56"/>
    </row>
    <row r="9" s="30" customFormat="1" ht="15" customHeight="1" spans="1:9">
      <c r="A9" s="54">
        <v>4</v>
      </c>
      <c r="B9" s="62" t="s">
        <v>628</v>
      </c>
      <c r="C9" s="17"/>
      <c r="D9" s="17"/>
      <c r="E9" s="18">
        <f>IF($C$22=0,0,C9/$C$22)</f>
        <v>0</v>
      </c>
      <c r="F9" s="19">
        <f>ROUND(C9-D9,2)</f>
        <v>0</v>
      </c>
      <c r="G9" s="20" t="e">
        <f>ROUND(F9/D9,2)</f>
        <v>#DIV/0!</v>
      </c>
      <c r="H9" s="56"/>
    </row>
    <row r="10" s="30" customFormat="1" spans="1:9">
      <c r="A10" s="54">
        <v>5</v>
      </c>
      <c r="B10" s="62" t="s">
        <v>629</v>
      </c>
      <c r="C10" s="17"/>
      <c r="D10" s="17"/>
      <c r="E10" s="18">
        <f>IF($C$22=0,0,C10/$C$22)</f>
        <v>0</v>
      </c>
      <c r="F10" s="19">
        <f>ROUND(C10-D10,2)</f>
        <v>0</v>
      </c>
      <c r="G10" s="20" t="e">
        <f>ROUND(F10/D10,2)</f>
        <v>#DIV/0!</v>
      </c>
      <c r="H10" s="56"/>
    </row>
    <row r="11" s="30" customFormat="1" spans="1:9">
      <c r="A11" s="54">
        <v>6</v>
      </c>
      <c r="B11" s="62" t="s">
        <v>630</v>
      </c>
      <c r="C11" s="17"/>
      <c r="D11" s="17"/>
      <c r="E11" s="18">
        <f t="shared" ref="E11:E21" si="0">IF($C$22=0,0,C11/$C$22)</f>
        <v>0</v>
      </c>
      <c r="F11" s="19">
        <f t="shared" ref="F11:F21" si="1">ROUND(C11-D11,2)</f>
        <v>0</v>
      </c>
      <c r="G11" s="20" t="e">
        <f t="shared" ref="G11:G21" si="2">ROUND(F11/D11,2)</f>
        <v>#DIV/0!</v>
      </c>
      <c r="H11" s="56"/>
    </row>
    <row r="12" s="30" customFormat="1" spans="1:9">
      <c r="A12" s="54">
        <v>7</v>
      </c>
      <c r="B12" s="63"/>
      <c r="C12" s="17"/>
      <c r="D12" s="17"/>
      <c r="E12" s="18">
        <f t="shared" si="0"/>
        <v>0</v>
      </c>
      <c r="F12" s="19">
        <f t="shared" si="1"/>
        <v>0</v>
      </c>
      <c r="G12" s="20" t="e">
        <f t="shared" si="2"/>
        <v>#DIV/0!</v>
      </c>
      <c r="H12" s="56"/>
    </row>
    <row r="13" s="30" customFormat="1" spans="1:9">
      <c r="A13" s="54">
        <v>8</v>
      </c>
      <c r="B13" s="63"/>
      <c r="C13" s="17"/>
      <c r="D13" s="17"/>
      <c r="E13" s="18">
        <f t="shared" si="0"/>
        <v>0</v>
      </c>
      <c r="F13" s="19">
        <f t="shared" si="1"/>
        <v>0</v>
      </c>
      <c r="G13" s="20" t="e">
        <f t="shared" si="2"/>
        <v>#DIV/0!</v>
      </c>
      <c r="H13" s="56"/>
    </row>
    <row r="14" s="30" customFormat="1" spans="1:9">
      <c r="A14" s="54">
        <v>9</v>
      </c>
      <c r="B14" s="63"/>
      <c r="C14" s="17"/>
      <c r="D14" s="17"/>
      <c r="E14" s="18">
        <f t="shared" si="0"/>
        <v>0</v>
      </c>
      <c r="F14" s="19">
        <f t="shared" si="1"/>
        <v>0</v>
      </c>
      <c r="G14" s="20" t="e">
        <f t="shared" si="2"/>
        <v>#DIV/0!</v>
      </c>
      <c r="H14" s="56"/>
    </row>
    <row r="15" s="30" customFormat="1" spans="1:9">
      <c r="A15" s="54">
        <v>10</v>
      </c>
      <c r="B15" s="57"/>
      <c r="C15" s="17"/>
      <c r="D15" s="17"/>
      <c r="E15" s="18">
        <f t="shared" si="0"/>
        <v>0</v>
      </c>
      <c r="F15" s="19">
        <f t="shared" si="1"/>
        <v>0</v>
      </c>
      <c r="G15" s="20" t="e">
        <f t="shared" si="2"/>
        <v>#DIV/0!</v>
      </c>
      <c r="H15" s="56"/>
    </row>
    <row r="16" s="30" customFormat="1" spans="1:9">
      <c r="A16" s="54">
        <v>11</v>
      </c>
      <c r="B16" s="57"/>
      <c r="C16" s="17"/>
      <c r="D16" s="17"/>
      <c r="E16" s="18">
        <f t="shared" si="0"/>
        <v>0</v>
      </c>
      <c r="F16" s="19">
        <f t="shared" si="1"/>
        <v>0</v>
      </c>
      <c r="G16" s="20" t="e">
        <f t="shared" si="2"/>
        <v>#DIV/0!</v>
      </c>
      <c r="H16" s="56"/>
    </row>
    <row r="17" s="30" customFormat="1" spans="1:8">
      <c r="A17" s="54">
        <v>12</v>
      </c>
      <c r="B17" s="57"/>
      <c r="C17" s="17"/>
      <c r="D17" s="17"/>
      <c r="E17" s="18">
        <f t="shared" si="0"/>
        <v>0</v>
      </c>
      <c r="F17" s="19">
        <f t="shared" si="1"/>
        <v>0</v>
      </c>
      <c r="G17" s="20" t="e">
        <f t="shared" si="2"/>
        <v>#DIV/0!</v>
      </c>
      <c r="H17" s="56"/>
    </row>
    <row r="18" s="30" customFormat="1" spans="1:8">
      <c r="A18" s="54">
        <v>13</v>
      </c>
      <c r="B18" s="57"/>
      <c r="C18" s="17"/>
      <c r="D18" s="17"/>
      <c r="E18" s="18">
        <f t="shared" si="0"/>
        <v>0</v>
      </c>
      <c r="F18" s="19">
        <f t="shared" si="1"/>
        <v>0</v>
      </c>
      <c r="G18" s="20" t="e">
        <f t="shared" si="2"/>
        <v>#DIV/0!</v>
      </c>
      <c r="H18" s="56"/>
    </row>
    <row r="19" s="30" customFormat="1" spans="1:8">
      <c r="A19" s="54">
        <v>14</v>
      </c>
      <c r="B19" s="57"/>
      <c r="C19" s="17"/>
      <c r="D19" s="17"/>
      <c r="E19" s="18">
        <f t="shared" si="0"/>
        <v>0</v>
      </c>
      <c r="F19" s="19">
        <f t="shared" si="1"/>
        <v>0</v>
      </c>
      <c r="G19" s="20" t="e">
        <f t="shared" si="2"/>
        <v>#DIV/0!</v>
      </c>
      <c r="H19" s="56"/>
    </row>
    <row r="20" s="30" customFormat="1" spans="1:8">
      <c r="A20" s="54">
        <v>15</v>
      </c>
      <c r="B20" s="57"/>
      <c r="C20" s="17"/>
      <c r="D20" s="17"/>
      <c r="E20" s="18">
        <f t="shared" si="0"/>
        <v>0</v>
      </c>
      <c r="F20" s="19">
        <f t="shared" si="1"/>
        <v>0</v>
      </c>
      <c r="G20" s="20" t="e">
        <f t="shared" si="2"/>
        <v>#DIV/0!</v>
      </c>
      <c r="H20" s="56"/>
    </row>
    <row r="21" s="30" customFormat="1" spans="1:8">
      <c r="A21" s="54">
        <v>16</v>
      </c>
      <c r="B21" s="57"/>
      <c r="C21" s="17"/>
      <c r="D21" s="17"/>
      <c r="E21" s="18">
        <f t="shared" si="0"/>
        <v>0</v>
      </c>
      <c r="F21" s="19">
        <f t="shared" si="1"/>
        <v>0</v>
      </c>
      <c r="G21" s="20" t="e">
        <f t="shared" si="2"/>
        <v>#DIV/0!</v>
      </c>
      <c r="H21" s="56"/>
    </row>
    <row r="22" s="32" customFormat="1" ht="16" customHeight="1" spans="1:8">
      <c r="A22" s="23" t="s">
        <v>217</v>
      </c>
      <c r="B22" s="58"/>
      <c r="C22" s="25">
        <f>SUM(C6:C21)</f>
        <v>0</v>
      </c>
      <c r="D22" s="25">
        <f>SUM(D6:D21)</f>
        <v>0</v>
      </c>
      <c r="E22" s="64"/>
      <c r="F22" s="26">
        <f>SUM(F6:F21)</f>
        <v>0</v>
      </c>
      <c r="G22" s="65"/>
      <c r="H22" s="59"/>
    </row>
    <row r="24" ht="22" customHeight="1" spans="1:8">
      <c r="B24" s="29" t="s">
        <v>218</v>
      </c>
    </row>
    <row r="25" ht="17" customHeight="1"/>
    <row r="26" ht="17" customHeight="1"/>
  </sheetData>
  <autoFilter xmlns:etc="http://www.wps.cn/officeDocument/2017/etCustomData" ref="A5:C87" etc:filterBottomFollowUsedRange="0">
    <extLst/>
  </autoFilter>
  <mergeCells count="9">
    <mergeCell ref="A1:H1"/>
    <mergeCell ref="A4:A5"/>
    <mergeCell ref="B4:B5"/>
    <mergeCell ref="C4:C5"/>
    <mergeCell ref="D4:D5"/>
    <mergeCell ref="E4:E5"/>
    <mergeCell ref="F4:F5"/>
    <mergeCell ref="G4:G5"/>
    <mergeCell ref="H4:H5"/>
  </mergeCells>
  <conditionalFormatting sqref="E6">
    <cfRule type="cellIs" dxfId="1" priority="8" stopIfTrue="1" operator="greaterThanOrEqual">
      <formula>0.2</formula>
    </cfRule>
  </conditionalFormatting>
  <conditionalFormatting sqref="E16">
    <cfRule type="cellIs" dxfId="1" priority="6" stopIfTrue="1" operator="greaterThanOrEqual">
      <formula>0.2</formula>
    </cfRule>
  </conditionalFormatting>
  <conditionalFormatting sqref="E17">
    <cfRule type="cellIs" dxfId="1" priority="5" stopIfTrue="1" operator="greaterThanOrEqual">
      <formula>0.2</formula>
    </cfRule>
  </conditionalFormatting>
  <conditionalFormatting sqref="E18">
    <cfRule type="cellIs" dxfId="1" priority="4" stopIfTrue="1" operator="greaterThanOrEqual">
      <formula>0.2</formula>
    </cfRule>
  </conditionalFormatting>
  <conditionalFormatting sqref="E19">
    <cfRule type="cellIs" dxfId="1" priority="3" stopIfTrue="1" operator="greaterThanOrEqual">
      <formula>0.2</formula>
    </cfRule>
  </conditionalFormatting>
  <conditionalFormatting sqref="E20">
    <cfRule type="cellIs" dxfId="1" priority="2" stopIfTrue="1" operator="greaterThanOrEqual">
      <formula>0.2</formula>
    </cfRule>
  </conditionalFormatting>
  <conditionalFormatting sqref="E21">
    <cfRule type="cellIs" dxfId="1" priority="1" stopIfTrue="1" operator="greaterThanOrEqual">
      <formula>0.2</formula>
    </cfRule>
  </conditionalFormatting>
  <conditionalFormatting sqref="E7:E15">
    <cfRule type="cellIs" dxfId="1" priority="7" stopIfTrue="1" operator="greaterThanOrEqual">
      <formula>0.2</formula>
    </cfRule>
  </conditionalFormatting>
  <pageMargins left="0.75" right="0.75" top="1" bottom="1" header="0.5" footer="0.5"/>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9"/>
  <dimension ref="A1:K25"/>
  <sheetViews>
    <sheetView zoomScale="90" zoomScaleNormal="90" workbookViewId="0">
      <pane ySplit="8" topLeftCell="A9" activePane="bottomLeft" state="frozen"/>
      <selection/>
      <selection pane="bottomLeft" activeCell="A6" sqref="$A6:$XFD8"/>
    </sheetView>
  </sheetViews>
  <sheetFormatPr defaultColWidth="8.73148148148148" defaultRowHeight="14.4"/>
  <cols>
    <col min="1" max="1" width="7.06481481481481" customWidth="1"/>
    <col min="2" max="2" width="16.3611111111111" customWidth="1"/>
    <col min="3" max="3" width="14.3425925925926" customWidth="1"/>
    <col min="4" max="4" width="15.0925925925926" customWidth="1"/>
    <col min="5" max="5" width="12.5462962962963" customWidth="1"/>
    <col min="6" max="6" width="13.6388888888889" customWidth="1"/>
    <col min="7" max="7" width="13.6851851851852" customWidth="1"/>
    <col min="8" max="8" width="13.037037037037" customWidth="1"/>
    <col min="9" max="9" width="12.9074074074074" customWidth="1"/>
    <col min="10" max="10" width="13.7314814814815" customWidth="1"/>
    <col min="11" max="11" width="21.9074074074074" customWidth="1"/>
  </cols>
  <sheetData>
    <row r="1" ht="23" customHeight="1" spans="1:11">
      <c r="B1" s="1" t="s">
        <v>631</v>
      </c>
      <c r="C1" s="1"/>
      <c r="D1" s="1"/>
      <c r="E1" s="1"/>
      <c r="F1" s="1"/>
      <c r="G1" s="1"/>
      <c r="H1" s="1"/>
      <c r="I1" s="1"/>
      <c r="J1" s="1"/>
      <c r="K1" s="1"/>
    </row>
    <row r="2" spans="1:11">
      <c r="A2" s="2" t="str">
        <f>备忘录!$A$1</f>
        <v>被审计单位：福禄福擎网络科技有限公司</v>
      </c>
      <c r="C2" s="3"/>
      <c r="F2" s="3" t="s">
        <v>193</v>
      </c>
      <c r="G2" s="3"/>
      <c r="H2" s="4"/>
      <c r="I2" s="4" t="str">
        <f>备忘录!$C$2</f>
        <v>日期：2025/10/30</v>
      </c>
    </row>
    <row r="3" spans="1:11">
      <c r="A3" s="2" t="str">
        <f>备忘录!A3</f>
        <v>财务报表期间：2025.1-2025.9</v>
      </c>
      <c r="C3" s="3"/>
      <c r="F3" s="3" t="s">
        <v>194</v>
      </c>
      <c r="G3" s="3"/>
      <c r="H3" s="4"/>
      <c r="I3" s="4" t="str">
        <f>备忘录!$C$3</f>
        <v>日期：2025/10/31</v>
      </c>
    </row>
    <row r="4" ht="17" customHeight="1" spans="1:11">
      <c r="A4" s="60" t="s">
        <v>77</v>
      </c>
      <c r="B4" s="7" t="s">
        <v>78</v>
      </c>
      <c r="C4" s="36" t="s">
        <v>580</v>
      </c>
      <c r="D4" s="37"/>
      <c r="E4" s="37"/>
      <c r="F4" s="36" t="s">
        <v>581</v>
      </c>
      <c r="G4" s="37"/>
      <c r="H4" s="37"/>
      <c r="I4" s="38" t="s">
        <v>632</v>
      </c>
      <c r="J4" s="38" t="s">
        <v>633</v>
      </c>
      <c r="K4" s="38" t="s">
        <v>634</v>
      </c>
    </row>
    <row r="5" ht="24" spans="1:11">
      <c r="A5" s="60"/>
      <c r="B5" s="12"/>
      <c r="C5" s="40" t="s">
        <v>635</v>
      </c>
      <c r="D5" s="38" t="s">
        <v>636</v>
      </c>
      <c r="E5" s="38" t="s">
        <v>637</v>
      </c>
      <c r="F5" s="41" t="s">
        <v>638</v>
      </c>
      <c r="G5" s="38" t="s">
        <v>636</v>
      </c>
      <c r="H5" s="38" t="s">
        <v>637</v>
      </c>
      <c r="I5" s="38"/>
      <c r="J5" s="38"/>
      <c r="K5" s="38"/>
    </row>
    <row r="6" spans="1:11">
      <c r="A6" s="46"/>
      <c r="B6" s="43" t="s">
        <v>639</v>
      </c>
      <c r="C6" s="44">
        <f>营业收入!D24</f>
        <v>0</v>
      </c>
      <c r="D6" s="43"/>
      <c r="E6" s="43"/>
      <c r="F6" s="44">
        <f>营业收入!E24</f>
        <v>0</v>
      </c>
      <c r="G6" s="43"/>
      <c r="H6" s="43"/>
      <c r="I6" s="43"/>
      <c r="J6" s="43"/>
      <c r="K6" s="43"/>
    </row>
    <row r="7" spans="1:11">
      <c r="A7" s="46"/>
      <c r="B7" s="43" t="s">
        <v>640</v>
      </c>
      <c r="C7" s="44">
        <f>营业收入!D19</f>
        <v>0</v>
      </c>
      <c r="D7" s="43"/>
      <c r="E7" s="43"/>
      <c r="F7" s="44">
        <f>营业收入!E19</f>
        <v>0</v>
      </c>
      <c r="G7" s="43"/>
      <c r="H7" s="43"/>
      <c r="I7" s="43"/>
      <c r="J7" s="43"/>
      <c r="K7" s="43"/>
    </row>
    <row r="8" spans="1:11">
      <c r="A8" s="46"/>
      <c r="B8" s="61" t="s">
        <v>641</v>
      </c>
      <c r="C8" s="45"/>
      <c r="D8" s="43"/>
      <c r="E8" s="43"/>
      <c r="F8" s="45"/>
      <c r="G8" s="43"/>
      <c r="H8" s="43"/>
      <c r="I8" s="43"/>
      <c r="J8" s="43"/>
      <c r="K8" s="43"/>
    </row>
    <row r="9" spans="1:11">
      <c r="A9" s="46">
        <f>销售费用!A6</f>
        <v>1</v>
      </c>
      <c r="B9" s="47" t="str">
        <f>销售费用!B6</f>
        <v>销售费用_工资性支出</v>
      </c>
      <c r="C9" s="48">
        <f>销售费用!C6</f>
        <v>0</v>
      </c>
      <c r="D9" s="49">
        <f>IF($C$6=0,0,C9/$C$6)</f>
        <v>0</v>
      </c>
      <c r="E9" s="49">
        <f>IF($C$7=0,0,C9/$C$7)</f>
        <v>0</v>
      </c>
      <c r="F9" s="48">
        <f>销售费用!D6</f>
        <v>0</v>
      </c>
      <c r="G9" s="49">
        <f>IF($F$6=0,0,F9/$F$6)</f>
        <v>0</v>
      </c>
      <c r="H9" s="49">
        <f>IF($F$7=0,0,F9/$F$7)</f>
        <v>0</v>
      </c>
      <c r="I9" s="49">
        <f>D9-G9</f>
        <v>0</v>
      </c>
      <c r="J9" s="49">
        <f>E9-H9</f>
        <v>0</v>
      </c>
      <c r="K9" s="50"/>
    </row>
    <row r="10" spans="1:11">
      <c r="A10" s="46">
        <f>销售费用!A7</f>
        <v>2</v>
      </c>
      <c r="B10" s="47" t="str">
        <f>销售费用!B7</f>
        <v>销售费用_营销费</v>
      </c>
      <c r="C10" s="48">
        <f>销售费用!C7</f>
        <v>0</v>
      </c>
      <c r="D10" s="49">
        <f t="shared" ref="D10:D27" si="0">IF($C$6=0,0,C10/$C$6)</f>
        <v>0</v>
      </c>
      <c r="E10" s="49">
        <f t="shared" ref="E10:E27" si="1">IF($C$7=0,0,C10/$C$7)</f>
        <v>0</v>
      </c>
      <c r="F10" s="48">
        <f>销售费用!D7</f>
        <v>0</v>
      </c>
      <c r="G10" s="49">
        <f t="shared" ref="G10:G27" si="2">IF($F$6=0,0,F10/$F$6)</f>
        <v>0</v>
      </c>
      <c r="H10" s="49">
        <f t="shared" ref="H10:H27" si="3">IF($F$7=0,0,F10/$F$7)</f>
        <v>0</v>
      </c>
      <c r="I10" s="49">
        <f t="shared" ref="I10:I27" si="4">D10-G10</f>
        <v>0</v>
      </c>
      <c r="J10" s="49">
        <f t="shared" ref="J10:J27" si="5">E10-H10</f>
        <v>0</v>
      </c>
      <c r="K10" s="50"/>
    </row>
    <row r="11" spans="1:11">
      <c r="A11" s="46">
        <f>销售费用!A8</f>
        <v>3</v>
      </c>
      <c r="B11" s="47" t="str">
        <f>销售费用!B8</f>
        <v>销售费用_测试费</v>
      </c>
      <c r="C11" s="48">
        <f>销售费用!C8</f>
        <v>0</v>
      </c>
      <c r="D11" s="49">
        <f t="shared" si="0"/>
        <v>0</v>
      </c>
      <c r="E11" s="49">
        <f t="shared" si="1"/>
        <v>0</v>
      </c>
      <c r="F11" s="48">
        <f>销售费用!D8</f>
        <v>0</v>
      </c>
      <c r="G11" s="49">
        <f t="shared" si="2"/>
        <v>0</v>
      </c>
      <c r="H11" s="49">
        <f t="shared" si="3"/>
        <v>0</v>
      </c>
      <c r="I11" s="49">
        <f t="shared" si="4"/>
        <v>0</v>
      </c>
      <c r="J11" s="49">
        <f t="shared" si="5"/>
        <v>0</v>
      </c>
      <c r="K11" s="50"/>
    </row>
    <row r="12" spans="1:11">
      <c r="A12" s="46">
        <f>销售费用!A9</f>
        <v>4</v>
      </c>
      <c r="B12" s="47" t="str">
        <f>销售费用!B9</f>
        <v>销售费用_办公费</v>
      </c>
      <c r="C12" s="48">
        <f>销售费用!C9</f>
        <v>0</v>
      </c>
      <c r="D12" s="49">
        <f t="shared" si="0"/>
        <v>0</v>
      </c>
      <c r="E12" s="49">
        <f t="shared" si="1"/>
        <v>0</v>
      </c>
      <c r="F12" s="48">
        <f>销售费用!D9</f>
        <v>0</v>
      </c>
      <c r="G12" s="49">
        <f t="shared" si="2"/>
        <v>0</v>
      </c>
      <c r="H12" s="49">
        <f t="shared" si="3"/>
        <v>0</v>
      </c>
      <c r="I12" s="49">
        <f t="shared" si="4"/>
        <v>0</v>
      </c>
      <c r="J12" s="49">
        <f t="shared" si="5"/>
        <v>0</v>
      </c>
      <c r="K12" s="50"/>
    </row>
    <row r="13" spans="1:11">
      <c r="A13" s="46">
        <f>销售费用!A10</f>
        <v>5</v>
      </c>
      <c r="B13" s="47" t="str">
        <f>销售费用!B10</f>
        <v>销售费用_中介机构服务费</v>
      </c>
      <c r="C13" s="48">
        <f>销售费用!C10</f>
        <v>0</v>
      </c>
      <c r="D13" s="49">
        <f t="shared" si="0"/>
        <v>0</v>
      </c>
      <c r="E13" s="49">
        <f t="shared" si="1"/>
        <v>0</v>
      </c>
      <c r="F13" s="48">
        <f>销售费用!D10</f>
        <v>0</v>
      </c>
      <c r="G13" s="49">
        <f t="shared" si="2"/>
        <v>0</v>
      </c>
      <c r="H13" s="49">
        <f t="shared" si="3"/>
        <v>0</v>
      </c>
      <c r="I13" s="49">
        <f t="shared" si="4"/>
        <v>0</v>
      </c>
      <c r="J13" s="49">
        <f t="shared" si="5"/>
        <v>0</v>
      </c>
      <c r="K13" s="50"/>
    </row>
    <row r="14" spans="1:11">
      <c r="A14" s="46">
        <f>销售费用!A11</f>
        <v>6</v>
      </c>
      <c r="B14" s="47" t="str">
        <f>销售费用!B11</f>
        <v>销售费用_设备折旧费</v>
      </c>
      <c r="C14" s="48">
        <f>销售费用!C11</f>
        <v>0</v>
      </c>
      <c r="D14" s="49">
        <f t="shared" si="0"/>
        <v>0</v>
      </c>
      <c r="E14" s="49">
        <f t="shared" si="1"/>
        <v>0</v>
      </c>
      <c r="F14" s="48">
        <f>销售费用!D11</f>
        <v>0</v>
      </c>
      <c r="G14" s="49">
        <f t="shared" si="2"/>
        <v>0</v>
      </c>
      <c r="H14" s="49">
        <f t="shared" si="3"/>
        <v>0</v>
      </c>
      <c r="I14" s="49">
        <f t="shared" si="4"/>
        <v>0</v>
      </c>
      <c r="J14" s="49">
        <f t="shared" si="5"/>
        <v>0</v>
      </c>
      <c r="K14" s="50"/>
    </row>
    <row r="15" spans="1:11">
      <c r="A15" s="46">
        <f>销售费用!A12</f>
        <v>7</v>
      </c>
      <c r="B15" s="47">
        <f>销售费用!B12</f>
        <v>0</v>
      </c>
      <c r="C15" s="48">
        <f>销售费用!C12</f>
        <v>0</v>
      </c>
      <c r="D15" s="49">
        <f t="shared" si="0"/>
        <v>0</v>
      </c>
      <c r="E15" s="49">
        <f t="shared" si="1"/>
        <v>0</v>
      </c>
      <c r="F15" s="48">
        <f>销售费用!D12</f>
        <v>0</v>
      </c>
      <c r="G15" s="49">
        <f t="shared" si="2"/>
        <v>0</v>
      </c>
      <c r="H15" s="49">
        <f t="shared" si="3"/>
        <v>0</v>
      </c>
      <c r="I15" s="49">
        <f t="shared" si="4"/>
        <v>0</v>
      </c>
      <c r="J15" s="49">
        <f t="shared" si="5"/>
        <v>0</v>
      </c>
      <c r="K15" s="50"/>
    </row>
    <row r="16" spans="1:11">
      <c r="A16" s="46">
        <f>销售费用!A13</f>
        <v>8</v>
      </c>
      <c r="B16" s="47">
        <f>销售费用!B13</f>
        <v>0</v>
      </c>
      <c r="C16" s="48">
        <f>销售费用!C13</f>
        <v>0</v>
      </c>
      <c r="D16" s="49">
        <f t="shared" si="0"/>
        <v>0</v>
      </c>
      <c r="E16" s="49">
        <f t="shared" si="1"/>
        <v>0</v>
      </c>
      <c r="F16" s="48">
        <f>销售费用!D13</f>
        <v>0</v>
      </c>
      <c r="G16" s="49">
        <f t="shared" si="2"/>
        <v>0</v>
      </c>
      <c r="H16" s="49">
        <f t="shared" si="3"/>
        <v>0</v>
      </c>
      <c r="I16" s="49">
        <f t="shared" si="4"/>
        <v>0</v>
      </c>
      <c r="J16" s="49">
        <f t="shared" si="5"/>
        <v>0</v>
      </c>
      <c r="K16" s="50"/>
    </row>
    <row r="17" spans="1:11">
      <c r="A17" s="46">
        <f>销售费用!A14</f>
        <v>9</v>
      </c>
      <c r="B17" s="47">
        <f>销售费用!B14</f>
        <v>0</v>
      </c>
      <c r="C17" s="48">
        <f>销售费用!C14</f>
        <v>0</v>
      </c>
      <c r="D17" s="49">
        <f t="shared" si="0"/>
        <v>0</v>
      </c>
      <c r="E17" s="49">
        <f t="shared" si="1"/>
        <v>0</v>
      </c>
      <c r="F17" s="48">
        <f>销售费用!D14</f>
        <v>0</v>
      </c>
      <c r="G17" s="49">
        <f t="shared" si="2"/>
        <v>0</v>
      </c>
      <c r="H17" s="49">
        <f t="shared" si="3"/>
        <v>0</v>
      </c>
      <c r="I17" s="49">
        <f t="shared" si="4"/>
        <v>0</v>
      </c>
      <c r="J17" s="49">
        <f t="shared" si="5"/>
        <v>0</v>
      </c>
      <c r="K17" s="50"/>
    </row>
    <row r="18" spans="1:11">
      <c r="A18" s="46">
        <f>销售费用!A15</f>
        <v>10</v>
      </c>
      <c r="B18" s="47">
        <f>销售费用!B15</f>
        <v>0</v>
      </c>
      <c r="C18" s="48">
        <f>销售费用!C15</f>
        <v>0</v>
      </c>
      <c r="D18" s="49">
        <f t="shared" si="0"/>
        <v>0</v>
      </c>
      <c r="E18" s="49">
        <f t="shared" si="1"/>
        <v>0</v>
      </c>
      <c r="F18" s="48">
        <f>销售费用!D15</f>
        <v>0</v>
      </c>
      <c r="G18" s="49">
        <f t="shared" si="2"/>
        <v>0</v>
      </c>
      <c r="H18" s="49">
        <f t="shared" si="3"/>
        <v>0</v>
      </c>
      <c r="I18" s="49">
        <f t="shared" si="4"/>
        <v>0</v>
      </c>
      <c r="J18" s="49">
        <f t="shared" si="5"/>
        <v>0</v>
      </c>
      <c r="K18" s="50"/>
    </row>
    <row r="19" spans="1:11">
      <c r="A19" s="46">
        <f>销售费用!A16</f>
        <v>11</v>
      </c>
      <c r="B19" s="47">
        <f>销售费用!B16</f>
        <v>0</v>
      </c>
      <c r="C19" s="48">
        <f>销售费用!C16</f>
        <v>0</v>
      </c>
      <c r="D19" s="49">
        <f t="shared" si="0"/>
        <v>0</v>
      </c>
      <c r="E19" s="49">
        <f t="shared" si="1"/>
        <v>0</v>
      </c>
      <c r="F19" s="48">
        <f>销售费用!D16</f>
        <v>0</v>
      </c>
      <c r="G19" s="49">
        <f t="shared" si="2"/>
        <v>0</v>
      </c>
      <c r="H19" s="49">
        <f t="shared" si="3"/>
        <v>0</v>
      </c>
      <c r="I19" s="49">
        <f t="shared" si="4"/>
        <v>0</v>
      </c>
      <c r="J19" s="49">
        <f t="shared" si="5"/>
        <v>0</v>
      </c>
      <c r="K19" s="50"/>
    </row>
    <row r="20" spans="1:11">
      <c r="A20" s="46">
        <f>销售费用!A17</f>
        <v>12</v>
      </c>
      <c r="B20" s="47">
        <f>销售费用!B17</f>
        <v>0</v>
      </c>
      <c r="C20" s="48">
        <f>销售费用!C17</f>
        <v>0</v>
      </c>
      <c r="D20" s="49">
        <f t="shared" si="0"/>
        <v>0</v>
      </c>
      <c r="E20" s="49">
        <f t="shared" si="1"/>
        <v>0</v>
      </c>
      <c r="F20" s="48">
        <f>销售费用!D17</f>
        <v>0</v>
      </c>
      <c r="G20" s="49">
        <f t="shared" si="2"/>
        <v>0</v>
      </c>
      <c r="H20" s="49">
        <f t="shared" si="3"/>
        <v>0</v>
      </c>
      <c r="I20" s="49">
        <f t="shared" si="4"/>
        <v>0</v>
      </c>
      <c r="J20" s="49">
        <f t="shared" si="5"/>
        <v>0</v>
      </c>
      <c r="K20" s="50"/>
    </row>
    <row r="21" spans="1:11">
      <c r="A21" s="46">
        <f>销售费用!A18</f>
        <v>13</v>
      </c>
      <c r="B21" s="47">
        <f>销售费用!B18</f>
        <v>0</v>
      </c>
      <c r="C21" s="48">
        <f>销售费用!C18</f>
        <v>0</v>
      </c>
      <c r="D21" s="49">
        <f t="shared" si="0"/>
        <v>0</v>
      </c>
      <c r="E21" s="49">
        <f t="shared" si="1"/>
        <v>0</v>
      </c>
      <c r="F21" s="48">
        <f>销售费用!D18</f>
        <v>0</v>
      </c>
      <c r="G21" s="49">
        <f t="shared" si="2"/>
        <v>0</v>
      </c>
      <c r="H21" s="49">
        <f t="shared" si="3"/>
        <v>0</v>
      </c>
      <c r="I21" s="49">
        <f t="shared" si="4"/>
        <v>0</v>
      </c>
      <c r="J21" s="49">
        <f t="shared" si="5"/>
        <v>0</v>
      </c>
      <c r="K21" s="50"/>
    </row>
    <row r="22" spans="1:11">
      <c r="A22" s="46">
        <f>销售费用!A19</f>
        <v>14</v>
      </c>
      <c r="B22" s="47">
        <f>销售费用!B19</f>
        <v>0</v>
      </c>
      <c r="C22" s="48">
        <f>销售费用!C19</f>
        <v>0</v>
      </c>
      <c r="D22" s="49">
        <f t="shared" si="0"/>
        <v>0</v>
      </c>
      <c r="E22" s="49">
        <f t="shared" si="1"/>
        <v>0</v>
      </c>
      <c r="F22" s="48">
        <f>销售费用!D19</f>
        <v>0</v>
      </c>
      <c r="G22" s="49">
        <f t="shared" si="2"/>
        <v>0</v>
      </c>
      <c r="H22" s="49">
        <f t="shared" si="3"/>
        <v>0</v>
      </c>
      <c r="I22" s="49">
        <f t="shared" si="4"/>
        <v>0</v>
      </c>
      <c r="J22" s="49">
        <f t="shared" si="5"/>
        <v>0</v>
      </c>
      <c r="K22" s="50"/>
    </row>
    <row r="23" spans="1:11">
      <c r="A23" s="46">
        <f>销售费用!A20</f>
        <v>15</v>
      </c>
      <c r="B23" s="47">
        <f>销售费用!B20</f>
        <v>0</v>
      </c>
      <c r="C23" s="48">
        <f>销售费用!C20</f>
        <v>0</v>
      </c>
      <c r="D23" s="49">
        <f t="shared" si="0"/>
        <v>0</v>
      </c>
      <c r="E23" s="49">
        <f t="shared" si="1"/>
        <v>0</v>
      </c>
      <c r="F23" s="48">
        <f>销售费用!D20</f>
        <v>0</v>
      </c>
      <c r="G23" s="49">
        <f t="shared" si="2"/>
        <v>0</v>
      </c>
      <c r="H23" s="49">
        <f t="shared" si="3"/>
        <v>0</v>
      </c>
      <c r="I23" s="49">
        <f t="shared" si="4"/>
        <v>0</v>
      </c>
      <c r="J23" s="49">
        <f t="shared" si="5"/>
        <v>0</v>
      </c>
      <c r="K23" s="50"/>
    </row>
    <row r="24" spans="1:11">
      <c r="A24" s="46">
        <f>销售费用!A21</f>
        <v>16</v>
      </c>
      <c r="B24" s="47">
        <f>销售费用!B21</f>
        <v>0</v>
      </c>
      <c r="C24" s="48">
        <f>销售费用!C21</f>
        <v>0</v>
      </c>
      <c r="D24" s="49">
        <f t="shared" si="0"/>
        <v>0</v>
      </c>
      <c r="E24" s="49">
        <f t="shared" si="1"/>
        <v>0</v>
      </c>
      <c r="F24" s="48">
        <f>销售费用!D21</f>
        <v>0</v>
      </c>
      <c r="G24" s="49">
        <f t="shared" si="2"/>
        <v>0</v>
      </c>
      <c r="H24" s="49">
        <f t="shared" si="3"/>
        <v>0</v>
      </c>
      <c r="I24" s="49">
        <f t="shared" si="4"/>
        <v>0</v>
      </c>
      <c r="J24" s="49">
        <f t="shared" si="5"/>
        <v>0</v>
      </c>
      <c r="K24" s="50"/>
    </row>
    <row r="25" spans="1:11">
      <c r="A25" s="51" t="s">
        <v>217</v>
      </c>
      <c r="B25" s="52"/>
      <c r="C25" s="48">
        <f>SUM(C9:C24)</f>
        <v>0</v>
      </c>
      <c r="D25" s="49">
        <f t="shared" si="0"/>
        <v>0</v>
      </c>
      <c r="E25" s="49">
        <f t="shared" si="1"/>
        <v>0</v>
      </c>
      <c r="F25" s="48">
        <f>SUM(F9:F24)</f>
        <v>0</v>
      </c>
      <c r="G25" s="49">
        <f t="shared" si="2"/>
        <v>0</v>
      </c>
      <c r="H25" s="49">
        <f t="shared" si="3"/>
        <v>0</v>
      </c>
      <c r="I25" s="49">
        <f t="shared" si="4"/>
        <v>0</v>
      </c>
      <c r="J25" s="49">
        <f t="shared" si="5"/>
        <v>0</v>
      </c>
      <c r="K25" s="43"/>
    </row>
  </sheetData>
  <mergeCells count="9">
    <mergeCell ref="B1:K1"/>
    <mergeCell ref="C4:E4"/>
    <mergeCell ref="F4:H4"/>
    <mergeCell ref="A25:B25"/>
    <mergeCell ref="A4:A5"/>
    <mergeCell ref="B4:B5"/>
    <mergeCell ref="I4:I5"/>
    <mergeCell ref="J4:J5"/>
    <mergeCell ref="K4:K5"/>
  </mergeCells>
  <conditionalFormatting sqref="I9:J24">
    <cfRule type="cellIs" dxfId="2" priority="25" stopIfTrue="1" operator="greaterThanOrEqual">
      <formula>0.3</formula>
    </cfRule>
    <cfRule type="cellIs" dxfId="2" priority="26" stopIfTrue="1" operator="lessThanOrEqual">
      <formula>-0.3</formula>
    </cfRule>
  </conditionalFormatting>
  <pageMargins left="0.75" right="0.75" top="1" bottom="1" header="0.5" footer="0.5"/>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0"/>
  <dimension ref="A1:H25"/>
  <sheetViews>
    <sheetView workbookViewId="0">
      <pane ySplit="5" topLeftCell="A6" activePane="bottomLeft" state="frozen"/>
      <selection/>
      <selection pane="bottomLeft" activeCell="B17" sqref="B17"/>
    </sheetView>
  </sheetViews>
  <sheetFormatPr defaultColWidth="8.73148148148148" defaultRowHeight="14.4" outlineLevelCol="7"/>
  <cols>
    <col min="1" max="1" width="7.4537037037037" customWidth="1"/>
    <col min="2" max="2" width="26" customWidth="1"/>
    <col min="3" max="3" width="14.4537037037037" customWidth="1"/>
    <col min="4" max="4" width="12.6388888888889" customWidth="1"/>
    <col min="5" max="5" width="10.9074074074074" customWidth="1"/>
    <col min="6" max="6" width="12.1851851851852" style="53" customWidth="1"/>
    <col min="7" max="7" width="12.5462962962963" customWidth="1"/>
    <col min="8" max="8" width="22.0925925925926" customWidth="1"/>
  </cols>
  <sheetData>
    <row r="1" ht="23" customHeight="1" spans="1:8">
      <c r="A1" s="1" t="s">
        <v>71</v>
      </c>
      <c r="B1" s="1"/>
      <c r="C1" s="1"/>
      <c r="D1" s="1"/>
      <c r="E1" s="1"/>
      <c r="F1" s="1"/>
      <c r="G1" s="1"/>
      <c r="H1" s="1"/>
    </row>
    <row r="2" spans="1:8">
      <c r="A2" s="2" t="str">
        <f>备忘录!$A$1</f>
        <v>被审计单位：福禄福擎网络科技有限公司</v>
      </c>
      <c r="B2" s="3"/>
      <c r="C2" s="3"/>
      <c r="D2" s="3" t="s">
        <v>193</v>
      </c>
      <c r="F2" s="3"/>
      <c r="G2" s="4" t="str">
        <f>备忘录!$C$2</f>
        <v>日期：2025/10/30</v>
      </c>
    </row>
    <row r="3" spans="1:8">
      <c r="A3" s="2" t="str">
        <f>备忘录!A3</f>
        <v>财务报表期间：2025.1-2025.9</v>
      </c>
      <c r="B3" s="3"/>
      <c r="C3" s="3"/>
      <c r="D3" s="3" t="s">
        <v>194</v>
      </c>
      <c r="F3" s="3"/>
      <c r="G3" s="4" t="str">
        <f>备忘录!$C$3</f>
        <v>日期：2025/10/31</v>
      </c>
    </row>
    <row r="4" s="30" customFormat="1" spans="1:8">
      <c r="A4" s="5" t="s">
        <v>77</v>
      </c>
      <c r="B4" s="7" t="s">
        <v>78</v>
      </c>
      <c r="C4" s="6" t="s">
        <v>580</v>
      </c>
      <c r="D4" s="7" t="s">
        <v>581</v>
      </c>
      <c r="E4" s="7" t="s">
        <v>621</v>
      </c>
      <c r="F4" s="8" t="s">
        <v>622</v>
      </c>
      <c r="G4" s="8" t="s">
        <v>623</v>
      </c>
      <c r="H4" s="9" t="s">
        <v>624</v>
      </c>
    </row>
    <row r="5" s="30" customFormat="1" spans="1:8">
      <c r="A5" s="10"/>
      <c r="B5" s="12"/>
      <c r="C5" s="11"/>
      <c r="D5" s="12"/>
      <c r="E5" s="13"/>
      <c r="F5" s="14"/>
      <c r="G5" s="14"/>
      <c r="H5" s="15"/>
    </row>
    <row r="6" s="31" customFormat="1" spans="1:8">
      <c r="A6" s="54">
        <v>1</v>
      </c>
      <c r="B6" s="55" t="s">
        <v>642</v>
      </c>
      <c r="C6" s="17"/>
      <c r="D6" s="17"/>
      <c r="E6" s="18">
        <f t="shared" ref="E6:E20" si="0">IF($C$21=0,0,C6/$C$21)</f>
        <v>0</v>
      </c>
      <c r="F6" s="19">
        <f t="shared" ref="F6:F20" si="1">ROUND(C6-D6,2)</f>
        <v>0</v>
      </c>
      <c r="G6" s="20" t="e">
        <f t="shared" ref="G6:G20" si="2">ROUND(F6/D6,2)</f>
        <v>#DIV/0!</v>
      </c>
      <c r="H6" s="56"/>
    </row>
    <row r="7" s="31" customFormat="1" spans="1:8">
      <c r="A7" s="54">
        <v>2</v>
      </c>
      <c r="B7" s="55" t="s">
        <v>643</v>
      </c>
      <c r="C7" s="17"/>
      <c r="D7" s="17"/>
      <c r="E7" s="18">
        <f t="shared" si="0"/>
        <v>0</v>
      </c>
      <c r="F7" s="19">
        <f t="shared" si="1"/>
        <v>0</v>
      </c>
      <c r="G7" s="20" t="e">
        <f t="shared" si="2"/>
        <v>#DIV/0!</v>
      </c>
      <c r="H7" s="56"/>
    </row>
    <row r="8" s="31" customFormat="1" spans="1:8">
      <c r="A8" s="54">
        <v>3</v>
      </c>
      <c r="B8" s="55" t="s">
        <v>644</v>
      </c>
      <c r="C8" s="17"/>
      <c r="D8" s="17"/>
      <c r="E8" s="18">
        <f t="shared" si="0"/>
        <v>0</v>
      </c>
      <c r="F8" s="19">
        <f t="shared" si="1"/>
        <v>0</v>
      </c>
      <c r="G8" s="20" t="e">
        <f t="shared" si="2"/>
        <v>#DIV/0!</v>
      </c>
      <c r="H8" s="56"/>
    </row>
    <row r="9" s="31" customFormat="1" spans="1:8">
      <c r="A9" s="54">
        <v>4</v>
      </c>
      <c r="B9" s="55" t="s">
        <v>645</v>
      </c>
      <c r="C9" s="17"/>
      <c r="D9" s="17"/>
      <c r="E9" s="18">
        <f t="shared" si="0"/>
        <v>0</v>
      </c>
      <c r="F9" s="19">
        <f t="shared" si="1"/>
        <v>0</v>
      </c>
      <c r="G9" s="20" t="e">
        <f t="shared" si="2"/>
        <v>#DIV/0!</v>
      </c>
      <c r="H9" s="56"/>
    </row>
    <row r="10" s="31" customFormat="1" spans="1:8">
      <c r="A10" s="54">
        <v>5</v>
      </c>
      <c r="B10" s="55" t="s">
        <v>646</v>
      </c>
      <c r="C10" s="17"/>
      <c r="D10" s="17"/>
      <c r="E10" s="18">
        <f t="shared" si="0"/>
        <v>0</v>
      </c>
      <c r="F10" s="19">
        <f t="shared" si="1"/>
        <v>0</v>
      </c>
      <c r="G10" s="20" t="e">
        <f t="shared" si="2"/>
        <v>#DIV/0!</v>
      </c>
      <c r="H10" s="56"/>
    </row>
    <row r="11" s="31" customFormat="1" spans="1:8">
      <c r="A11" s="54">
        <v>6</v>
      </c>
      <c r="B11" s="55" t="s">
        <v>647</v>
      </c>
      <c r="C11" s="17"/>
      <c r="D11" s="17"/>
      <c r="E11" s="18">
        <f t="shared" si="0"/>
        <v>0</v>
      </c>
      <c r="F11" s="19">
        <f t="shared" si="1"/>
        <v>0</v>
      </c>
      <c r="G11" s="20" t="e">
        <f t="shared" si="2"/>
        <v>#DIV/0!</v>
      </c>
      <c r="H11" s="56"/>
    </row>
    <row r="12" s="31" customFormat="1" spans="1:8">
      <c r="A12" s="54">
        <v>7</v>
      </c>
      <c r="B12" s="55" t="s">
        <v>648</v>
      </c>
      <c r="C12" s="17"/>
      <c r="D12" s="17"/>
      <c r="E12" s="18">
        <f t="shared" si="0"/>
        <v>0</v>
      </c>
      <c r="F12" s="19">
        <f t="shared" si="1"/>
        <v>0</v>
      </c>
      <c r="G12" s="20" t="e">
        <f t="shared" si="2"/>
        <v>#DIV/0!</v>
      </c>
      <c r="H12" s="56"/>
    </row>
    <row r="13" s="31" customFormat="1" spans="1:8">
      <c r="A13" s="54">
        <v>8</v>
      </c>
      <c r="B13" s="55" t="s">
        <v>649</v>
      </c>
      <c r="C13" s="17"/>
      <c r="D13" s="17"/>
      <c r="E13" s="18">
        <f t="shared" si="0"/>
        <v>0</v>
      </c>
      <c r="F13" s="19">
        <f t="shared" si="1"/>
        <v>0</v>
      </c>
      <c r="G13" s="20" t="e">
        <f t="shared" si="2"/>
        <v>#DIV/0!</v>
      </c>
      <c r="H13" s="56"/>
    </row>
    <row r="14" s="31" customFormat="1" spans="1:8">
      <c r="A14" s="54">
        <v>9</v>
      </c>
      <c r="B14" s="55" t="s">
        <v>650</v>
      </c>
      <c r="C14" s="17"/>
      <c r="D14" s="17"/>
      <c r="E14" s="18">
        <f t="shared" si="0"/>
        <v>0</v>
      </c>
      <c r="F14" s="19">
        <f t="shared" si="1"/>
        <v>0</v>
      </c>
      <c r="G14" s="20" t="e">
        <f t="shared" si="2"/>
        <v>#DIV/0!</v>
      </c>
      <c r="H14" s="56"/>
    </row>
    <row r="15" s="31" customFormat="1" spans="1:8">
      <c r="A15" s="54">
        <v>10</v>
      </c>
      <c r="B15" s="55" t="s">
        <v>651</v>
      </c>
      <c r="C15" s="17"/>
      <c r="D15" s="17"/>
      <c r="E15" s="18">
        <f t="shared" si="0"/>
        <v>0</v>
      </c>
      <c r="F15" s="19">
        <f t="shared" si="1"/>
        <v>0</v>
      </c>
      <c r="G15" s="20" t="e">
        <f t="shared" si="2"/>
        <v>#DIV/0!</v>
      </c>
      <c r="H15" s="56"/>
    </row>
    <row r="16" s="31" customFormat="1" spans="1:8">
      <c r="A16" s="54">
        <v>11</v>
      </c>
      <c r="B16" s="57"/>
      <c r="C16" s="17"/>
      <c r="D16" s="17"/>
      <c r="E16" s="18">
        <f t="shared" si="0"/>
        <v>0</v>
      </c>
      <c r="F16" s="19">
        <f t="shared" si="1"/>
        <v>0</v>
      </c>
      <c r="G16" s="20" t="e">
        <f t="shared" si="2"/>
        <v>#DIV/0!</v>
      </c>
      <c r="H16" s="56"/>
    </row>
    <row r="17" s="31" customFormat="1" spans="1:8">
      <c r="A17" s="54">
        <v>12</v>
      </c>
      <c r="B17" s="57"/>
      <c r="C17" s="17"/>
      <c r="D17" s="17"/>
      <c r="E17" s="18">
        <f t="shared" si="0"/>
        <v>0</v>
      </c>
      <c r="F17" s="19">
        <f t="shared" si="1"/>
        <v>0</v>
      </c>
      <c r="G17" s="20" t="e">
        <f t="shared" si="2"/>
        <v>#DIV/0!</v>
      </c>
      <c r="H17" s="56"/>
    </row>
    <row r="18" s="31" customFormat="1" spans="1:8">
      <c r="A18" s="54">
        <v>13</v>
      </c>
      <c r="B18" s="57"/>
      <c r="C18" s="17"/>
      <c r="D18" s="17"/>
      <c r="E18" s="18">
        <f t="shared" si="0"/>
        <v>0</v>
      </c>
      <c r="F18" s="19">
        <f t="shared" si="1"/>
        <v>0</v>
      </c>
      <c r="G18" s="20" t="e">
        <f t="shared" si="2"/>
        <v>#DIV/0!</v>
      </c>
      <c r="H18" s="56"/>
    </row>
    <row r="19" s="31" customFormat="1" spans="1:8">
      <c r="A19" s="54">
        <v>14</v>
      </c>
      <c r="B19" s="57"/>
      <c r="C19" s="17"/>
      <c r="D19" s="17"/>
      <c r="E19" s="18">
        <f t="shared" si="0"/>
        <v>0</v>
      </c>
      <c r="F19" s="19">
        <f t="shared" si="1"/>
        <v>0</v>
      </c>
      <c r="G19" s="20" t="e">
        <f t="shared" si="2"/>
        <v>#DIV/0!</v>
      </c>
      <c r="H19" s="56"/>
    </row>
    <row r="20" s="31" customFormat="1" spans="1:8">
      <c r="A20" s="54">
        <v>15</v>
      </c>
      <c r="B20" s="57"/>
      <c r="C20" s="17"/>
      <c r="D20" s="17"/>
      <c r="E20" s="18">
        <f t="shared" si="0"/>
        <v>0</v>
      </c>
      <c r="F20" s="19">
        <f t="shared" si="1"/>
        <v>0</v>
      </c>
      <c r="G20" s="20" t="e">
        <f t="shared" si="2"/>
        <v>#DIV/0!</v>
      </c>
      <c r="H20" s="56"/>
    </row>
    <row r="21" s="31" customFormat="1" spans="1:8">
      <c r="A21" s="23" t="s">
        <v>217</v>
      </c>
      <c r="B21" s="58"/>
      <c r="C21" s="25">
        <f>SUM(C6:C20)</f>
        <v>0</v>
      </c>
      <c r="D21" s="25">
        <f>SUM(D6:D20)</f>
        <v>0</v>
      </c>
      <c r="E21" s="25"/>
      <c r="F21" s="26">
        <f>SUM(F6:F20)</f>
        <v>0</v>
      </c>
      <c r="G21" s="27"/>
      <c r="H21" s="59"/>
    </row>
    <row r="23" ht="19" customHeight="1" spans="1:8">
      <c r="B23" s="29" t="s">
        <v>218</v>
      </c>
    </row>
    <row r="24" ht="19" customHeight="1"/>
    <row r="25" ht="19" customHeight="1"/>
  </sheetData>
  <mergeCells count="9">
    <mergeCell ref="A1:H1"/>
    <mergeCell ref="A4:A5"/>
    <mergeCell ref="B4:B5"/>
    <mergeCell ref="C4:C5"/>
    <mergeCell ref="D4:D5"/>
    <mergeCell ref="E4:E5"/>
    <mergeCell ref="F4:F5"/>
    <mergeCell ref="G4:G5"/>
    <mergeCell ref="H4:H5"/>
  </mergeCells>
  <conditionalFormatting sqref="E6">
    <cfRule type="cellIs" dxfId="1" priority="2" stopIfTrue="1" operator="greaterThanOrEqual">
      <formula>0.2</formula>
    </cfRule>
  </conditionalFormatting>
  <conditionalFormatting sqref="E7:E20">
    <cfRule type="cellIs" dxfId="1" priority="1" stopIfTrue="1" operator="greaterThanOrEqual">
      <formula>0.2</formula>
    </cfRule>
  </conditionalFormatting>
  <pageMargins left="0.75" right="0.75" top="1" bottom="1" header="0.5" footer="0.5"/>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1"/>
  <dimension ref="A1:K29"/>
  <sheetViews>
    <sheetView zoomScale="90" zoomScaleNormal="90" workbookViewId="0">
      <pane ySplit="8" topLeftCell="A9" activePane="bottomLeft" state="frozen"/>
      <selection/>
      <selection pane="bottomLeft" activeCell="D17" sqref="D17"/>
    </sheetView>
  </sheetViews>
  <sheetFormatPr defaultColWidth="8.73148148148148" defaultRowHeight="14.4"/>
  <cols>
    <col min="2" max="2" width="17.0648148148148" customWidth="1"/>
    <col min="3" max="3" width="14.1481481481481" customWidth="1"/>
    <col min="4" max="4" width="14.9074074074074" customWidth="1"/>
    <col min="5" max="5" width="18.1851851851852" customWidth="1"/>
    <col min="6" max="6" width="15.4537037037037" customWidth="1"/>
    <col min="7" max="7" width="14.2685185185185" customWidth="1"/>
    <col min="8" max="8" width="17.6388888888889" customWidth="1"/>
    <col min="9" max="9" width="12.8148148148148" customWidth="1"/>
    <col min="10" max="10" width="12.3611111111111" customWidth="1"/>
    <col min="11" max="11" width="13.7314814814815" customWidth="1"/>
  </cols>
  <sheetData>
    <row r="1" ht="26" customHeight="1" spans="1:11">
      <c r="B1" s="1" t="s">
        <v>652</v>
      </c>
      <c r="C1" s="1"/>
      <c r="D1" s="1"/>
      <c r="E1" s="1"/>
      <c r="F1" s="1"/>
      <c r="G1" s="1"/>
      <c r="H1" s="1"/>
      <c r="I1" s="1"/>
      <c r="J1" s="1"/>
      <c r="K1" s="1"/>
    </row>
    <row r="2" spans="1:11">
      <c r="A2" s="2" t="str">
        <f>备忘录!$A$1</f>
        <v>被审计单位：福禄福擎网络科技有限公司</v>
      </c>
      <c r="C2" s="4"/>
      <c r="D2" s="4"/>
      <c r="F2" s="4" t="s">
        <v>193</v>
      </c>
      <c r="G2" s="3"/>
      <c r="H2" s="4"/>
      <c r="I2" s="4" t="str">
        <f>备忘录!$C$2</f>
        <v>日期：2025/10/30</v>
      </c>
    </row>
    <row r="3" spans="1:11">
      <c r="A3" s="2" t="str">
        <f>备忘录!A3</f>
        <v>财务报表期间：2025.1-2025.9</v>
      </c>
      <c r="C3" s="4"/>
      <c r="D3" s="4"/>
      <c r="F3" s="4" t="s">
        <v>194</v>
      </c>
      <c r="G3" s="3"/>
      <c r="H3" s="4"/>
      <c r="I3" s="4" t="str">
        <f>备忘录!$C$3</f>
        <v>日期：2025/10/31</v>
      </c>
    </row>
    <row r="4" ht="22" customHeight="1" spans="1:11">
      <c r="A4" s="35" t="s">
        <v>77</v>
      </c>
      <c r="B4" s="7" t="s">
        <v>78</v>
      </c>
      <c r="C4" s="36" t="s">
        <v>580</v>
      </c>
      <c r="D4" s="37"/>
      <c r="E4" s="37"/>
      <c r="F4" s="36" t="s">
        <v>581</v>
      </c>
      <c r="G4" s="37"/>
      <c r="H4" s="37"/>
      <c r="I4" s="38" t="s">
        <v>632</v>
      </c>
      <c r="J4" s="38" t="s">
        <v>633</v>
      </c>
      <c r="K4" s="38" t="s">
        <v>634</v>
      </c>
    </row>
    <row r="5" ht="22" customHeight="1" spans="1:11">
      <c r="A5" s="39"/>
      <c r="B5" s="12"/>
      <c r="C5" s="40" t="s">
        <v>635</v>
      </c>
      <c r="D5" s="38" t="s">
        <v>636</v>
      </c>
      <c r="E5" s="38" t="s">
        <v>637</v>
      </c>
      <c r="F5" s="41" t="s">
        <v>638</v>
      </c>
      <c r="G5" s="38" t="s">
        <v>636</v>
      </c>
      <c r="H5" s="38" t="s">
        <v>637</v>
      </c>
      <c r="I5" s="38"/>
      <c r="J5" s="38"/>
      <c r="K5" s="38"/>
    </row>
    <row r="6" spans="1:11">
      <c r="A6" s="42"/>
      <c r="B6" s="43" t="s">
        <v>639</v>
      </c>
      <c r="C6" s="44">
        <f>营业收入!D24</f>
        <v>0</v>
      </c>
      <c r="D6" s="43"/>
      <c r="E6" s="43"/>
      <c r="F6" s="44">
        <f>营业收入!E24</f>
        <v>0</v>
      </c>
      <c r="G6" s="43"/>
      <c r="H6" s="43"/>
      <c r="I6" s="43"/>
      <c r="J6" s="43"/>
      <c r="K6" s="43"/>
    </row>
    <row r="7" spans="1:11">
      <c r="A7" s="42"/>
      <c r="B7" s="43" t="s">
        <v>640</v>
      </c>
      <c r="C7" s="44">
        <f>营业收入!D19</f>
        <v>0</v>
      </c>
      <c r="D7" s="43"/>
      <c r="E7" s="43"/>
      <c r="F7" s="44">
        <f>营业收入!E19</f>
        <v>0</v>
      </c>
      <c r="G7" s="43"/>
      <c r="H7" s="43"/>
      <c r="I7" s="43"/>
      <c r="J7" s="43"/>
      <c r="K7" s="43"/>
    </row>
    <row r="8" spans="1:11">
      <c r="A8" s="42"/>
      <c r="B8" s="43" t="s">
        <v>653</v>
      </c>
      <c r="C8" s="45"/>
      <c r="D8" s="43"/>
      <c r="E8" s="43"/>
      <c r="F8" s="45"/>
      <c r="G8" s="43"/>
      <c r="H8" s="43"/>
      <c r="I8" s="43"/>
      <c r="J8" s="43"/>
      <c r="K8" s="43"/>
    </row>
    <row r="9" spans="1:11">
      <c r="A9" s="46">
        <f>管理费用!A6</f>
        <v>1</v>
      </c>
      <c r="B9" s="47" t="str">
        <f>管理费用!B6</f>
        <v>管理费用_工资性支出</v>
      </c>
      <c r="C9" s="48">
        <f>管理费用!C6</f>
        <v>0</v>
      </c>
      <c r="D9" s="49">
        <f>IF($C$6=0,0,C9/$C$6)</f>
        <v>0</v>
      </c>
      <c r="E9" s="49">
        <f>IF($C$7=0,0,C9/$C$7)</f>
        <v>0</v>
      </c>
      <c r="F9" s="48">
        <f>管理费用!D6</f>
        <v>0</v>
      </c>
      <c r="G9" s="49">
        <f>IF($F$6=0,0,F9/$F$6)</f>
        <v>0</v>
      </c>
      <c r="H9" s="49">
        <f>IF($F$7=0,0,F9/$F$7)</f>
        <v>0</v>
      </c>
      <c r="I9" s="49">
        <f>D9-G9</f>
        <v>0</v>
      </c>
      <c r="J9" s="49">
        <f>E9-H9</f>
        <v>0</v>
      </c>
      <c r="K9" s="50"/>
    </row>
    <row r="10" spans="1:11">
      <c r="A10" s="46">
        <f>管理费用!A7</f>
        <v>2</v>
      </c>
      <c r="B10" s="47" t="str">
        <f>管理费用!B7</f>
        <v>管理费用_房租物业费</v>
      </c>
      <c r="C10" s="48">
        <f>管理费用!C7</f>
        <v>0</v>
      </c>
      <c r="D10" s="49">
        <f t="shared" ref="D10:D27" si="0">IF($C$6=0,0,C10/$C$6)</f>
        <v>0</v>
      </c>
      <c r="E10" s="49">
        <f t="shared" ref="E10:E27" si="1">IF($C$7=0,0,C10/$C$7)</f>
        <v>0</v>
      </c>
      <c r="F10" s="48">
        <f>管理费用!D7</f>
        <v>0</v>
      </c>
      <c r="G10" s="49">
        <f t="shared" ref="G10:G27" si="2">IF($F$6=0,0,F10/$F$6)</f>
        <v>0</v>
      </c>
      <c r="H10" s="49">
        <f t="shared" ref="H10:H27" si="3">IF($F$7=0,0,F10/$F$7)</f>
        <v>0</v>
      </c>
      <c r="I10" s="49">
        <f t="shared" ref="I10:I27" si="4">D10-G10</f>
        <v>0</v>
      </c>
      <c r="J10" s="49">
        <f t="shared" ref="J10:J27" si="5">E10-H10</f>
        <v>0</v>
      </c>
      <c r="K10" s="50"/>
    </row>
    <row r="11" spans="1:11">
      <c r="A11" s="46">
        <f>管理费用!A8</f>
        <v>3</v>
      </c>
      <c r="B11" s="47" t="str">
        <f>管理费用!B8</f>
        <v>管理费用_水电费</v>
      </c>
      <c r="C11" s="48">
        <f>管理费用!C8</f>
        <v>0</v>
      </c>
      <c r="D11" s="49">
        <f t="shared" si="0"/>
        <v>0</v>
      </c>
      <c r="E11" s="49">
        <f t="shared" si="1"/>
        <v>0</v>
      </c>
      <c r="F11" s="48">
        <f>管理费用!D8</f>
        <v>0</v>
      </c>
      <c r="G11" s="49">
        <f t="shared" si="2"/>
        <v>0</v>
      </c>
      <c r="H11" s="49">
        <f t="shared" si="3"/>
        <v>0</v>
      </c>
      <c r="I11" s="49">
        <f t="shared" si="4"/>
        <v>0</v>
      </c>
      <c r="J11" s="49">
        <f t="shared" si="5"/>
        <v>0</v>
      </c>
      <c r="K11" s="50"/>
    </row>
    <row r="12" spans="1:11">
      <c r="A12" s="46">
        <f>管理费用!A9</f>
        <v>4</v>
      </c>
      <c r="B12" s="47" t="str">
        <f>管理费用!B9</f>
        <v>管理费用_办公费</v>
      </c>
      <c r="C12" s="48">
        <f>管理费用!C9</f>
        <v>0</v>
      </c>
      <c r="D12" s="49">
        <f t="shared" si="0"/>
        <v>0</v>
      </c>
      <c r="E12" s="49">
        <f t="shared" si="1"/>
        <v>0</v>
      </c>
      <c r="F12" s="48">
        <f>管理费用!D9</f>
        <v>0</v>
      </c>
      <c r="G12" s="49">
        <f t="shared" si="2"/>
        <v>0</v>
      </c>
      <c r="H12" s="49">
        <f t="shared" si="3"/>
        <v>0</v>
      </c>
      <c r="I12" s="49">
        <f t="shared" si="4"/>
        <v>0</v>
      </c>
      <c r="J12" s="49">
        <f t="shared" si="5"/>
        <v>0</v>
      </c>
      <c r="K12" s="50"/>
    </row>
    <row r="13" spans="1:11">
      <c r="A13" s="46">
        <f>管理费用!A10</f>
        <v>5</v>
      </c>
      <c r="B13" s="47" t="str">
        <f>管理费用!B10</f>
        <v>管理费用_中介机构服务费</v>
      </c>
      <c r="C13" s="48">
        <f>管理费用!C10</f>
        <v>0</v>
      </c>
      <c r="D13" s="49">
        <f t="shared" si="0"/>
        <v>0</v>
      </c>
      <c r="E13" s="49">
        <f t="shared" si="1"/>
        <v>0</v>
      </c>
      <c r="F13" s="48">
        <f>管理费用!D10</f>
        <v>0</v>
      </c>
      <c r="G13" s="49">
        <f t="shared" si="2"/>
        <v>0</v>
      </c>
      <c r="H13" s="49">
        <f t="shared" si="3"/>
        <v>0</v>
      </c>
      <c r="I13" s="49">
        <f t="shared" si="4"/>
        <v>0</v>
      </c>
      <c r="J13" s="49">
        <f t="shared" si="5"/>
        <v>0</v>
      </c>
      <c r="K13" s="50"/>
    </row>
    <row r="14" spans="1:11">
      <c r="A14" s="46">
        <f>管理费用!A11</f>
        <v>6</v>
      </c>
      <c r="B14" s="47" t="str">
        <f>管理费用!B11</f>
        <v>管理费用_设备折旧费</v>
      </c>
      <c r="C14" s="48">
        <f>管理费用!C11</f>
        <v>0</v>
      </c>
      <c r="D14" s="49">
        <f t="shared" si="0"/>
        <v>0</v>
      </c>
      <c r="E14" s="49">
        <f t="shared" si="1"/>
        <v>0</v>
      </c>
      <c r="F14" s="48">
        <f>管理费用!D11</f>
        <v>0</v>
      </c>
      <c r="G14" s="49">
        <f t="shared" si="2"/>
        <v>0</v>
      </c>
      <c r="H14" s="49">
        <f t="shared" si="3"/>
        <v>0</v>
      </c>
      <c r="I14" s="49">
        <f t="shared" si="4"/>
        <v>0</v>
      </c>
      <c r="J14" s="49">
        <f t="shared" si="5"/>
        <v>0</v>
      </c>
      <c r="K14" s="50"/>
    </row>
    <row r="15" spans="1:11">
      <c r="A15" s="46">
        <f>管理费用!A12</f>
        <v>7</v>
      </c>
      <c r="B15" s="47" t="str">
        <f>管理费用!B12</f>
        <v>管理费用_软件摊销</v>
      </c>
      <c r="C15" s="48">
        <f>管理费用!C12</f>
        <v>0</v>
      </c>
      <c r="D15" s="49">
        <f t="shared" si="0"/>
        <v>0</v>
      </c>
      <c r="E15" s="49">
        <f t="shared" si="1"/>
        <v>0</v>
      </c>
      <c r="F15" s="48">
        <f>管理费用!D12</f>
        <v>0</v>
      </c>
      <c r="G15" s="49">
        <f t="shared" si="2"/>
        <v>0</v>
      </c>
      <c r="H15" s="49">
        <f t="shared" si="3"/>
        <v>0</v>
      </c>
      <c r="I15" s="49">
        <f t="shared" si="4"/>
        <v>0</v>
      </c>
      <c r="J15" s="49">
        <f t="shared" si="5"/>
        <v>0</v>
      </c>
      <c r="K15" s="50"/>
    </row>
    <row r="16" ht="14" customHeight="1" spans="1:11">
      <c r="A16" s="46">
        <f>管理费用!A13</f>
        <v>8</v>
      </c>
      <c r="B16" s="47" t="str">
        <f>管理费用!B13</f>
        <v>管理费用_研发费</v>
      </c>
      <c r="C16" s="48">
        <f>管理费用!C13</f>
        <v>0</v>
      </c>
      <c r="D16" s="49">
        <f t="shared" si="0"/>
        <v>0</v>
      </c>
      <c r="E16" s="49">
        <f t="shared" si="1"/>
        <v>0</v>
      </c>
      <c r="F16" s="48">
        <f>管理费用!D13</f>
        <v>0</v>
      </c>
      <c r="G16" s="49">
        <f t="shared" si="2"/>
        <v>0</v>
      </c>
      <c r="H16" s="49">
        <f t="shared" si="3"/>
        <v>0</v>
      </c>
      <c r="I16" s="49">
        <f t="shared" si="4"/>
        <v>0</v>
      </c>
      <c r="J16" s="49">
        <f t="shared" si="5"/>
        <v>0</v>
      </c>
      <c r="K16" s="50"/>
    </row>
    <row r="17" spans="1:11">
      <c r="A17" s="46">
        <f>管理费用!A14</f>
        <v>9</v>
      </c>
      <c r="B17" s="47" t="str">
        <f>管理费用!B14</f>
        <v>管理费用_劳务派遣服务费</v>
      </c>
      <c r="C17" s="48">
        <f>管理费用!C14</f>
        <v>0</v>
      </c>
      <c r="D17" s="49">
        <f t="shared" si="0"/>
        <v>0</v>
      </c>
      <c r="E17" s="49">
        <f t="shared" si="1"/>
        <v>0</v>
      </c>
      <c r="F17" s="48">
        <f>管理费用!D14</f>
        <v>0</v>
      </c>
      <c r="G17" s="49">
        <f t="shared" si="2"/>
        <v>0</v>
      </c>
      <c r="H17" s="49">
        <f t="shared" si="3"/>
        <v>0</v>
      </c>
      <c r="I17" s="49">
        <f t="shared" si="4"/>
        <v>0</v>
      </c>
      <c r="J17" s="49">
        <f t="shared" si="5"/>
        <v>0</v>
      </c>
      <c r="K17" s="50"/>
    </row>
    <row r="18" spans="1:11">
      <c r="A18" s="46">
        <f>管理费用!A15</f>
        <v>10</v>
      </c>
      <c r="B18" s="47" t="str">
        <f>管理费用!B15</f>
        <v>管理费用_软件服务费</v>
      </c>
      <c r="C18" s="48">
        <f>管理费用!C15</f>
        <v>0</v>
      </c>
      <c r="D18" s="49">
        <f t="shared" si="0"/>
        <v>0</v>
      </c>
      <c r="E18" s="49">
        <f t="shared" si="1"/>
        <v>0</v>
      </c>
      <c r="F18" s="48">
        <f>管理费用!D15</f>
        <v>0</v>
      </c>
      <c r="G18" s="49">
        <f t="shared" si="2"/>
        <v>0</v>
      </c>
      <c r="H18" s="49">
        <f t="shared" si="3"/>
        <v>0</v>
      </c>
      <c r="I18" s="49">
        <f t="shared" si="4"/>
        <v>0</v>
      </c>
      <c r="J18" s="49">
        <f t="shared" si="5"/>
        <v>0</v>
      </c>
      <c r="K18" s="50"/>
    </row>
    <row r="19" spans="1:11">
      <c r="A19" s="46">
        <f>管理费用!A16</f>
        <v>11</v>
      </c>
      <c r="B19" s="47">
        <f>管理费用!B16</f>
        <v>0</v>
      </c>
      <c r="C19" s="48">
        <f>管理费用!C16</f>
        <v>0</v>
      </c>
      <c r="D19" s="49">
        <f t="shared" si="0"/>
        <v>0</v>
      </c>
      <c r="E19" s="49">
        <f t="shared" si="1"/>
        <v>0</v>
      </c>
      <c r="F19" s="48">
        <f>管理费用!D16</f>
        <v>0</v>
      </c>
      <c r="G19" s="49">
        <f t="shared" si="2"/>
        <v>0</v>
      </c>
      <c r="H19" s="49">
        <f t="shared" si="3"/>
        <v>0</v>
      </c>
      <c r="I19" s="49">
        <f t="shared" si="4"/>
        <v>0</v>
      </c>
      <c r="J19" s="49">
        <f t="shared" si="5"/>
        <v>0</v>
      </c>
      <c r="K19" s="50"/>
    </row>
    <row r="20" spans="1:11">
      <c r="A20" s="46">
        <f>管理费用!A17</f>
        <v>12</v>
      </c>
      <c r="B20" s="47">
        <f>管理费用!B17</f>
        <v>0</v>
      </c>
      <c r="C20" s="48">
        <f>管理费用!C17</f>
        <v>0</v>
      </c>
      <c r="D20" s="49">
        <f t="shared" si="0"/>
        <v>0</v>
      </c>
      <c r="E20" s="49">
        <f t="shared" si="1"/>
        <v>0</v>
      </c>
      <c r="F20" s="48">
        <f>管理费用!D17</f>
        <v>0</v>
      </c>
      <c r="G20" s="49">
        <f t="shared" si="2"/>
        <v>0</v>
      </c>
      <c r="H20" s="49">
        <f t="shared" si="3"/>
        <v>0</v>
      </c>
      <c r="I20" s="49">
        <f t="shared" si="4"/>
        <v>0</v>
      </c>
      <c r="J20" s="49">
        <f t="shared" si="5"/>
        <v>0</v>
      </c>
      <c r="K20" s="50"/>
    </row>
    <row r="21" spans="1:11">
      <c r="A21" s="46">
        <f>管理费用!A18</f>
        <v>13</v>
      </c>
      <c r="B21" s="47">
        <f>管理费用!B18</f>
        <v>0</v>
      </c>
      <c r="C21" s="48">
        <f>管理费用!C18</f>
        <v>0</v>
      </c>
      <c r="D21" s="49">
        <f t="shared" si="0"/>
        <v>0</v>
      </c>
      <c r="E21" s="49">
        <f t="shared" si="1"/>
        <v>0</v>
      </c>
      <c r="F21" s="48">
        <f>管理费用!D18</f>
        <v>0</v>
      </c>
      <c r="G21" s="49">
        <f t="shared" si="2"/>
        <v>0</v>
      </c>
      <c r="H21" s="49">
        <f t="shared" si="3"/>
        <v>0</v>
      </c>
      <c r="I21" s="49">
        <f t="shared" si="4"/>
        <v>0</v>
      </c>
      <c r="J21" s="49">
        <f t="shared" si="5"/>
        <v>0</v>
      </c>
      <c r="K21" s="50"/>
    </row>
    <row r="22" spans="1:11">
      <c r="A22" s="46">
        <f>管理费用!A19</f>
        <v>14</v>
      </c>
      <c r="B22" s="47">
        <f>管理费用!B19</f>
        <v>0</v>
      </c>
      <c r="C22" s="48">
        <f>管理费用!C19</f>
        <v>0</v>
      </c>
      <c r="D22" s="49">
        <f t="shared" si="0"/>
        <v>0</v>
      </c>
      <c r="E22" s="49">
        <f t="shared" si="1"/>
        <v>0</v>
      </c>
      <c r="F22" s="48">
        <f>管理费用!D19</f>
        <v>0</v>
      </c>
      <c r="G22" s="49">
        <f t="shared" si="2"/>
        <v>0</v>
      </c>
      <c r="H22" s="49">
        <f t="shared" si="3"/>
        <v>0</v>
      </c>
      <c r="I22" s="49">
        <f t="shared" si="4"/>
        <v>0</v>
      </c>
      <c r="J22" s="49">
        <f t="shared" si="5"/>
        <v>0</v>
      </c>
      <c r="K22" s="50"/>
    </row>
    <row r="23" spans="1:11">
      <c r="A23" s="46">
        <f>管理费用!A20</f>
        <v>15</v>
      </c>
      <c r="B23" s="47">
        <f>管理费用!B20</f>
        <v>0</v>
      </c>
      <c r="C23" s="48">
        <f>管理费用!C20</f>
        <v>0</v>
      </c>
      <c r="D23" s="49">
        <f t="shared" si="0"/>
        <v>0</v>
      </c>
      <c r="E23" s="49">
        <f t="shared" si="1"/>
        <v>0</v>
      </c>
      <c r="F23" s="48">
        <f>管理费用!D20</f>
        <v>0</v>
      </c>
      <c r="G23" s="49">
        <f t="shared" si="2"/>
        <v>0</v>
      </c>
      <c r="H23" s="49">
        <f t="shared" si="3"/>
        <v>0</v>
      </c>
      <c r="I23" s="49">
        <f t="shared" si="4"/>
        <v>0</v>
      </c>
      <c r="J23" s="49">
        <f t="shared" si="5"/>
        <v>0</v>
      </c>
      <c r="K23" s="50"/>
    </row>
    <row r="24" ht="19" customHeight="1" spans="1:11">
      <c r="A24" s="51" t="s">
        <v>217</v>
      </c>
      <c r="B24" s="52"/>
      <c r="C24" s="48">
        <f>SUM(C9:C23)</f>
        <v>0</v>
      </c>
      <c r="D24" s="49">
        <f t="shared" si="0"/>
        <v>0</v>
      </c>
      <c r="E24" s="49">
        <f t="shared" si="1"/>
        <v>0</v>
      </c>
      <c r="F24" s="48">
        <f>SUM(F9:F23)</f>
        <v>0</v>
      </c>
      <c r="G24" s="49">
        <f t="shared" si="2"/>
        <v>0</v>
      </c>
      <c r="H24" s="49">
        <f t="shared" si="3"/>
        <v>0</v>
      </c>
      <c r="I24" s="49">
        <f t="shared" si="4"/>
        <v>0</v>
      </c>
      <c r="J24" s="49">
        <f t="shared" si="5"/>
        <v>0</v>
      </c>
      <c r="K24" s="43"/>
    </row>
    <row r="26" ht="20" customHeight="1" spans="1:11">
      <c r="B26" s="29" t="s">
        <v>218</v>
      </c>
    </row>
    <row r="27" ht="20" customHeight="1"/>
    <row r="28" ht="20" customHeight="1"/>
    <row r="29" ht="20" customHeight="1"/>
  </sheetData>
  <mergeCells count="9">
    <mergeCell ref="B1:K1"/>
    <mergeCell ref="C4:E4"/>
    <mergeCell ref="F4:H4"/>
    <mergeCell ref="A24:B24"/>
    <mergeCell ref="A4:A5"/>
    <mergeCell ref="B4:B5"/>
    <mergeCell ref="I4:I5"/>
    <mergeCell ref="J4:J5"/>
    <mergeCell ref="K4:K5"/>
  </mergeCells>
  <conditionalFormatting sqref="I9:J23">
    <cfRule type="cellIs" dxfId="2" priority="25" stopIfTrue="1" operator="greaterThanOrEqual">
      <formula>0.3</formula>
    </cfRule>
    <cfRule type="cellIs" dxfId="2" priority="26" stopIfTrue="1" operator="lessThanOrEqual">
      <formula>-0.3</formula>
    </cfRule>
  </conditionalFormatting>
  <pageMargins left="0.75" right="0.75" top="1" bottom="1" header="0.5" footer="0.5"/>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2"/>
  <dimension ref="A1:H16"/>
  <sheetViews>
    <sheetView workbookViewId="0">
      <selection activeCell="H5" sqref="H5"/>
    </sheetView>
  </sheetViews>
  <sheetFormatPr defaultColWidth="8.73148148148148" defaultRowHeight="14.4" outlineLevelCol="7"/>
  <cols>
    <col min="1" max="1" width="21.6388888888889" customWidth="1"/>
    <col min="2" max="2" width="16.7314814814815" customWidth="1"/>
    <col min="3" max="3" width="14" customWidth="1"/>
    <col min="4" max="4" width="14.1851851851852" customWidth="1"/>
    <col min="5" max="5" width="9.90740740740741" customWidth="1"/>
    <col min="6" max="6" width="13.4537037037037" customWidth="1"/>
    <col min="7" max="7" width="19.6388888888889" customWidth="1"/>
  </cols>
  <sheetData>
    <row r="1" ht="28" customHeight="1" spans="1:8">
      <c r="A1" s="1" t="s">
        <v>75</v>
      </c>
      <c r="B1" s="1"/>
      <c r="C1" s="1"/>
      <c r="D1" s="1"/>
      <c r="E1" s="1"/>
      <c r="F1" s="1"/>
      <c r="G1" s="1"/>
    </row>
    <row r="2" spans="1:8">
      <c r="A2" s="2" t="str">
        <f>备忘录!$A$1</f>
        <v>被审计单位：福禄福擎网络科技有限公司</v>
      </c>
      <c r="D2" s="3" t="s">
        <v>193</v>
      </c>
      <c r="E2" s="3"/>
      <c r="F2" s="4"/>
      <c r="G2" s="4" t="str">
        <f>备忘录!$C$2</f>
        <v>日期：2025/10/30</v>
      </c>
    </row>
    <row r="3" spans="1:8">
      <c r="A3" s="2" t="str">
        <f>备忘录!A3</f>
        <v>财务报表期间：2025.1-2025.9</v>
      </c>
      <c r="D3" s="3" t="s">
        <v>194</v>
      </c>
      <c r="E3" s="3"/>
      <c r="F3" s="4"/>
      <c r="G3" s="4" t="str">
        <f>备忘录!$C$3</f>
        <v>日期：2025/10/31</v>
      </c>
    </row>
    <row r="4" s="30" customFormat="1" spans="1:8">
      <c r="A4" s="5" t="s">
        <v>78</v>
      </c>
      <c r="B4" s="6" t="s">
        <v>580</v>
      </c>
      <c r="C4" s="7" t="s">
        <v>581</v>
      </c>
      <c r="D4" s="7" t="s">
        <v>621</v>
      </c>
      <c r="E4" s="8" t="s">
        <v>622</v>
      </c>
      <c r="F4" s="8" t="s">
        <v>623</v>
      </c>
      <c r="G4" s="9" t="s">
        <v>624</v>
      </c>
    </row>
    <row r="5" s="30" customFormat="1" spans="1:8">
      <c r="A5" s="10"/>
      <c r="B5" s="11"/>
      <c r="C5" s="12"/>
      <c r="D5" s="13"/>
      <c r="E5" s="14"/>
      <c r="F5" s="14"/>
      <c r="G5" s="15"/>
    </row>
    <row r="6" s="31" customFormat="1" ht="16" customHeight="1" spans="1:8">
      <c r="A6" s="33" t="s">
        <v>654</v>
      </c>
      <c r="B6" s="17"/>
      <c r="C6" s="17"/>
      <c r="D6" s="18">
        <f t="shared" ref="D6:D42" si="0">IF($B$12=0,0,B6/$B$12)</f>
        <v>0</v>
      </c>
      <c r="E6" s="19">
        <f t="shared" ref="E6:E42" si="1">ROUND(B6-C6,2)</f>
        <v>0</v>
      </c>
      <c r="F6" s="20" t="e">
        <f t="shared" ref="F6:F42" si="2">ROUND(E6/C6,2)</f>
        <v>#DIV/0!</v>
      </c>
      <c r="G6" s="21"/>
    </row>
    <row r="7" s="31" customFormat="1" ht="16" customHeight="1" spans="1:8">
      <c r="A7" s="34" t="s">
        <v>655</v>
      </c>
      <c r="B7" s="17"/>
      <c r="C7" s="17"/>
      <c r="D7" s="18">
        <f t="shared" si="0"/>
        <v>0</v>
      </c>
      <c r="E7" s="19">
        <f t="shared" si="1"/>
        <v>0</v>
      </c>
      <c r="F7" s="20" t="e">
        <f t="shared" si="2"/>
        <v>#DIV/0!</v>
      </c>
      <c r="G7" s="21"/>
      <c r="H7" s="31" t="s">
        <v>656</v>
      </c>
    </row>
    <row r="8" s="31" customFormat="1" ht="16" customHeight="1" spans="1:8">
      <c r="A8" s="34" t="s">
        <v>657</v>
      </c>
      <c r="B8" s="17"/>
      <c r="C8" s="17"/>
      <c r="D8" s="18">
        <f t="shared" si="0"/>
        <v>0</v>
      </c>
      <c r="E8" s="19">
        <f t="shared" si="1"/>
        <v>0</v>
      </c>
      <c r="F8" s="20" t="e">
        <f t="shared" si="2"/>
        <v>#DIV/0!</v>
      </c>
      <c r="G8" s="21"/>
    </row>
    <row r="9" s="31" customFormat="1" ht="16" customHeight="1" spans="1:8">
      <c r="A9" s="34" t="s">
        <v>658</v>
      </c>
      <c r="B9" s="17"/>
      <c r="C9" s="17"/>
      <c r="D9" s="18">
        <f t="shared" si="0"/>
        <v>0</v>
      </c>
      <c r="E9" s="19">
        <f t="shared" si="1"/>
        <v>0</v>
      </c>
      <c r="F9" s="20" t="e">
        <f t="shared" si="2"/>
        <v>#DIV/0!</v>
      </c>
      <c r="G9" s="21"/>
    </row>
    <row r="10" s="32" customFormat="1" ht="16" customHeight="1" spans="1:8">
      <c r="A10" s="16" t="s">
        <v>659</v>
      </c>
      <c r="B10" s="17"/>
      <c r="C10" s="17"/>
      <c r="D10" s="18">
        <f t="shared" si="0"/>
        <v>0</v>
      </c>
      <c r="E10" s="19">
        <f t="shared" si="1"/>
        <v>0</v>
      </c>
      <c r="F10" s="20" t="e">
        <f t="shared" si="2"/>
        <v>#DIV/0!</v>
      </c>
      <c r="G10" s="21"/>
    </row>
    <row r="11" ht="16" customHeight="1" spans="1:8">
      <c r="A11" s="16" t="s">
        <v>596</v>
      </c>
      <c r="B11" s="17"/>
      <c r="C11" s="17"/>
      <c r="D11" s="18">
        <f t="shared" si="0"/>
        <v>0</v>
      </c>
      <c r="E11" s="19">
        <f t="shared" si="1"/>
        <v>0</v>
      </c>
      <c r="F11" s="20" t="e">
        <f t="shared" si="2"/>
        <v>#DIV/0!</v>
      </c>
      <c r="G11" s="21"/>
    </row>
    <row r="12" ht="18" customHeight="1" spans="1:8">
      <c r="A12" s="23" t="s">
        <v>217</v>
      </c>
      <c r="B12" s="24">
        <f>ROUND(B6-B7+B8-B9+SUM(B10:B11),2)</f>
        <v>0</v>
      </c>
      <c r="C12" s="24">
        <f>ROUND(C6-C7+C8-C9+SUM(C10:C11),2)</f>
        <v>0</v>
      </c>
      <c r="D12" s="25"/>
      <c r="E12" s="26">
        <f>SUM(E6:E11)</f>
        <v>0</v>
      </c>
      <c r="F12" s="27"/>
      <c r="G12" s="28"/>
    </row>
    <row r="14" ht="19" customHeight="1" spans="1:8">
      <c r="A14" s="29" t="s">
        <v>218</v>
      </c>
    </row>
    <row r="15" ht="19" customHeight="1"/>
    <row r="16" ht="19" customHeight="1"/>
  </sheetData>
  <mergeCells count="8">
    <mergeCell ref="A1:G1"/>
    <mergeCell ref="A4:A5"/>
    <mergeCell ref="B4:B5"/>
    <mergeCell ref="C4:C5"/>
    <mergeCell ref="D4:D5"/>
    <mergeCell ref="E4:E5"/>
    <mergeCell ref="F4:F5"/>
    <mergeCell ref="G4:G5"/>
  </mergeCells>
  <conditionalFormatting sqref="D6">
    <cfRule type="cellIs" dxfId="1" priority="2" stopIfTrue="1" operator="greaterThanOrEqual">
      <formula>0.2</formula>
    </cfRule>
  </conditionalFormatting>
  <conditionalFormatting sqref="D7:D11">
    <cfRule type="cellIs" dxfId="1" priority="1" stopIfTrue="1" operator="greaterThanOrEqual">
      <formula>0.2</formula>
    </cfRule>
  </conditionalFormatting>
  <dataValidations count="1">
    <dataValidation showInputMessage="1" showErrorMessage="1" sqref="A8:A9"/>
  </dataValidations>
  <pageMargins left="0.75" right="0.75" top="1" bottom="1" header="0.5" footer="0.5"/>
  <headerFooter/>
  <ignoredErrors>
    <ignoredError sqref="A10:A11" listDataValidation="1"/>
  </ignoredErrors>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4"/>
  <sheetViews>
    <sheetView workbookViewId="0">
      <selection activeCell="A4" sqref="A4:A5"/>
    </sheetView>
  </sheetViews>
  <sheetFormatPr defaultColWidth="8.73148148148148" defaultRowHeight="14.4" outlineLevelCol="6"/>
  <cols>
    <col min="1" max="1" width="29.3611111111111" customWidth="1"/>
    <col min="2" max="2" width="15.1851851851852" customWidth="1"/>
    <col min="3" max="3" width="14" customWidth="1"/>
    <col min="4" max="4" width="15.5462962962963" customWidth="1"/>
    <col min="5" max="5" width="12.2685185185185" customWidth="1"/>
    <col min="6" max="6" width="14.9074074074074" customWidth="1"/>
    <col min="7" max="7" width="29.8148148148148" customWidth="1"/>
  </cols>
  <sheetData>
    <row r="1" ht="20.4" spans="1:7">
      <c r="A1" s="1" t="s">
        <v>660</v>
      </c>
      <c r="B1" s="1"/>
      <c r="C1" s="1"/>
      <c r="D1" s="1"/>
      <c r="E1" s="1"/>
      <c r="F1" s="1"/>
      <c r="G1" s="1"/>
    </row>
    <row r="2" spans="1:7">
      <c r="A2" s="2" t="str">
        <f>备忘录!$A$1</f>
        <v>被审计单位：福禄福擎网络科技有限公司</v>
      </c>
      <c r="D2" s="3" t="s">
        <v>193</v>
      </c>
      <c r="E2" s="3"/>
      <c r="F2" s="4"/>
      <c r="G2" s="4" t="str">
        <f>备忘录!$C$2</f>
        <v>日期：2025/10/30</v>
      </c>
    </row>
    <row r="3" spans="1:7">
      <c r="A3" s="2" t="str">
        <f>备忘录!A3</f>
        <v>财务报表期间：2025.1-2025.9</v>
      </c>
      <c r="D3" s="3" t="s">
        <v>194</v>
      </c>
      <c r="E3" s="3"/>
      <c r="F3" s="4"/>
      <c r="G3" s="4" t="str">
        <f>备忘录!$C$3</f>
        <v>日期：2025/10/31</v>
      </c>
    </row>
    <row r="4" spans="1:7">
      <c r="A4" s="5" t="s">
        <v>78</v>
      </c>
      <c r="B4" s="6" t="s">
        <v>580</v>
      </c>
      <c r="C4" s="7" t="s">
        <v>581</v>
      </c>
      <c r="D4" s="7" t="s">
        <v>621</v>
      </c>
      <c r="E4" s="8" t="s">
        <v>622</v>
      </c>
      <c r="F4" s="8" t="s">
        <v>623</v>
      </c>
      <c r="G4" s="9" t="s">
        <v>624</v>
      </c>
    </row>
    <row r="5" spans="1:7">
      <c r="A5" s="10"/>
      <c r="B5" s="11"/>
      <c r="C5" s="12"/>
      <c r="D5" s="13"/>
      <c r="E5" s="14"/>
      <c r="F5" s="14"/>
      <c r="G5" s="15"/>
    </row>
    <row r="6" spans="1:7">
      <c r="A6" s="16"/>
      <c r="B6" s="17"/>
      <c r="C6" s="17"/>
      <c r="D6" s="18">
        <f>IF($B$12=0,0,B6/$B$12)</f>
        <v>0</v>
      </c>
      <c r="E6" s="19">
        <f>ROUND(B6-C6,2)</f>
        <v>0</v>
      </c>
      <c r="F6" s="20" t="e">
        <f t="shared" ref="F6:F11" si="0">ROUND(E6/C6,2)</f>
        <v>#DIV/0!</v>
      </c>
      <c r="G6" s="21"/>
    </row>
    <row r="7" spans="1:7">
      <c r="A7" s="22"/>
      <c r="B7" s="17"/>
      <c r="C7" s="17"/>
      <c r="D7" s="18">
        <f t="shared" ref="D6:D11" si="1">IF($B$12=0,0,B7/$B$12)</f>
        <v>0</v>
      </c>
      <c r="E7" s="19">
        <f t="shared" ref="E6:E11" si="2">ROUND(B7-C7,2)</f>
        <v>0</v>
      </c>
      <c r="F7" s="20" t="e">
        <f t="shared" si="0"/>
        <v>#DIV/0!</v>
      </c>
      <c r="G7" s="21"/>
    </row>
    <row r="8" spans="1:7">
      <c r="A8" s="22"/>
      <c r="B8" s="17"/>
      <c r="C8" s="17"/>
      <c r="D8" s="18">
        <f t="shared" si="1"/>
        <v>0</v>
      </c>
      <c r="E8" s="19">
        <f t="shared" si="2"/>
        <v>0</v>
      </c>
      <c r="F8" s="20" t="e">
        <f t="shared" si="0"/>
        <v>#DIV/0!</v>
      </c>
      <c r="G8" s="21"/>
    </row>
    <row r="9" spans="1:7">
      <c r="A9" s="22"/>
      <c r="B9" s="17"/>
      <c r="C9" s="17"/>
      <c r="D9" s="18">
        <f t="shared" si="1"/>
        <v>0</v>
      </c>
      <c r="E9" s="19">
        <f t="shared" si="2"/>
        <v>0</v>
      </c>
      <c r="F9" s="20" t="e">
        <f t="shared" si="0"/>
        <v>#DIV/0!</v>
      </c>
      <c r="G9" s="21"/>
    </row>
    <row r="10" spans="1:7">
      <c r="A10" s="16"/>
      <c r="B10" s="17"/>
      <c r="C10" s="17"/>
      <c r="D10" s="18">
        <f t="shared" si="1"/>
        <v>0</v>
      </c>
      <c r="E10" s="19">
        <f t="shared" si="2"/>
        <v>0</v>
      </c>
      <c r="F10" s="20" t="e">
        <f t="shared" si="0"/>
        <v>#DIV/0!</v>
      </c>
      <c r="G10" s="21"/>
    </row>
    <row r="11" spans="1:7">
      <c r="A11" s="16"/>
      <c r="B11" s="17"/>
      <c r="C11" s="17"/>
      <c r="D11" s="18">
        <f t="shared" si="1"/>
        <v>0</v>
      </c>
      <c r="E11" s="19">
        <f t="shared" si="2"/>
        <v>0</v>
      </c>
      <c r="F11" s="20" t="e">
        <f t="shared" si="0"/>
        <v>#DIV/0!</v>
      </c>
      <c r="G11" s="21"/>
    </row>
    <row r="12" spans="1:7">
      <c r="A12" s="23" t="s">
        <v>217</v>
      </c>
      <c r="B12" s="24">
        <f>SUM(B6:B11)</f>
        <v>0</v>
      </c>
      <c r="C12" s="24">
        <f>SUM(C6:C11)</f>
        <v>0</v>
      </c>
      <c r="D12" s="25"/>
      <c r="E12" s="26">
        <f>SUM(E6:E11)</f>
        <v>0</v>
      </c>
      <c r="F12" s="27"/>
      <c r="G12" s="28"/>
    </row>
    <row r="14" spans="1:7">
      <c r="A14" s="29" t="s">
        <v>218</v>
      </c>
    </row>
  </sheetData>
  <mergeCells count="8">
    <mergeCell ref="A1:G1"/>
    <mergeCell ref="A4:A5"/>
    <mergeCell ref="B4:B5"/>
    <mergeCell ref="C4:C5"/>
    <mergeCell ref="D4:D5"/>
    <mergeCell ref="E4:E5"/>
    <mergeCell ref="F4:F5"/>
    <mergeCell ref="G4:G5"/>
  </mergeCells>
  <conditionalFormatting sqref="D6">
    <cfRule type="cellIs" dxfId="1" priority="2" stopIfTrue="1" operator="greaterThanOrEqual">
      <formula>0.2</formula>
    </cfRule>
  </conditionalFormatting>
  <conditionalFormatting sqref="D7:D11">
    <cfRule type="cellIs" dxfId="1" priority="1" stopIfTrue="1" operator="greaterThanOrEqual">
      <formula>0.2</formula>
    </cfRule>
  </conditionalFormatting>
  <dataValidations count="1">
    <dataValidation showInputMessage="1" showErrorMessage="1" sqref="A8:A9"/>
  </dataValidations>
  <pageMargins left="0.75" right="0.75" top="1" bottom="1" header="0.5" footer="0.5"/>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4"/>
  <sheetViews>
    <sheetView workbookViewId="0">
      <selection activeCell="G21" sqref="G21"/>
    </sheetView>
  </sheetViews>
  <sheetFormatPr defaultColWidth="8.73148148148148" defaultRowHeight="14.4" outlineLevelCol="6"/>
  <cols>
    <col min="1" max="1" width="27.8148148148148" customWidth="1"/>
    <col min="2" max="2" width="14.5462962962963" customWidth="1"/>
    <col min="3" max="3" width="13.2685185185185" customWidth="1"/>
    <col min="4" max="4" width="13.4537037037037" customWidth="1"/>
    <col min="5" max="5" width="12.3611111111111" customWidth="1"/>
    <col min="6" max="6" width="13.1851851851852" customWidth="1"/>
    <col min="7" max="7" width="28.4537037037037" customWidth="1"/>
  </cols>
  <sheetData>
    <row r="1" ht="20.4" spans="1:7">
      <c r="A1" s="1" t="s">
        <v>661</v>
      </c>
      <c r="B1" s="1"/>
      <c r="C1" s="1"/>
      <c r="D1" s="1"/>
      <c r="E1" s="1"/>
      <c r="F1" s="1"/>
      <c r="G1" s="1"/>
    </row>
    <row r="2" spans="1:7">
      <c r="A2" s="2" t="str">
        <f>备忘录!$A$1</f>
        <v>被审计单位：福禄福擎网络科技有限公司</v>
      </c>
      <c r="D2" s="3" t="s">
        <v>193</v>
      </c>
      <c r="E2" s="3"/>
      <c r="F2" s="4"/>
      <c r="G2" s="4" t="str">
        <f>备忘录!$C$2</f>
        <v>日期：2025/10/30</v>
      </c>
    </row>
    <row r="3" spans="1:7">
      <c r="A3" s="2" t="str">
        <f>备忘录!A3</f>
        <v>财务报表期间：2025.1-2025.9</v>
      </c>
      <c r="D3" s="3" t="s">
        <v>194</v>
      </c>
      <c r="E3" s="3"/>
      <c r="F3" s="4"/>
      <c r="G3" s="4" t="str">
        <f>备忘录!$C$3</f>
        <v>日期：2025/10/31</v>
      </c>
    </row>
    <row r="4" spans="1:7">
      <c r="A4" s="5" t="s">
        <v>78</v>
      </c>
      <c r="B4" s="6" t="s">
        <v>580</v>
      </c>
      <c r="C4" s="7" t="s">
        <v>581</v>
      </c>
      <c r="D4" s="7" t="s">
        <v>621</v>
      </c>
      <c r="E4" s="8" t="s">
        <v>622</v>
      </c>
      <c r="F4" s="8" t="s">
        <v>623</v>
      </c>
      <c r="G4" s="9" t="s">
        <v>624</v>
      </c>
    </row>
    <row r="5" spans="1:7">
      <c r="A5" s="10"/>
      <c r="B5" s="11"/>
      <c r="C5" s="12"/>
      <c r="D5" s="13"/>
      <c r="E5" s="14"/>
      <c r="F5" s="14"/>
      <c r="G5" s="15"/>
    </row>
    <row r="6" spans="1:7">
      <c r="A6" s="16"/>
      <c r="B6" s="17"/>
      <c r="C6" s="17"/>
      <c r="D6" s="18">
        <f t="shared" ref="D6:D11" si="0">IF($B$12=0,0,B6/$B$12)</f>
        <v>0</v>
      </c>
      <c r="E6" s="19">
        <f t="shared" ref="E6:E11" si="1">ROUND(B6-C6,2)</f>
        <v>0</v>
      </c>
      <c r="F6" s="20" t="e">
        <f t="shared" ref="F6:F11" si="2">ROUND(E6/C6,2)</f>
        <v>#DIV/0!</v>
      </c>
      <c r="G6" s="21"/>
    </row>
    <row r="7" spans="1:7">
      <c r="A7" s="22"/>
      <c r="B7" s="17"/>
      <c r="C7" s="17"/>
      <c r="D7" s="18">
        <f t="shared" si="0"/>
        <v>0</v>
      </c>
      <c r="E7" s="19">
        <f t="shared" si="1"/>
        <v>0</v>
      </c>
      <c r="F7" s="20" t="e">
        <f t="shared" si="2"/>
        <v>#DIV/0!</v>
      </c>
      <c r="G7" s="21"/>
    </row>
    <row r="8" spans="1:7">
      <c r="A8" s="22"/>
      <c r="B8" s="17"/>
      <c r="C8" s="17"/>
      <c r="D8" s="18">
        <f t="shared" si="0"/>
        <v>0</v>
      </c>
      <c r="E8" s="19">
        <f t="shared" si="1"/>
        <v>0</v>
      </c>
      <c r="F8" s="20" t="e">
        <f t="shared" si="2"/>
        <v>#DIV/0!</v>
      </c>
      <c r="G8" s="21"/>
    </row>
    <row r="9" spans="1:7">
      <c r="A9" s="22"/>
      <c r="B9" s="17"/>
      <c r="C9" s="17"/>
      <c r="D9" s="18">
        <f t="shared" si="0"/>
        <v>0</v>
      </c>
      <c r="E9" s="19">
        <f t="shared" si="1"/>
        <v>0</v>
      </c>
      <c r="F9" s="20" t="e">
        <f t="shared" si="2"/>
        <v>#DIV/0!</v>
      </c>
      <c r="G9" s="21"/>
    </row>
    <row r="10" spans="1:7">
      <c r="A10" s="16"/>
      <c r="B10" s="17"/>
      <c r="C10" s="17"/>
      <c r="D10" s="18">
        <f t="shared" si="0"/>
        <v>0</v>
      </c>
      <c r="E10" s="19">
        <f t="shared" si="1"/>
        <v>0</v>
      </c>
      <c r="F10" s="20" t="e">
        <f t="shared" si="2"/>
        <v>#DIV/0!</v>
      </c>
      <c r="G10" s="21"/>
    </row>
    <row r="11" spans="1:7">
      <c r="A11" s="16"/>
      <c r="B11" s="17"/>
      <c r="C11" s="17"/>
      <c r="D11" s="18">
        <f t="shared" si="0"/>
        <v>0</v>
      </c>
      <c r="E11" s="19">
        <f t="shared" si="1"/>
        <v>0</v>
      </c>
      <c r="F11" s="20" t="e">
        <f t="shared" si="2"/>
        <v>#DIV/0!</v>
      </c>
      <c r="G11" s="21"/>
    </row>
    <row r="12" spans="1:7">
      <c r="A12" s="23" t="s">
        <v>217</v>
      </c>
      <c r="B12" s="24">
        <f>SUM(B6:B11)</f>
        <v>0</v>
      </c>
      <c r="C12" s="24">
        <f>SUM(C6:C11)</f>
        <v>0</v>
      </c>
      <c r="D12" s="25"/>
      <c r="E12" s="26">
        <f>SUM(E6:E11)</f>
        <v>0</v>
      </c>
      <c r="F12" s="27"/>
      <c r="G12" s="28"/>
    </row>
    <row r="14" spans="1:7">
      <c r="A14" s="29" t="s">
        <v>218</v>
      </c>
    </row>
  </sheetData>
  <mergeCells count="8">
    <mergeCell ref="A1:G1"/>
    <mergeCell ref="A4:A5"/>
    <mergeCell ref="B4:B5"/>
    <mergeCell ref="C4:C5"/>
    <mergeCell ref="D4:D5"/>
    <mergeCell ref="E4:E5"/>
    <mergeCell ref="F4:F5"/>
    <mergeCell ref="G4:G5"/>
  </mergeCells>
  <conditionalFormatting sqref="D6">
    <cfRule type="cellIs" dxfId="1" priority="2" stopIfTrue="1" operator="greaterThanOrEqual">
      <formula>0.2</formula>
    </cfRule>
  </conditionalFormatting>
  <conditionalFormatting sqref="D7:D11">
    <cfRule type="cellIs" dxfId="1" priority="1" stopIfTrue="1" operator="greaterThanOrEqual">
      <formula>0.2</formula>
    </cfRule>
  </conditionalFormatting>
  <dataValidations count="1">
    <dataValidation showInputMessage="1" showErrorMessage="1" sqref="A8:A9"/>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39</vt:i4>
      </vt:variant>
    </vt:vector>
  </HeadingPairs>
  <TitlesOfParts>
    <vt:vector size="39" baseType="lpstr">
      <vt:lpstr>备忘录</vt:lpstr>
      <vt:lpstr>实际执行程序表（资产负债）</vt:lpstr>
      <vt:lpstr>实际执行程序表（利润）</vt:lpstr>
      <vt:lpstr>细节测试汇总</vt:lpstr>
      <vt:lpstr>货币资金</vt:lpstr>
      <vt:lpstr>流水分析-银行1</vt:lpstr>
      <vt:lpstr>流水分析-银行2</vt:lpstr>
      <vt:lpstr>流水分析-银行3</vt:lpstr>
      <vt:lpstr>开户清单核对</vt:lpstr>
      <vt:lpstr>库存商品</vt:lpstr>
      <vt:lpstr>库存商品分析表</vt:lpstr>
      <vt:lpstr>固定资产</vt:lpstr>
      <vt:lpstr>固定资产测算表</vt:lpstr>
      <vt:lpstr>无形资产</vt:lpstr>
      <vt:lpstr>无形资产测算表</vt:lpstr>
      <vt:lpstr>应收账款</vt:lpstr>
      <vt:lpstr>预付账款</vt:lpstr>
      <vt:lpstr>其他应收款</vt:lpstr>
      <vt:lpstr>关联方交易核对</vt:lpstr>
      <vt:lpstr>应付账款</vt:lpstr>
      <vt:lpstr>预收账款</vt:lpstr>
      <vt:lpstr>其他应付款</vt:lpstr>
      <vt:lpstr>长期股权投资</vt:lpstr>
      <vt:lpstr>长期股权投资明细表</vt:lpstr>
      <vt:lpstr>应付职工薪酬</vt:lpstr>
      <vt:lpstr>应付职工薪酬检查表</vt:lpstr>
      <vt:lpstr>应交税费</vt:lpstr>
      <vt:lpstr>应交增值税明细表</vt:lpstr>
      <vt:lpstr>短期借款</vt:lpstr>
      <vt:lpstr>营业收入</vt:lpstr>
      <vt:lpstr>营业成本</vt:lpstr>
      <vt:lpstr>毛利率分析表</vt:lpstr>
      <vt:lpstr>销售费用</vt:lpstr>
      <vt:lpstr>销售费用比例分析</vt:lpstr>
      <vt:lpstr>管理费用</vt:lpstr>
      <vt:lpstr>管理费用比例分析</vt:lpstr>
      <vt:lpstr>财务费用</vt:lpstr>
      <vt:lpstr>营业外收入</vt:lpstr>
      <vt:lpstr>营业外支出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weision</cp:lastModifiedBy>
  <dcterms:created xsi:type="dcterms:W3CDTF">2025-10-08T06:47:00Z</dcterms:created>
  <dcterms:modified xsi:type="dcterms:W3CDTF">2026-01-08T02:32:58Z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9D8818751B414D129FD8E41A61DB11C1_12</vt:lpwstr>
  </property>
  <property fmtid="{D5CDD505-2E9C-101B-9397-08002B2CF9AE}" pid="3" name="KSOProductBuildVer">
    <vt:lpwstr>2052-12.1.0.24034</vt:lpwstr>
  </property>
  <property fmtid="{D5CDD505-2E9C-101B-9397-08002B2CF9AE}" pid="4" name="CalculationRule">
    <vt:i4>0</vt:i4>
  </property>
</Properties>
</file>